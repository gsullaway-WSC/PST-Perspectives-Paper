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enoa/Documents/GitHub/PST_General/data/"/>
    </mc:Choice>
  </mc:AlternateContent>
  <xr:revisionPtr revIDLastSave="0" documentId="13_ncr:1_{6C8F064E-D294-4E4B-849F-4D3E17D8BDD8}" xr6:coauthVersionLast="47" xr6:coauthVersionMax="47" xr10:uidLastSave="{00000000-0000-0000-0000-000000000000}"/>
  <bookViews>
    <workbookView xWindow="0" yWindow="680" windowWidth="34200" windowHeight="19660" xr2:uid="{8769B9A4-69D0-40B2-A339-B0FB6AB0FDD2}"/>
  </bookViews>
  <sheets>
    <sheet name="ERs and escapement" sheetId="1" r:id="rId1"/>
    <sheet name="mgmt_goals" sheetId="2" r:id="rId2"/>
    <sheet name="AABM TAC" sheetId="3" r:id="rId3"/>
  </sheets>
  <definedNames>
    <definedName name="_xlnm._FilterDatabase" localSheetId="0" hidden="1">'ERs and escapement'!$A$1:$BA$1693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324" i="1" l="1"/>
  <c r="AZ324" i="1" s="1"/>
  <c r="BA324" i="1" s="1"/>
  <c r="AY1643" i="1"/>
  <c r="AV1487" i="1"/>
  <c r="AV1490" i="1"/>
  <c r="AV1491" i="1"/>
  <c r="AV1492" i="1"/>
  <c r="AV1594" i="1"/>
  <c r="AV1656" i="1"/>
  <c r="AV1657" i="1"/>
  <c r="AV1658" i="1"/>
  <c r="AV1659" i="1"/>
  <c r="AV1660" i="1"/>
  <c r="AV1685" i="1"/>
  <c r="AV1686" i="1"/>
  <c r="AS107" i="1"/>
  <c r="AS109" i="1"/>
  <c r="AS132" i="1"/>
  <c r="AS173" i="1"/>
  <c r="AR1548" i="1"/>
  <c r="AR1560" i="1"/>
  <c r="AR1588" i="1"/>
  <c r="AS1663" i="1"/>
  <c r="AP1677" i="1"/>
  <c r="AP1678" i="1"/>
  <c r="AM1667" i="1"/>
  <c r="AP1667" i="1" s="1"/>
  <c r="AM1668" i="1"/>
  <c r="AP1668" i="1" s="1"/>
  <c r="AM1669" i="1"/>
  <c r="AP1669" i="1" s="1"/>
  <c r="AM1670" i="1"/>
  <c r="AP1670" i="1" s="1"/>
  <c r="AM1671" i="1"/>
  <c r="AP1671" i="1" s="1"/>
  <c r="AM1672" i="1"/>
  <c r="AP1672" i="1" s="1"/>
  <c r="AM1673" i="1"/>
  <c r="AP1673" i="1" s="1"/>
  <c r="AM1674" i="1"/>
  <c r="AP1674" i="1" s="1"/>
  <c r="AM1675" i="1"/>
  <c r="AR1675" i="1" s="1"/>
  <c r="AM1676" i="1"/>
  <c r="AP1676" i="1" s="1"/>
  <c r="AM1677" i="1"/>
  <c r="AM1678" i="1"/>
  <c r="AM1679" i="1"/>
  <c r="AR1679" i="1" s="1"/>
  <c r="AM1680" i="1"/>
  <c r="AP1680" i="1" s="1"/>
  <c r="AM1681" i="1"/>
  <c r="AP1681" i="1" s="1"/>
  <c r="AM1682" i="1"/>
  <c r="AP1682" i="1" s="1"/>
  <c r="AM1683" i="1"/>
  <c r="AP1683" i="1" s="1"/>
  <c r="AM1684" i="1"/>
  <c r="AP1684" i="1" s="1"/>
  <c r="AM1685" i="1"/>
  <c r="AP1685" i="1" s="1"/>
  <c r="AM1686" i="1"/>
  <c r="AP1686" i="1" s="1"/>
  <c r="AM1687" i="1"/>
  <c r="AP1687" i="1" s="1"/>
  <c r="AM1688" i="1"/>
  <c r="AP1688" i="1" s="1"/>
  <c r="AM1689" i="1"/>
  <c r="AP1689" i="1" s="1"/>
  <c r="AM1690" i="1"/>
  <c r="AP1690" i="1" s="1"/>
  <c r="AM1691" i="1"/>
  <c r="AP1691" i="1" s="1"/>
  <c r="AM1692" i="1"/>
  <c r="AP1692" i="1" s="1"/>
  <c r="AM1693" i="1"/>
  <c r="AP1693" i="1" s="1"/>
  <c r="AJ1667" i="1"/>
  <c r="AR1667" i="1" s="1"/>
  <c r="AJ1668" i="1"/>
  <c r="AJ1669" i="1"/>
  <c r="AJ1670" i="1"/>
  <c r="AJ1671" i="1"/>
  <c r="AJ1672" i="1"/>
  <c r="AJ1673" i="1"/>
  <c r="AJ1674" i="1"/>
  <c r="AJ1675" i="1"/>
  <c r="AJ1676" i="1"/>
  <c r="AJ1677" i="1"/>
  <c r="AJ1678" i="1"/>
  <c r="AR1678" i="1" s="1"/>
  <c r="AJ1679" i="1"/>
  <c r="AJ1680" i="1"/>
  <c r="AJ1681" i="1"/>
  <c r="AR1681" i="1" s="1"/>
  <c r="AJ1682" i="1"/>
  <c r="AJ1683" i="1"/>
  <c r="AJ1684" i="1"/>
  <c r="AJ1685" i="1"/>
  <c r="AJ1686" i="1"/>
  <c r="AJ1687" i="1"/>
  <c r="AJ1688" i="1"/>
  <c r="AJ1689" i="1"/>
  <c r="AJ1690" i="1"/>
  <c r="AJ1691" i="1"/>
  <c r="AJ1692" i="1"/>
  <c r="AJ1693" i="1"/>
  <c r="AR1693" i="1" s="1"/>
  <c r="AA1667" i="1"/>
  <c r="AA1668" i="1"/>
  <c r="AA1669" i="1"/>
  <c r="AA1670" i="1"/>
  <c r="AA1671" i="1"/>
  <c r="AA1672" i="1"/>
  <c r="AA1673" i="1"/>
  <c r="AA1674" i="1"/>
  <c r="AA1675" i="1"/>
  <c r="AA1676" i="1"/>
  <c r="AA1677" i="1"/>
  <c r="AS1677" i="1" s="1"/>
  <c r="AA1678" i="1"/>
  <c r="AA1679" i="1"/>
  <c r="AA1680" i="1"/>
  <c r="AA1681" i="1"/>
  <c r="AA1682" i="1"/>
  <c r="AA1683" i="1"/>
  <c r="AA1684" i="1"/>
  <c r="AA1685" i="1"/>
  <c r="AA1686" i="1"/>
  <c r="AA1687" i="1"/>
  <c r="AA1688" i="1"/>
  <c r="AA1689" i="1"/>
  <c r="AA1690" i="1"/>
  <c r="AA1691" i="1"/>
  <c r="AA1692" i="1"/>
  <c r="AA1693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AV1687" i="1" s="1"/>
  <c r="O1688" i="1"/>
  <c r="O1689" i="1"/>
  <c r="O1690" i="1"/>
  <c r="O1691" i="1"/>
  <c r="O1692" i="1"/>
  <c r="O1693" i="1"/>
  <c r="K1667" i="1"/>
  <c r="K1668" i="1"/>
  <c r="AV1668" i="1" s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AV1684" i="1" s="1"/>
  <c r="K1685" i="1"/>
  <c r="K1686" i="1"/>
  <c r="K1687" i="1"/>
  <c r="K1688" i="1"/>
  <c r="K1689" i="1"/>
  <c r="K1690" i="1"/>
  <c r="K1691" i="1"/>
  <c r="K1692" i="1"/>
  <c r="K1693" i="1"/>
  <c r="AP1646" i="1"/>
  <c r="AP1650" i="1"/>
  <c r="AM1640" i="1"/>
  <c r="AP1640" i="1" s="1"/>
  <c r="AM1641" i="1"/>
  <c r="AP1641" i="1" s="1"/>
  <c r="AM1642" i="1"/>
  <c r="AP1642" i="1" s="1"/>
  <c r="AM1643" i="1"/>
  <c r="AP1643" i="1" s="1"/>
  <c r="AM1644" i="1"/>
  <c r="AP1644" i="1" s="1"/>
  <c r="AM1645" i="1"/>
  <c r="AP1645" i="1" s="1"/>
  <c r="AM1646" i="1"/>
  <c r="AM1647" i="1"/>
  <c r="AP1647" i="1" s="1"/>
  <c r="AM1648" i="1"/>
  <c r="AP1648" i="1" s="1"/>
  <c r="AM1649" i="1"/>
  <c r="AP1649" i="1" s="1"/>
  <c r="AM1650" i="1"/>
  <c r="AM1651" i="1"/>
  <c r="AP1651" i="1" s="1"/>
  <c r="AM1652" i="1"/>
  <c r="AP1652" i="1" s="1"/>
  <c r="AM1653" i="1"/>
  <c r="AP1653" i="1" s="1"/>
  <c r="AM1654" i="1"/>
  <c r="AP1654" i="1" s="1"/>
  <c r="AM1655" i="1"/>
  <c r="AP1655" i="1" s="1"/>
  <c r="AM1656" i="1"/>
  <c r="AP1656" i="1" s="1"/>
  <c r="AM1657" i="1"/>
  <c r="AP1657" i="1" s="1"/>
  <c r="AM1658" i="1"/>
  <c r="AP1658" i="1" s="1"/>
  <c r="AM1659" i="1"/>
  <c r="AP1659" i="1" s="1"/>
  <c r="AM1660" i="1"/>
  <c r="AP1660" i="1" s="1"/>
  <c r="AM1661" i="1"/>
  <c r="AP1661" i="1" s="1"/>
  <c r="AM1662" i="1"/>
  <c r="AP1662" i="1" s="1"/>
  <c r="AM1663" i="1"/>
  <c r="AP1663" i="1" s="1"/>
  <c r="AM1664" i="1"/>
  <c r="AP1664" i="1" s="1"/>
  <c r="AM1665" i="1"/>
  <c r="AP1665" i="1" s="1"/>
  <c r="AM1666" i="1"/>
  <c r="AP1666" i="1" s="1"/>
  <c r="AM1639" i="1"/>
  <c r="AP1639" i="1" s="1"/>
  <c r="AJ1640" i="1"/>
  <c r="AJ1641" i="1"/>
  <c r="AR1641" i="1" s="1"/>
  <c r="AJ1642" i="1"/>
  <c r="AR1642" i="1" s="1"/>
  <c r="AJ1643" i="1"/>
  <c r="AR1643" i="1" s="1"/>
  <c r="AJ1644" i="1"/>
  <c r="AJ1645" i="1"/>
  <c r="AR1645" i="1" s="1"/>
  <c r="AJ1646" i="1"/>
  <c r="AJ1647" i="1"/>
  <c r="AR1647" i="1" s="1"/>
  <c r="AJ1648" i="1"/>
  <c r="AR1648" i="1" s="1"/>
  <c r="AJ1649" i="1"/>
  <c r="AR1649" i="1" s="1"/>
  <c r="AJ1650" i="1"/>
  <c r="AR1650" i="1" s="1"/>
  <c r="AJ1651" i="1"/>
  <c r="AR1651" i="1" s="1"/>
  <c r="AJ1652" i="1"/>
  <c r="AU1652" i="1" s="1"/>
  <c r="AJ1653" i="1"/>
  <c r="AJ1654" i="1"/>
  <c r="AR1654" i="1" s="1"/>
  <c r="AJ1655" i="1"/>
  <c r="AJ1656" i="1"/>
  <c r="AJ1657" i="1"/>
  <c r="AR1657" i="1" s="1"/>
  <c r="AJ1658" i="1"/>
  <c r="AR1658" i="1" s="1"/>
  <c r="AJ1659" i="1"/>
  <c r="AJ1660" i="1"/>
  <c r="AJ1661" i="1"/>
  <c r="AR1661" i="1" s="1"/>
  <c r="AJ1662" i="1"/>
  <c r="AR1662" i="1" s="1"/>
  <c r="AJ1663" i="1"/>
  <c r="AU1663" i="1" s="1"/>
  <c r="AJ1664" i="1"/>
  <c r="AJ1665" i="1"/>
  <c r="AJ1666" i="1"/>
  <c r="AJ1639" i="1"/>
  <c r="AA1640" i="1"/>
  <c r="AA1641" i="1"/>
  <c r="AA1642" i="1"/>
  <c r="AA1643" i="1"/>
  <c r="AA1644" i="1"/>
  <c r="AA1645" i="1"/>
  <c r="AA1646" i="1"/>
  <c r="AA1647" i="1"/>
  <c r="AA1648" i="1"/>
  <c r="AA1649" i="1"/>
  <c r="AA1650" i="1"/>
  <c r="AA1651" i="1"/>
  <c r="AA1652" i="1"/>
  <c r="AA1653" i="1"/>
  <c r="AA1654" i="1"/>
  <c r="AA1655" i="1"/>
  <c r="AA1656" i="1"/>
  <c r="AA1657" i="1"/>
  <c r="AA1658" i="1"/>
  <c r="AA1659" i="1"/>
  <c r="AA1660" i="1"/>
  <c r="AA1661" i="1"/>
  <c r="AA1662" i="1"/>
  <c r="AA1663" i="1"/>
  <c r="AA1664" i="1"/>
  <c r="AA1665" i="1"/>
  <c r="AA1666" i="1"/>
  <c r="AA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39" i="1"/>
  <c r="K1640" i="1"/>
  <c r="AS1640" i="1" s="1"/>
  <c r="K1641" i="1"/>
  <c r="AS1641" i="1" s="1"/>
  <c r="AT1641" i="1" s="1"/>
  <c r="K1642" i="1"/>
  <c r="AS1642" i="1" s="1"/>
  <c r="K1643" i="1"/>
  <c r="AS1643" i="1" s="1"/>
  <c r="AT1643" i="1" s="1"/>
  <c r="K1644" i="1"/>
  <c r="AS1644" i="1" s="1"/>
  <c r="AY1644" i="1" s="1"/>
  <c r="K1645" i="1"/>
  <c r="AV1645" i="1" s="1"/>
  <c r="K1646" i="1"/>
  <c r="K1647" i="1"/>
  <c r="AV1647" i="1" s="1"/>
  <c r="K1648" i="1"/>
  <c r="K1649" i="1"/>
  <c r="K1650" i="1"/>
  <c r="AS1650" i="1" s="1"/>
  <c r="K1651" i="1"/>
  <c r="K1652" i="1"/>
  <c r="K1653" i="1"/>
  <c r="K1654" i="1"/>
  <c r="AV1654" i="1" s="1"/>
  <c r="K1655" i="1"/>
  <c r="AS1655" i="1" s="1"/>
  <c r="AT1655" i="1" s="1"/>
  <c r="K1656" i="1"/>
  <c r="AS1656" i="1" s="1"/>
  <c r="AY1656" i="1" s="1"/>
  <c r="K1657" i="1"/>
  <c r="AS1657" i="1" s="1"/>
  <c r="K1658" i="1"/>
  <c r="AS1658" i="1" s="1"/>
  <c r="K1659" i="1"/>
  <c r="AS1659" i="1" s="1"/>
  <c r="K1660" i="1"/>
  <c r="AS1660" i="1" s="1"/>
  <c r="AY1660" i="1" s="1"/>
  <c r="K1661" i="1"/>
  <c r="K1662" i="1"/>
  <c r="AS1662" i="1" s="1"/>
  <c r="AY1662" i="1" s="1"/>
  <c r="K1663" i="1"/>
  <c r="AV1663" i="1" s="1"/>
  <c r="K1664" i="1"/>
  <c r="K1665" i="1"/>
  <c r="K1666" i="1"/>
  <c r="AV1666" i="1" s="1"/>
  <c r="K1639" i="1"/>
  <c r="AM1622" i="1"/>
  <c r="AP1622" i="1" s="1"/>
  <c r="AM1623" i="1"/>
  <c r="AP1623" i="1" s="1"/>
  <c r="AV1623" i="1" s="1"/>
  <c r="AM1624" i="1"/>
  <c r="AP1624" i="1" s="1"/>
  <c r="AM1625" i="1"/>
  <c r="AP1625" i="1" s="1"/>
  <c r="AM1626" i="1"/>
  <c r="AP1626" i="1" s="1"/>
  <c r="AM1627" i="1"/>
  <c r="AP1627" i="1" s="1"/>
  <c r="AM1628" i="1"/>
  <c r="AP1628" i="1" s="1"/>
  <c r="AM1629" i="1"/>
  <c r="AP1629" i="1" s="1"/>
  <c r="AM1630" i="1"/>
  <c r="AQ1630" i="1" s="1"/>
  <c r="AM1631" i="1"/>
  <c r="AP1631" i="1" s="1"/>
  <c r="AM1632" i="1"/>
  <c r="AP1632" i="1" s="1"/>
  <c r="AM1633" i="1"/>
  <c r="AQ1633" i="1" s="1"/>
  <c r="AM1634" i="1"/>
  <c r="AP1634" i="1" s="1"/>
  <c r="AM1635" i="1"/>
  <c r="AP1635" i="1" s="1"/>
  <c r="AM1636" i="1"/>
  <c r="AP1636" i="1" s="1"/>
  <c r="AM1637" i="1"/>
  <c r="AP1637" i="1" s="1"/>
  <c r="AM1621" i="1"/>
  <c r="AQ1621" i="1" s="1"/>
  <c r="AJ1622" i="1"/>
  <c r="AJ1623" i="1"/>
  <c r="AJ1624" i="1"/>
  <c r="AJ1625" i="1"/>
  <c r="AJ1626" i="1"/>
  <c r="AU1626" i="1" s="1"/>
  <c r="AJ1627" i="1"/>
  <c r="AJ1628" i="1"/>
  <c r="AJ1629" i="1"/>
  <c r="AJ1630" i="1"/>
  <c r="AR1630" i="1" s="1"/>
  <c r="AJ1631" i="1"/>
  <c r="AJ1632" i="1"/>
  <c r="AJ1633" i="1"/>
  <c r="AJ1634" i="1"/>
  <c r="AJ1635" i="1"/>
  <c r="AJ1636" i="1"/>
  <c r="AJ1637" i="1"/>
  <c r="AJ1621" i="1"/>
  <c r="AR1621" i="1" s="1"/>
  <c r="AA1622" i="1"/>
  <c r="AA1623" i="1"/>
  <c r="AA1624" i="1"/>
  <c r="AA1625" i="1"/>
  <c r="AA1626" i="1"/>
  <c r="AA1627" i="1"/>
  <c r="AA1628" i="1"/>
  <c r="AA1629" i="1"/>
  <c r="AA1630" i="1"/>
  <c r="AA1631" i="1"/>
  <c r="AA1632" i="1"/>
  <c r="AA1633" i="1"/>
  <c r="AA1634" i="1"/>
  <c r="AA1635" i="1"/>
  <c r="AA1636" i="1"/>
  <c r="AA1637" i="1"/>
  <c r="AA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21" i="1"/>
  <c r="O1622" i="1"/>
  <c r="O1623" i="1"/>
  <c r="AS1623" i="1" s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21" i="1"/>
  <c r="K1622" i="1"/>
  <c r="K1623" i="1"/>
  <c r="K1624" i="1"/>
  <c r="K1625" i="1"/>
  <c r="K1626" i="1"/>
  <c r="K1627" i="1"/>
  <c r="K1628" i="1"/>
  <c r="K1629" i="1"/>
  <c r="K1630" i="1"/>
  <c r="K1631" i="1"/>
  <c r="K1632" i="1"/>
  <c r="AV1632" i="1" s="1"/>
  <c r="K1633" i="1"/>
  <c r="K1634" i="1"/>
  <c r="AV1634" i="1" s="1"/>
  <c r="K1635" i="1"/>
  <c r="K1636" i="1"/>
  <c r="K1637" i="1"/>
  <c r="K1621" i="1"/>
  <c r="AP1607" i="1"/>
  <c r="AM1601" i="1"/>
  <c r="AP1601" i="1" s="1"/>
  <c r="AM1602" i="1"/>
  <c r="AP1602" i="1" s="1"/>
  <c r="AM1603" i="1"/>
  <c r="AP1603" i="1" s="1"/>
  <c r="AM1604" i="1"/>
  <c r="AP1604" i="1" s="1"/>
  <c r="AM1605" i="1"/>
  <c r="AP1605" i="1" s="1"/>
  <c r="AM1606" i="1"/>
  <c r="AP1606" i="1" s="1"/>
  <c r="AM1607" i="1"/>
  <c r="AM1608" i="1"/>
  <c r="AP1608" i="1" s="1"/>
  <c r="AM1609" i="1"/>
  <c r="AP1609" i="1" s="1"/>
  <c r="AM1610" i="1"/>
  <c r="AP1610" i="1" s="1"/>
  <c r="AM1611" i="1"/>
  <c r="AP1611" i="1" s="1"/>
  <c r="AM1612" i="1"/>
  <c r="AP1612" i="1" s="1"/>
  <c r="AM1613" i="1"/>
  <c r="AP1613" i="1" s="1"/>
  <c r="AM1614" i="1"/>
  <c r="AP1614" i="1" s="1"/>
  <c r="AM1615" i="1"/>
  <c r="AP1615" i="1" s="1"/>
  <c r="AM1616" i="1"/>
  <c r="AP1616" i="1" s="1"/>
  <c r="AM1617" i="1"/>
  <c r="AP1617" i="1" s="1"/>
  <c r="AM1618" i="1"/>
  <c r="AP1618" i="1" s="1"/>
  <c r="AM1619" i="1"/>
  <c r="AP1619" i="1" s="1"/>
  <c r="AM1600" i="1"/>
  <c r="AP1600" i="1" s="1"/>
  <c r="AJ1601" i="1"/>
  <c r="AJ1602" i="1"/>
  <c r="AJ1603" i="1"/>
  <c r="AJ1604" i="1"/>
  <c r="AJ1605" i="1"/>
  <c r="AR1605" i="1" s="1"/>
  <c r="AJ1606" i="1"/>
  <c r="AJ1607" i="1"/>
  <c r="AU1607" i="1" s="1"/>
  <c r="AJ1608" i="1"/>
  <c r="AJ1609" i="1"/>
  <c r="AR1609" i="1" s="1"/>
  <c r="AJ1610" i="1"/>
  <c r="AJ1611" i="1"/>
  <c r="AJ1612" i="1"/>
  <c r="AJ1613" i="1"/>
  <c r="AJ1614" i="1"/>
  <c r="AJ1615" i="1"/>
  <c r="AJ1616" i="1"/>
  <c r="AJ1617" i="1"/>
  <c r="AJ1618" i="1"/>
  <c r="AJ1619" i="1"/>
  <c r="AR1619" i="1" s="1"/>
  <c r="AJ1600" i="1"/>
  <c r="AA1601" i="1"/>
  <c r="AA1602" i="1"/>
  <c r="AA1603" i="1"/>
  <c r="AA1604" i="1"/>
  <c r="AA1605" i="1"/>
  <c r="AA1606" i="1"/>
  <c r="AA1607" i="1"/>
  <c r="AA1608" i="1"/>
  <c r="AA1609" i="1"/>
  <c r="AA1610" i="1"/>
  <c r="AA1611" i="1"/>
  <c r="AA1612" i="1"/>
  <c r="AA1613" i="1"/>
  <c r="AA1614" i="1"/>
  <c r="AA1615" i="1"/>
  <c r="AA1616" i="1"/>
  <c r="AA1617" i="1"/>
  <c r="AA1618" i="1"/>
  <c r="AA1619" i="1"/>
  <c r="AV1619" i="1" s="1"/>
  <c r="AA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AS1618" i="1" s="1"/>
  <c r="K1619" i="1"/>
  <c r="K1600" i="1"/>
  <c r="AP1591" i="1"/>
  <c r="AV1591" i="1" s="1"/>
  <c r="AP1597" i="1"/>
  <c r="AM1557" i="1"/>
  <c r="AP1557" i="1" s="1"/>
  <c r="AM1558" i="1"/>
  <c r="AP1558" i="1" s="1"/>
  <c r="AM1559" i="1"/>
  <c r="AP1559" i="1" s="1"/>
  <c r="AM1560" i="1"/>
  <c r="AP1560" i="1" s="1"/>
  <c r="AM1561" i="1"/>
  <c r="AP1561" i="1" s="1"/>
  <c r="AM1562" i="1"/>
  <c r="AP1562" i="1" s="1"/>
  <c r="AM1563" i="1"/>
  <c r="AP1563" i="1" s="1"/>
  <c r="AM1564" i="1"/>
  <c r="AP1564" i="1" s="1"/>
  <c r="AM1565" i="1"/>
  <c r="AP1565" i="1" s="1"/>
  <c r="AM1566" i="1"/>
  <c r="AP1566" i="1" s="1"/>
  <c r="AM1567" i="1"/>
  <c r="AP1567" i="1" s="1"/>
  <c r="AM1568" i="1"/>
  <c r="AP1568" i="1" s="1"/>
  <c r="AM1569" i="1"/>
  <c r="AP1569" i="1" s="1"/>
  <c r="AM1570" i="1"/>
  <c r="AP1570" i="1" s="1"/>
  <c r="AM1571" i="1"/>
  <c r="AP1571" i="1" s="1"/>
  <c r="AM1572" i="1"/>
  <c r="AM1573" i="1"/>
  <c r="AP1573" i="1" s="1"/>
  <c r="AM1574" i="1"/>
  <c r="AP1574" i="1" s="1"/>
  <c r="AM1575" i="1"/>
  <c r="AP1575" i="1" s="1"/>
  <c r="AM1576" i="1"/>
  <c r="AP1576" i="1" s="1"/>
  <c r="AM1577" i="1"/>
  <c r="AP1577" i="1" s="1"/>
  <c r="AM1578" i="1"/>
  <c r="AP1578" i="1" s="1"/>
  <c r="AM1579" i="1"/>
  <c r="AM1580" i="1"/>
  <c r="AP1580" i="1" s="1"/>
  <c r="AM1581" i="1"/>
  <c r="AP1581" i="1" s="1"/>
  <c r="AM1582" i="1"/>
  <c r="AP1582" i="1" s="1"/>
  <c r="AM1583" i="1"/>
  <c r="AP1583" i="1" s="1"/>
  <c r="AM1584" i="1"/>
  <c r="AP1584" i="1" s="1"/>
  <c r="AM1585" i="1"/>
  <c r="AP1585" i="1" s="1"/>
  <c r="AM1586" i="1"/>
  <c r="AP1586" i="1" s="1"/>
  <c r="AM1587" i="1"/>
  <c r="AP1587" i="1" s="1"/>
  <c r="AM1588" i="1"/>
  <c r="AP1588" i="1" s="1"/>
  <c r="AM1589" i="1"/>
  <c r="AP1589" i="1" s="1"/>
  <c r="AM1590" i="1"/>
  <c r="AM1591" i="1"/>
  <c r="AM1592" i="1"/>
  <c r="AP1592" i="1" s="1"/>
  <c r="AM1593" i="1"/>
  <c r="AP1593" i="1" s="1"/>
  <c r="AM1594" i="1"/>
  <c r="AP1594" i="1" s="1"/>
  <c r="AM1595" i="1"/>
  <c r="AP1595" i="1" s="1"/>
  <c r="AM1596" i="1"/>
  <c r="AP1596" i="1" s="1"/>
  <c r="AM1597" i="1"/>
  <c r="AM1598" i="1"/>
  <c r="AP1598" i="1" s="1"/>
  <c r="AM1556" i="1"/>
  <c r="AP1556" i="1" s="1"/>
  <c r="AJ1557" i="1"/>
  <c r="AJ1558" i="1"/>
  <c r="AJ1559" i="1"/>
  <c r="AJ1560" i="1"/>
  <c r="AU1560" i="1" s="1"/>
  <c r="AJ1561" i="1"/>
  <c r="AJ1562" i="1"/>
  <c r="AJ1563" i="1"/>
  <c r="AJ1564" i="1"/>
  <c r="AR1564" i="1" s="1"/>
  <c r="AJ1565" i="1"/>
  <c r="AJ1566" i="1"/>
  <c r="AJ1567" i="1"/>
  <c r="AR1567" i="1" s="1"/>
  <c r="AJ1568" i="1"/>
  <c r="AR1568" i="1" s="1"/>
  <c r="AJ1569" i="1"/>
  <c r="AR1569" i="1" s="1"/>
  <c r="AJ1570" i="1"/>
  <c r="AJ1571" i="1"/>
  <c r="AJ1572" i="1"/>
  <c r="AJ1573" i="1"/>
  <c r="AJ1574" i="1"/>
  <c r="AR1574" i="1" s="1"/>
  <c r="AJ1575" i="1"/>
  <c r="AJ1576" i="1"/>
  <c r="AR1576" i="1" s="1"/>
  <c r="AJ1577" i="1"/>
  <c r="AR1577" i="1" s="1"/>
  <c r="AJ1578" i="1"/>
  <c r="AR1578" i="1" s="1"/>
  <c r="AJ1579" i="1"/>
  <c r="AJ1580" i="1"/>
  <c r="AJ1581" i="1"/>
  <c r="AR1581" i="1" s="1"/>
  <c r="AJ1582" i="1"/>
  <c r="AJ1583" i="1"/>
  <c r="AR1583" i="1" s="1"/>
  <c r="AJ1584" i="1"/>
  <c r="AJ1585" i="1"/>
  <c r="AJ1586" i="1"/>
  <c r="AJ1587" i="1"/>
  <c r="AJ1588" i="1"/>
  <c r="AJ1589" i="1"/>
  <c r="AJ1590" i="1"/>
  <c r="AJ1591" i="1"/>
  <c r="AR1591" i="1" s="1"/>
  <c r="AJ1592" i="1"/>
  <c r="AR1592" i="1" s="1"/>
  <c r="AJ1593" i="1"/>
  <c r="AR1593" i="1" s="1"/>
  <c r="AJ1594" i="1"/>
  <c r="AJ1595" i="1"/>
  <c r="AJ1596" i="1"/>
  <c r="AJ1597" i="1"/>
  <c r="AJ1598" i="1"/>
  <c r="AJ1556" i="1"/>
  <c r="AA1598" i="1"/>
  <c r="S1598" i="1"/>
  <c r="O1598" i="1"/>
  <c r="K1598" i="1"/>
  <c r="AA1597" i="1"/>
  <c r="S1597" i="1"/>
  <c r="O1597" i="1"/>
  <c r="K1597" i="1"/>
  <c r="AA1596" i="1"/>
  <c r="S1596" i="1"/>
  <c r="O1596" i="1"/>
  <c r="K1596" i="1"/>
  <c r="AA1595" i="1"/>
  <c r="AV1595" i="1" s="1"/>
  <c r="S1595" i="1"/>
  <c r="O1595" i="1"/>
  <c r="K1595" i="1"/>
  <c r="AA1594" i="1"/>
  <c r="S1594" i="1"/>
  <c r="O1594" i="1"/>
  <c r="K1594" i="1"/>
  <c r="AS1594" i="1" s="1"/>
  <c r="AA1593" i="1"/>
  <c r="S1593" i="1"/>
  <c r="O1593" i="1"/>
  <c r="K1593" i="1"/>
  <c r="AV1593" i="1" s="1"/>
  <c r="AA1592" i="1"/>
  <c r="S1592" i="1"/>
  <c r="O1592" i="1"/>
  <c r="AS1592" i="1" s="1"/>
  <c r="K1592" i="1"/>
  <c r="AA1591" i="1"/>
  <c r="S1591" i="1"/>
  <c r="O1591" i="1"/>
  <c r="K1591" i="1"/>
  <c r="AA1590" i="1"/>
  <c r="S1590" i="1"/>
  <c r="O1590" i="1"/>
  <c r="K1590" i="1"/>
  <c r="AA1589" i="1"/>
  <c r="S1589" i="1"/>
  <c r="O1589" i="1"/>
  <c r="K1589" i="1"/>
  <c r="AV1589" i="1" s="1"/>
  <c r="AA1588" i="1"/>
  <c r="S1588" i="1"/>
  <c r="O1588" i="1"/>
  <c r="K1588" i="1"/>
  <c r="AA1587" i="1"/>
  <c r="S1587" i="1"/>
  <c r="O1587" i="1"/>
  <c r="K1587" i="1"/>
  <c r="AA1586" i="1"/>
  <c r="S1586" i="1"/>
  <c r="O1586" i="1"/>
  <c r="K1586" i="1"/>
  <c r="AA1585" i="1"/>
  <c r="S1585" i="1"/>
  <c r="O1585" i="1"/>
  <c r="K1585" i="1"/>
  <c r="AA1584" i="1"/>
  <c r="S1584" i="1"/>
  <c r="O1584" i="1"/>
  <c r="K1584" i="1"/>
  <c r="AA1583" i="1"/>
  <c r="S1583" i="1"/>
  <c r="O1583" i="1"/>
  <c r="K1583" i="1"/>
  <c r="AA1582" i="1"/>
  <c r="S1582" i="1"/>
  <c r="O1582" i="1"/>
  <c r="K1582" i="1"/>
  <c r="AA1581" i="1"/>
  <c r="S1581" i="1"/>
  <c r="O1581" i="1"/>
  <c r="K1581" i="1"/>
  <c r="AA1580" i="1"/>
  <c r="S1580" i="1"/>
  <c r="O1580" i="1"/>
  <c r="K1580" i="1"/>
  <c r="AA1579" i="1"/>
  <c r="S1579" i="1"/>
  <c r="O1579" i="1"/>
  <c r="K1579" i="1"/>
  <c r="AA1578" i="1"/>
  <c r="S1578" i="1"/>
  <c r="O1578" i="1"/>
  <c r="K1578" i="1"/>
  <c r="AA1577" i="1"/>
  <c r="S1577" i="1"/>
  <c r="O1577" i="1"/>
  <c r="K1577" i="1"/>
  <c r="AA1576" i="1"/>
  <c r="S1576" i="1"/>
  <c r="O1576" i="1"/>
  <c r="K1576" i="1"/>
  <c r="AA1575" i="1"/>
  <c r="S1575" i="1"/>
  <c r="O1575" i="1"/>
  <c r="K1575" i="1"/>
  <c r="AV1575" i="1" s="1"/>
  <c r="AA1574" i="1"/>
  <c r="S1574" i="1"/>
  <c r="O1574" i="1"/>
  <c r="K1574" i="1"/>
  <c r="AA1573" i="1"/>
  <c r="S1573" i="1"/>
  <c r="O1573" i="1"/>
  <c r="K1573" i="1"/>
  <c r="AA1572" i="1"/>
  <c r="S1572" i="1"/>
  <c r="O1572" i="1"/>
  <c r="K1572" i="1"/>
  <c r="AA1571" i="1"/>
  <c r="S1571" i="1"/>
  <c r="O1571" i="1"/>
  <c r="K1571" i="1"/>
  <c r="AA1570" i="1"/>
  <c r="S1570" i="1"/>
  <c r="O1570" i="1"/>
  <c r="K1570" i="1"/>
  <c r="AA1569" i="1"/>
  <c r="S1569" i="1"/>
  <c r="O1569" i="1"/>
  <c r="K1569" i="1"/>
  <c r="AA1568" i="1"/>
  <c r="S1568" i="1"/>
  <c r="O1568" i="1"/>
  <c r="K1568" i="1"/>
  <c r="AA1567" i="1"/>
  <c r="S1567" i="1"/>
  <c r="O1567" i="1"/>
  <c r="K1567" i="1"/>
  <c r="AA1566" i="1"/>
  <c r="S1566" i="1"/>
  <c r="O1566" i="1"/>
  <c r="K1566" i="1"/>
  <c r="AA1565" i="1"/>
  <c r="S1565" i="1"/>
  <c r="O1565" i="1"/>
  <c r="K1565" i="1"/>
  <c r="AA1564" i="1"/>
  <c r="S1564" i="1"/>
  <c r="O1564" i="1"/>
  <c r="K1564" i="1"/>
  <c r="AA1563" i="1"/>
  <c r="S1563" i="1"/>
  <c r="O1563" i="1"/>
  <c r="K1563" i="1"/>
  <c r="AA1562" i="1"/>
  <c r="S1562" i="1"/>
  <c r="O1562" i="1"/>
  <c r="K1562" i="1"/>
  <c r="AA1561" i="1"/>
  <c r="S1561" i="1"/>
  <c r="O1561" i="1"/>
  <c r="K1561" i="1"/>
  <c r="AV1561" i="1" s="1"/>
  <c r="AA1560" i="1"/>
  <c r="S1560" i="1"/>
  <c r="O1560" i="1"/>
  <c r="K1560" i="1"/>
  <c r="AA1559" i="1"/>
  <c r="S1559" i="1"/>
  <c r="O1559" i="1"/>
  <c r="K1559" i="1"/>
  <c r="AV1559" i="1" s="1"/>
  <c r="AA1558" i="1"/>
  <c r="S1558" i="1"/>
  <c r="O1558" i="1"/>
  <c r="K1558" i="1"/>
  <c r="AV1558" i="1" s="1"/>
  <c r="AA1557" i="1"/>
  <c r="S1557" i="1"/>
  <c r="O1557" i="1"/>
  <c r="K1557" i="1"/>
  <c r="AV1557" i="1" s="1"/>
  <c r="AA1556" i="1"/>
  <c r="S1556" i="1"/>
  <c r="O1556" i="1"/>
  <c r="K1556" i="1"/>
  <c r="AQ1526" i="1"/>
  <c r="AQ1534" i="1"/>
  <c r="AQ1540" i="1"/>
  <c r="AQ1553" i="1"/>
  <c r="AQ1554" i="1"/>
  <c r="AP1515" i="1"/>
  <c r="AP1548" i="1"/>
  <c r="AP1549" i="1"/>
  <c r="AM1513" i="1"/>
  <c r="AQ1513" i="1" s="1"/>
  <c r="AM1514" i="1"/>
  <c r="AM1515" i="1"/>
  <c r="AQ1515" i="1" s="1"/>
  <c r="AM1516" i="1"/>
  <c r="AP1516" i="1" s="1"/>
  <c r="AM1517" i="1"/>
  <c r="AQ1517" i="1" s="1"/>
  <c r="AM1518" i="1"/>
  <c r="AP1518" i="1" s="1"/>
  <c r="AM1519" i="1"/>
  <c r="AP1519" i="1" s="1"/>
  <c r="AM1520" i="1"/>
  <c r="AQ1520" i="1" s="1"/>
  <c r="AM1521" i="1"/>
  <c r="AM1522" i="1"/>
  <c r="AM1523" i="1"/>
  <c r="AM1524" i="1"/>
  <c r="AM1525" i="1"/>
  <c r="AM1526" i="1"/>
  <c r="AP1526" i="1" s="1"/>
  <c r="AM1527" i="1"/>
  <c r="AQ1527" i="1" s="1"/>
  <c r="AM1528" i="1"/>
  <c r="AM1529" i="1"/>
  <c r="AQ1529" i="1" s="1"/>
  <c r="AM1530" i="1"/>
  <c r="AQ1530" i="1" s="1"/>
  <c r="AM1531" i="1"/>
  <c r="AM1532" i="1"/>
  <c r="AP1532" i="1" s="1"/>
  <c r="AM1533" i="1"/>
  <c r="AP1533" i="1" s="1"/>
  <c r="AM1534" i="1"/>
  <c r="AP1534" i="1" s="1"/>
  <c r="AM1535" i="1"/>
  <c r="AM1536" i="1"/>
  <c r="AM1537" i="1"/>
  <c r="AM1538" i="1"/>
  <c r="AM1539" i="1"/>
  <c r="AM1540" i="1"/>
  <c r="AP1540" i="1" s="1"/>
  <c r="AM1541" i="1"/>
  <c r="AQ1541" i="1" s="1"/>
  <c r="AM1542" i="1"/>
  <c r="AM1543" i="1"/>
  <c r="AQ1543" i="1" s="1"/>
  <c r="AM1544" i="1"/>
  <c r="AQ1544" i="1" s="1"/>
  <c r="AM1545" i="1"/>
  <c r="AQ1545" i="1" s="1"/>
  <c r="AM1546" i="1"/>
  <c r="AQ1546" i="1" s="1"/>
  <c r="AM1547" i="1"/>
  <c r="AQ1547" i="1" s="1"/>
  <c r="AM1548" i="1"/>
  <c r="AQ1548" i="1" s="1"/>
  <c r="AM1549" i="1"/>
  <c r="AQ1549" i="1" s="1"/>
  <c r="AM1550" i="1"/>
  <c r="AM1551" i="1"/>
  <c r="AM1552" i="1"/>
  <c r="AM1553" i="1"/>
  <c r="AM1554" i="1"/>
  <c r="AP1554" i="1" s="1"/>
  <c r="AM1512" i="1"/>
  <c r="AQ1512" i="1" s="1"/>
  <c r="AJ1513" i="1"/>
  <c r="AJ1514" i="1"/>
  <c r="AJ1515" i="1"/>
  <c r="AJ1516" i="1"/>
  <c r="AR1516" i="1" s="1"/>
  <c r="AJ1517" i="1"/>
  <c r="AJ1518" i="1"/>
  <c r="AJ1519" i="1"/>
  <c r="AJ1520" i="1"/>
  <c r="AJ1521" i="1"/>
  <c r="AJ1522" i="1"/>
  <c r="AR1522" i="1" s="1"/>
  <c r="AJ1523" i="1"/>
  <c r="AJ1524" i="1"/>
  <c r="AJ1525" i="1"/>
  <c r="AJ1526" i="1"/>
  <c r="AR1526" i="1" s="1"/>
  <c r="AJ1527" i="1"/>
  <c r="AJ1528" i="1"/>
  <c r="AJ1529" i="1"/>
  <c r="AJ1530" i="1"/>
  <c r="AJ1531" i="1"/>
  <c r="AJ1532" i="1"/>
  <c r="AJ1533" i="1"/>
  <c r="AJ1534" i="1"/>
  <c r="AJ1535" i="1"/>
  <c r="AJ1536" i="1"/>
  <c r="AJ1537" i="1"/>
  <c r="AJ1538" i="1"/>
  <c r="AJ1539" i="1"/>
  <c r="AJ1540" i="1"/>
  <c r="AR1540" i="1" s="1"/>
  <c r="AJ1541" i="1"/>
  <c r="AJ1542" i="1"/>
  <c r="AJ1543" i="1"/>
  <c r="AJ1544" i="1"/>
  <c r="AJ1545" i="1"/>
  <c r="AR1545" i="1" s="1"/>
  <c r="AJ1546" i="1"/>
  <c r="AJ1547" i="1"/>
  <c r="AJ1548" i="1"/>
  <c r="AJ1549" i="1"/>
  <c r="AJ1550" i="1"/>
  <c r="AJ1551" i="1"/>
  <c r="AJ1552" i="1"/>
  <c r="AJ1553" i="1"/>
  <c r="AJ1554" i="1"/>
  <c r="AR1554" i="1" s="1"/>
  <c r="AJ1512" i="1"/>
  <c r="AA1554" i="1"/>
  <c r="S1554" i="1"/>
  <c r="O1554" i="1"/>
  <c r="K1554" i="1"/>
  <c r="AV1554" i="1" s="1"/>
  <c r="AA1553" i="1"/>
  <c r="S1553" i="1"/>
  <c r="O1553" i="1"/>
  <c r="K1553" i="1"/>
  <c r="AA1552" i="1"/>
  <c r="S1552" i="1"/>
  <c r="O1552" i="1"/>
  <c r="K1552" i="1"/>
  <c r="AA1551" i="1"/>
  <c r="S1551" i="1"/>
  <c r="O1551" i="1"/>
  <c r="K1551" i="1"/>
  <c r="AA1550" i="1"/>
  <c r="S1550" i="1"/>
  <c r="O1550" i="1"/>
  <c r="K1550" i="1"/>
  <c r="AA1549" i="1"/>
  <c r="S1549" i="1"/>
  <c r="O1549" i="1"/>
  <c r="K1549" i="1"/>
  <c r="AA1548" i="1"/>
  <c r="S1548" i="1"/>
  <c r="O1548" i="1"/>
  <c r="K1548" i="1"/>
  <c r="AA1547" i="1"/>
  <c r="S1547" i="1"/>
  <c r="O1547" i="1"/>
  <c r="K1547" i="1"/>
  <c r="AS1547" i="1" s="1"/>
  <c r="AA1546" i="1"/>
  <c r="S1546" i="1"/>
  <c r="O1546" i="1"/>
  <c r="K1546" i="1"/>
  <c r="AA1545" i="1"/>
  <c r="S1545" i="1"/>
  <c r="O1545" i="1"/>
  <c r="K1545" i="1"/>
  <c r="AA1544" i="1"/>
  <c r="S1544" i="1"/>
  <c r="O1544" i="1"/>
  <c r="K1544" i="1"/>
  <c r="AA1543" i="1"/>
  <c r="S1543" i="1"/>
  <c r="O1543" i="1"/>
  <c r="K1543" i="1"/>
  <c r="AA1542" i="1"/>
  <c r="S1542" i="1"/>
  <c r="O1542" i="1"/>
  <c r="K1542" i="1"/>
  <c r="AA1541" i="1"/>
  <c r="S1541" i="1"/>
  <c r="O1541" i="1"/>
  <c r="K1541" i="1"/>
  <c r="AA1540" i="1"/>
  <c r="S1540" i="1"/>
  <c r="O1540" i="1"/>
  <c r="K1540" i="1"/>
  <c r="AV1540" i="1" s="1"/>
  <c r="AA1539" i="1"/>
  <c r="S1539" i="1"/>
  <c r="O1539" i="1"/>
  <c r="K1539" i="1"/>
  <c r="AA1538" i="1"/>
  <c r="S1538" i="1"/>
  <c r="O1538" i="1"/>
  <c r="K1538" i="1"/>
  <c r="AA1537" i="1"/>
  <c r="S1537" i="1"/>
  <c r="O1537" i="1"/>
  <c r="K1537" i="1"/>
  <c r="AA1536" i="1"/>
  <c r="S1536" i="1"/>
  <c r="O1536" i="1"/>
  <c r="K1536" i="1"/>
  <c r="AA1535" i="1"/>
  <c r="S1535" i="1"/>
  <c r="O1535" i="1"/>
  <c r="K1535" i="1"/>
  <c r="AA1534" i="1"/>
  <c r="S1534" i="1"/>
  <c r="O1534" i="1"/>
  <c r="K1534" i="1"/>
  <c r="AA1533" i="1"/>
  <c r="S1533" i="1"/>
  <c r="O1533" i="1"/>
  <c r="K1533" i="1"/>
  <c r="AA1532" i="1"/>
  <c r="S1532" i="1"/>
  <c r="O1532" i="1"/>
  <c r="K1532" i="1"/>
  <c r="AA1531" i="1"/>
  <c r="S1531" i="1"/>
  <c r="O1531" i="1"/>
  <c r="K1531" i="1"/>
  <c r="AA1530" i="1"/>
  <c r="S1530" i="1"/>
  <c r="O1530" i="1"/>
  <c r="K1530" i="1"/>
  <c r="AA1529" i="1"/>
  <c r="S1529" i="1"/>
  <c r="O1529" i="1"/>
  <c r="AS1529" i="1" s="1"/>
  <c r="K1529" i="1"/>
  <c r="AA1528" i="1"/>
  <c r="S1528" i="1"/>
  <c r="O1528" i="1"/>
  <c r="K1528" i="1"/>
  <c r="AA1527" i="1"/>
  <c r="S1527" i="1"/>
  <c r="O1527" i="1"/>
  <c r="K1527" i="1"/>
  <c r="AA1526" i="1"/>
  <c r="S1526" i="1"/>
  <c r="O1526" i="1"/>
  <c r="K1526" i="1"/>
  <c r="AV1526" i="1" s="1"/>
  <c r="AA1525" i="1"/>
  <c r="S1525" i="1"/>
  <c r="O1525" i="1"/>
  <c r="K1525" i="1"/>
  <c r="AA1524" i="1"/>
  <c r="S1524" i="1"/>
  <c r="O1524" i="1"/>
  <c r="K1524" i="1"/>
  <c r="AA1523" i="1"/>
  <c r="S1523" i="1"/>
  <c r="O1523" i="1"/>
  <c r="K1523" i="1"/>
  <c r="AA1522" i="1"/>
  <c r="S1522" i="1"/>
  <c r="O1522" i="1"/>
  <c r="K1522" i="1"/>
  <c r="AA1521" i="1"/>
  <c r="S1521" i="1"/>
  <c r="O1521" i="1"/>
  <c r="K1521" i="1"/>
  <c r="AA1520" i="1"/>
  <c r="S1520" i="1"/>
  <c r="O1520" i="1"/>
  <c r="K1520" i="1"/>
  <c r="AA1519" i="1"/>
  <c r="S1519" i="1"/>
  <c r="O1519" i="1"/>
  <c r="K1519" i="1"/>
  <c r="AA1518" i="1"/>
  <c r="S1518" i="1"/>
  <c r="O1518" i="1"/>
  <c r="K1518" i="1"/>
  <c r="AA1517" i="1"/>
  <c r="S1517" i="1"/>
  <c r="O1517" i="1"/>
  <c r="K1517" i="1"/>
  <c r="AA1516" i="1"/>
  <c r="S1516" i="1"/>
  <c r="O1516" i="1"/>
  <c r="K1516" i="1"/>
  <c r="AA1515" i="1"/>
  <c r="S1515" i="1"/>
  <c r="O1515" i="1"/>
  <c r="K1515" i="1"/>
  <c r="AA1514" i="1"/>
  <c r="S1514" i="1"/>
  <c r="O1514" i="1"/>
  <c r="K1514" i="1"/>
  <c r="AA1513" i="1"/>
  <c r="S1513" i="1"/>
  <c r="O1513" i="1"/>
  <c r="K1513" i="1"/>
  <c r="AA1512" i="1"/>
  <c r="S1512" i="1"/>
  <c r="O1512" i="1"/>
  <c r="K1512" i="1"/>
  <c r="AP1474" i="1"/>
  <c r="AP1488" i="1"/>
  <c r="AP1500" i="1"/>
  <c r="AP1502" i="1"/>
  <c r="AP1507" i="1"/>
  <c r="AM1469" i="1"/>
  <c r="AP1469" i="1" s="1"/>
  <c r="AM1470" i="1"/>
  <c r="AP1470" i="1" s="1"/>
  <c r="AM1471" i="1"/>
  <c r="AP1471" i="1" s="1"/>
  <c r="AM1472" i="1"/>
  <c r="AP1472" i="1" s="1"/>
  <c r="AM1473" i="1"/>
  <c r="AP1473" i="1" s="1"/>
  <c r="AM1474" i="1"/>
  <c r="AM1475" i="1"/>
  <c r="AP1475" i="1" s="1"/>
  <c r="AM1476" i="1"/>
  <c r="AP1476" i="1" s="1"/>
  <c r="AM1477" i="1"/>
  <c r="AP1477" i="1" s="1"/>
  <c r="AM1478" i="1"/>
  <c r="AP1478" i="1" s="1"/>
  <c r="AM1479" i="1"/>
  <c r="AP1479" i="1" s="1"/>
  <c r="AM1480" i="1"/>
  <c r="AP1480" i="1" s="1"/>
  <c r="AM1481" i="1"/>
  <c r="AP1481" i="1" s="1"/>
  <c r="AM1482" i="1"/>
  <c r="AP1482" i="1" s="1"/>
  <c r="AM1483" i="1"/>
  <c r="AP1483" i="1" s="1"/>
  <c r="AM1484" i="1"/>
  <c r="AP1484" i="1" s="1"/>
  <c r="AM1485" i="1"/>
  <c r="AP1485" i="1" s="1"/>
  <c r="AM1486" i="1"/>
  <c r="AP1486" i="1" s="1"/>
  <c r="AM1487" i="1"/>
  <c r="AP1487" i="1" s="1"/>
  <c r="AM1488" i="1"/>
  <c r="AM1489" i="1"/>
  <c r="AP1489" i="1" s="1"/>
  <c r="AM1490" i="1"/>
  <c r="AP1490" i="1" s="1"/>
  <c r="AM1491" i="1"/>
  <c r="AP1491" i="1" s="1"/>
  <c r="AM1492" i="1"/>
  <c r="AP1492" i="1" s="1"/>
  <c r="AM1493" i="1"/>
  <c r="AP1493" i="1" s="1"/>
  <c r="AM1494" i="1"/>
  <c r="AM1495" i="1"/>
  <c r="AP1495" i="1" s="1"/>
  <c r="AM1496" i="1"/>
  <c r="AP1496" i="1" s="1"/>
  <c r="AM1497" i="1"/>
  <c r="AP1497" i="1" s="1"/>
  <c r="AM1498" i="1"/>
  <c r="AP1498" i="1" s="1"/>
  <c r="AM1499" i="1"/>
  <c r="AP1499" i="1" s="1"/>
  <c r="AM1500" i="1"/>
  <c r="AM1501" i="1"/>
  <c r="AP1501" i="1" s="1"/>
  <c r="AM1502" i="1"/>
  <c r="AM1503" i="1"/>
  <c r="AP1503" i="1" s="1"/>
  <c r="AM1504" i="1"/>
  <c r="AP1504" i="1" s="1"/>
  <c r="AM1505" i="1"/>
  <c r="AP1505" i="1" s="1"/>
  <c r="AM1506" i="1"/>
  <c r="AP1506" i="1" s="1"/>
  <c r="AM1507" i="1"/>
  <c r="AM1508" i="1"/>
  <c r="AP1508" i="1" s="1"/>
  <c r="AM1509" i="1"/>
  <c r="AP1509" i="1" s="1"/>
  <c r="AM1510" i="1"/>
  <c r="AP1510" i="1" s="1"/>
  <c r="AM1468" i="1"/>
  <c r="AP1468" i="1" s="1"/>
  <c r="AJ1469" i="1"/>
  <c r="AJ1470" i="1"/>
  <c r="AJ1471" i="1"/>
  <c r="AJ1472" i="1"/>
  <c r="AJ1473" i="1"/>
  <c r="AJ1474" i="1"/>
  <c r="AR1474" i="1" s="1"/>
  <c r="AJ1475" i="1"/>
  <c r="AJ1476" i="1"/>
  <c r="AJ1477" i="1"/>
  <c r="AJ1478" i="1"/>
  <c r="AJ1479" i="1"/>
  <c r="AR1479" i="1" s="1"/>
  <c r="AJ1480" i="1"/>
  <c r="AJ1481" i="1"/>
  <c r="AJ1482" i="1"/>
  <c r="AR1482" i="1" s="1"/>
  <c r="AJ1483" i="1"/>
  <c r="AJ1484" i="1"/>
  <c r="AJ1485" i="1"/>
  <c r="AJ1486" i="1"/>
  <c r="AJ1487" i="1"/>
  <c r="AJ1488" i="1"/>
  <c r="AR1488" i="1" s="1"/>
  <c r="AJ1489" i="1"/>
  <c r="AJ1490" i="1"/>
  <c r="AJ1491" i="1"/>
  <c r="AR1491" i="1" s="1"/>
  <c r="AJ1492" i="1"/>
  <c r="AJ1493" i="1"/>
  <c r="AJ1494" i="1"/>
  <c r="AJ1495" i="1"/>
  <c r="AJ1496" i="1"/>
  <c r="AJ1497" i="1"/>
  <c r="AR1497" i="1" s="1"/>
  <c r="AJ1498" i="1"/>
  <c r="AJ1499" i="1"/>
  <c r="AJ1500" i="1"/>
  <c r="AJ1501" i="1"/>
  <c r="AJ1502" i="1"/>
  <c r="AR1502" i="1" s="1"/>
  <c r="AJ1503" i="1"/>
  <c r="AJ1504" i="1"/>
  <c r="AR1504" i="1" s="1"/>
  <c r="AJ1505" i="1"/>
  <c r="AJ1506" i="1"/>
  <c r="AR1506" i="1" s="1"/>
  <c r="AJ1507" i="1"/>
  <c r="AJ1508" i="1"/>
  <c r="AJ1509" i="1"/>
  <c r="AJ1510" i="1"/>
  <c r="AJ1468" i="1"/>
  <c r="AA1469" i="1"/>
  <c r="AV1469" i="1" s="1"/>
  <c r="AA1470" i="1"/>
  <c r="AA1471" i="1"/>
  <c r="AA1472" i="1"/>
  <c r="AA1473" i="1"/>
  <c r="AA1474" i="1"/>
  <c r="AA1475" i="1"/>
  <c r="AA1476" i="1"/>
  <c r="AA1477" i="1"/>
  <c r="AA1478" i="1"/>
  <c r="AA1479" i="1"/>
  <c r="AA1480" i="1"/>
  <c r="AA1481" i="1"/>
  <c r="AA1482" i="1"/>
  <c r="AA1483" i="1"/>
  <c r="AA1484" i="1"/>
  <c r="AA1485" i="1"/>
  <c r="AA1486" i="1"/>
  <c r="AA1487" i="1"/>
  <c r="AA1488" i="1"/>
  <c r="AA1489" i="1"/>
  <c r="AA1490" i="1"/>
  <c r="AA1491" i="1"/>
  <c r="AA1492" i="1"/>
  <c r="AA1493" i="1"/>
  <c r="AA1494" i="1"/>
  <c r="AA1495" i="1"/>
  <c r="AA1496" i="1"/>
  <c r="AA1497" i="1"/>
  <c r="AA1498" i="1"/>
  <c r="AA1499" i="1"/>
  <c r="AA1500" i="1"/>
  <c r="AA1501" i="1"/>
  <c r="AA1502" i="1"/>
  <c r="AA1503" i="1"/>
  <c r="AA1504" i="1"/>
  <c r="AA1505" i="1"/>
  <c r="AA1506" i="1"/>
  <c r="AA1507" i="1"/>
  <c r="AA1508" i="1"/>
  <c r="AA1509" i="1"/>
  <c r="AA1510" i="1"/>
  <c r="AA1468" i="1"/>
  <c r="AV1468" i="1" s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468" i="1"/>
  <c r="K1469" i="1"/>
  <c r="K1470" i="1"/>
  <c r="K1471" i="1"/>
  <c r="K1472" i="1"/>
  <c r="K1473" i="1"/>
  <c r="AS1473" i="1" s="1"/>
  <c r="AY1473" i="1" s="1"/>
  <c r="K1474" i="1"/>
  <c r="K1475" i="1"/>
  <c r="AS1475" i="1" s="1"/>
  <c r="K1476" i="1"/>
  <c r="AV1476" i="1" s="1"/>
  <c r="K1477" i="1"/>
  <c r="K1478" i="1"/>
  <c r="K1479" i="1"/>
  <c r="K1480" i="1"/>
  <c r="K1481" i="1"/>
  <c r="K1482" i="1"/>
  <c r="K1483" i="1"/>
  <c r="K1484" i="1"/>
  <c r="K1485" i="1"/>
  <c r="K1486" i="1"/>
  <c r="K1487" i="1"/>
  <c r="AS1487" i="1" s="1"/>
  <c r="K1488" i="1"/>
  <c r="AV1488" i="1" s="1"/>
  <c r="K1489" i="1"/>
  <c r="AS1489" i="1" s="1"/>
  <c r="K1490" i="1"/>
  <c r="K1491" i="1"/>
  <c r="K1492" i="1"/>
  <c r="AS1492" i="1" s="1"/>
  <c r="AY1492" i="1" s="1"/>
  <c r="K1493" i="1"/>
  <c r="K1494" i="1"/>
  <c r="K1495" i="1"/>
  <c r="AV1495" i="1" s="1"/>
  <c r="K1496" i="1"/>
  <c r="K1497" i="1"/>
  <c r="K1498" i="1"/>
  <c r="K1499" i="1"/>
  <c r="K1500" i="1"/>
  <c r="K1501" i="1"/>
  <c r="K1502" i="1"/>
  <c r="K1503" i="1"/>
  <c r="K1504" i="1"/>
  <c r="AV1504" i="1" s="1"/>
  <c r="K1505" i="1"/>
  <c r="K1506" i="1"/>
  <c r="AS1506" i="1" s="1"/>
  <c r="AY1506" i="1" s="1"/>
  <c r="K1507" i="1"/>
  <c r="K1508" i="1"/>
  <c r="K1509" i="1"/>
  <c r="K1510" i="1"/>
  <c r="K1468" i="1"/>
  <c r="AP1448" i="1"/>
  <c r="AP1449" i="1"/>
  <c r="AP1450" i="1"/>
  <c r="AP1463" i="1"/>
  <c r="AP1464" i="1"/>
  <c r="AM1443" i="1"/>
  <c r="AP1443" i="1" s="1"/>
  <c r="AM1444" i="1"/>
  <c r="AP1444" i="1" s="1"/>
  <c r="AM1445" i="1"/>
  <c r="AP1445" i="1" s="1"/>
  <c r="AM1446" i="1"/>
  <c r="AP1446" i="1" s="1"/>
  <c r="AM1447" i="1"/>
  <c r="AP1447" i="1" s="1"/>
  <c r="AM1448" i="1"/>
  <c r="AM1449" i="1"/>
  <c r="AM1450" i="1"/>
  <c r="AM1451" i="1"/>
  <c r="AP1451" i="1" s="1"/>
  <c r="AM1452" i="1"/>
  <c r="AP1452" i="1" s="1"/>
  <c r="AM1453" i="1"/>
  <c r="AP1453" i="1" s="1"/>
  <c r="AM1454" i="1"/>
  <c r="AP1454" i="1" s="1"/>
  <c r="AM1455" i="1"/>
  <c r="AP1455" i="1" s="1"/>
  <c r="AM1456" i="1"/>
  <c r="AP1456" i="1" s="1"/>
  <c r="AM1457" i="1"/>
  <c r="AP1457" i="1" s="1"/>
  <c r="AM1458" i="1"/>
  <c r="AP1458" i="1" s="1"/>
  <c r="AM1459" i="1"/>
  <c r="AP1459" i="1" s="1"/>
  <c r="AM1460" i="1"/>
  <c r="AP1460" i="1" s="1"/>
  <c r="AM1461" i="1"/>
  <c r="AP1461" i="1" s="1"/>
  <c r="AM1462" i="1"/>
  <c r="AP1462" i="1" s="1"/>
  <c r="AM1463" i="1"/>
  <c r="AM1464" i="1"/>
  <c r="AM1465" i="1"/>
  <c r="AP1465" i="1" s="1"/>
  <c r="AM1466" i="1"/>
  <c r="AP1466" i="1" s="1"/>
  <c r="AM1442" i="1"/>
  <c r="AP1442" i="1" s="1"/>
  <c r="AJ1443" i="1"/>
  <c r="AJ1444" i="1"/>
  <c r="AJ1445" i="1"/>
  <c r="AJ1446" i="1"/>
  <c r="AJ1447" i="1"/>
  <c r="AJ1448" i="1"/>
  <c r="AJ1449" i="1"/>
  <c r="AJ1450" i="1"/>
  <c r="AJ1451" i="1"/>
  <c r="AJ1452" i="1"/>
  <c r="AJ1453" i="1"/>
  <c r="AJ1454" i="1"/>
  <c r="AJ1455" i="1"/>
  <c r="AJ1456" i="1"/>
  <c r="AJ1457" i="1"/>
  <c r="AJ1458" i="1"/>
  <c r="AJ1459" i="1"/>
  <c r="AJ1460" i="1"/>
  <c r="AJ1461" i="1"/>
  <c r="AJ1462" i="1"/>
  <c r="AJ1463" i="1"/>
  <c r="AJ1464" i="1"/>
  <c r="AJ1465" i="1"/>
  <c r="AJ1466" i="1"/>
  <c r="AJ1442" i="1"/>
  <c r="AA1443" i="1"/>
  <c r="AA1444" i="1"/>
  <c r="AA1445" i="1"/>
  <c r="AA1446" i="1"/>
  <c r="AA1447" i="1"/>
  <c r="AA1448" i="1"/>
  <c r="AA1449" i="1"/>
  <c r="AA1450" i="1"/>
  <c r="AA1451" i="1"/>
  <c r="AA1452" i="1"/>
  <c r="AA1453" i="1"/>
  <c r="AA1454" i="1"/>
  <c r="AA1455" i="1"/>
  <c r="AA1456" i="1"/>
  <c r="AA1457" i="1"/>
  <c r="AA1458" i="1"/>
  <c r="AA1459" i="1"/>
  <c r="AA1460" i="1"/>
  <c r="AA1461" i="1"/>
  <c r="AA1462" i="1"/>
  <c r="AA1463" i="1"/>
  <c r="AA1464" i="1"/>
  <c r="AA1465" i="1"/>
  <c r="AA1466" i="1"/>
  <c r="AA1442" i="1"/>
  <c r="S1443" i="1"/>
  <c r="S1444" i="1"/>
  <c r="S1445" i="1"/>
  <c r="S1446" i="1"/>
  <c r="S1447" i="1"/>
  <c r="S1448" i="1"/>
  <c r="S1449" i="1"/>
  <c r="S1450" i="1"/>
  <c r="S1451" i="1"/>
  <c r="S1452" i="1"/>
  <c r="AV1452" i="1" s="1"/>
  <c r="S1453" i="1"/>
  <c r="S1454" i="1"/>
  <c r="S1455" i="1"/>
  <c r="S1456" i="1"/>
  <c r="S1457" i="1"/>
  <c r="S1458" i="1"/>
  <c r="S1459" i="1"/>
  <c r="S1460" i="1"/>
  <c r="S1461" i="1"/>
  <c r="S1462" i="1"/>
  <c r="S1463" i="1"/>
  <c r="AV1463" i="1" s="1"/>
  <c r="S1464" i="1"/>
  <c r="S1465" i="1"/>
  <c r="S1466" i="1"/>
  <c r="S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AV1461" i="1" s="1"/>
  <c r="O1462" i="1"/>
  <c r="O1463" i="1"/>
  <c r="O1464" i="1"/>
  <c r="O1465" i="1"/>
  <c r="O1466" i="1"/>
  <c r="O1442" i="1"/>
  <c r="K1443" i="1"/>
  <c r="K1444" i="1"/>
  <c r="AS1444" i="1" s="1"/>
  <c r="K1445" i="1"/>
  <c r="K1446" i="1"/>
  <c r="K1447" i="1"/>
  <c r="K1448" i="1"/>
  <c r="K1449" i="1"/>
  <c r="K1450" i="1"/>
  <c r="K1451" i="1"/>
  <c r="K1452" i="1"/>
  <c r="K1453" i="1"/>
  <c r="K1454" i="1"/>
  <c r="AV1454" i="1" s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42" i="1"/>
  <c r="AV1569" i="1" l="1"/>
  <c r="AV1480" i="1"/>
  <c r="AV1641" i="1"/>
  <c r="AV1510" i="1"/>
  <c r="AV1519" i="1"/>
  <c r="AV1682" i="1"/>
  <c r="AV1637" i="1"/>
  <c r="AR1639" i="1"/>
  <c r="AS1443" i="1"/>
  <c r="AV1451" i="1"/>
  <c r="AR1459" i="1"/>
  <c r="AV1516" i="1"/>
  <c r="AV1530" i="1"/>
  <c r="AV1622" i="1"/>
  <c r="AR1677" i="1"/>
  <c r="AV1635" i="1"/>
  <c r="AV1624" i="1"/>
  <c r="AV1446" i="1"/>
  <c r="AV1611" i="1"/>
  <c r="AV1576" i="1"/>
  <c r="AV1602" i="1"/>
  <c r="AR1674" i="1"/>
  <c r="AR1663" i="1"/>
  <c r="AV1566" i="1"/>
  <c r="AS1486" i="1"/>
  <c r="AS1472" i="1"/>
  <c r="AV1534" i="1"/>
  <c r="AQ1516" i="1"/>
  <c r="AS1606" i="1"/>
  <c r="AR1604" i="1"/>
  <c r="AS1689" i="1"/>
  <c r="AS1654" i="1"/>
  <c r="AT1654" i="1" s="1"/>
  <c r="AP1547" i="1"/>
  <c r="AV1547" i="1" s="1"/>
  <c r="AS1563" i="1"/>
  <c r="AT1563" i="1" s="1"/>
  <c r="AU1625" i="1"/>
  <c r="AU1651" i="1"/>
  <c r="AV1655" i="1"/>
  <c r="AY1655" i="1"/>
  <c r="AP1679" i="1"/>
  <c r="AU1679" i="1" s="1"/>
  <c r="AS1465" i="1"/>
  <c r="AV1636" i="1"/>
  <c r="AV1681" i="1"/>
  <c r="AQ1518" i="1"/>
  <c r="AV1592" i="1"/>
  <c r="AP1546" i="1"/>
  <c r="AV1612" i="1"/>
  <c r="AV1618" i="1"/>
  <c r="AV1674" i="1"/>
  <c r="AV1518" i="1"/>
  <c r="AV1532" i="1"/>
  <c r="AP1544" i="1"/>
  <c r="AV1605" i="1"/>
  <c r="AR1601" i="1"/>
  <c r="AR1637" i="1"/>
  <c r="AU1623" i="1"/>
  <c r="AZ1623" i="1" s="1"/>
  <c r="BA1623" i="1" s="1"/>
  <c r="AV1644" i="1"/>
  <c r="AY1641" i="1"/>
  <c r="AS1457" i="1"/>
  <c r="AV1470" i="1"/>
  <c r="AP1530" i="1"/>
  <c r="AV1577" i="1"/>
  <c r="AS1588" i="1"/>
  <c r="AT1588" i="1" s="1"/>
  <c r="AR1614" i="1"/>
  <c r="AR1622" i="1"/>
  <c r="AV1643" i="1"/>
  <c r="AR1547" i="1"/>
  <c r="AV1471" i="1"/>
  <c r="AR1602" i="1"/>
  <c r="AS1557" i="1"/>
  <c r="AS1571" i="1"/>
  <c r="AT1571" i="1" s="1"/>
  <c r="AS1578" i="1"/>
  <c r="AR1571" i="1"/>
  <c r="AU1557" i="1"/>
  <c r="AV1642" i="1"/>
  <c r="AT1623" i="1"/>
  <c r="AY1623" i="1"/>
  <c r="AS1459" i="1"/>
  <c r="AV1459" i="1"/>
  <c r="AS1445" i="1"/>
  <c r="AV1445" i="1"/>
  <c r="AS1507" i="1"/>
  <c r="AV1507" i="1"/>
  <c r="AS1493" i="1"/>
  <c r="AV1493" i="1"/>
  <c r="AS1479" i="1"/>
  <c r="AV1479" i="1"/>
  <c r="AS1509" i="1"/>
  <c r="AV1509" i="1"/>
  <c r="AV1496" i="1"/>
  <c r="AU1498" i="1"/>
  <c r="AU1678" i="1"/>
  <c r="AP1551" i="1"/>
  <c r="AU1551" i="1" s="1"/>
  <c r="AQ1551" i="1"/>
  <c r="AQ1537" i="1"/>
  <c r="AP1537" i="1"/>
  <c r="AQ1522" i="1"/>
  <c r="AP1522" i="1"/>
  <c r="AV1536" i="1"/>
  <c r="AV1556" i="1"/>
  <c r="AS1639" i="1"/>
  <c r="AV1639" i="1"/>
  <c r="AR1653" i="1"/>
  <c r="AU1653" i="1"/>
  <c r="AV1453" i="1"/>
  <c r="AU1509" i="1"/>
  <c r="AS1665" i="1"/>
  <c r="AV1665" i="1"/>
  <c r="AV1680" i="1"/>
  <c r="AR1676" i="1"/>
  <c r="AV1546" i="1"/>
  <c r="AP1550" i="1"/>
  <c r="AQ1550" i="1"/>
  <c r="AV1485" i="1"/>
  <c r="AY1457" i="1"/>
  <c r="AT1457" i="1"/>
  <c r="AR1631" i="1"/>
  <c r="AU1631" i="1"/>
  <c r="AS1652" i="1"/>
  <c r="AV1652" i="1"/>
  <c r="AS1667" i="1"/>
  <c r="AY1667" i="1" s="1"/>
  <c r="AV1667" i="1"/>
  <c r="AT1618" i="1"/>
  <c r="AY1618" i="1"/>
  <c r="AU1582" i="1"/>
  <c r="AU1617" i="1"/>
  <c r="AY1640" i="1"/>
  <c r="AV1640" i="1"/>
  <c r="AS1692" i="1"/>
  <c r="AU1690" i="1"/>
  <c r="AR1690" i="1"/>
  <c r="AU1674" i="1"/>
  <c r="AP1579" i="1"/>
  <c r="AT1579" i="1" s="1"/>
  <c r="AR1579" i="1"/>
  <c r="AV1442" i="1"/>
  <c r="AS1573" i="1"/>
  <c r="AV1573" i="1"/>
  <c r="AS1580" i="1"/>
  <c r="AV1580" i="1"/>
  <c r="AV1587" i="1"/>
  <c r="AT1594" i="1"/>
  <c r="AY1594" i="1"/>
  <c r="AU1611" i="1"/>
  <c r="AV1677" i="1"/>
  <c r="AQ1523" i="1"/>
  <c r="AP1523" i="1"/>
  <c r="AT1547" i="1"/>
  <c r="AY1547" i="1"/>
  <c r="AQ1536" i="1"/>
  <c r="AP1536" i="1"/>
  <c r="AU1587" i="1"/>
  <c r="AS1546" i="1"/>
  <c r="AV1486" i="1"/>
  <c r="AS1653" i="1"/>
  <c r="AV1653" i="1"/>
  <c r="AU1677" i="1"/>
  <c r="AR1666" i="1"/>
  <c r="AU1666" i="1"/>
  <c r="AS1651" i="1"/>
  <c r="AV1651" i="1"/>
  <c r="AR1665" i="1"/>
  <c r="AU1665" i="1"/>
  <c r="AS1693" i="1"/>
  <c r="AT1677" i="1"/>
  <c r="AY1677" i="1"/>
  <c r="AP1675" i="1"/>
  <c r="AR1689" i="1"/>
  <c r="AS1610" i="1"/>
  <c r="AV1610" i="1"/>
  <c r="AV1538" i="1"/>
  <c r="AP1553" i="1"/>
  <c r="AU1553" i="1" s="1"/>
  <c r="AR1553" i="1"/>
  <c r="AQ1539" i="1"/>
  <c r="AP1539" i="1"/>
  <c r="AP1525" i="1"/>
  <c r="AV1525" i="1" s="1"/>
  <c r="AQ1525" i="1"/>
  <c r="AU1577" i="1"/>
  <c r="AY1689" i="1"/>
  <c r="AS1666" i="1"/>
  <c r="AU1480" i="1"/>
  <c r="AS1514" i="1"/>
  <c r="AS1517" i="1"/>
  <c r="AS1521" i="1"/>
  <c r="AS1528" i="1"/>
  <c r="AS1535" i="1"/>
  <c r="AS1542" i="1"/>
  <c r="AS1549" i="1"/>
  <c r="AV1549" i="1"/>
  <c r="AS1552" i="1"/>
  <c r="AR1551" i="1"/>
  <c r="AR1523" i="1"/>
  <c r="AT1663" i="1"/>
  <c r="AZ1663" i="1" s="1"/>
  <c r="BA1663" i="1" s="1"/>
  <c r="AY1663" i="1"/>
  <c r="AT1465" i="1"/>
  <c r="AY1465" i="1"/>
  <c r="AU1456" i="1"/>
  <c r="AS1505" i="1"/>
  <c r="AV1477" i="1"/>
  <c r="AR1509" i="1"/>
  <c r="AR1495" i="1"/>
  <c r="AV1515" i="1"/>
  <c r="AV1522" i="1"/>
  <c r="AU1547" i="1"/>
  <c r="AV1567" i="1"/>
  <c r="AU1573" i="1"/>
  <c r="AU1574" i="1"/>
  <c r="AS1608" i="1"/>
  <c r="AV1608" i="1"/>
  <c r="AS1614" i="1"/>
  <c r="AT1606" i="1"/>
  <c r="AY1606" i="1"/>
  <c r="AU1618" i="1"/>
  <c r="AR1618" i="1"/>
  <c r="AU1610" i="1"/>
  <c r="AS1649" i="1"/>
  <c r="AV1649" i="1"/>
  <c r="AU1649" i="1"/>
  <c r="AV1692" i="1"/>
  <c r="AS1678" i="1"/>
  <c r="AY1678" i="1" s="1"/>
  <c r="AR1688" i="1"/>
  <c r="AV1489" i="1"/>
  <c r="AS1458" i="1"/>
  <c r="AY1458" i="1" s="1"/>
  <c r="AV1458" i="1"/>
  <c r="AY1444" i="1"/>
  <c r="AU1474" i="1"/>
  <c r="AU1534" i="1"/>
  <c r="AR1534" i="1"/>
  <c r="AR1535" i="1"/>
  <c r="AQ1535" i="1"/>
  <c r="AR1521" i="1"/>
  <c r="AQ1521" i="1"/>
  <c r="AS1609" i="1"/>
  <c r="AV1609" i="1"/>
  <c r="AV1679" i="1"/>
  <c r="AY1443" i="1"/>
  <c r="AU1586" i="1"/>
  <c r="AV1629" i="1"/>
  <c r="AS1648" i="1"/>
  <c r="AV1648" i="1"/>
  <c r="AT1662" i="1"/>
  <c r="AV1691" i="1"/>
  <c r="AR1673" i="1"/>
  <c r="AU1673" i="1"/>
  <c r="AV1455" i="1"/>
  <c r="AS1503" i="1"/>
  <c r="AV1503" i="1"/>
  <c r="AS1504" i="1"/>
  <c r="AR1494" i="1"/>
  <c r="AY1578" i="1"/>
  <c r="AS1600" i="1"/>
  <c r="AU1608" i="1"/>
  <c r="AV1628" i="1"/>
  <c r="AU1661" i="1"/>
  <c r="AS1690" i="1"/>
  <c r="AY1690" i="1" s="1"/>
  <c r="AV1690" i="1"/>
  <c r="AU1685" i="1"/>
  <c r="AU1688" i="1"/>
  <c r="AU1499" i="1"/>
  <c r="AV1568" i="1"/>
  <c r="AS1596" i="1"/>
  <c r="AV1596" i="1"/>
  <c r="AS1604" i="1"/>
  <c r="AT1659" i="1"/>
  <c r="AY1659" i="1"/>
  <c r="AR1670" i="1"/>
  <c r="AV1669" i="1"/>
  <c r="AV1444" i="1"/>
  <c r="AV1466" i="1"/>
  <c r="AS1460" i="1"/>
  <c r="AV1460" i="1"/>
  <c r="AY1472" i="1"/>
  <c r="AV1544" i="1"/>
  <c r="AV1603" i="1"/>
  <c r="AS1625" i="1"/>
  <c r="AV1625" i="1"/>
  <c r="AV1673" i="1"/>
  <c r="AV1473" i="1"/>
  <c r="AV1443" i="1"/>
  <c r="AV1465" i="1"/>
  <c r="AR1442" i="1"/>
  <c r="AV1499" i="1"/>
  <c r="AR1503" i="1"/>
  <c r="AR1475" i="1"/>
  <c r="AS1558" i="1"/>
  <c r="AY1558" i="1" s="1"/>
  <c r="AS1565" i="1"/>
  <c r="AY1565" i="1" s="1"/>
  <c r="AV1565" i="1"/>
  <c r="AS1572" i="1"/>
  <c r="AS1579" i="1"/>
  <c r="AS1586" i="1"/>
  <c r="AY1586" i="1" s="1"/>
  <c r="AV1586" i="1"/>
  <c r="AS1593" i="1"/>
  <c r="AY1593" i="1" s="1"/>
  <c r="AU1596" i="1"/>
  <c r="AR1582" i="1"/>
  <c r="AU1591" i="1"/>
  <c r="AV1616" i="1"/>
  <c r="AV1672" i="1"/>
  <c r="AU1442" i="1"/>
  <c r="AV1604" i="1"/>
  <c r="AV1472" i="1"/>
  <c r="AS1478" i="1"/>
  <c r="AY1478" i="1" s="1"/>
  <c r="AV1478" i="1"/>
  <c r="AT1489" i="1"/>
  <c r="AY1489" i="1"/>
  <c r="AS1675" i="1"/>
  <c r="AV1678" i="1"/>
  <c r="AV1474" i="1"/>
  <c r="AQ1531" i="1"/>
  <c r="AP1531" i="1"/>
  <c r="AU1646" i="1"/>
  <c r="AR1646" i="1"/>
  <c r="AV1689" i="1"/>
  <c r="AU1670" i="1"/>
  <c r="AT1472" i="1"/>
  <c r="AV1693" i="1"/>
  <c r="AY1592" i="1"/>
  <c r="AV1457" i="1"/>
  <c r="AV1456" i="1"/>
  <c r="AS1450" i="1"/>
  <c r="AR1458" i="1"/>
  <c r="AS1553" i="1"/>
  <c r="AU1648" i="1"/>
  <c r="AT1475" i="1"/>
  <c r="AY1475" i="1"/>
  <c r="AS1533" i="1"/>
  <c r="AY1533" i="1" s="1"/>
  <c r="AV1533" i="1"/>
  <c r="AQ1533" i="1"/>
  <c r="AT1557" i="1"/>
  <c r="AY1557" i="1"/>
  <c r="AV1564" i="1"/>
  <c r="AS1564" i="1"/>
  <c r="AS1585" i="1"/>
  <c r="AY1585" i="1" s="1"/>
  <c r="AV1585" i="1"/>
  <c r="AU1556" i="1"/>
  <c r="AR1556" i="1"/>
  <c r="AR1572" i="1"/>
  <c r="AV1606" i="1"/>
  <c r="AV1631" i="1"/>
  <c r="AS1661" i="1"/>
  <c r="AV1661" i="1"/>
  <c r="AS1676" i="1"/>
  <c r="AY1676" i="1" s="1"/>
  <c r="AS1674" i="1"/>
  <c r="AU1686" i="1"/>
  <c r="AR1686" i="1"/>
  <c r="AR1587" i="1"/>
  <c r="AV1578" i="1"/>
  <c r="AV1502" i="1"/>
  <c r="AR1517" i="1"/>
  <c r="AQ1532" i="1"/>
  <c r="AS1627" i="1"/>
  <c r="AV1627" i="1"/>
  <c r="AS1646" i="1"/>
  <c r="AV1646" i="1"/>
  <c r="AR1685" i="1"/>
  <c r="AU1671" i="1"/>
  <c r="AS1501" i="1"/>
  <c r="AY1501" i="1" s="1"/>
  <c r="AV1501" i="1"/>
  <c r="AT1487" i="1"/>
  <c r="AY1487" i="1"/>
  <c r="AU1505" i="1"/>
  <c r="AR1505" i="1"/>
  <c r="AV1582" i="1"/>
  <c r="AS1602" i="1"/>
  <c r="AS1626" i="1"/>
  <c r="AV1626" i="1"/>
  <c r="AS1688" i="1"/>
  <c r="AV1688" i="1"/>
  <c r="AR1684" i="1"/>
  <c r="AU1684" i="1"/>
  <c r="AS1647" i="1"/>
  <c r="AY1647" i="1" s="1"/>
  <c r="AV1676" i="1"/>
  <c r="AV1475" i="1"/>
  <c r="AS1500" i="1"/>
  <c r="AV1500" i="1"/>
  <c r="AT1486" i="1"/>
  <c r="AY1486" i="1"/>
  <c r="AV1617" i="1"/>
  <c r="AS1601" i="1"/>
  <c r="AR1613" i="1"/>
  <c r="AS1631" i="1"/>
  <c r="AT1658" i="1"/>
  <c r="AY1658" i="1"/>
  <c r="AV1464" i="1"/>
  <c r="AV1450" i="1"/>
  <c r="AR1452" i="1"/>
  <c r="AV1498" i="1"/>
  <c r="AV1484" i="1"/>
  <c r="AU1503" i="1"/>
  <c r="AV1607" i="1"/>
  <c r="AR1611" i="1"/>
  <c r="AV1671" i="1"/>
  <c r="AR1671" i="1"/>
  <c r="AV1506" i="1"/>
  <c r="AP1520" i="1"/>
  <c r="AU1520" i="1" s="1"/>
  <c r="AS1562" i="1"/>
  <c r="AY1562" i="1" s="1"/>
  <c r="AV1562" i="1"/>
  <c r="AS1569" i="1"/>
  <c r="AY1569" i="1" s="1"/>
  <c r="AS1576" i="1"/>
  <c r="AY1576" i="1" s="1"/>
  <c r="AS1583" i="1"/>
  <c r="AY1583" i="1" s="1"/>
  <c r="AV1583" i="1"/>
  <c r="AS1590" i="1"/>
  <c r="AT1590" i="1" s="1"/>
  <c r="AS1597" i="1"/>
  <c r="AY1597" i="1" s="1"/>
  <c r="AV1597" i="1"/>
  <c r="AV1662" i="1"/>
  <c r="AV1600" i="1"/>
  <c r="AV1571" i="1"/>
  <c r="AV1505" i="1"/>
  <c r="AV1497" i="1"/>
  <c r="AS1615" i="1"/>
  <c r="AY1615" i="1" s="1"/>
  <c r="AV1615" i="1"/>
  <c r="AS1672" i="1"/>
  <c r="AV1462" i="1"/>
  <c r="AV1448" i="1"/>
  <c r="AR1450" i="1"/>
  <c r="AS1510" i="1"/>
  <c r="AY1510" i="1" s="1"/>
  <c r="AS1496" i="1"/>
  <c r="AS1482" i="1"/>
  <c r="AY1482" i="1" s="1"/>
  <c r="AV1482" i="1"/>
  <c r="AS1497" i="1"/>
  <c r="AS1499" i="1"/>
  <c r="AU1500" i="1"/>
  <c r="AR1486" i="1"/>
  <c r="AU1472" i="1"/>
  <c r="AU1487" i="1"/>
  <c r="AS1513" i="1"/>
  <c r="AS1520" i="1"/>
  <c r="AS1527" i="1"/>
  <c r="AS1534" i="1"/>
  <c r="AS1541" i="1"/>
  <c r="AY1541" i="1" s="1"/>
  <c r="AS1548" i="1"/>
  <c r="AY1548" i="1" s="1"/>
  <c r="AV1548" i="1"/>
  <c r="AR1527" i="1"/>
  <c r="AS1556" i="1"/>
  <c r="AS1566" i="1"/>
  <c r="AS1570" i="1"/>
  <c r="AY1570" i="1" s="1"/>
  <c r="AV1570" i="1"/>
  <c r="AS1577" i="1"/>
  <c r="AS1584" i="1"/>
  <c r="AY1584" i="1" s="1"/>
  <c r="AS1587" i="1"/>
  <c r="AS1591" i="1"/>
  <c r="AS1598" i="1"/>
  <c r="AY1598" i="1" s="1"/>
  <c r="AV1598" i="1"/>
  <c r="AR1561" i="1"/>
  <c r="AU1576" i="1"/>
  <c r="AV1614" i="1"/>
  <c r="AS1637" i="1"/>
  <c r="AU1635" i="1"/>
  <c r="AT1642" i="1"/>
  <c r="AY1642" i="1"/>
  <c r="AS1686" i="1"/>
  <c r="AS1671" i="1"/>
  <c r="AR1682" i="1"/>
  <c r="AV1449" i="1"/>
  <c r="AV1483" i="1"/>
  <c r="AS1540" i="1"/>
  <c r="AV1601" i="1"/>
  <c r="AS1621" i="1"/>
  <c r="AY1621" i="1" s="1"/>
  <c r="AS1630" i="1"/>
  <c r="AY1630" i="1" s="1"/>
  <c r="AT1657" i="1"/>
  <c r="AY1657" i="1"/>
  <c r="AS1673" i="1"/>
  <c r="AR1669" i="1"/>
  <c r="AV1447" i="1"/>
  <c r="AR1449" i="1"/>
  <c r="AS1495" i="1"/>
  <c r="AV1481" i="1"/>
  <c r="AU1471" i="1"/>
  <c r="AS1613" i="1"/>
  <c r="AV1613" i="1"/>
  <c r="AS1605" i="1"/>
  <c r="AS1636" i="1"/>
  <c r="AS1622" i="1"/>
  <c r="AU1634" i="1"/>
  <c r="AS1685" i="1"/>
  <c r="AS1670" i="1"/>
  <c r="AU1609" i="1"/>
  <c r="AV1563" i="1"/>
  <c r="AS1624" i="1"/>
  <c r="AS1687" i="1"/>
  <c r="AY1654" i="1"/>
  <c r="AS1508" i="1"/>
  <c r="AY1508" i="1" s="1"/>
  <c r="AV1508" i="1"/>
  <c r="AV1524" i="1"/>
  <c r="AS1531" i="1"/>
  <c r="AV1531" i="1"/>
  <c r="AS1538" i="1"/>
  <c r="AR1539" i="1"/>
  <c r="AU1525" i="1"/>
  <c r="AU1554" i="1"/>
  <c r="AU1540" i="1"/>
  <c r="AU1526" i="1"/>
  <c r="AP1529" i="1"/>
  <c r="AT1529" i="1" s="1"/>
  <c r="AV1560" i="1"/>
  <c r="AV1574" i="1"/>
  <c r="AV1581" i="1"/>
  <c r="AV1588" i="1"/>
  <c r="AR1573" i="1"/>
  <c r="AR1559" i="1"/>
  <c r="AU1588" i="1"/>
  <c r="AS1612" i="1"/>
  <c r="AR1608" i="1"/>
  <c r="AS1635" i="1"/>
  <c r="AR1633" i="1"/>
  <c r="AV1670" i="1"/>
  <c r="AV1584" i="1"/>
  <c r="AV1683" i="1"/>
  <c r="AS1669" i="1"/>
  <c r="AU1650" i="1"/>
  <c r="AV1650" i="1"/>
  <c r="AS1449" i="1"/>
  <c r="AU1465" i="1"/>
  <c r="AS1516" i="1"/>
  <c r="AS1523" i="1"/>
  <c r="AR1529" i="1"/>
  <c r="AU1515" i="1"/>
  <c r="AR1617" i="1"/>
  <c r="AS1634" i="1"/>
  <c r="AS1664" i="1"/>
  <c r="AY1664" i="1" s="1"/>
  <c r="AV1664" i="1"/>
  <c r="AT1650" i="1"/>
  <c r="AY1650" i="1"/>
  <c r="AS1682" i="1"/>
  <c r="AS1681" i="1"/>
  <c r="AY1681" i="1" s="1"/>
  <c r="AU1692" i="1"/>
  <c r="AU1691" i="1"/>
  <c r="AU1680" i="1"/>
  <c r="AT1681" i="1"/>
  <c r="AT1667" i="1"/>
  <c r="AT1689" i="1"/>
  <c r="AU1689" i="1"/>
  <c r="AT1492" i="1"/>
  <c r="AU1445" i="1"/>
  <c r="AR1445" i="1"/>
  <c r="AU1537" i="1"/>
  <c r="AR1537" i="1"/>
  <c r="AR1472" i="1"/>
  <c r="AU1589" i="1"/>
  <c r="AR1589" i="1"/>
  <c r="AT1656" i="1"/>
  <c r="AS1452" i="1"/>
  <c r="AS1462" i="1"/>
  <c r="AR1528" i="1"/>
  <c r="AR1514" i="1"/>
  <c r="AS1629" i="1"/>
  <c r="AS1461" i="1"/>
  <c r="AT1520" i="1"/>
  <c r="AT1548" i="1"/>
  <c r="AR1512" i="1"/>
  <c r="AR1541" i="1"/>
  <c r="AR1513" i="1"/>
  <c r="AQ1542" i="1"/>
  <c r="AP1542" i="1"/>
  <c r="AQ1528" i="1"/>
  <c r="AP1528" i="1"/>
  <c r="AV1528" i="1" s="1"/>
  <c r="AQ1514" i="1"/>
  <c r="AP1514" i="1"/>
  <c r="AV1514" i="1" s="1"/>
  <c r="AP1535" i="1"/>
  <c r="AV1535" i="1" s="1"/>
  <c r="AP1517" i="1"/>
  <c r="AR1594" i="1"/>
  <c r="AU1594" i="1"/>
  <c r="AR1580" i="1"/>
  <c r="AU1580" i="1"/>
  <c r="AU1566" i="1"/>
  <c r="AR1566" i="1"/>
  <c r="AP1572" i="1"/>
  <c r="AS1617" i="1"/>
  <c r="AS1603" i="1"/>
  <c r="AS1628" i="1"/>
  <c r="AU1647" i="1"/>
  <c r="AS1691" i="1"/>
  <c r="AU1687" i="1"/>
  <c r="AR1500" i="1"/>
  <c r="AU1459" i="1"/>
  <c r="AU1461" i="1"/>
  <c r="AR1461" i="1"/>
  <c r="AU1659" i="1"/>
  <c r="AQ1524" i="1"/>
  <c r="AP1524" i="1"/>
  <c r="AU1483" i="1"/>
  <c r="AR1483" i="1"/>
  <c r="AS1448" i="1"/>
  <c r="AU1464" i="1"/>
  <c r="AR1464" i="1"/>
  <c r="AS1471" i="1"/>
  <c r="AU1542" i="1"/>
  <c r="AU1595" i="1"/>
  <c r="AR1595" i="1"/>
  <c r="AU1567" i="1"/>
  <c r="AU1627" i="1"/>
  <c r="AR1692" i="1"/>
  <c r="AR1634" i="1"/>
  <c r="AR1626" i="1"/>
  <c r="AR1557" i="1"/>
  <c r="AU1523" i="1"/>
  <c r="AR1443" i="1"/>
  <c r="AS1447" i="1"/>
  <c r="AR1463" i="1"/>
  <c r="AU1463" i="1"/>
  <c r="AU1488" i="1"/>
  <c r="AS1446" i="1"/>
  <c r="AU1462" i="1"/>
  <c r="AR1462" i="1"/>
  <c r="AR1448" i="1"/>
  <c r="AU1448" i="1"/>
  <c r="AS1468" i="1"/>
  <c r="AS1483" i="1"/>
  <c r="AU1501" i="1"/>
  <c r="AQ1519" i="1"/>
  <c r="AT1569" i="1"/>
  <c r="AU1593" i="1"/>
  <c r="AU1565" i="1"/>
  <c r="AR1565" i="1"/>
  <c r="AR1625" i="1"/>
  <c r="AT1660" i="1"/>
  <c r="AU1660" i="1"/>
  <c r="AR1660" i="1"/>
  <c r="AT1690" i="1"/>
  <c r="AU1672" i="1"/>
  <c r="AR1672" i="1"/>
  <c r="AR1610" i="1"/>
  <c r="AR1473" i="1"/>
  <c r="AU1624" i="1"/>
  <c r="AR1624" i="1"/>
  <c r="AS1645" i="1"/>
  <c r="AT1444" i="1"/>
  <c r="AR1460" i="1"/>
  <c r="AU1460" i="1"/>
  <c r="AR1623" i="1"/>
  <c r="AQ1552" i="1"/>
  <c r="AP1552" i="1"/>
  <c r="AU1683" i="1"/>
  <c r="AR1683" i="1"/>
  <c r="AU1658" i="1"/>
  <c r="AU1645" i="1"/>
  <c r="AU1622" i="1"/>
  <c r="AU1486" i="1"/>
  <c r="AU1458" i="1"/>
  <c r="AR1615" i="1"/>
  <c r="AT1592" i="1"/>
  <c r="AT1506" i="1"/>
  <c r="AU1510" i="1"/>
  <c r="AR1510" i="1"/>
  <c r="AU1496" i="1"/>
  <c r="AR1496" i="1"/>
  <c r="AP1494" i="1"/>
  <c r="AU1494" i="1" s="1"/>
  <c r="AS1611" i="1"/>
  <c r="AU1655" i="1"/>
  <c r="AU1667" i="1"/>
  <c r="AU1682" i="1"/>
  <c r="AU1614" i="1"/>
  <c r="AU1482" i="1"/>
  <c r="AU1450" i="1"/>
  <c r="AR1456" i="1"/>
  <c r="AS1491" i="1"/>
  <c r="AS1477" i="1"/>
  <c r="AU1495" i="1"/>
  <c r="AR1481" i="1"/>
  <c r="AU1481" i="1"/>
  <c r="AS1525" i="1"/>
  <c r="AS1539" i="1"/>
  <c r="AU1548" i="1"/>
  <c r="AR1520" i="1"/>
  <c r="AS1574" i="1"/>
  <c r="AS1595" i="1"/>
  <c r="AS1616" i="1"/>
  <c r="AU1600" i="1"/>
  <c r="AR1600" i="1"/>
  <c r="AU1606" i="1"/>
  <c r="AT1640" i="1"/>
  <c r="AU1654" i="1"/>
  <c r="AU1640" i="1"/>
  <c r="AR1640" i="1"/>
  <c r="AS1684" i="1"/>
  <c r="AR1680" i="1"/>
  <c r="AU1657" i="1"/>
  <c r="AU1642" i="1"/>
  <c r="AR1606" i="1"/>
  <c r="AU1581" i="1"/>
  <c r="AR1562" i="1"/>
  <c r="AR1542" i="1"/>
  <c r="AS1453" i="1"/>
  <c r="AS1490" i="1"/>
  <c r="AS1476" i="1"/>
  <c r="AU1508" i="1"/>
  <c r="AR1508" i="1"/>
  <c r="AR1480" i="1"/>
  <c r="AS1515" i="1"/>
  <c r="AS1522" i="1"/>
  <c r="AS1536" i="1"/>
  <c r="AS1543" i="1"/>
  <c r="AS1550" i="1"/>
  <c r="AU1533" i="1"/>
  <c r="AR1533" i="1"/>
  <c r="AU1519" i="1"/>
  <c r="AR1519" i="1"/>
  <c r="AP1545" i="1"/>
  <c r="AV1545" i="1" s="1"/>
  <c r="AS1581" i="1"/>
  <c r="AR1586" i="1"/>
  <c r="AR1558" i="1"/>
  <c r="AU1619" i="1"/>
  <c r="AR1632" i="1"/>
  <c r="AS1683" i="1"/>
  <c r="AU1693" i="1"/>
  <c r="AU1605" i="1"/>
  <c r="AU1571" i="1"/>
  <c r="AU1561" i="1"/>
  <c r="AU1516" i="1"/>
  <c r="AR1446" i="1"/>
  <c r="AU1446" i="1"/>
  <c r="AR1644" i="1"/>
  <c r="AU1644" i="1"/>
  <c r="AR1659" i="1"/>
  <c r="AT1593" i="1"/>
  <c r="AR1444" i="1"/>
  <c r="AU1444" i="1"/>
  <c r="AU1468" i="1"/>
  <c r="AR1468" i="1"/>
  <c r="AR1575" i="1"/>
  <c r="AU1575" i="1"/>
  <c r="AU1637" i="1"/>
  <c r="AU1497" i="1"/>
  <c r="AS1466" i="1"/>
  <c r="AT1578" i="1"/>
  <c r="AS1668" i="1"/>
  <c r="AR1635" i="1"/>
  <c r="AR1627" i="1"/>
  <c r="AS1502" i="1"/>
  <c r="AS1488" i="1"/>
  <c r="AS1474" i="1"/>
  <c r="AU1506" i="1"/>
  <c r="AU1492" i="1"/>
  <c r="AR1478" i="1"/>
  <c r="AU1478" i="1"/>
  <c r="AS1512" i="1"/>
  <c r="AS1519" i="1"/>
  <c r="AS1526" i="1"/>
  <c r="AS1554" i="1"/>
  <c r="AU1531" i="1"/>
  <c r="AR1531" i="1"/>
  <c r="AP1543" i="1"/>
  <c r="AV1543" i="1" s="1"/>
  <c r="AP1521" i="1"/>
  <c r="AV1521" i="1" s="1"/>
  <c r="AU1598" i="1"/>
  <c r="AR1584" i="1"/>
  <c r="AU1584" i="1"/>
  <c r="AR1570" i="1"/>
  <c r="AU1570" i="1"/>
  <c r="AS1607" i="1"/>
  <c r="AU1603" i="1"/>
  <c r="AR1603" i="1"/>
  <c r="AS1632" i="1"/>
  <c r="AR1691" i="1"/>
  <c r="AU1681" i="1"/>
  <c r="AU1662" i="1"/>
  <c r="AU1613" i="1"/>
  <c r="AR1598" i="1"/>
  <c r="AU1568" i="1"/>
  <c r="AU1558" i="1"/>
  <c r="AR1552" i="1"/>
  <c r="AU1504" i="1"/>
  <c r="AU1479" i="1"/>
  <c r="AU1449" i="1"/>
  <c r="AT1644" i="1"/>
  <c r="AU1636" i="1"/>
  <c r="AR1636" i="1"/>
  <c r="AU1643" i="1"/>
  <c r="AU1656" i="1"/>
  <c r="AR1656" i="1"/>
  <c r="AU1668" i="1"/>
  <c r="AR1668" i="1"/>
  <c r="AU1454" i="1"/>
  <c r="AR1454" i="1"/>
  <c r="AU1532" i="1"/>
  <c r="AR1532" i="1"/>
  <c r="AS1582" i="1"/>
  <c r="AU1597" i="1"/>
  <c r="AU1583" i="1"/>
  <c r="AU1569" i="1"/>
  <c r="AU1616" i="1"/>
  <c r="AR1616" i="1"/>
  <c r="AU1602" i="1"/>
  <c r="AU1629" i="1"/>
  <c r="AR1629" i="1"/>
  <c r="AU1664" i="1"/>
  <c r="AR1664" i="1"/>
  <c r="AS1680" i="1"/>
  <c r="AU1676" i="1"/>
  <c r="AU1669" i="1"/>
  <c r="AR1655" i="1"/>
  <c r="AU1641" i="1"/>
  <c r="AU1604" i="1"/>
  <c r="AR1492" i="1"/>
  <c r="AU1447" i="1"/>
  <c r="AR1447" i="1"/>
  <c r="AR1487" i="1"/>
  <c r="AT1443" i="1"/>
  <c r="AQ1538" i="1"/>
  <c r="AP1538" i="1"/>
  <c r="AS1456" i="1"/>
  <c r="AU1469" i="1"/>
  <c r="AR1469" i="1"/>
  <c r="AR1590" i="1"/>
  <c r="AP1590" i="1"/>
  <c r="AV1590" i="1" s="1"/>
  <c r="AR1507" i="1"/>
  <c r="AU1507" i="1"/>
  <c r="AU1493" i="1"/>
  <c r="AR1493" i="1"/>
  <c r="AU1546" i="1"/>
  <c r="AR1546" i="1"/>
  <c r="AR1518" i="1"/>
  <c r="AU1518" i="1"/>
  <c r="AR1585" i="1"/>
  <c r="AU1585" i="1"/>
  <c r="AS1633" i="1"/>
  <c r="AT1473" i="1"/>
  <c r="AR1477" i="1"/>
  <c r="AU1477" i="1"/>
  <c r="AU1544" i="1"/>
  <c r="AR1544" i="1"/>
  <c r="AR1530" i="1"/>
  <c r="AU1530" i="1"/>
  <c r="AS1561" i="1"/>
  <c r="AS1568" i="1"/>
  <c r="AS1575" i="1"/>
  <c r="AS1589" i="1"/>
  <c r="AS1463" i="1"/>
  <c r="AR1465" i="1"/>
  <c r="AR1451" i="1"/>
  <c r="AU1451" i="1"/>
  <c r="AU1490" i="1"/>
  <c r="AR1490" i="1"/>
  <c r="AR1476" i="1"/>
  <c r="AU1476" i="1"/>
  <c r="AS1530" i="1"/>
  <c r="AS1537" i="1"/>
  <c r="AS1544" i="1"/>
  <c r="AS1551" i="1"/>
  <c r="AR1543" i="1"/>
  <c r="AR1515" i="1"/>
  <c r="AR1596" i="1"/>
  <c r="AS1619" i="1"/>
  <c r="AU1615" i="1"/>
  <c r="AU1601" i="1"/>
  <c r="AS1679" i="1"/>
  <c r="AR1597" i="1"/>
  <c r="AU1491" i="1"/>
  <c r="AS1451" i="1"/>
  <c r="AU1453" i="1"/>
  <c r="AR1453" i="1"/>
  <c r="AS1481" i="1"/>
  <c r="AR1499" i="1"/>
  <c r="AR1485" i="1"/>
  <c r="AU1485" i="1"/>
  <c r="AR1471" i="1"/>
  <c r="AR1536" i="1"/>
  <c r="AU1628" i="1"/>
  <c r="AR1687" i="1"/>
  <c r="AR1628" i="1"/>
  <c r="AR1607" i="1"/>
  <c r="AU1559" i="1"/>
  <c r="AR1525" i="1"/>
  <c r="AR1501" i="1"/>
  <c r="AS1464" i="1"/>
  <c r="AR1466" i="1"/>
  <c r="AU1466" i="1"/>
  <c r="AS1494" i="1"/>
  <c r="AS1480" i="1"/>
  <c r="AR1498" i="1"/>
  <c r="AU1484" i="1"/>
  <c r="AR1470" i="1"/>
  <c r="AU1470" i="1"/>
  <c r="AS1518" i="1"/>
  <c r="AS1532" i="1"/>
  <c r="AR1549" i="1"/>
  <c r="AU1549" i="1"/>
  <c r="AS1560" i="1"/>
  <c r="AS1567" i="1"/>
  <c r="AR1652" i="1"/>
  <c r="AU1564" i="1"/>
  <c r="AU1475" i="1"/>
  <c r="AU1452" i="1"/>
  <c r="AS1455" i="1"/>
  <c r="AS1485" i="1"/>
  <c r="AR1489" i="1"/>
  <c r="AU1489" i="1"/>
  <c r="AU1592" i="1"/>
  <c r="AU1578" i="1"/>
  <c r="AR1612" i="1"/>
  <c r="AU1632" i="1"/>
  <c r="AU1639" i="1"/>
  <c r="AU1612" i="1"/>
  <c r="AU1443" i="1"/>
  <c r="AS1545" i="1"/>
  <c r="AY1545" i="1" s="1"/>
  <c r="AP1512" i="1"/>
  <c r="AU1512" i="1" s="1"/>
  <c r="AP1541" i="1"/>
  <c r="AV1541" i="1" s="1"/>
  <c r="AP1527" i="1"/>
  <c r="AU1527" i="1" s="1"/>
  <c r="AP1513" i="1"/>
  <c r="AV1513" i="1" s="1"/>
  <c r="AS1559" i="1"/>
  <c r="AR1563" i="1"/>
  <c r="AU1563" i="1"/>
  <c r="AR1550" i="1"/>
  <c r="AU1502" i="1"/>
  <c r="AR1484" i="1"/>
  <c r="AR1457" i="1"/>
  <c r="AU1457" i="1"/>
  <c r="AS1454" i="1"/>
  <c r="AS1498" i="1"/>
  <c r="AS1484" i="1"/>
  <c r="AS1470" i="1"/>
  <c r="AS1524" i="1"/>
  <c r="AS1442" i="1"/>
  <c r="AR1455" i="1"/>
  <c r="AU1455" i="1"/>
  <c r="AS1469" i="1"/>
  <c r="AU1473" i="1"/>
  <c r="AR1524" i="1"/>
  <c r="AU1524" i="1"/>
  <c r="AU1562" i="1"/>
  <c r="AR1538" i="1"/>
  <c r="AP1633" i="1"/>
  <c r="AU1633" i="1" s="1"/>
  <c r="AQ1632" i="1"/>
  <c r="AP1630" i="1"/>
  <c r="AV1630" i="1" s="1"/>
  <c r="AQ1635" i="1"/>
  <c r="AQ1634" i="1"/>
  <c r="AQ1628" i="1"/>
  <c r="AQ1627" i="1"/>
  <c r="AQ1626" i="1"/>
  <c r="AQ1625" i="1"/>
  <c r="AP1621" i="1"/>
  <c r="AQ1631" i="1"/>
  <c r="AQ1624" i="1"/>
  <c r="AQ1637" i="1"/>
  <c r="AQ1623" i="1"/>
  <c r="AQ1636" i="1"/>
  <c r="AQ1629" i="1"/>
  <c r="AQ1622" i="1"/>
  <c r="AU1579" i="1" l="1"/>
  <c r="AT1586" i="1"/>
  <c r="AW1586" i="1" s="1"/>
  <c r="AX1586" i="1" s="1"/>
  <c r="AT1513" i="1"/>
  <c r="AY1552" i="1"/>
  <c r="AT1501" i="1"/>
  <c r="AZ1501" i="1" s="1"/>
  <c r="BA1501" i="1" s="1"/>
  <c r="AY1571" i="1"/>
  <c r="AZ1571" i="1" s="1"/>
  <c r="BA1571" i="1" s="1"/>
  <c r="AT1598" i="1"/>
  <c r="AY1520" i="1"/>
  <c r="AZ1520" i="1" s="1"/>
  <c r="BA1520" i="1" s="1"/>
  <c r="AY1588" i="1"/>
  <c r="AY1494" i="1"/>
  <c r="AT1585" i="1"/>
  <c r="AT1576" i="1"/>
  <c r="AW1576" i="1" s="1"/>
  <c r="AX1576" i="1" s="1"/>
  <c r="AY1513" i="1"/>
  <c r="AY1579" i="1"/>
  <c r="AZ1579" i="1" s="1"/>
  <c r="BA1579" i="1" s="1"/>
  <c r="AT1676" i="1"/>
  <c r="AZ1557" i="1"/>
  <c r="BA1557" i="1" s="1"/>
  <c r="AT1678" i="1"/>
  <c r="AY1521" i="1"/>
  <c r="AW1623" i="1"/>
  <c r="AX1623" i="1" s="1"/>
  <c r="AT1478" i="1"/>
  <c r="AY1538" i="1"/>
  <c r="AW1663" i="1"/>
  <c r="AX1663" i="1" s="1"/>
  <c r="AY1563" i="1"/>
  <c r="AY1514" i="1"/>
  <c r="AT1583" i="1"/>
  <c r="AT1533" i="1"/>
  <c r="AZ1533" i="1" s="1"/>
  <c r="BA1533" i="1" s="1"/>
  <c r="AX1650" i="1"/>
  <c r="AW1520" i="1"/>
  <c r="AZ1512" i="1"/>
  <c r="BA1512" i="1" s="1"/>
  <c r="AW1512" i="1"/>
  <c r="AV1494" i="1"/>
  <c r="AZ1553" i="1"/>
  <c r="BA1553" i="1" s="1"/>
  <c r="AT1591" i="1"/>
  <c r="AY1591" i="1"/>
  <c r="AT1601" i="1"/>
  <c r="AY1601" i="1"/>
  <c r="AT1626" i="1"/>
  <c r="AY1626" i="1"/>
  <c r="AT1564" i="1"/>
  <c r="AW1564" i="1" s="1"/>
  <c r="AX1564" i="1" s="1"/>
  <c r="AY1564" i="1"/>
  <c r="AT1609" i="1"/>
  <c r="AY1609" i="1"/>
  <c r="AW1610" i="1"/>
  <c r="AX1610" i="1" s="1"/>
  <c r="AZ1610" i="1"/>
  <c r="BA1610" i="1" s="1"/>
  <c r="AU1539" i="1"/>
  <c r="AT1498" i="1"/>
  <c r="AW1498" i="1" s="1"/>
  <c r="AX1498" i="1" s="1"/>
  <c r="AY1498" i="1"/>
  <c r="AW1481" i="1"/>
  <c r="AX1481" i="1" s="1"/>
  <c r="AW1687" i="1"/>
  <c r="AX1687" i="1" s="1"/>
  <c r="AT1627" i="1"/>
  <c r="AY1627" i="1"/>
  <c r="AT1454" i="1"/>
  <c r="AY1454" i="1"/>
  <c r="AW1681" i="1"/>
  <c r="AX1681" i="1" s="1"/>
  <c r="AZ1681" i="1"/>
  <c r="BA1681" i="1" s="1"/>
  <c r="AZ1644" i="1"/>
  <c r="BA1644" i="1" s="1"/>
  <c r="AW1644" i="1"/>
  <c r="AX1644" i="1" s="1"/>
  <c r="AW1654" i="1"/>
  <c r="AX1654" i="1" s="1"/>
  <c r="AZ1654" i="1"/>
  <c r="BA1654" i="1" s="1"/>
  <c r="AT1514" i="1"/>
  <c r="AT1624" i="1"/>
  <c r="AW1624" i="1" s="1"/>
  <c r="AX1624" i="1" s="1"/>
  <c r="AY1624" i="1"/>
  <c r="AT1602" i="1"/>
  <c r="AY1602" i="1"/>
  <c r="AT1604" i="1"/>
  <c r="AZ1604" i="1" s="1"/>
  <c r="BA1604" i="1" s="1"/>
  <c r="AY1604" i="1"/>
  <c r="AZ1547" i="1"/>
  <c r="BA1547" i="1" s="1"/>
  <c r="AW1547" i="1"/>
  <c r="AX1547" i="1" s="1"/>
  <c r="AT1445" i="1"/>
  <c r="AY1445" i="1"/>
  <c r="AZ1457" i="1"/>
  <c r="BA1457" i="1" s="1"/>
  <c r="AW1457" i="1"/>
  <c r="AX1457" i="1" s="1"/>
  <c r="AZ1612" i="1"/>
  <c r="BA1612" i="1" s="1"/>
  <c r="AT1464" i="1"/>
  <c r="AW1464" i="1" s="1"/>
  <c r="AX1464" i="1" s="1"/>
  <c r="AY1464" i="1"/>
  <c r="AT1633" i="1"/>
  <c r="AY1633" i="1"/>
  <c r="AT1554" i="1"/>
  <c r="AW1554" i="1" s="1"/>
  <c r="AX1554" i="1" s="1"/>
  <c r="AY1554" i="1"/>
  <c r="AU1545" i="1"/>
  <c r="AT1476" i="1"/>
  <c r="AY1476" i="1"/>
  <c r="AW1495" i="1"/>
  <c r="AX1495" i="1" s="1"/>
  <c r="AW1445" i="1"/>
  <c r="AX1445" i="1" s="1"/>
  <c r="AW1680" i="1"/>
  <c r="AX1680" i="1" s="1"/>
  <c r="AT1634" i="1"/>
  <c r="AY1634" i="1"/>
  <c r="AT1635" i="1"/>
  <c r="AY1635" i="1"/>
  <c r="AW1524" i="1"/>
  <c r="AX1524" i="1" s="1"/>
  <c r="AT1560" i="1"/>
  <c r="AY1560" i="1"/>
  <c r="AT1481" i="1"/>
  <c r="AY1481" i="1"/>
  <c r="AT1463" i="1"/>
  <c r="AY1463" i="1"/>
  <c r="AZ1585" i="1"/>
  <c r="BA1585" i="1" s="1"/>
  <c r="AW1585" i="1"/>
  <c r="AX1585" i="1" s="1"/>
  <c r="AZ1569" i="1"/>
  <c r="BA1569" i="1" s="1"/>
  <c r="AW1569" i="1"/>
  <c r="AX1569" i="1" s="1"/>
  <c r="AT1632" i="1"/>
  <c r="AY1632" i="1"/>
  <c r="AT1526" i="1"/>
  <c r="AY1526" i="1"/>
  <c r="AZ1606" i="1"/>
  <c r="BA1606" i="1" s="1"/>
  <c r="AW1606" i="1"/>
  <c r="AX1606" i="1" s="1"/>
  <c r="AT1552" i="1"/>
  <c r="AW1501" i="1"/>
  <c r="AX1501" i="1" s="1"/>
  <c r="AT1448" i="1"/>
  <c r="AY1448" i="1"/>
  <c r="AT1628" i="1"/>
  <c r="AW1628" i="1" s="1"/>
  <c r="AX1628" i="1" s="1"/>
  <c r="AY1628" i="1"/>
  <c r="AT1531" i="1"/>
  <c r="AW1531" i="1" s="1"/>
  <c r="AX1531" i="1" s="1"/>
  <c r="AY1531" i="1"/>
  <c r="AT1540" i="1"/>
  <c r="AY1540" i="1"/>
  <c r="AV1552" i="1"/>
  <c r="AT1459" i="1"/>
  <c r="AY1459" i="1"/>
  <c r="AZ1632" i="1"/>
  <c r="BA1632" i="1" s="1"/>
  <c r="AW1632" i="1"/>
  <c r="AX1632" i="1" s="1"/>
  <c r="AT1589" i="1"/>
  <c r="AZ1589" i="1" s="1"/>
  <c r="BA1589" i="1" s="1"/>
  <c r="AY1589" i="1"/>
  <c r="AT1456" i="1"/>
  <c r="AY1456" i="1"/>
  <c r="AZ1641" i="1"/>
  <c r="BA1641" i="1" s="1"/>
  <c r="AW1641" i="1"/>
  <c r="AX1641" i="1" s="1"/>
  <c r="AT1453" i="1"/>
  <c r="AY1453" i="1"/>
  <c r="AT1603" i="1"/>
  <c r="AY1603" i="1"/>
  <c r="AT1558" i="1"/>
  <c r="AZ1558" i="1" s="1"/>
  <c r="BA1558" i="1" s="1"/>
  <c r="AZ1526" i="1"/>
  <c r="BA1526" i="1" s="1"/>
  <c r="AW1526" i="1"/>
  <c r="AX1526" i="1" s="1"/>
  <c r="AW1609" i="1"/>
  <c r="AX1609" i="1" s="1"/>
  <c r="AT1622" i="1"/>
  <c r="AZ1622" i="1" s="1"/>
  <c r="BA1622" i="1" s="1"/>
  <c r="AY1622" i="1"/>
  <c r="AT1553" i="1"/>
  <c r="AY1553" i="1"/>
  <c r="AT1614" i="1"/>
  <c r="AW1614" i="1" s="1"/>
  <c r="AX1614" i="1" s="1"/>
  <c r="AY1614" i="1"/>
  <c r="AT1549" i="1"/>
  <c r="AY1549" i="1"/>
  <c r="AU1621" i="1"/>
  <c r="AW1453" i="1"/>
  <c r="AX1453" i="1" s="1"/>
  <c r="AT1575" i="1"/>
  <c r="AY1575" i="1"/>
  <c r="AZ1597" i="1"/>
  <c r="BA1597" i="1" s="1"/>
  <c r="AW1597" i="1"/>
  <c r="AX1597" i="1" s="1"/>
  <c r="AZ1603" i="1"/>
  <c r="BA1603" i="1" s="1"/>
  <c r="AW1603" i="1"/>
  <c r="AX1603" i="1" s="1"/>
  <c r="AT1512" i="1"/>
  <c r="AY1512" i="1"/>
  <c r="AT1468" i="1"/>
  <c r="AZ1468" i="1" s="1"/>
  <c r="BA1468" i="1" s="1"/>
  <c r="AY1468" i="1"/>
  <c r="AT1617" i="1"/>
  <c r="AY1617" i="1"/>
  <c r="AT1636" i="1"/>
  <c r="AW1636" i="1" s="1"/>
  <c r="AX1636" i="1" s="1"/>
  <c r="AY1636" i="1"/>
  <c r="AT1637" i="1"/>
  <c r="AY1637" i="1"/>
  <c r="AV1675" i="1"/>
  <c r="AT1596" i="1"/>
  <c r="AW1596" i="1" s="1"/>
  <c r="AX1596" i="1" s="1"/>
  <c r="AY1596" i="1"/>
  <c r="AV1520" i="1"/>
  <c r="AZ1578" i="1"/>
  <c r="BA1578" i="1" s="1"/>
  <c r="AW1578" i="1"/>
  <c r="AX1578" i="1" s="1"/>
  <c r="AT1451" i="1"/>
  <c r="AY1451" i="1"/>
  <c r="AT1568" i="1"/>
  <c r="AY1568" i="1"/>
  <c r="AW1518" i="1"/>
  <c r="AX1518" i="1" s="1"/>
  <c r="AT1607" i="1"/>
  <c r="AY1607" i="1"/>
  <c r="AT1616" i="1"/>
  <c r="AZ1616" i="1" s="1"/>
  <c r="BA1616" i="1" s="1"/>
  <c r="AY1616" i="1"/>
  <c r="AZ1650" i="1"/>
  <c r="BA1650" i="1" s="1"/>
  <c r="AW1650" i="1"/>
  <c r="AT1556" i="1"/>
  <c r="AY1556" i="1"/>
  <c r="AZ1487" i="1"/>
  <c r="BA1487" i="1" s="1"/>
  <c r="AW1487" i="1"/>
  <c r="AX1487" i="1" s="1"/>
  <c r="AY1529" i="1"/>
  <c r="AT1608" i="1"/>
  <c r="AZ1608" i="1" s="1"/>
  <c r="BA1608" i="1" s="1"/>
  <c r="AY1608" i="1"/>
  <c r="AY1542" i="1"/>
  <c r="AT1546" i="1"/>
  <c r="AZ1546" i="1" s="1"/>
  <c r="BA1546" i="1" s="1"/>
  <c r="AY1546" i="1"/>
  <c r="AT1469" i="1"/>
  <c r="AY1469" i="1"/>
  <c r="AZ1592" i="1"/>
  <c r="BA1592" i="1" s="1"/>
  <c r="AW1592" i="1"/>
  <c r="AX1592" i="1" s="1"/>
  <c r="AT1544" i="1"/>
  <c r="AW1544" i="1" s="1"/>
  <c r="AX1544" i="1" s="1"/>
  <c r="AY1544" i="1"/>
  <c r="AZ1676" i="1"/>
  <c r="BA1676" i="1" s="1"/>
  <c r="AW1676" i="1"/>
  <c r="AX1676" i="1" s="1"/>
  <c r="AZ1570" i="1"/>
  <c r="BA1570" i="1" s="1"/>
  <c r="AW1570" i="1"/>
  <c r="AX1570" i="1" s="1"/>
  <c r="AW1571" i="1"/>
  <c r="AX1571" i="1" s="1"/>
  <c r="AT1550" i="1"/>
  <c r="AY1550" i="1"/>
  <c r="AT1595" i="1"/>
  <c r="AY1595" i="1"/>
  <c r="AZ1595" i="1" s="1"/>
  <c r="BA1595" i="1" s="1"/>
  <c r="AT1462" i="1"/>
  <c r="AZ1462" i="1" s="1"/>
  <c r="BA1462" i="1" s="1"/>
  <c r="AY1462" i="1"/>
  <c r="AZ1540" i="1"/>
  <c r="BA1540" i="1" s="1"/>
  <c r="AW1540" i="1"/>
  <c r="AX1540" i="1" s="1"/>
  <c r="AT1605" i="1"/>
  <c r="AY1605" i="1"/>
  <c r="AT1562" i="1"/>
  <c r="AW1557" i="1"/>
  <c r="AX1557" i="1" s="1"/>
  <c r="AY1590" i="1"/>
  <c r="AT1674" i="1"/>
  <c r="AY1674" i="1"/>
  <c r="AZ1674" i="1" s="1"/>
  <c r="BA1674" i="1" s="1"/>
  <c r="AT1649" i="1"/>
  <c r="AY1649" i="1"/>
  <c r="AT1693" i="1"/>
  <c r="AY1693" i="1"/>
  <c r="AZ1677" i="1"/>
  <c r="BA1677" i="1" s="1"/>
  <c r="AW1677" i="1"/>
  <c r="AX1677" i="1" s="1"/>
  <c r="AT1692" i="1"/>
  <c r="AY1692" i="1"/>
  <c r="AW1653" i="1"/>
  <c r="AX1653" i="1" s="1"/>
  <c r="AU1522" i="1"/>
  <c r="AV1512" i="1"/>
  <c r="AT1493" i="1"/>
  <c r="AZ1493" i="1" s="1"/>
  <c r="BA1493" i="1" s="1"/>
  <c r="AY1493" i="1"/>
  <c r="AZ1489" i="1"/>
  <c r="BA1489" i="1" s="1"/>
  <c r="AW1489" i="1"/>
  <c r="AX1489" i="1" s="1"/>
  <c r="AW1470" i="1"/>
  <c r="AX1470" i="1" s="1"/>
  <c r="AT1537" i="1"/>
  <c r="AW1537" i="1" s="1"/>
  <c r="AY1537" i="1"/>
  <c r="AT1508" i="1"/>
  <c r="AT1680" i="1"/>
  <c r="AY1680" i="1"/>
  <c r="AZ1680" i="1" s="1"/>
  <c r="BA1680" i="1" s="1"/>
  <c r="AZ1527" i="1"/>
  <c r="BA1527" i="1" s="1"/>
  <c r="AW1527" i="1"/>
  <c r="AZ1492" i="1"/>
  <c r="BA1492" i="1" s="1"/>
  <c r="AW1492" i="1"/>
  <c r="AX1492" i="1" s="1"/>
  <c r="AT1584" i="1"/>
  <c r="AZ1584" i="1" s="1"/>
  <c r="BA1584" i="1" s="1"/>
  <c r="AT1543" i="1"/>
  <c r="AY1543" i="1"/>
  <c r="AT1574" i="1"/>
  <c r="AY1574" i="1"/>
  <c r="AT1570" i="1"/>
  <c r="AW1567" i="1"/>
  <c r="AX1567" i="1" s="1"/>
  <c r="AZ1567" i="1"/>
  <c r="BA1567" i="1" s="1"/>
  <c r="AZ1659" i="1"/>
  <c r="BA1659" i="1" s="1"/>
  <c r="AW1659" i="1"/>
  <c r="AX1659" i="1" s="1"/>
  <c r="AZ1566" i="1"/>
  <c r="BA1566" i="1" s="1"/>
  <c r="AT1452" i="1"/>
  <c r="AY1452" i="1"/>
  <c r="AT1482" i="1"/>
  <c r="AZ1482" i="1" s="1"/>
  <c r="BA1482" i="1" s="1"/>
  <c r="AZ1588" i="1"/>
  <c r="BA1588" i="1" s="1"/>
  <c r="AW1588" i="1"/>
  <c r="AX1588" i="1" s="1"/>
  <c r="AT1670" i="1"/>
  <c r="AY1670" i="1"/>
  <c r="AT1671" i="1"/>
  <c r="AY1671" i="1"/>
  <c r="AT1646" i="1"/>
  <c r="AY1646" i="1"/>
  <c r="AZ1556" i="1"/>
  <c r="BA1556" i="1" s="1"/>
  <c r="AW1556" i="1"/>
  <c r="AX1556" i="1" s="1"/>
  <c r="AT1597" i="1"/>
  <c r="AY1535" i="1"/>
  <c r="AT1559" i="1"/>
  <c r="AW1559" i="1" s="1"/>
  <c r="AX1559" i="1" s="1"/>
  <c r="AY1559" i="1"/>
  <c r="AT1647" i="1"/>
  <c r="AZ1647" i="1" s="1"/>
  <c r="BA1647" i="1" s="1"/>
  <c r="AT1530" i="1"/>
  <c r="AY1530" i="1"/>
  <c r="AZ1506" i="1"/>
  <c r="BA1506" i="1" s="1"/>
  <c r="AW1506" i="1"/>
  <c r="AX1506" i="1" s="1"/>
  <c r="AT1536" i="1"/>
  <c r="AY1536" i="1"/>
  <c r="AZ1642" i="1"/>
  <c r="BA1642" i="1" s="1"/>
  <c r="AW1642" i="1"/>
  <c r="AX1642" i="1" s="1"/>
  <c r="AT1645" i="1"/>
  <c r="AZ1645" i="1" s="1"/>
  <c r="BA1645" i="1" s="1"/>
  <c r="AY1645" i="1"/>
  <c r="AT1510" i="1"/>
  <c r="AZ1510" i="1" s="1"/>
  <c r="BA1510" i="1" s="1"/>
  <c r="AT1682" i="1"/>
  <c r="AY1682" i="1"/>
  <c r="AT1685" i="1"/>
  <c r="AY1685" i="1"/>
  <c r="AT1613" i="1"/>
  <c r="AW1613" i="1" s="1"/>
  <c r="AX1613" i="1" s="1"/>
  <c r="AY1613" i="1"/>
  <c r="AZ1613" i="1" s="1"/>
  <c r="BA1613" i="1" s="1"/>
  <c r="AT1686" i="1"/>
  <c r="AY1686" i="1"/>
  <c r="AZ1472" i="1"/>
  <c r="BA1472" i="1" s="1"/>
  <c r="AW1472" i="1"/>
  <c r="AX1472" i="1" s="1"/>
  <c r="AT1631" i="1"/>
  <c r="AW1631" i="1" s="1"/>
  <c r="AX1631" i="1" s="1"/>
  <c r="AY1631" i="1"/>
  <c r="AT1688" i="1"/>
  <c r="AY1688" i="1"/>
  <c r="AY1528" i="1"/>
  <c r="AY1653" i="1"/>
  <c r="AT1653" i="1"/>
  <c r="AZ1653" i="1" s="1"/>
  <c r="BA1653" i="1" s="1"/>
  <c r="AT1580" i="1"/>
  <c r="AW1580" i="1" s="1"/>
  <c r="AX1580" i="1" s="1"/>
  <c r="AY1580" i="1"/>
  <c r="AV1539" i="1"/>
  <c r="AT1507" i="1"/>
  <c r="AZ1507" i="1" s="1"/>
  <c r="BA1507" i="1" s="1"/>
  <c r="AY1507" i="1"/>
  <c r="AT1484" i="1"/>
  <c r="AW1484" i="1" s="1"/>
  <c r="AX1484" i="1" s="1"/>
  <c r="AY1484" i="1"/>
  <c r="AW1475" i="1"/>
  <c r="AX1475" i="1" s="1"/>
  <c r="AZ1475" i="1"/>
  <c r="BA1475" i="1" s="1"/>
  <c r="AT1525" i="1"/>
  <c r="AY1525" i="1"/>
  <c r="AZ1658" i="1"/>
  <c r="BA1658" i="1" s="1"/>
  <c r="AW1658" i="1"/>
  <c r="AX1658" i="1" s="1"/>
  <c r="AT1517" i="1"/>
  <c r="AT1625" i="1"/>
  <c r="AY1625" i="1"/>
  <c r="AT1503" i="1"/>
  <c r="AW1503" i="1" s="1"/>
  <c r="AX1503" i="1" s="1"/>
  <c r="AY1503" i="1"/>
  <c r="AZ1503" i="1" s="1"/>
  <c r="BA1503" i="1" s="1"/>
  <c r="AZ1666" i="1"/>
  <c r="BA1666" i="1" s="1"/>
  <c r="AW1666" i="1"/>
  <c r="AX1666" i="1" s="1"/>
  <c r="AT1619" i="1"/>
  <c r="AY1619" i="1"/>
  <c r="AZ1656" i="1"/>
  <c r="BA1656" i="1" s="1"/>
  <c r="AW1656" i="1"/>
  <c r="AX1656" i="1" s="1"/>
  <c r="AZ1640" i="1"/>
  <c r="BA1640" i="1" s="1"/>
  <c r="AW1640" i="1"/>
  <c r="AX1640" i="1" s="1"/>
  <c r="AT1447" i="1"/>
  <c r="AW1447" i="1" s="1"/>
  <c r="AX1447" i="1" s="1"/>
  <c r="AY1447" i="1"/>
  <c r="AT1471" i="1"/>
  <c r="AY1471" i="1"/>
  <c r="AT1587" i="1"/>
  <c r="AY1587" i="1"/>
  <c r="AW1674" i="1"/>
  <c r="AX1674" i="1" s="1"/>
  <c r="AZ1443" i="1"/>
  <c r="BA1443" i="1" s="1"/>
  <c r="AW1443" i="1"/>
  <c r="AX1443" i="1" s="1"/>
  <c r="AZ1643" i="1"/>
  <c r="BA1643" i="1" s="1"/>
  <c r="AW1643" i="1"/>
  <c r="AX1643" i="1" s="1"/>
  <c r="AT1668" i="1"/>
  <c r="AW1668" i="1" s="1"/>
  <c r="AX1668" i="1" s="1"/>
  <c r="AY1668" i="1"/>
  <c r="AW1508" i="1"/>
  <c r="AX1508" i="1" s="1"/>
  <c r="AZ1508" i="1"/>
  <c r="BA1508" i="1" s="1"/>
  <c r="AT1461" i="1"/>
  <c r="AY1461" i="1"/>
  <c r="AT1639" i="1"/>
  <c r="AY1639" i="1"/>
  <c r="AW1594" i="1"/>
  <c r="AX1594" i="1" s="1"/>
  <c r="AZ1594" i="1"/>
  <c r="BA1594" i="1" s="1"/>
  <c r="AT1523" i="1"/>
  <c r="AY1523" i="1"/>
  <c r="AT1648" i="1"/>
  <c r="AW1648" i="1" s="1"/>
  <c r="AX1648" i="1" s="1"/>
  <c r="AY1648" i="1"/>
  <c r="AV1579" i="1"/>
  <c r="AW1579" i="1" s="1"/>
  <c r="AY1651" i="1"/>
  <c r="AT1651" i="1"/>
  <c r="AT1573" i="1"/>
  <c r="AZ1573" i="1" s="1"/>
  <c r="BA1573" i="1" s="1"/>
  <c r="AY1573" i="1"/>
  <c r="AY1665" i="1"/>
  <c r="AT1665" i="1"/>
  <c r="AW1665" i="1" s="1"/>
  <c r="AX1665" i="1" s="1"/>
  <c r="AT1497" i="1"/>
  <c r="AY1497" i="1"/>
  <c r="AT1450" i="1"/>
  <c r="AW1450" i="1" s="1"/>
  <c r="AX1450" i="1" s="1"/>
  <c r="AY1450" i="1"/>
  <c r="AZ1450" i="1" s="1"/>
  <c r="BA1450" i="1" s="1"/>
  <c r="AT1505" i="1"/>
  <c r="AW1505" i="1" s="1"/>
  <c r="AX1505" i="1" s="1"/>
  <c r="AY1505" i="1"/>
  <c r="AZ1662" i="1"/>
  <c r="BA1662" i="1" s="1"/>
  <c r="AW1662" i="1"/>
  <c r="AX1662" i="1" s="1"/>
  <c r="AT1535" i="1"/>
  <c r="AX1520" i="1"/>
  <c r="AV1537" i="1"/>
  <c r="AT1581" i="1"/>
  <c r="AW1581" i="1" s="1"/>
  <c r="AX1581" i="1" s="1"/>
  <c r="AY1581" i="1"/>
  <c r="AT1691" i="1"/>
  <c r="AY1691" i="1"/>
  <c r="AW1465" i="1"/>
  <c r="AX1465" i="1" s="1"/>
  <c r="AZ1465" i="1"/>
  <c r="BA1465" i="1" s="1"/>
  <c r="AV1529" i="1"/>
  <c r="AZ1648" i="1"/>
  <c r="BA1648" i="1" s="1"/>
  <c r="AZ1618" i="1"/>
  <c r="BA1618" i="1" s="1"/>
  <c r="AW1618" i="1"/>
  <c r="AX1618" i="1" s="1"/>
  <c r="AW1582" i="1"/>
  <c r="AX1582" i="1" s="1"/>
  <c r="AT1652" i="1"/>
  <c r="AY1652" i="1"/>
  <c r="AT1567" i="1"/>
  <c r="AY1567" i="1"/>
  <c r="AU1590" i="1"/>
  <c r="AT1629" i="1"/>
  <c r="AY1629" i="1"/>
  <c r="AT1449" i="1"/>
  <c r="AW1449" i="1" s="1"/>
  <c r="AX1449" i="1" s="1"/>
  <c r="AY1449" i="1"/>
  <c r="AT1577" i="1"/>
  <c r="AY1577" i="1"/>
  <c r="AT1496" i="1"/>
  <c r="AY1496" i="1"/>
  <c r="AZ1586" i="1"/>
  <c r="BA1586" i="1" s="1"/>
  <c r="AU1529" i="1"/>
  <c r="AT1466" i="1"/>
  <c r="AW1466" i="1" s="1"/>
  <c r="AX1466" i="1" s="1"/>
  <c r="AY1466" i="1"/>
  <c r="AT1490" i="1"/>
  <c r="AW1490" i="1" s="1"/>
  <c r="AX1490" i="1" s="1"/>
  <c r="AY1490" i="1"/>
  <c r="AT1477" i="1"/>
  <c r="AY1477" i="1"/>
  <c r="AU1528" i="1"/>
  <c r="AV1551" i="1"/>
  <c r="AW1551" i="1" s="1"/>
  <c r="AT1509" i="1"/>
  <c r="AY1509" i="1"/>
  <c r="AT1519" i="1"/>
  <c r="AW1519" i="1" s="1"/>
  <c r="AX1519" i="1" s="1"/>
  <c r="AY1519" i="1"/>
  <c r="AT1491" i="1"/>
  <c r="AY1491" i="1"/>
  <c r="AT1483" i="1"/>
  <c r="AW1483" i="1" s="1"/>
  <c r="AX1483" i="1" s="1"/>
  <c r="AY1483" i="1"/>
  <c r="AT1612" i="1"/>
  <c r="AW1612" i="1" s="1"/>
  <c r="AX1612" i="1" s="1"/>
  <c r="AY1612" i="1"/>
  <c r="AT1495" i="1"/>
  <c r="AY1495" i="1"/>
  <c r="AW1635" i="1"/>
  <c r="AX1635" i="1" s="1"/>
  <c r="AV1523" i="1"/>
  <c r="AY1666" i="1"/>
  <c r="AT1666" i="1"/>
  <c r="AV1633" i="1"/>
  <c r="AZ1678" i="1"/>
  <c r="BA1678" i="1" s="1"/>
  <c r="AW1678" i="1"/>
  <c r="AX1678" i="1" s="1"/>
  <c r="AU1552" i="1"/>
  <c r="AU1543" i="1"/>
  <c r="AT1621" i="1"/>
  <c r="AW1637" i="1"/>
  <c r="AX1637" i="1" s="1"/>
  <c r="AZ1483" i="1"/>
  <c r="BA1483" i="1" s="1"/>
  <c r="AT1542" i="1"/>
  <c r="AZ1689" i="1"/>
  <c r="BA1689" i="1" s="1"/>
  <c r="AW1689" i="1"/>
  <c r="AX1689" i="1" s="1"/>
  <c r="AV1517" i="1"/>
  <c r="AT1566" i="1"/>
  <c r="AW1566" i="1" s="1"/>
  <c r="AX1566" i="1" s="1"/>
  <c r="AY1566" i="1"/>
  <c r="AY1600" i="1"/>
  <c r="AT1600" i="1"/>
  <c r="AZ1600" i="1" s="1"/>
  <c r="BA1600" i="1" s="1"/>
  <c r="AV1542" i="1"/>
  <c r="AT1479" i="1"/>
  <c r="AZ1479" i="1" s="1"/>
  <c r="BA1479" i="1" s="1"/>
  <c r="AY1479" i="1"/>
  <c r="AZ1473" i="1"/>
  <c r="BA1473" i="1" s="1"/>
  <c r="AW1473" i="1"/>
  <c r="AX1473" i="1" s="1"/>
  <c r="AT1532" i="1"/>
  <c r="AZ1532" i="1" s="1"/>
  <c r="BA1532" i="1" s="1"/>
  <c r="AY1532" i="1"/>
  <c r="AT1551" i="1"/>
  <c r="AY1551" i="1"/>
  <c r="AZ1551" i="1" s="1"/>
  <c r="BA1551" i="1" s="1"/>
  <c r="AU1538" i="1"/>
  <c r="AT1582" i="1"/>
  <c r="AY1582" i="1"/>
  <c r="AZ1561" i="1"/>
  <c r="BA1561" i="1" s="1"/>
  <c r="AZ1660" i="1"/>
  <c r="BA1660" i="1" s="1"/>
  <c r="AW1660" i="1"/>
  <c r="AX1660" i="1" s="1"/>
  <c r="AU1572" i="1"/>
  <c r="AZ1690" i="1"/>
  <c r="BA1690" i="1" s="1"/>
  <c r="AW1690" i="1"/>
  <c r="AX1690" i="1" s="1"/>
  <c r="AZ1563" i="1"/>
  <c r="BA1563" i="1" s="1"/>
  <c r="AW1563" i="1"/>
  <c r="AX1563" i="1" s="1"/>
  <c r="AT1518" i="1"/>
  <c r="AZ1518" i="1" s="1"/>
  <c r="BA1518" i="1" s="1"/>
  <c r="AY1518" i="1"/>
  <c r="AT1561" i="1"/>
  <c r="AW1561" i="1" s="1"/>
  <c r="AX1561" i="1" s="1"/>
  <c r="AY1561" i="1"/>
  <c r="AT1442" i="1"/>
  <c r="AW1442" i="1" s="1"/>
  <c r="AX1442" i="1" s="1"/>
  <c r="AY1442" i="1"/>
  <c r="AU1513" i="1"/>
  <c r="AT1485" i="1"/>
  <c r="AY1485" i="1"/>
  <c r="AZ1484" i="1"/>
  <c r="BA1484" i="1" s="1"/>
  <c r="AU1675" i="1"/>
  <c r="AT1474" i="1"/>
  <c r="AW1474" i="1" s="1"/>
  <c r="AX1474" i="1" s="1"/>
  <c r="AY1474" i="1"/>
  <c r="AW1468" i="1"/>
  <c r="AX1468" i="1" s="1"/>
  <c r="AT1683" i="1"/>
  <c r="AW1683" i="1" s="1"/>
  <c r="AX1683" i="1" s="1"/>
  <c r="AY1683" i="1"/>
  <c r="AT1522" i="1"/>
  <c r="AY1522" i="1"/>
  <c r="AZ1657" i="1"/>
  <c r="BA1657" i="1" s="1"/>
  <c r="AW1657" i="1"/>
  <c r="AX1657" i="1" s="1"/>
  <c r="AW1667" i="1"/>
  <c r="AX1667" i="1" s="1"/>
  <c r="AZ1667" i="1"/>
  <c r="BA1667" i="1" s="1"/>
  <c r="AZ1486" i="1"/>
  <c r="BA1486" i="1" s="1"/>
  <c r="AW1486" i="1"/>
  <c r="AX1486" i="1" s="1"/>
  <c r="AT1446" i="1"/>
  <c r="AY1446" i="1"/>
  <c r="AW1595" i="1"/>
  <c r="AX1595" i="1" s="1"/>
  <c r="AY1673" i="1"/>
  <c r="AT1673" i="1"/>
  <c r="AW1673" i="1" s="1"/>
  <c r="AX1673" i="1" s="1"/>
  <c r="AY1500" i="1"/>
  <c r="AT1500" i="1"/>
  <c r="AW1685" i="1"/>
  <c r="AX1685" i="1" s="1"/>
  <c r="AZ1685" i="1"/>
  <c r="BA1685" i="1" s="1"/>
  <c r="AZ1574" i="1"/>
  <c r="BA1574" i="1" s="1"/>
  <c r="AW1574" i="1"/>
  <c r="AX1574" i="1" s="1"/>
  <c r="AT1610" i="1"/>
  <c r="AY1610" i="1"/>
  <c r="AT1524" i="1"/>
  <c r="AZ1524" i="1" s="1"/>
  <c r="BA1524" i="1" s="1"/>
  <c r="AY1524" i="1"/>
  <c r="AT1527" i="1"/>
  <c r="AV1527" i="1"/>
  <c r="AT1455" i="1"/>
  <c r="AY1455" i="1"/>
  <c r="AU1536" i="1"/>
  <c r="AT1679" i="1"/>
  <c r="AY1679" i="1"/>
  <c r="AT1664" i="1"/>
  <c r="AW1664" i="1" s="1"/>
  <c r="AX1664" i="1" s="1"/>
  <c r="AT1488" i="1"/>
  <c r="AW1488" i="1" s="1"/>
  <c r="AX1488" i="1" s="1"/>
  <c r="AY1488" i="1"/>
  <c r="AZ1488" i="1" s="1"/>
  <c r="BA1488" i="1" s="1"/>
  <c r="AZ1444" i="1"/>
  <c r="BA1444" i="1" s="1"/>
  <c r="AW1444" i="1"/>
  <c r="AX1444" i="1" s="1"/>
  <c r="AT1515" i="1"/>
  <c r="AZ1515" i="1" s="1"/>
  <c r="BA1515" i="1" s="1"/>
  <c r="AY1515" i="1"/>
  <c r="AZ1548" i="1"/>
  <c r="BA1548" i="1" s="1"/>
  <c r="AW1548" i="1"/>
  <c r="AX1548" i="1" s="1"/>
  <c r="AZ1655" i="1"/>
  <c r="BA1655" i="1" s="1"/>
  <c r="AW1655" i="1"/>
  <c r="AX1655" i="1" s="1"/>
  <c r="AW1622" i="1"/>
  <c r="AX1622" i="1" s="1"/>
  <c r="AW1589" i="1"/>
  <c r="AX1589" i="1" s="1"/>
  <c r="AT1630" i="1"/>
  <c r="AY1534" i="1"/>
  <c r="AT1534" i="1"/>
  <c r="AW1500" i="1"/>
  <c r="AX1500" i="1" s="1"/>
  <c r="AY1572" i="1"/>
  <c r="AT1504" i="1"/>
  <c r="AW1504" i="1" s="1"/>
  <c r="AX1504" i="1" s="1"/>
  <c r="AY1504" i="1"/>
  <c r="AU1630" i="1"/>
  <c r="AT1470" i="1"/>
  <c r="AY1470" i="1"/>
  <c r="AZ1470" i="1" s="1"/>
  <c r="BA1470" i="1" s="1"/>
  <c r="AU1541" i="1"/>
  <c r="AZ1452" i="1"/>
  <c r="BA1452" i="1" s="1"/>
  <c r="AW1452" i="1"/>
  <c r="AX1452" i="1" s="1"/>
  <c r="AT1480" i="1"/>
  <c r="AW1480" i="1" s="1"/>
  <c r="AX1480" i="1" s="1"/>
  <c r="AY1480" i="1"/>
  <c r="AU1550" i="1"/>
  <c r="AZ1601" i="1"/>
  <c r="BA1601" i="1" s="1"/>
  <c r="AW1601" i="1"/>
  <c r="AX1601" i="1" s="1"/>
  <c r="AT1458" i="1"/>
  <c r="AW1458" i="1" s="1"/>
  <c r="AX1458" i="1" s="1"/>
  <c r="AU1521" i="1"/>
  <c r="AT1502" i="1"/>
  <c r="AY1502" i="1"/>
  <c r="AZ1619" i="1"/>
  <c r="BA1619" i="1" s="1"/>
  <c r="AW1619" i="1"/>
  <c r="AX1619" i="1" s="1"/>
  <c r="AT1684" i="1"/>
  <c r="AY1684" i="1"/>
  <c r="AT1539" i="1"/>
  <c r="AY1539" i="1"/>
  <c r="AT1611" i="1"/>
  <c r="AY1611" i="1"/>
  <c r="AT1615" i="1"/>
  <c r="AZ1615" i="1" s="1"/>
  <c r="BA1615" i="1" s="1"/>
  <c r="AZ1593" i="1"/>
  <c r="BA1593" i="1" s="1"/>
  <c r="AW1593" i="1"/>
  <c r="AX1593" i="1" s="1"/>
  <c r="AT1565" i="1"/>
  <c r="AW1565" i="1" s="1"/>
  <c r="AX1565" i="1" s="1"/>
  <c r="AT1541" i="1"/>
  <c r="AT1516" i="1"/>
  <c r="AY1516" i="1"/>
  <c r="AT1669" i="1"/>
  <c r="AY1669" i="1"/>
  <c r="AT1687" i="1"/>
  <c r="AY1687" i="1"/>
  <c r="AY1527" i="1"/>
  <c r="AT1499" i="1"/>
  <c r="AW1499" i="1" s="1"/>
  <c r="AX1499" i="1" s="1"/>
  <c r="AY1499" i="1"/>
  <c r="AT1672" i="1"/>
  <c r="AZ1672" i="1" s="1"/>
  <c r="BA1672" i="1" s="1"/>
  <c r="AY1672" i="1"/>
  <c r="AT1661" i="1"/>
  <c r="AY1661" i="1"/>
  <c r="AT1675" i="1"/>
  <c r="AY1675" i="1"/>
  <c r="AT1460" i="1"/>
  <c r="AY1460" i="1"/>
  <c r="AY1517" i="1"/>
  <c r="AV1572" i="1"/>
  <c r="AV1553" i="1"/>
  <c r="AZ1611" i="1"/>
  <c r="BA1611" i="1" s="1"/>
  <c r="AW1611" i="1"/>
  <c r="AX1611" i="1" s="1"/>
  <c r="AV1550" i="1"/>
  <c r="AV1621" i="1"/>
  <c r="AU1535" i="1"/>
  <c r="AT1538" i="1"/>
  <c r="AU1514" i="1"/>
  <c r="AT1528" i="1"/>
  <c r="AT1521" i="1"/>
  <c r="AT1545" i="1"/>
  <c r="AU1517" i="1"/>
  <c r="AT1572" i="1"/>
  <c r="AT1494" i="1"/>
  <c r="AW1494" i="1" s="1"/>
  <c r="AM1423" i="1"/>
  <c r="AM1424" i="1"/>
  <c r="AM1425" i="1"/>
  <c r="AM1426" i="1"/>
  <c r="AM1427" i="1"/>
  <c r="AM1428" i="1"/>
  <c r="AM1429" i="1"/>
  <c r="AM1430" i="1"/>
  <c r="AM1431" i="1"/>
  <c r="AM1432" i="1"/>
  <c r="AM1433" i="1"/>
  <c r="AM1434" i="1"/>
  <c r="AM1435" i="1"/>
  <c r="AM1436" i="1"/>
  <c r="AM1437" i="1"/>
  <c r="AM1438" i="1"/>
  <c r="AM1439" i="1"/>
  <c r="AM1440" i="1"/>
  <c r="AM1422" i="1"/>
  <c r="AP1422" i="1" s="1"/>
  <c r="AJ1423" i="1"/>
  <c r="AJ1424" i="1"/>
  <c r="AJ1425" i="1"/>
  <c r="AJ1426" i="1"/>
  <c r="AJ1427" i="1"/>
  <c r="AJ1428" i="1"/>
  <c r="AJ1429" i="1"/>
  <c r="AJ1430" i="1"/>
  <c r="AJ1431" i="1"/>
  <c r="AJ1432" i="1"/>
  <c r="AJ1433" i="1"/>
  <c r="AJ1434" i="1"/>
  <c r="AJ1435" i="1"/>
  <c r="AJ1436" i="1"/>
  <c r="AJ1437" i="1"/>
  <c r="AJ1438" i="1"/>
  <c r="AJ1439" i="1"/>
  <c r="AJ1440" i="1"/>
  <c r="AJ1422" i="1"/>
  <c r="AA1423" i="1"/>
  <c r="AA1424" i="1"/>
  <c r="AA1425" i="1"/>
  <c r="AA1426" i="1"/>
  <c r="AA1427" i="1"/>
  <c r="AA1428" i="1"/>
  <c r="AA1429" i="1"/>
  <c r="AA1430" i="1"/>
  <c r="AA1431" i="1"/>
  <c r="AA1432" i="1"/>
  <c r="AA1433" i="1"/>
  <c r="AA1434" i="1"/>
  <c r="AA1435" i="1"/>
  <c r="AA1436" i="1"/>
  <c r="AA1437" i="1"/>
  <c r="AA1438" i="1"/>
  <c r="AA1439" i="1"/>
  <c r="AA1440" i="1"/>
  <c r="AA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22" i="1"/>
  <c r="AP1395" i="1"/>
  <c r="AP1398" i="1"/>
  <c r="AM1395" i="1"/>
  <c r="AM1396" i="1"/>
  <c r="AP1396" i="1" s="1"/>
  <c r="AM1397" i="1"/>
  <c r="AP1397" i="1" s="1"/>
  <c r="AM1398" i="1"/>
  <c r="AM1399" i="1"/>
  <c r="AP1399" i="1" s="1"/>
  <c r="AM1400" i="1"/>
  <c r="AP1400" i="1" s="1"/>
  <c r="AM1401" i="1"/>
  <c r="AP1401" i="1" s="1"/>
  <c r="AM1402" i="1"/>
  <c r="AP1402" i="1" s="1"/>
  <c r="AM1403" i="1"/>
  <c r="AP1403" i="1" s="1"/>
  <c r="AM1404" i="1"/>
  <c r="AP1404" i="1" s="1"/>
  <c r="AM1405" i="1"/>
  <c r="AP1405" i="1" s="1"/>
  <c r="AM1406" i="1"/>
  <c r="AP1406" i="1" s="1"/>
  <c r="AM1407" i="1"/>
  <c r="AP1407" i="1" s="1"/>
  <c r="AM1408" i="1"/>
  <c r="AP1408" i="1" s="1"/>
  <c r="AM1409" i="1"/>
  <c r="AP1409" i="1" s="1"/>
  <c r="AM1410" i="1"/>
  <c r="AP1410" i="1" s="1"/>
  <c r="AM1411" i="1"/>
  <c r="AP1411" i="1" s="1"/>
  <c r="AM1412" i="1"/>
  <c r="AP1412" i="1" s="1"/>
  <c r="AM1413" i="1"/>
  <c r="AP1413" i="1" s="1"/>
  <c r="AM1414" i="1"/>
  <c r="AP1414" i="1" s="1"/>
  <c r="AM1415" i="1"/>
  <c r="AP1415" i="1" s="1"/>
  <c r="AM1416" i="1"/>
  <c r="AP1416" i="1" s="1"/>
  <c r="AM1417" i="1"/>
  <c r="AP1417" i="1" s="1"/>
  <c r="AM1418" i="1"/>
  <c r="AP1418" i="1" s="1"/>
  <c r="AM1419" i="1"/>
  <c r="AP1419" i="1" s="1"/>
  <c r="AM1420" i="1"/>
  <c r="AP1420" i="1" s="1"/>
  <c r="AA1395" i="1"/>
  <c r="AA1396" i="1"/>
  <c r="AA1397" i="1"/>
  <c r="AA1398" i="1"/>
  <c r="AA1399" i="1"/>
  <c r="AA1400" i="1"/>
  <c r="AA1401" i="1"/>
  <c r="AA1402" i="1"/>
  <c r="AA1403" i="1"/>
  <c r="AA1404" i="1"/>
  <c r="AA1405" i="1"/>
  <c r="AA1406" i="1"/>
  <c r="AA1407" i="1"/>
  <c r="AA1408" i="1"/>
  <c r="AA1409" i="1"/>
  <c r="AA1410" i="1"/>
  <c r="AA1411" i="1"/>
  <c r="AA1412" i="1"/>
  <c r="AA1413" i="1"/>
  <c r="AA1414" i="1"/>
  <c r="AA1415" i="1"/>
  <c r="AA1416" i="1"/>
  <c r="AA1417" i="1"/>
  <c r="AA1418" i="1"/>
  <c r="AA1419" i="1"/>
  <c r="AA1420" i="1"/>
  <c r="AJ1395" i="1"/>
  <c r="AJ1396" i="1"/>
  <c r="AJ1397" i="1"/>
  <c r="AJ1398" i="1"/>
  <c r="AJ1399" i="1"/>
  <c r="AJ1400" i="1"/>
  <c r="AJ1401" i="1"/>
  <c r="AJ1402" i="1"/>
  <c r="AJ1403" i="1"/>
  <c r="AJ1404" i="1"/>
  <c r="AJ1405" i="1"/>
  <c r="AJ1406" i="1"/>
  <c r="AJ1407" i="1"/>
  <c r="AJ1408" i="1"/>
  <c r="AJ1409" i="1"/>
  <c r="AJ1410" i="1"/>
  <c r="AJ1411" i="1"/>
  <c r="AJ1412" i="1"/>
  <c r="AJ1413" i="1"/>
  <c r="AJ1414" i="1"/>
  <c r="AJ1415" i="1"/>
  <c r="AJ1416" i="1"/>
  <c r="AJ1417" i="1"/>
  <c r="AJ1418" i="1"/>
  <c r="AJ1419" i="1"/>
  <c r="AJ1420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AM1394" i="1"/>
  <c r="AP1394" i="1" s="1"/>
  <c r="AJ1394" i="1"/>
  <c r="AA1394" i="1"/>
  <c r="S1394" i="1"/>
  <c r="O1394" i="1"/>
  <c r="K1394" i="1"/>
  <c r="AM1393" i="1"/>
  <c r="AP1393" i="1" s="1"/>
  <c r="AJ1393" i="1"/>
  <c r="AA1393" i="1"/>
  <c r="S1393" i="1"/>
  <c r="O1393" i="1"/>
  <c r="K1393" i="1"/>
  <c r="AM1392" i="1"/>
  <c r="AP1392" i="1" s="1"/>
  <c r="AJ1392" i="1"/>
  <c r="AA1392" i="1"/>
  <c r="S1392" i="1"/>
  <c r="O1392" i="1"/>
  <c r="K1392" i="1"/>
  <c r="AM1391" i="1"/>
  <c r="AP1391" i="1" s="1"/>
  <c r="AJ1391" i="1"/>
  <c r="AA1391" i="1"/>
  <c r="S1391" i="1"/>
  <c r="O1391" i="1"/>
  <c r="K1391" i="1"/>
  <c r="AM1390" i="1"/>
  <c r="AP1390" i="1" s="1"/>
  <c r="AJ1390" i="1"/>
  <c r="AA1390" i="1"/>
  <c r="S1390" i="1"/>
  <c r="O1390" i="1"/>
  <c r="K1390" i="1"/>
  <c r="AM1389" i="1"/>
  <c r="AP1389" i="1" s="1"/>
  <c r="AJ1389" i="1"/>
  <c r="AA1389" i="1"/>
  <c r="S1389" i="1"/>
  <c r="O1389" i="1"/>
  <c r="K1389" i="1"/>
  <c r="AM1388" i="1"/>
  <c r="AP1388" i="1" s="1"/>
  <c r="AJ1388" i="1"/>
  <c r="AA1388" i="1"/>
  <c r="S1388" i="1"/>
  <c r="O1388" i="1"/>
  <c r="K1388" i="1"/>
  <c r="AM1387" i="1"/>
  <c r="AP1387" i="1" s="1"/>
  <c r="AJ1387" i="1"/>
  <c r="AA1387" i="1"/>
  <c r="S1387" i="1"/>
  <c r="O1387" i="1"/>
  <c r="K1387" i="1"/>
  <c r="AM1386" i="1"/>
  <c r="AP1386" i="1" s="1"/>
  <c r="AJ1386" i="1"/>
  <c r="AA1386" i="1"/>
  <c r="S1386" i="1"/>
  <c r="O1386" i="1"/>
  <c r="K1386" i="1"/>
  <c r="AM1385" i="1"/>
  <c r="AP1385" i="1" s="1"/>
  <c r="AJ1385" i="1"/>
  <c r="AA1385" i="1"/>
  <c r="S1385" i="1"/>
  <c r="O1385" i="1"/>
  <c r="K1385" i="1"/>
  <c r="AM1384" i="1"/>
  <c r="AP1384" i="1" s="1"/>
  <c r="AJ1384" i="1"/>
  <c r="AA1384" i="1"/>
  <c r="S1384" i="1"/>
  <c r="O1384" i="1"/>
  <c r="K1384" i="1"/>
  <c r="AM1383" i="1"/>
  <c r="AP1383" i="1" s="1"/>
  <c r="AJ1383" i="1"/>
  <c r="AA1383" i="1"/>
  <c r="S1383" i="1"/>
  <c r="O1383" i="1"/>
  <c r="K1383" i="1"/>
  <c r="AM1382" i="1"/>
  <c r="AP1382" i="1" s="1"/>
  <c r="AJ1382" i="1"/>
  <c r="AA1382" i="1"/>
  <c r="S1382" i="1"/>
  <c r="O1382" i="1"/>
  <c r="K1382" i="1"/>
  <c r="AM1381" i="1"/>
  <c r="AP1381" i="1" s="1"/>
  <c r="AJ1381" i="1"/>
  <c r="AA1381" i="1"/>
  <c r="S1381" i="1"/>
  <c r="O1381" i="1"/>
  <c r="K1381" i="1"/>
  <c r="AM1380" i="1"/>
  <c r="AP1380" i="1" s="1"/>
  <c r="AJ1380" i="1"/>
  <c r="AA1380" i="1"/>
  <c r="S1380" i="1"/>
  <c r="O1380" i="1"/>
  <c r="K1380" i="1"/>
  <c r="AM1379" i="1"/>
  <c r="AP1379" i="1" s="1"/>
  <c r="AJ1379" i="1"/>
  <c r="AA1379" i="1"/>
  <c r="S1379" i="1"/>
  <c r="O1379" i="1"/>
  <c r="K1379" i="1"/>
  <c r="AM1378" i="1"/>
  <c r="AP1378" i="1" s="1"/>
  <c r="AJ1378" i="1"/>
  <c r="AA1378" i="1"/>
  <c r="S1378" i="1"/>
  <c r="O1378" i="1"/>
  <c r="K1378" i="1"/>
  <c r="AM1377" i="1"/>
  <c r="AP1377" i="1" s="1"/>
  <c r="AJ1377" i="1"/>
  <c r="AA1377" i="1"/>
  <c r="S1377" i="1"/>
  <c r="O1377" i="1"/>
  <c r="K1377" i="1"/>
  <c r="AM1376" i="1"/>
  <c r="AP1376" i="1" s="1"/>
  <c r="AJ1376" i="1"/>
  <c r="AA1376" i="1"/>
  <c r="S1376" i="1"/>
  <c r="O1376" i="1"/>
  <c r="K1376" i="1"/>
  <c r="AM1375" i="1"/>
  <c r="AP1375" i="1" s="1"/>
  <c r="AJ1375" i="1"/>
  <c r="AA1375" i="1"/>
  <c r="S1375" i="1"/>
  <c r="O1375" i="1"/>
  <c r="K1375" i="1"/>
  <c r="AM1374" i="1"/>
  <c r="AP1374" i="1" s="1"/>
  <c r="AJ1374" i="1"/>
  <c r="AA1374" i="1"/>
  <c r="S1374" i="1"/>
  <c r="O1374" i="1"/>
  <c r="K1374" i="1"/>
  <c r="AM1373" i="1"/>
  <c r="AP1373" i="1" s="1"/>
  <c r="AJ1373" i="1"/>
  <c r="AA1373" i="1"/>
  <c r="S1373" i="1"/>
  <c r="O1373" i="1"/>
  <c r="K1373" i="1"/>
  <c r="AM1372" i="1"/>
  <c r="AP1372" i="1" s="1"/>
  <c r="AJ1372" i="1"/>
  <c r="AA1372" i="1"/>
  <c r="S1372" i="1"/>
  <c r="O1372" i="1"/>
  <c r="K1372" i="1"/>
  <c r="AM1371" i="1"/>
  <c r="AP1371" i="1" s="1"/>
  <c r="AJ1371" i="1"/>
  <c r="AA1371" i="1"/>
  <c r="S1371" i="1"/>
  <c r="O1371" i="1"/>
  <c r="K1371" i="1"/>
  <c r="AM1370" i="1"/>
  <c r="AP1370" i="1" s="1"/>
  <c r="AJ1370" i="1"/>
  <c r="AA1370" i="1"/>
  <c r="S1370" i="1"/>
  <c r="O1370" i="1"/>
  <c r="K1370" i="1"/>
  <c r="AM1369" i="1"/>
  <c r="AP1369" i="1" s="1"/>
  <c r="AJ1369" i="1"/>
  <c r="AA1369" i="1"/>
  <c r="S1369" i="1"/>
  <c r="O1369" i="1"/>
  <c r="K1369" i="1"/>
  <c r="AM1368" i="1"/>
  <c r="AP1368" i="1" s="1"/>
  <c r="AJ1368" i="1"/>
  <c r="AA1368" i="1"/>
  <c r="S1368" i="1"/>
  <c r="O1368" i="1"/>
  <c r="K1368" i="1"/>
  <c r="AM1367" i="1"/>
  <c r="AP1367" i="1" s="1"/>
  <c r="AJ1367" i="1"/>
  <c r="AA1367" i="1"/>
  <c r="S1367" i="1"/>
  <c r="O1367" i="1"/>
  <c r="K1367" i="1"/>
  <c r="AM1366" i="1"/>
  <c r="AP1366" i="1" s="1"/>
  <c r="AJ1366" i="1"/>
  <c r="AA1366" i="1"/>
  <c r="S1366" i="1"/>
  <c r="O1366" i="1"/>
  <c r="K1366" i="1"/>
  <c r="AM1365" i="1"/>
  <c r="AP1365" i="1" s="1"/>
  <c r="AJ1365" i="1"/>
  <c r="AA1365" i="1"/>
  <c r="S1365" i="1"/>
  <c r="O1365" i="1"/>
  <c r="K1365" i="1"/>
  <c r="AM1364" i="1"/>
  <c r="AP1364" i="1" s="1"/>
  <c r="AJ1364" i="1"/>
  <c r="AA1364" i="1"/>
  <c r="S1364" i="1"/>
  <c r="O1364" i="1"/>
  <c r="K1364" i="1"/>
  <c r="AM1363" i="1"/>
  <c r="AP1363" i="1" s="1"/>
  <c r="AJ1363" i="1"/>
  <c r="AA1363" i="1"/>
  <c r="S1363" i="1"/>
  <c r="O1363" i="1"/>
  <c r="K1363" i="1"/>
  <c r="AM1362" i="1"/>
  <c r="AP1362" i="1" s="1"/>
  <c r="AJ1362" i="1"/>
  <c r="AA1362" i="1"/>
  <c r="S1362" i="1"/>
  <c r="O1362" i="1"/>
  <c r="K1362" i="1"/>
  <c r="AV1362" i="1" s="1"/>
  <c r="AM1361" i="1"/>
  <c r="AP1361" i="1" s="1"/>
  <c r="AJ1361" i="1"/>
  <c r="AA1361" i="1"/>
  <c r="S1361" i="1"/>
  <c r="O1361" i="1"/>
  <c r="K1361" i="1"/>
  <c r="AM1360" i="1"/>
  <c r="AP1360" i="1" s="1"/>
  <c r="AJ1360" i="1"/>
  <c r="AA1360" i="1"/>
  <c r="S1360" i="1"/>
  <c r="O1360" i="1"/>
  <c r="K1360" i="1"/>
  <c r="AM1359" i="1"/>
  <c r="AP1359" i="1" s="1"/>
  <c r="AJ1359" i="1"/>
  <c r="AA1359" i="1"/>
  <c r="S1359" i="1"/>
  <c r="O1359" i="1"/>
  <c r="K1359" i="1"/>
  <c r="AV1359" i="1" s="1"/>
  <c r="AM1358" i="1"/>
  <c r="AP1358" i="1" s="1"/>
  <c r="AJ1358" i="1"/>
  <c r="AA1358" i="1"/>
  <c r="S1358" i="1"/>
  <c r="O1358" i="1"/>
  <c r="K1358" i="1"/>
  <c r="AM1357" i="1"/>
  <c r="AP1357" i="1" s="1"/>
  <c r="AJ1357" i="1"/>
  <c r="AA1357" i="1"/>
  <c r="S1357" i="1"/>
  <c r="O1357" i="1"/>
  <c r="K1357" i="1"/>
  <c r="AM1356" i="1"/>
  <c r="AP1356" i="1" s="1"/>
  <c r="AJ1356" i="1"/>
  <c r="AA1356" i="1"/>
  <c r="S1356" i="1"/>
  <c r="O1356" i="1"/>
  <c r="K1356" i="1"/>
  <c r="AM1355" i="1"/>
  <c r="AP1355" i="1" s="1"/>
  <c r="AJ1355" i="1"/>
  <c r="AA1355" i="1"/>
  <c r="S1355" i="1"/>
  <c r="O1355" i="1"/>
  <c r="K1355" i="1"/>
  <c r="AV1355" i="1" s="1"/>
  <c r="AM1354" i="1"/>
  <c r="AP1354" i="1" s="1"/>
  <c r="AJ1354" i="1"/>
  <c r="AA1354" i="1"/>
  <c r="S1354" i="1"/>
  <c r="O1354" i="1"/>
  <c r="K1354" i="1"/>
  <c r="AM1353" i="1"/>
  <c r="AP1353" i="1" s="1"/>
  <c r="AJ1353" i="1"/>
  <c r="AA1353" i="1"/>
  <c r="S1353" i="1"/>
  <c r="O1353" i="1"/>
  <c r="K1353" i="1"/>
  <c r="AM1352" i="1"/>
  <c r="AP1352" i="1" s="1"/>
  <c r="AJ1352" i="1"/>
  <c r="AA1352" i="1"/>
  <c r="S1352" i="1"/>
  <c r="O1352" i="1"/>
  <c r="K1352" i="1"/>
  <c r="AV1352" i="1" s="1"/>
  <c r="AM1351" i="1"/>
  <c r="AP1351" i="1" s="1"/>
  <c r="AJ1351" i="1"/>
  <c r="AA1351" i="1"/>
  <c r="S1351" i="1"/>
  <c r="O1351" i="1"/>
  <c r="K1351" i="1"/>
  <c r="AM1350" i="1"/>
  <c r="AP1350" i="1" s="1"/>
  <c r="AJ1350" i="1"/>
  <c r="AA1350" i="1"/>
  <c r="S1350" i="1"/>
  <c r="O1350" i="1"/>
  <c r="K1350" i="1"/>
  <c r="AM1349" i="1"/>
  <c r="AP1349" i="1" s="1"/>
  <c r="AJ1349" i="1"/>
  <c r="AA1349" i="1"/>
  <c r="S1349" i="1"/>
  <c r="O1349" i="1"/>
  <c r="K1349" i="1"/>
  <c r="AM1348" i="1"/>
  <c r="AP1348" i="1" s="1"/>
  <c r="AJ1348" i="1"/>
  <c r="AA1348" i="1"/>
  <c r="S1348" i="1"/>
  <c r="O1348" i="1"/>
  <c r="K1348" i="1"/>
  <c r="AV1348" i="1" s="1"/>
  <c r="AM1347" i="1"/>
  <c r="AP1347" i="1" s="1"/>
  <c r="AJ1347" i="1"/>
  <c r="AA1347" i="1"/>
  <c r="S1347" i="1"/>
  <c r="O1347" i="1"/>
  <c r="K1347" i="1"/>
  <c r="AM1346" i="1"/>
  <c r="AP1346" i="1" s="1"/>
  <c r="AJ1346" i="1"/>
  <c r="AA1346" i="1"/>
  <c r="S1346" i="1"/>
  <c r="O1346" i="1"/>
  <c r="K1346" i="1"/>
  <c r="AM1345" i="1"/>
  <c r="AP1345" i="1" s="1"/>
  <c r="AJ1345" i="1"/>
  <c r="AA1345" i="1"/>
  <c r="S1345" i="1"/>
  <c r="O1345" i="1"/>
  <c r="K1345" i="1"/>
  <c r="AV1345" i="1" s="1"/>
  <c r="AM1344" i="1"/>
  <c r="AP1344" i="1" s="1"/>
  <c r="AJ1344" i="1"/>
  <c r="AA1344" i="1"/>
  <c r="S1344" i="1"/>
  <c r="O1344" i="1"/>
  <c r="K1344" i="1"/>
  <c r="AM1343" i="1"/>
  <c r="AP1343" i="1" s="1"/>
  <c r="AJ1343" i="1"/>
  <c r="AA1343" i="1"/>
  <c r="S1343" i="1"/>
  <c r="O1343" i="1"/>
  <c r="K1343" i="1"/>
  <c r="AM1342" i="1"/>
  <c r="AP1342" i="1" s="1"/>
  <c r="AJ1342" i="1"/>
  <c r="AA1342" i="1"/>
  <c r="S1342" i="1"/>
  <c r="O1342" i="1"/>
  <c r="K1342" i="1"/>
  <c r="AM1341" i="1"/>
  <c r="AP1341" i="1" s="1"/>
  <c r="AJ1341" i="1"/>
  <c r="AA1341" i="1"/>
  <c r="S1341" i="1"/>
  <c r="O1341" i="1"/>
  <c r="K1341" i="1"/>
  <c r="AV1341" i="1" s="1"/>
  <c r="AM1340" i="1"/>
  <c r="AP1340" i="1" s="1"/>
  <c r="AJ1340" i="1"/>
  <c r="AA1340" i="1"/>
  <c r="S1340" i="1"/>
  <c r="O1340" i="1"/>
  <c r="K1340" i="1"/>
  <c r="AM1339" i="1"/>
  <c r="AP1339" i="1" s="1"/>
  <c r="AJ1339" i="1"/>
  <c r="AA1339" i="1"/>
  <c r="S1339" i="1"/>
  <c r="O1339" i="1"/>
  <c r="K1339" i="1"/>
  <c r="AM1338" i="1"/>
  <c r="AP1338" i="1" s="1"/>
  <c r="AJ1338" i="1"/>
  <c r="AA1338" i="1"/>
  <c r="S1338" i="1"/>
  <c r="O1338" i="1"/>
  <c r="K1338" i="1"/>
  <c r="AV1338" i="1" s="1"/>
  <c r="AM1337" i="1"/>
  <c r="AP1337" i="1" s="1"/>
  <c r="AJ1337" i="1"/>
  <c r="AA1337" i="1"/>
  <c r="S1337" i="1"/>
  <c r="O1337" i="1"/>
  <c r="K1337" i="1"/>
  <c r="AM1336" i="1"/>
  <c r="AP1336" i="1" s="1"/>
  <c r="AJ1336" i="1"/>
  <c r="AA1336" i="1"/>
  <c r="S1336" i="1"/>
  <c r="O1336" i="1"/>
  <c r="K1336" i="1"/>
  <c r="AM1335" i="1"/>
  <c r="AP1335" i="1" s="1"/>
  <c r="AJ1335" i="1"/>
  <c r="AA1335" i="1"/>
  <c r="S1335" i="1"/>
  <c r="O1335" i="1"/>
  <c r="K1335" i="1"/>
  <c r="AM1334" i="1"/>
  <c r="AP1334" i="1" s="1"/>
  <c r="AJ1334" i="1"/>
  <c r="AA1334" i="1"/>
  <c r="S1334" i="1"/>
  <c r="O1334" i="1"/>
  <c r="K1334" i="1"/>
  <c r="AV1334" i="1" s="1"/>
  <c r="AM1333" i="1"/>
  <c r="AP1333" i="1" s="1"/>
  <c r="AJ1333" i="1"/>
  <c r="AA1333" i="1"/>
  <c r="S1333" i="1"/>
  <c r="O1333" i="1"/>
  <c r="K1333" i="1"/>
  <c r="AP1312" i="1"/>
  <c r="AP1324" i="1"/>
  <c r="AM1302" i="1"/>
  <c r="AP1302" i="1" s="1"/>
  <c r="AM1303" i="1"/>
  <c r="AP1303" i="1" s="1"/>
  <c r="AM1304" i="1"/>
  <c r="AP1304" i="1" s="1"/>
  <c r="AM1305" i="1"/>
  <c r="AP1305" i="1" s="1"/>
  <c r="AM1306" i="1"/>
  <c r="AP1306" i="1" s="1"/>
  <c r="AM1307" i="1"/>
  <c r="AP1307" i="1" s="1"/>
  <c r="AM1308" i="1"/>
  <c r="AP1308" i="1" s="1"/>
  <c r="AM1309" i="1"/>
  <c r="AP1309" i="1" s="1"/>
  <c r="AM1310" i="1"/>
  <c r="AP1310" i="1" s="1"/>
  <c r="AM1311" i="1"/>
  <c r="AP1311" i="1" s="1"/>
  <c r="AM1312" i="1"/>
  <c r="AM1313" i="1"/>
  <c r="AP1313" i="1" s="1"/>
  <c r="AM1314" i="1"/>
  <c r="AP1314" i="1" s="1"/>
  <c r="AM1315" i="1"/>
  <c r="AP1315" i="1" s="1"/>
  <c r="AM1316" i="1"/>
  <c r="AP1316" i="1" s="1"/>
  <c r="AM1317" i="1"/>
  <c r="AP1317" i="1" s="1"/>
  <c r="AM1318" i="1"/>
  <c r="AP1318" i="1" s="1"/>
  <c r="AM1319" i="1"/>
  <c r="AP1319" i="1" s="1"/>
  <c r="AM1320" i="1"/>
  <c r="AP1320" i="1" s="1"/>
  <c r="AM1321" i="1"/>
  <c r="AP1321" i="1" s="1"/>
  <c r="AM1322" i="1"/>
  <c r="AP1322" i="1" s="1"/>
  <c r="AM1323" i="1"/>
  <c r="AP1323" i="1" s="1"/>
  <c r="AM1324" i="1"/>
  <c r="AM1325" i="1"/>
  <c r="AP1325" i="1" s="1"/>
  <c r="AM1326" i="1"/>
  <c r="AP1326" i="1" s="1"/>
  <c r="AM1327" i="1"/>
  <c r="AP1327" i="1" s="1"/>
  <c r="AM1328" i="1"/>
  <c r="AP1328" i="1" s="1"/>
  <c r="AM1329" i="1"/>
  <c r="AP1329" i="1" s="1"/>
  <c r="AM1330" i="1"/>
  <c r="AP1330" i="1" s="1"/>
  <c r="AM1331" i="1"/>
  <c r="AP1331" i="1" s="1"/>
  <c r="AM1332" i="1"/>
  <c r="AP1332" i="1" s="1"/>
  <c r="AJ1302" i="1"/>
  <c r="AJ1303" i="1"/>
  <c r="AJ1304" i="1"/>
  <c r="AJ1305" i="1"/>
  <c r="AJ1306" i="1"/>
  <c r="AJ1307" i="1"/>
  <c r="AJ1308" i="1"/>
  <c r="AJ1309" i="1"/>
  <c r="AJ1310" i="1"/>
  <c r="AJ1311" i="1"/>
  <c r="AJ1312" i="1"/>
  <c r="AJ1313" i="1"/>
  <c r="AJ1314" i="1"/>
  <c r="AJ1315" i="1"/>
  <c r="AJ1316" i="1"/>
  <c r="AJ1317" i="1"/>
  <c r="AJ1318" i="1"/>
  <c r="AJ1319" i="1"/>
  <c r="AJ1320" i="1"/>
  <c r="AJ1321" i="1"/>
  <c r="AJ1322" i="1"/>
  <c r="AJ1323" i="1"/>
  <c r="AJ1324" i="1"/>
  <c r="AJ1325" i="1"/>
  <c r="AJ1326" i="1"/>
  <c r="AJ1327" i="1"/>
  <c r="AJ1328" i="1"/>
  <c r="AJ1329" i="1"/>
  <c r="AJ1330" i="1"/>
  <c r="AJ1331" i="1"/>
  <c r="AJ1332" i="1"/>
  <c r="AA1302" i="1"/>
  <c r="AA1303" i="1"/>
  <c r="AA1304" i="1"/>
  <c r="AA1305" i="1"/>
  <c r="AA1306" i="1"/>
  <c r="AA1307" i="1"/>
  <c r="AA1308" i="1"/>
  <c r="AA1309" i="1"/>
  <c r="AA1310" i="1"/>
  <c r="AA1311" i="1"/>
  <c r="AA1312" i="1"/>
  <c r="AA1313" i="1"/>
  <c r="AA1314" i="1"/>
  <c r="AA1315" i="1"/>
  <c r="AA1316" i="1"/>
  <c r="AA1317" i="1"/>
  <c r="AA1318" i="1"/>
  <c r="AA1319" i="1"/>
  <c r="AA1320" i="1"/>
  <c r="AA1321" i="1"/>
  <c r="AA1322" i="1"/>
  <c r="AA1323" i="1"/>
  <c r="AA1324" i="1"/>
  <c r="AA1325" i="1"/>
  <c r="AA1326" i="1"/>
  <c r="AA1327" i="1"/>
  <c r="AA1328" i="1"/>
  <c r="AA1329" i="1"/>
  <c r="AA1330" i="1"/>
  <c r="AA1331" i="1"/>
  <c r="AA1332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K1302" i="1"/>
  <c r="K1303" i="1"/>
  <c r="K1304" i="1"/>
  <c r="K1305" i="1"/>
  <c r="K1306" i="1"/>
  <c r="K1307" i="1"/>
  <c r="K1308" i="1"/>
  <c r="K1309" i="1"/>
  <c r="K1310" i="1"/>
  <c r="K1311" i="1"/>
  <c r="AV1311" i="1" s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AM1301" i="1"/>
  <c r="AP1301" i="1" s="1"/>
  <c r="AJ1301" i="1"/>
  <c r="AA1301" i="1"/>
  <c r="S1301" i="1"/>
  <c r="O1301" i="1"/>
  <c r="K1301" i="1"/>
  <c r="AM1300" i="1"/>
  <c r="AP1300" i="1" s="1"/>
  <c r="AJ1300" i="1"/>
  <c r="AA1300" i="1"/>
  <c r="S1300" i="1"/>
  <c r="O1300" i="1"/>
  <c r="K1300" i="1"/>
  <c r="AM1299" i="1"/>
  <c r="AP1299" i="1" s="1"/>
  <c r="AJ1299" i="1"/>
  <c r="AA1299" i="1"/>
  <c r="S1299" i="1"/>
  <c r="O1299" i="1"/>
  <c r="K1299" i="1"/>
  <c r="AV1299" i="1" s="1"/>
  <c r="AM1298" i="1"/>
  <c r="AP1298" i="1" s="1"/>
  <c r="AJ1298" i="1"/>
  <c r="AA1298" i="1"/>
  <c r="S1298" i="1"/>
  <c r="O1298" i="1"/>
  <c r="K1298" i="1"/>
  <c r="AM1297" i="1"/>
  <c r="AP1297" i="1" s="1"/>
  <c r="AJ1297" i="1"/>
  <c r="AA1297" i="1"/>
  <c r="S1297" i="1"/>
  <c r="O1297" i="1"/>
  <c r="K1297" i="1"/>
  <c r="AM1296" i="1"/>
  <c r="AP1296" i="1" s="1"/>
  <c r="AJ1296" i="1"/>
  <c r="AA1296" i="1"/>
  <c r="S1296" i="1"/>
  <c r="O1296" i="1"/>
  <c r="K1296" i="1"/>
  <c r="AM1295" i="1"/>
  <c r="AP1295" i="1" s="1"/>
  <c r="AJ1295" i="1"/>
  <c r="AA1295" i="1"/>
  <c r="S1295" i="1"/>
  <c r="O1295" i="1"/>
  <c r="K1295" i="1"/>
  <c r="AV1295" i="1" s="1"/>
  <c r="AM1294" i="1"/>
  <c r="AP1294" i="1" s="1"/>
  <c r="AJ1294" i="1"/>
  <c r="AA1294" i="1"/>
  <c r="S1294" i="1"/>
  <c r="O1294" i="1"/>
  <c r="K1294" i="1"/>
  <c r="AM1293" i="1"/>
  <c r="AP1293" i="1" s="1"/>
  <c r="AJ1293" i="1"/>
  <c r="AA1293" i="1"/>
  <c r="S1293" i="1"/>
  <c r="O1293" i="1"/>
  <c r="K1293" i="1"/>
  <c r="AM1292" i="1"/>
  <c r="AP1292" i="1" s="1"/>
  <c r="AJ1292" i="1"/>
  <c r="AA1292" i="1"/>
  <c r="S1292" i="1"/>
  <c r="O1292" i="1"/>
  <c r="K1292" i="1"/>
  <c r="AV1292" i="1" s="1"/>
  <c r="AM1291" i="1"/>
  <c r="AP1291" i="1" s="1"/>
  <c r="AJ1291" i="1"/>
  <c r="AA1291" i="1"/>
  <c r="S1291" i="1"/>
  <c r="O1291" i="1"/>
  <c r="K1291" i="1"/>
  <c r="AM1290" i="1"/>
  <c r="AP1290" i="1" s="1"/>
  <c r="AJ1290" i="1"/>
  <c r="AA1290" i="1"/>
  <c r="S1290" i="1"/>
  <c r="O1290" i="1"/>
  <c r="K1290" i="1"/>
  <c r="AM1289" i="1"/>
  <c r="AP1289" i="1" s="1"/>
  <c r="AJ1289" i="1"/>
  <c r="AA1289" i="1"/>
  <c r="S1289" i="1"/>
  <c r="O1289" i="1"/>
  <c r="K1289" i="1"/>
  <c r="AM1288" i="1"/>
  <c r="AP1288" i="1" s="1"/>
  <c r="AJ1288" i="1"/>
  <c r="AA1288" i="1"/>
  <c r="S1288" i="1"/>
  <c r="O1288" i="1"/>
  <c r="K1288" i="1"/>
  <c r="AV1288" i="1" s="1"/>
  <c r="AM1287" i="1"/>
  <c r="AP1287" i="1" s="1"/>
  <c r="AJ1287" i="1"/>
  <c r="AA1287" i="1"/>
  <c r="S1287" i="1"/>
  <c r="O1287" i="1"/>
  <c r="K1287" i="1"/>
  <c r="AM1286" i="1"/>
  <c r="AP1286" i="1" s="1"/>
  <c r="AJ1286" i="1"/>
  <c r="AA1286" i="1"/>
  <c r="S1286" i="1"/>
  <c r="O1286" i="1"/>
  <c r="K1286" i="1"/>
  <c r="AM1285" i="1"/>
  <c r="AP1285" i="1" s="1"/>
  <c r="AJ1285" i="1"/>
  <c r="AA1285" i="1"/>
  <c r="S1285" i="1"/>
  <c r="O1285" i="1"/>
  <c r="K1285" i="1"/>
  <c r="AV1285" i="1" s="1"/>
  <c r="AM1284" i="1"/>
  <c r="AP1284" i="1" s="1"/>
  <c r="AJ1284" i="1"/>
  <c r="AA1284" i="1"/>
  <c r="S1284" i="1"/>
  <c r="O1284" i="1"/>
  <c r="K1284" i="1"/>
  <c r="AM1283" i="1"/>
  <c r="AP1283" i="1" s="1"/>
  <c r="AJ1283" i="1"/>
  <c r="AA1283" i="1"/>
  <c r="S1283" i="1"/>
  <c r="O1283" i="1"/>
  <c r="K1283" i="1"/>
  <c r="AM1282" i="1"/>
  <c r="AP1282" i="1" s="1"/>
  <c r="AJ1282" i="1"/>
  <c r="AA1282" i="1"/>
  <c r="S1282" i="1"/>
  <c r="O1282" i="1"/>
  <c r="K1282" i="1"/>
  <c r="AM1281" i="1"/>
  <c r="AP1281" i="1" s="1"/>
  <c r="AJ1281" i="1"/>
  <c r="AA1281" i="1"/>
  <c r="S1281" i="1"/>
  <c r="O1281" i="1"/>
  <c r="K1281" i="1"/>
  <c r="AV1281" i="1" s="1"/>
  <c r="AM1280" i="1"/>
  <c r="AP1280" i="1" s="1"/>
  <c r="AJ1280" i="1"/>
  <c r="AA1280" i="1"/>
  <c r="S1280" i="1"/>
  <c r="O1280" i="1"/>
  <c r="K1280" i="1"/>
  <c r="AM1279" i="1"/>
  <c r="AP1279" i="1" s="1"/>
  <c r="AJ1279" i="1"/>
  <c r="AA1279" i="1"/>
  <c r="S1279" i="1"/>
  <c r="O1279" i="1"/>
  <c r="K1279" i="1"/>
  <c r="AM1278" i="1"/>
  <c r="AP1278" i="1" s="1"/>
  <c r="AJ1278" i="1"/>
  <c r="AA1278" i="1"/>
  <c r="S1278" i="1"/>
  <c r="O1278" i="1"/>
  <c r="K1278" i="1"/>
  <c r="AV1278" i="1" s="1"/>
  <c r="AM1277" i="1"/>
  <c r="AP1277" i="1" s="1"/>
  <c r="AJ1277" i="1"/>
  <c r="AA1277" i="1"/>
  <c r="S1277" i="1"/>
  <c r="O1277" i="1"/>
  <c r="K1277" i="1"/>
  <c r="AM1276" i="1"/>
  <c r="AP1276" i="1" s="1"/>
  <c r="AJ1276" i="1"/>
  <c r="AA1276" i="1"/>
  <c r="S1276" i="1"/>
  <c r="O1276" i="1"/>
  <c r="K1276" i="1"/>
  <c r="AM1275" i="1"/>
  <c r="AP1275" i="1" s="1"/>
  <c r="AJ1275" i="1"/>
  <c r="AA1275" i="1"/>
  <c r="S1275" i="1"/>
  <c r="O1275" i="1"/>
  <c r="K1275" i="1"/>
  <c r="AM1274" i="1"/>
  <c r="AP1274" i="1" s="1"/>
  <c r="AJ1274" i="1"/>
  <c r="AA1274" i="1"/>
  <c r="S1274" i="1"/>
  <c r="O1274" i="1"/>
  <c r="K1274" i="1"/>
  <c r="AV1274" i="1" s="1"/>
  <c r="AM1273" i="1"/>
  <c r="AP1273" i="1" s="1"/>
  <c r="AJ1273" i="1"/>
  <c r="AA1273" i="1"/>
  <c r="S1273" i="1"/>
  <c r="O1273" i="1"/>
  <c r="K1273" i="1"/>
  <c r="AM1272" i="1"/>
  <c r="AP1272" i="1" s="1"/>
  <c r="AJ1272" i="1"/>
  <c r="AA1272" i="1"/>
  <c r="S1272" i="1"/>
  <c r="O1272" i="1"/>
  <c r="K1272" i="1"/>
  <c r="AM1271" i="1"/>
  <c r="AP1271" i="1" s="1"/>
  <c r="AJ1271" i="1"/>
  <c r="AA1271" i="1"/>
  <c r="S1271" i="1"/>
  <c r="O1271" i="1"/>
  <c r="K1271" i="1"/>
  <c r="AV1271" i="1" s="1"/>
  <c r="AM1270" i="1"/>
  <c r="AP1270" i="1" s="1"/>
  <c r="AJ1270" i="1"/>
  <c r="AA1270" i="1"/>
  <c r="S1270" i="1"/>
  <c r="O1270" i="1"/>
  <c r="K1270" i="1"/>
  <c r="AM1269" i="1"/>
  <c r="AP1269" i="1" s="1"/>
  <c r="AJ1269" i="1"/>
  <c r="AA1269" i="1"/>
  <c r="S1269" i="1"/>
  <c r="O1269" i="1"/>
  <c r="K1269" i="1"/>
  <c r="AM1268" i="1"/>
  <c r="AP1268" i="1" s="1"/>
  <c r="AJ1268" i="1"/>
  <c r="AA1268" i="1"/>
  <c r="S1268" i="1"/>
  <c r="O1268" i="1"/>
  <c r="K1268" i="1"/>
  <c r="AM1267" i="1"/>
  <c r="AP1267" i="1" s="1"/>
  <c r="AJ1267" i="1"/>
  <c r="AA1267" i="1"/>
  <c r="S1267" i="1"/>
  <c r="O1267" i="1"/>
  <c r="K1267" i="1"/>
  <c r="AV1267" i="1" s="1"/>
  <c r="AM1266" i="1"/>
  <c r="AP1266" i="1" s="1"/>
  <c r="AJ1266" i="1"/>
  <c r="AA1266" i="1"/>
  <c r="S1266" i="1"/>
  <c r="O1266" i="1"/>
  <c r="K1266" i="1"/>
  <c r="AM1265" i="1"/>
  <c r="AP1265" i="1" s="1"/>
  <c r="AJ1265" i="1"/>
  <c r="AA1265" i="1"/>
  <c r="S1265" i="1"/>
  <c r="O1265" i="1"/>
  <c r="K1265" i="1"/>
  <c r="AM1264" i="1"/>
  <c r="AP1264" i="1" s="1"/>
  <c r="AJ1264" i="1"/>
  <c r="AA1264" i="1"/>
  <c r="S1264" i="1"/>
  <c r="O1264" i="1"/>
  <c r="K1264" i="1"/>
  <c r="AV1264" i="1" s="1"/>
  <c r="AM1263" i="1"/>
  <c r="AP1263" i="1" s="1"/>
  <c r="AJ1263" i="1"/>
  <c r="AA1263" i="1"/>
  <c r="S1263" i="1"/>
  <c r="O1263" i="1"/>
  <c r="K1263" i="1"/>
  <c r="AM1262" i="1"/>
  <c r="AP1262" i="1" s="1"/>
  <c r="AJ1262" i="1"/>
  <c r="AA1262" i="1"/>
  <c r="S1262" i="1"/>
  <c r="O1262" i="1"/>
  <c r="K1262" i="1"/>
  <c r="AM1261" i="1"/>
  <c r="AP1261" i="1" s="1"/>
  <c r="AJ1261" i="1"/>
  <c r="AA1261" i="1"/>
  <c r="S1261" i="1"/>
  <c r="O1261" i="1"/>
  <c r="K1261" i="1"/>
  <c r="AM1260" i="1"/>
  <c r="AP1260" i="1" s="1"/>
  <c r="AJ1260" i="1"/>
  <c r="AA1260" i="1"/>
  <c r="S1260" i="1"/>
  <c r="O1260" i="1"/>
  <c r="K1260" i="1"/>
  <c r="AV1260" i="1" s="1"/>
  <c r="AM1259" i="1"/>
  <c r="AP1259" i="1" s="1"/>
  <c r="AJ1259" i="1"/>
  <c r="AA1259" i="1"/>
  <c r="S1259" i="1"/>
  <c r="O1259" i="1"/>
  <c r="K1259" i="1"/>
  <c r="AM1258" i="1"/>
  <c r="AP1258" i="1" s="1"/>
  <c r="AJ1258" i="1"/>
  <c r="AA1258" i="1"/>
  <c r="S1258" i="1"/>
  <c r="O1258" i="1"/>
  <c r="K1258" i="1"/>
  <c r="AM1257" i="1"/>
  <c r="AP1257" i="1" s="1"/>
  <c r="AJ1257" i="1"/>
  <c r="AA1257" i="1"/>
  <c r="S1257" i="1"/>
  <c r="O1257" i="1"/>
  <c r="K1257" i="1"/>
  <c r="AV1257" i="1" s="1"/>
  <c r="AP1236" i="1"/>
  <c r="AP1250" i="1"/>
  <c r="AP1254" i="1"/>
  <c r="AM1256" i="1"/>
  <c r="AP1256" i="1" s="1"/>
  <c r="AJ1256" i="1"/>
  <c r="AA1256" i="1"/>
  <c r="S1256" i="1"/>
  <c r="O1256" i="1"/>
  <c r="K1256" i="1"/>
  <c r="AV1256" i="1" s="1"/>
  <c r="AM1255" i="1"/>
  <c r="AP1255" i="1" s="1"/>
  <c r="AJ1255" i="1"/>
  <c r="AA1255" i="1"/>
  <c r="S1255" i="1"/>
  <c r="O1255" i="1"/>
  <c r="K1255" i="1"/>
  <c r="AM1254" i="1"/>
  <c r="AJ1254" i="1"/>
  <c r="AA1254" i="1"/>
  <c r="S1254" i="1"/>
  <c r="O1254" i="1"/>
  <c r="K1254" i="1"/>
  <c r="AM1253" i="1"/>
  <c r="AP1253" i="1" s="1"/>
  <c r="AJ1253" i="1"/>
  <c r="AA1253" i="1"/>
  <c r="S1253" i="1"/>
  <c r="O1253" i="1"/>
  <c r="K1253" i="1"/>
  <c r="AM1252" i="1"/>
  <c r="AP1252" i="1" s="1"/>
  <c r="AJ1252" i="1"/>
  <c r="AA1252" i="1"/>
  <c r="S1252" i="1"/>
  <c r="O1252" i="1"/>
  <c r="K1252" i="1"/>
  <c r="AM1251" i="1"/>
  <c r="AP1251" i="1" s="1"/>
  <c r="AJ1251" i="1"/>
  <c r="AA1251" i="1"/>
  <c r="S1251" i="1"/>
  <c r="O1251" i="1"/>
  <c r="K1251" i="1"/>
  <c r="AM1250" i="1"/>
  <c r="AJ1250" i="1"/>
  <c r="AA1250" i="1"/>
  <c r="S1250" i="1"/>
  <c r="O1250" i="1"/>
  <c r="K1250" i="1"/>
  <c r="AM1249" i="1"/>
  <c r="AP1249" i="1" s="1"/>
  <c r="AJ1249" i="1"/>
  <c r="AA1249" i="1"/>
  <c r="S1249" i="1"/>
  <c r="O1249" i="1"/>
  <c r="K1249" i="1"/>
  <c r="AV1249" i="1" s="1"/>
  <c r="AM1248" i="1"/>
  <c r="AP1248" i="1" s="1"/>
  <c r="AJ1248" i="1"/>
  <c r="AA1248" i="1"/>
  <c r="S1248" i="1"/>
  <c r="O1248" i="1"/>
  <c r="K1248" i="1"/>
  <c r="AM1247" i="1"/>
  <c r="AP1247" i="1" s="1"/>
  <c r="AJ1247" i="1"/>
  <c r="AA1247" i="1"/>
  <c r="S1247" i="1"/>
  <c r="O1247" i="1"/>
  <c r="K1247" i="1"/>
  <c r="AM1246" i="1"/>
  <c r="AP1246" i="1" s="1"/>
  <c r="AJ1246" i="1"/>
  <c r="AA1246" i="1"/>
  <c r="S1246" i="1"/>
  <c r="O1246" i="1"/>
  <c r="K1246" i="1"/>
  <c r="AM1245" i="1"/>
  <c r="AP1245" i="1" s="1"/>
  <c r="AJ1245" i="1"/>
  <c r="AA1245" i="1"/>
  <c r="S1245" i="1"/>
  <c r="O1245" i="1"/>
  <c r="K1245" i="1"/>
  <c r="AM1244" i="1"/>
  <c r="AP1244" i="1" s="1"/>
  <c r="AJ1244" i="1"/>
  <c r="AA1244" i="1"/>
  <c r="S1244" i="1"/>
  <c r="O1244" i="1"/>
  <c r="K1244" i="1"/>
  <c r="AM1243" i="1"/>
  <c r="AP1243" i="1" s="1"/>
  <c r="AJ1243" i="1"/>
  <c r="AA1243" i="1"/>
  <c r="S1243" i="1"/>
  <c r="O1243" i="1"/>
  <c r="K1243" i="1"/>
  <c r="AM1242" i="1"/>
  <c r="AP1242" i="1" s="1"/>
  <c r="AJ1242" i="1"/>
  <c r="AA1242" i="1"/>
  <c r="S1242" i="1"/>
  <c r="O1242" i="1"/>
  <c r="K1242" i="1"/>
  <c r="AV1242" i="1" s="1"/>
  <c r="AM1241" i="1"/>
  <c r="AP1241" i="1" s="1"/>
  <c r="AJ1241" i="1"/>
  <c r="AA1241" i="1"/>
  <c r="S1241" i="1"/>
  <c r="O1241" i="1"/>
  <c r="K1241" i="1"/>
  <c r="AM1240" i="1"/>
  <c r="AP1240" i="1" s="1"/>
  <c r="AJ1240" i="1"/>
  <c r="AA1240" i="1"/>
  <c r="S1240" i="1"/>
  <c r="O1240" i="1"/>
  <c r="K1240" i="1"/>
  <c r="AM1239" i="1"/>
  <c r="AP1239" i="1" s="1"/>
  <c r="AJ1239" i="1"/>
  <c r="AA1239" i="1"/>
  <c r="S1239" i="1"/>
  <c r="O1239" i="1"/>
  <c r="K1239" i="1"/>
  <c r="AM1238" i="1"/>
  <c r="AP1238" i="1" s="1"/>
  <c r="AJ1238" i="1"/>
  <c r="AA1238" i="1"/>
  <c r="S1238" i="1"/>
  <c r="O1238" i="1"/>
  <c r="K1238" i="1"/>
  <c r="AM1237" i="1"/>
  <c r="AP1237" i="1" s="1"/>
  <c r="AJ1237" i="1"/>
  <c r="AA1237" i="1"/>
  <c r="S1237" i="1"/>
  <c r="O1237" i="1"/>
  <c r="K1237" i="1"/>
  <c r="AM1236" i="1"/>
  <c r="AJ1236" i="1"/>
  <c r="AA1236" i="1"/>
  <c r="S1236" i="1"/>
  <c r="O1236" i="1"/>
  <c r="K1236" i="1"/>
  <c r="AM1235" i="1"/>
  <c r="AP1235" i="1" s="1"/>
  <c r="AJ1235" i="1"/>
  <c r="AA1235" i="1"/>
  <c r="S1235" i="1"/>
  <c r="O1235" i="1"/>
  <c r="K1235" i="1"/>
  <c r="AV1235" i="1" s="1"/>
  <c r="AM1234" i="1"/>
  <c r="AP1234" i="1" s="1"/>
  <c r="AJ1234" i="1"/>
  <c r="AA1234" i="1"/>
  <c r="S1234" i="1"/>
  <c r="O1234" i="1"/>
  <c r="K1234" i="1"/>
  <c r="AM1233" i="1"/>
  <c r="AP1233" i="1" s="1"/>
  <c r="AJ1233" i="1"/>
  <c r="AA1233" i="1"/>
  <c r="S1233" i="1"/>
  <c r="O1233" i="1"/>
  <c r="K1233" i="1"/>
  <c r="AM1232" i="1"/>
  <c r="AP1232" i="1" s="1"/>
  <c r="AJ1232" i="1"/>
  <c r="AA1232" i="1"/>
  <c r="S1232" i="1"/>
  <c r="O1232" i="1"/>
  <c r="K1232" i="1"/>
  <c r="AM1231" i="1"/>
  <c r="AP1231" i="1" s="1"/>
  <c r="AJ1231" i="1"/>
  <c r="AA1231" i="1"/>
  <c r="S1231" i="1"/>
  <c r="O1231" i="1"/>
  <c r="K1231" i="1"/>
  <c r="AM1230" i="1"/>
  <c r="AP1230" i="1" s="1"/>
  <c r="AJ1230" i="1"/>
  <c r="AA1230" i="1"/>
  <c r="S1230" i="1"/>
  <c r="O1230" i="1"/>
  <c r="K1230" i="1"/>
  <c r="AM1229" i="1"/>
  <c r="AP1229" i="1" s="1"/>
  <c r="AJ1229" i="1"/>
  <c r="AA1229" i="1"/>
  <c r="S1229" i="1"/>
  <c r="O1229" i="1"/>
  <c r="K1229" i="1"/>
  <c r="AM1228" i="1"/>
  <c r="AP1228" i="1" s="1"/>
  <c r="AJ1228" i="1"/>
  <c r="AA1228" i="1"/>
  <c r="S1228" i="1"/>
  <c r="O1228" i="1"/>
  <c r="K1228" i="1"/>
  <c r="AV1228" i="1" s="1"/>
  <c r="AM1227" i="1"/>
  <c r="AP1227" i="1" s="1"/>
  <c r="AJ1227" i="1"/>
  <c r="AA1227" i="1"/>
  <c r="S1227" i="1"/>
  <c r="O1227" i="1"/>
  <c r="K1227" i="1"/>
  <c r="AM1226" i="1"/>
  <c r="AP1226" i="1" s="1"/>
  <c r="AJ1226" i="1"/>
  <c r="AA1226" i="1"/>
  <c r="S1226" i="1"/>
  <c r="O1226" i="1"/>
  <c r="K1226" i="1"/>
  <c r="AM1225" i="1"/>
  <c r="AP1225" i="1" s="1"/>
  <c r="AJ1225" i="1"/>
  <c r="AA1225" i="1"/>
  <c r="S1225" i="1"/>
  <c r="O1225" i="1"/>
  <c r="K1225" i="1"/>
  <c r="AM1224" i="1"/>
  <c r="AP1224" i="1" s="1"/>
  <c r="AJ1224" i="1"/>
  <c r="AA1224" i="1"/>
  <c r="S1224" i="1"/>
  <c r="O1224" i="1"/>
  <c r="K1224" i="1"/>
  <c r="AM1223" i="1"/>
  <c r="AP1223" i="1" s="1"/>
  <c r="AJ1223" i="1"/>
  <c r="AA1223" i="1"/>
  <c r="S1223" i="1"/>
  <c r="O1223" i="1"/>
  <c r="K1223" i="1"/>
  <c r="AM1222" i="1"/>
  <c r="AP1222" i="1" s="1"/>
  <c r="AJ1222" i="1"/>
  <c r="AA1222" i="1"/>
  <c r="S1222" i="1"/>
  <c r="O1222" i="1"/>
  <c r="K1222" i="1"/>
  <c r="AM1221" i="1"/>
  <c r="AP1221" i="1" s="1"/>
  <c r="AJ1221" i="1"/>
  <c r="AA1221" i="1"/>
  <c r="S1221" i="1"/>
  <c r="O1221" i="1"/>
  <c r="K1221" i="1"/>
  <c r="AV1221" i="1" s="1"/>
  <c r="AM1220" i="1"/>
  <c r="AP1220" i="1" s="1"/>
  <c r="AJ1220" i="1"/>
  <c r="AA1220" i="1"/>
  <c r="S1220" i="1"/>
  <c r="O1220" i="1"/>
  <c r="K1220" i="1"/>
  <c r="AM1219" i="1"/>
  <c r="AP1219" i="1" s="1"/>
  <c r="AJ1219" i="1"/>
  <c r="AA1219" i="1"/>
  <c r="S1219" i="1"/>
  <c r="O1219" i="1"/>
  <c r="K1219" i="1"/>
  <c r="AM1218" i="1"/>
  <c r="AP1218" i="1" s="1"/>
  <c r="AJ1218" i="1"/>
  <c r="AA1218" i="1"/>
  <c r="S1218" i="1"/>
  <c r="O1218" i="1"/>
  <c r="K1218" i="1"/>
  <c r="AM1217" i="1"/>
  <c r="AP1217" i="1" s="1"/>
  <c r="AJ1217" i="1"/>
  <c r="AA1217" i="1"/>
  <c r="S1217" i="1"/>
  <c r="O1217" i="1"/>
  <c r="K1217" i="1"/>
  <c r="AM1216" i="1"/>
  <c r="AP1216" i="1" s="1"/>
  <c r="AJ1216" i="1"/>
  <c r="AA1216" i="1"/>
  <c r="S1216" i="1"/>
  <c r="O1216" i="1"/>
  <c r="K1216" i="1"/>
  <c r="AM1215" i="1"/>
  <c r="AP1215" i="1" s="1"/>
  <c r="AJ1215" i="1"/>
  <c r="AA1215" i="1"/>
  <c r="S1215" i="1"/>
  <c r="O1215" i="1"/>
  <c r="K1215" i="1"/>
  <c r="AM1214" i="1"/>
  <c r="AP1214" i="1" s="1"/>
  <c r="AJ1214" i="1"/>
  <c r="AA1214" i="1"/>
  <c r="S1214" i="1"/>
  <c r="O1214" i="1"/>
  <c r="K1214" i="1"/>
  <c r="AV1214" i="1" s="1"/>
  <c r="AM1213" i="1"/>
  <c r="AP1213" i="1" s="1"/>
  <c r="AJ1213" i="1"/>
  <c r="AA1213" i="1"/>
  <c r="S1213" i="1"/>
  <c r="O1213" i="1"/>
  <c r="K1213" i="1"/>
  <c r="AM1212" i="1"/>
  <c r="AP1212" i="1" s="1"/>
  <c r="AJ1212" i="1"/>
  <c r="AA1212" i="1"/>
  <c r="S1212" i="1"/>
  <c r="O1212" i="1"/>
  <c r="K1212" i="1"/>
  <c r="AM1211" i="1"/>
  <c r="AP1211" i="1" s="1"/>
  <c r="AJ1211" i="1"/>
  <c r="AA1211" i="1"/>
  <c r="S1211" i="1"/>
  <c r="O1211" i="1"/>
  <c r="K1211" i="1"/>
  <c r="AV1211" i="1" s="1"/>
  <c r="AM1210" i="1"/>
  <c r="AP1210" i="1" s="1"/>
  <c r="AJ1210" i="1"/>
  <c r="AA1210" i="1"/>
  <c r="S1210" i="1"/>
  <c r="O1210" i="1"/>
  <c r="K1210" i="1"/>
  <c r="AM1209" i="1"/>
  <c r="AP1209" i="1" s="1"/>
  <c r="AJ1209" i="1"/>
  <c r="AA1209" i="1"/>
  <c r="S1209" i="1"/>
  <c r="O1209" i="1"/>
  <c r="K1209" i="1"/>
  <c r="AM1208" i="1"/>
  <c r="AP1208" i="1" s="1"/>
  <c r="AJ1208" i="1"/>
  <c r="AA1208" i="1"/>
  <c r="S1208" i="1"/>
  <c r="O1208" i="1"/>
  <c r="K1208" i="1"/>
  <c r="AM1207" i="1"/>
  <c r="AP1207" i="1" s="1"/>
  <c r="AJ1207" i="1"/>
  <c r="AA1207" i="1"/>
  <c r="S1207" i="1"/>
  <c r="O1207" i="1"/>
  <c r="K1207" i="1"/>
  <c r="AV1207" i="1" s="1"/>
  <c r="AM1206" i="1"/>
  <c r="AP1206" i="1" s="1"/>
  <c r="AJ1206" i="1"/>
  <c r="AA1206" i="1"/>
  <c r="S1206" i="1"/>
  <c r="O1206" i="1"/>
  <c r="K1206" i="1"/>
  <c r="AM1205" i="1"/>
  <c r="AP1205" i="1" s="1"/>
  <c r="AJ1205" i="1"/>
  <c r="AA1205" i="1"/>
  <c r="S1205" i="1"/>
  <c r="O1205" i="1"/>
  <c r="K1205" i="1"/>
  <c r="AM1204" i="1"/>
  <c r="AP1204" i="1" s="1"/>
  <c r="AJ1204" i="1"/>
  <c r="AA1204" i="1"/>
  <c r="S1204" i="1"/>
  <c r="O1204" i="1"/>
  <c r="K1204" i="1"/>
  <c r="AV1204" i="1" s="1"/>
  <c r="AM1203" i="1"/>
  <c r="AP1203" i="1" s="1"/>
  <c r="AJ1203" i="1"/>
  <c r="AA1203" i="1"/>
  <c r="S1203" i="1"/>
  <c r="O1203" i="1"/>
  <c r="K1203" i="1"/>
  <c r="AM1202" i="1"/>
  <c r="AP1202" i="1" s="1"/>
  <c r="AJ1202" i="1"/>
  <c r="AA1202" i="1"/>
  <c r="S1202" i="1"/>
  <c r="O1202" i="1"/>
  <c r="K1202" i="1"/>
  <c r="AM1201" i="1"/>
  <c r="AP1201" i="1" s="1"/>
  <c r="AJ1201" i="1"/>
  <c r="AA1201" i="1"/>
  <c r="S1201" i="1"/>
  <c r="O1201" i="1"/>
  <c r="K1201" i="1"/>
  <c r="AM1200" i="1"/>
  <c r="AP1200" i="1" s="1"/>
  <c r="AJ1200" i="1"/>
  <c r="AA1200" i="1"/>
  <c r="S1200" i="1"/>
  <c r="O1200" i="1"/>
  <c r="K1200" i="1"/>
  <c r="AV1200" i="1" s="1"/>
  <c r="AM1199" i="1"/>
  <c r="AP1199" i="1" s="1"/>
  <c r="AJ1199" i="1"/>
  <c r="AA1199" i="1"/>
  <c r="S1199" i="1"/>
  <c r="O1199" i="1"/>
  <c r="K1199" i="1"/>
  <c r="AM1198" i="1"/>
  <c r="AP1198" i="1" s="1"/>
  <c r="AJ1198" i="1"/>
  <c r="AA1198" i="1"/>
  <c r="S1198" i="1"/>
  <c r="O1198" i="1"/>
  <c r="K1198" i="1"/>
  <c r="AM1197" i="1"/>
  <c r="AP1197" i="1" s="1"/>
  <c r="AJ1197" i="1"/>
  <c r="AA1197" i="1"/>
  <c r="S1197" i="1"/>
  <c r="O1197" i="1"/>
  <c r="K1197" i="1"/>
  <c r="AV1197" i="1" s="1"/>
  <c r="AM1196" i="1"/>
  <c r="AP1196" i="1" s="1"/>
  <c r="AJ1196" i="1"/>
  <c r="AA1196" i="1"/>
  <c r="S1196" i="1"/>
  <c r="O1196" i="1"/>
  <c r="K1196" i="1"/>
  <c r="AM1195" i="1"/>
  <c r="AP1195" i="1" s="1"/>
  <c r="AJ1195" i="1"/>
  <c r="AA1195" i="1"/>
  <c r="S1195" i="1"/>
  <c r="O1195" i="1"/>
  <c r="K1195" i="1"/>
  <c r="AM1194" i="1"/>
  <c r="AP1194" i="1" s="1"/>
  <c r="AJ1194" i="1"/>
  <c r="AA1194" i="1"/>
  <c r="S1194" i="1"/>
  <c r="O1194" i="1"/>
  <c r="K1194" i="1"/>
  <c r="AM1193" i="1"/>
  <c r="AP1193" i="1" s="1"/>
  <c r="AJ1193" i="1"/>
  <c r="AA1193" i="1"/>
  <c r="S1193" i="1"/>
  <c r="O1193" i="1"/>
  <c r="K1193" i="1"/>
  <c r="AV1193" i="1" s="1"/>
  <c r="AM1192" i="1"/>
  <c r="AP1192" i="1" s="1"/>
  <c r="AJ1192" i="1"/>
  <c r="AA1192" i="1"/>
  <c r="S1192" i="1"/>
  <c r="O1192" i="1"/>
  <c r="K1192" i="1"/>
  <c r="AM1191" i="1"/>
  <c r="AP1191" i="1" s="1"/>
  <c r="AJ1191" i="1"/>
  <c r="AA1191" i="1"/>
  <c r="S1191" i="1"/>
  <c r="O1191" i="1"/>
  <c r="K1191" i="1"/>
  <c r="AM1190" i="1"/>
  <c r="AP1190" i="1" s="1"/>
  <c r="AJ1190" i="1"/>
  <c r="AA1190" i="1"/>
  <c r="S1190" i="1"/>
  <c r="O1190" i="1"/>
  <c r="K1190" i="1"/>
  <c r="AV1190" i="1" s="1"/>
  <c r="AM1189" i="1"/>
  <c r="AP1189" i="1" s="1"/>
  <c r="AJ1189" i="1"/>
  <c r="AA1189" i="1"/>
  <c r="S1189" i="1"/>
  <c r="O1189" i="1"/>
  <c r="K1189" i="1"/>
  <c r="AM1188" i="1"/>
  <c r="AP1188" i="1" s="1"/>
  <c r="AJ1188" i="1"/>
  <c r="AA1188" i="1"/>
  <c r="S1188" i="1"/>
  <c r="O1188" i="1"/>
  <c r="K1188" i="1"/>
  <c r="AM1187" i="1"/>
  <c r="AP1187" i="1" s="1"/>
  <c r="AJ1187" i="1"/>
  <c r="AA1187" i="1"/>
  <c r="S1187" i="1"/>
  <c r="O1187" i="1"/>
  <c r="K1187" i="1"/>
  <c r="AM1186" i="1"/>
  <c r="AP1186" i="1" s="1"/>
  <c r="AJ1186" i="1"/>
  <c r="AA1186" i="1"/>
  <c r="S1186" i="1"/>
  <c r="O1186" i="1"/>
  <c r="K1186" i="1"/>
  <c r="AV1186" i="1" s="1"/>
  <c r="AM1185" i="1"/>
  <c r="AP1185" i="1" s="1"/>
  <c r="AJ1185" i="1"/>
  <c r="AA1185" i="1"/>
  <c r="S1185" i="1"/>
  <c r="O1185" i="1"/>
  <c r="K1185" i="1"/>
  <c r="AM1184" i="1"/>
  <c r="AP1184" i="1" s="1"/>
  <c r="AJ1184" i="1"/>
  <c r="AA1184" i="1"/>
  <c r="S1184" i="1"/>
  <c r="O1184" i="1"/>
  <c r="K1184" i="1"/>
  <c r="AM1183" i="1"/>
  <c r="AP1183" i="1" s="1"/>
  <c r="AJ1183" i="1"/>
  <c r="AA1183" i="1"/>
  <c r="S1183" i="1"/>
  <c r="O1183" i="1"/>
  <c r="K1183" i="1"/>
  <c r="AV1183" i="1" s="1"/>
  <c r="AM1182" i="1"/>
  <c r="AP1182" i="1" s="1"/>
  <c r="AJ1182" i="1"/>
  <c r="AA1182" i="1"/>
  <c r="S1182" i="1"/>
  <c r="O1182" i="1"/>
  <c r="K1182" i="1"/>
  <c r="AM1181" i="1"/>
  <c r="AP1181" i="1" s="1"/>
  <c r="AJ1181" i="1"/>
  <c r="AA1181" i="1"/>
  <c r="S1181" i="1"/>
  <c r="O1181" i="1"/>
  <c r="K1181" i="1"/>
  <c r="AM1180" i="1"/>
  <c r="AP1180" i="1" s="1"/>
  <c r="AJ1180" i="1"/>
  <c r="AA1180" i="1"/>
  <c r="S1180" i="1"/>
  <c r="O1180" i="1"/>
  <c r="K1180" i="1"/>
  <c r="AM1179" i="1"/>
  <c r="AP1179" i="1" s="1"/>
  <c r="AJ1179" i="1"/>
  <c r="AA1179" i="1"/>
  <c r="S1179" i="1"/>
  <c r="O1179" i="1"/>
  <c r="K1179" i="1"/>
  <c r="AV1179" i="1" s="1"/>
  <c r="AM1178" i="1"/>
  <c r="AP1178" i="1" s="1"/>
  <c r="AJ1178" i="1"/>
  <c r="AA1178" i="1"/>
  <c r="S1178" i="1"/>
  <c r="O1178" i="1"/>
  <c r="K1178" i="1"/>
  <c r="AM1177" i="1"/>
  <c r="AP1177" i="1" s="1"/>
  <c r="AJ1177" i="1"/>
  <c r="AA1177" i="1"/>
  <c r="S1177" i="1"/>
  <c r="O1177" i="1"/>
  <c r="K1177" i="1"/>
  <c r="AM1176" i="1"/>
  <c r="AP1176" i="1" s="1"/>
  <c r="AJ1176" i="1"/>
  <c r="AA1176" i="1"/>
  <c r="S1176" i="1"/>
  <c r="O1176" i="1"/>
  <c r="K1176" i="1"/>
  <c r="AV1176" i="1" s="1"/>
  <c r="AM1175" i="1"/>
  <c r="AP1175" i="1" s="1"/>
  <c r="AJ1175" i="1"/>
  <c r="AA1175" i="1"/>
  <c r="S1175" i="1"/>
  <c r="O1175" i="1"/>
  <c r="K1175" i="1"/>
  <c r="AM1174" i="1"/>
  <c r="AP1174" i="1" s="1"/>
  <c r="AJ1174" i="1"/>
  <c r="AA1174" i="1"/>
  <c r="S1174" i="1"/>
  <c r="O1174" i="1"/>
  <c r="K1174" i="1"/>
  <c r="AM1173" i="1"/>
  <c r="AP1173" i="1" s="1"/>
  <c r="AJ1173" i="1"/>
  <c r="AA1173" i="1"/>
  <c r="S1173" i="1"/>
  <c r="O1173" i="1"/>
  <c r="K1173" i="1"/>
  <c r="AM1172" i="1"/>
  <c r="AP1172" i="1" s="1"/>
  <c r="AJ1172" i="1"/>
  <c r="AA1172" i="1"/>
  <c r="S1172" i="1"/>
  <c r="O1172" i="1"/>
  <c r="K1172" i="1"/>
  <c r="AV1172" i="1" s="1"/>
  <c r="AM1171" i="1"/>
  <c r="AP1171" i="1" s="1"/>
  <c r="AJ1171" i="1"/>
  <c r="AA1171" i="1"/>
  <c r="S1171" i="1"/>
  <c r="O1171" i="1"/>
  <c r="K1171" i="1"/>
  <c r="AM1170" i="1"/>
  <c r="AP1170" i="1" s="1"/>
  <c r="AJ1170" i="1"/>
  <c r="AA1170" i="1"/>
  <c r="S1170" i="1"/>
  <c r="O1170" i="1"/>
  <c r="K1170" i="1"/>
  <c r="AM1169" i="1"/>
  <c r="AP1169" i="1" s="1"/>
  <c r="AJ1169" i="1"/>
  <c r="AA1169" i="1"/>
  <c r="S1169" i="1"/>
  <c r="O1169" i="1"/>
  <c r="K1169" i="1"/>
  <c r="AV1169" i="1" s="1"/>
  <c r="AM1168" i="1"/>
  <c r="AP1168" i="1" s="1"/>
  <c r="AJ1168" i="1"/>
  <c r="AA1168" i="1"/>
  <c r="S1168" i="1"/>
  <c r="O1168" i="1"/>
  <c r="K1168" i="1"/>
  <c r="AM1167" i="1"/>
  <c r="AP1167" i="1" s="1"/>
  <c r="AJ1167" i="1"/>
  <c r="AA1167" i="1"/>
  <c r="S1167" i="1"/>
  <c r="O1167" i="1"/>
  <c r="K1167" i="1"/>
  <c r="AP1159" i="1"/>
  <c r="AP1160" i="1"/>
  <c r="AP1161" i="1"/>
  <c r="AM1123" i="1"/>
  <c r="AM1124" i="1"/>
  <c r="AM1125" i="1"/>
  <c r="AM1126" i="1"/>
  <c r="AM1127" i="1"/>
  <c r="AM1128" i="1"/>
  <c r="AM1129" i="1"/>
  <c r="AM1130" i="1"/>
  <c r="AM1131" i="1"/>
  <c r="AM1132" i="1"/>
  <c r="AM1133" i="1"/>
  <c r="AM1134" i="1"/>
  <c r="AM1135" i="1"/>
  <c r="AM1136" i="1"/>
  <c r="AP1136" i="1" s="1"/>
  <c r="AM1137" i="1"/>
  <c r="AP1137" i="1" s="1"/>
  <c r="AM1138" i="1"/>
  <c r="AP1138" i="1" s="1"/>
  <c r="AM1139" i="1"/>
  <c r="AP1139" i="1" s="1"/>
  <c r="AM1140" i="1"/>
  <c r="AP1140" i="1" s="1"/>
  <c r="AM1141" i="1"/>
  <c r="AP1141" i="1" s="1"/>
  <c r="AM1142" i="1"/>
  <c r="AP1142" i="1" s="1"/>
  <c r="AM1143" i="1"/>
  <c r="AP1143" i="1" s="1"/>
  <c r="AM1144" i="1"/>
  <c r="AP1144" i="1" s="1"/>
  <c r="AM1145" i="1"/>
  <c r="AP1145" i="1" s="1"/>
  <c r="AM1146" i="1"/>
  <c r="AP1146" i="1" s="1"/>
  <c r="AM1147" i="1"/>
  <c r="AP1147" i="1" s="1"/>
  <c r="AM1148" i="1"/>
  <c r="AP1148" i="1" s="1"/>
  <c r="AM1149" i="1"/>
  <c r="AP1149" i="1" s="1"/>
  <c r="AM1150" i="1"/>
  <c r="AP1150" i="1" s="1"/>
  <c r="AM1151" i="1"/>
  <c r="AP1151" i="1" s="1"/>
  <c r="AM1152" i="1"/>
  <c r="AP1152" i="1" s="1"/>
  <c r="AM1153" i="1"/>
  <c r="AP1153" i="1" s="1"/>
  <c r="AM1154" i="1"/>
  <c r="AP1154" i="1" s="1"/>
  <c r="AM1155" i="1"/>
  <c r="AP1155" i="1" s="1"/>
  <c r="AM1156" i="1"/>
  <c r="AP1156" i="1" s="1"/>
  <c r="AM1157" i="1"/>
  <c r="AP1157" i="1" s="1"/>
  <c r="AM1158" i="1"/>
  <c r="AP1158" i="1" s="1"/>
  <c r="AM1159" i="1"/>
  <c r="AM1160" i="1"/>
  <c r="AM1161" i="1"/>
  <c r="AM1162" i="1"/>
  <c r="AP1162" i="1" s="1"/>
  <c r="AM1163" i="1"/>
  <c r="AP1163" i="1" s="1"/>
  <c r="AM1164" i="1"/>
  <c r="AP1164" i="1" s="1"/>
  <c r="AM1165" i="1"/>
  <c r="AP1165" i="1" s="1"/>
  <c r="AM1166" i="1"/>
  <c r="AP1166" i="1" s="1"/>
  <c r="AM1122" i="1"/>
  <c r="AJ1123" i="1"/>
  <c r="AJ1124" i="1"/>
  <c r="AJ1125" i="1"/>
  <c r="AJ1126" i="1"/>
  <c r="AJ1127" i="1"/>
  <c r="AJ1128" i="1"/>
  <c r="AJ1129" i="1"/>
  <c r="AJ1130" i="1"/>
  <c r="AJ1131" i="1"/>
  <c r="AJ1132" i="1"/>
  <c r="AJ1133" i="1"/>
  <c r="AJ1134" i="1"/>
  <c r="AJ1135" i="1"/>
  <c r="AJ1136" i="1"/>
  <c r="AJ1137" i="1"/>
  <c r="AJ1138" i="1"/>
  <c r="AJ1139" i="1"/>
  <c r="AJ1140" i="1"/>
  <c r="AJ1141" i="1"/>
  <c r="AJ1142" i="1"/>
  <c r="AJ1143" i="1"/>
  <c r="AJ1144" i="1"/>
  <c r="AJ1145" i="1"/>
  <c r="AJ1146" i="1"/>
  <c r="AJ1147" i="1"/>
  <c r="AJ1148" i="1"/>
  <c r="AJ1149" i="1"/>
  <c r="AJ1150" i="1"/>
  <c r="AJ1151" i="1"/>
  <c r="AJ1152" i="1"/>
  <c r="AJ1153" i="1"/>
  <c r="AJ1154" i="1"/>
  <c r="AJ1155" i="1"/>
  <c r="AJ1156" i="1"/>
  <c r="AJ1157" i="1"/>
  <c r="AJ1158" i="1"/>
  <c r="AJ1159" i="1"/>
  <c r="AJ1160" i="1"/>
  <c r="AJ1161" i="1"/>
  <c r="AJ1162" i="1"/>
  <c r="AJ1163" i="1"/>
  <c r="AJ1164" i="1"/>
  <c r="AJ1165" i="1"/>
  <c r="AJ1166" i="1"/>
  <c r="AJ1122" i="1"/>
  <c r="AA1123" i="1"/>
  <c r="AA1124" i="1"/>
  <c r="AA1125" i="1"/>
  <c r="AA1126" i="1"/>
  <c r="AA1127" i="1"/>
  <c r="AA1128" i="1"/>
  <c r="AA1129" i="1"/>
  <c r="AA1130" i="1"/>
  <c r="AA1131" i="1"/>
  <c r="AA1132" i="1"/>
  <c r="AA1133" i="1"/>
  <c r="AA1134" i="1"/>
  <c r="AA1135" i="1"/>
  <c r="AA1136" i="1"/>
  <c r="AA1137" i="1"/>
  <c r="AA1138" i="1"/>
  <c r="AA1139" i="1"/>
  <c r="AA1140" i="1"/>
  <c r="AA1141" i="1"/>
  <c r="AA1142" i="1"/>
  <c r="AA1143" i="1"/>
  <c r="AA1144" i="1"/>
  <c r="AA1145" i="1"/>
  <c r="AA1146" i="1"/>
  <c r="AA1147" i="1"/>
  <c r="AA1148" i="1"/>
  <c r="AA1149" i="1"/>
  <c r="AA1150" i="1"/>
  <c r="AA1151" i="1"/>
  <c r="AA1152" i="1"/>
  <c r="AA1153" i="1"/>
  <c r="AA1154" i="1"/>
  <c r="AA1155" i="1"/>
  <c r="AA1156" i="1"/>
  <c r="AA1157" i="1"/>
  <c r="AA1158" i="1"/>
  <c r="AA1159" i="1"/>
  <c r="AA1160" i="1"/>
  <c r="AA1161" i="1"/>
  <c r="AA1162" i="1"/>
  <c r="AA1163" i="1"/>
  <c r="AA1164" i="1"/>
  <c r="AA1165" i="1"/>
  <c r="AA1166" i="1"/>
  <c r="AA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22" i="1"/>
  <c r="K1123" i="1"/>
  <c r="K1124" i="1"/>
  <c r="K1125" i="1"/>
  <c r="K1126" i="1"/>
  <c r="K1127" i="1"/>
  <c r="K1128" i="1"/>
  <c r="K1129" i="1"/>
  <c r="K1130" i="1"/>
  <c r="K1131" i="1"/>
  <c r="K1132" i="1"/>
  <c r="K1133" i="1"/>
  <c r="AS1133" i="1" s="1"/>
  <c r="K1134" i="1"/>
  <c r="AS1134" i="1" s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AV1149" i="1" s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AV1163" i="1" s="1"/>
  <c r="K1164" i="1"/>
  <c r="K1165" i="1"/>
  <c r="K1166" i="1"/>
  <c r="K1122" i="1"/>
  <c r="AZ1687" i="1" l="1"/>
  <c r="BA1687" i="1" s="1"/>
  <c r="AZ1491" i="1"/>
  <c r="BA1491" i="1" s="1"/>
  <c r="AW1491" i="1"/>
  <c r="AX1491" i="1" s="1"/>
  <c r="AW1496" i="1"/>
  <c r="AX1496" i="1" s="1"/>
  <c r="AZ1496" i="1"/>
  <c r="BA1496" i="1" s="1"/>
  <c r="AW1553" i="1"/>
  <c r="AX1553" i="1" s="1"/>
  <c r="AZ1583" i="1"/>
  <c r="BA1583" i="1" s="1"/>
  <c r="AW1583" i="1"/>
  <c r="AX1583" i="1" s="1"/>
  <c r="AV1167" i="1"/>
  <c r="AV1174" i="1"/>
  <c r="AV1181" i="1"/>
  <c r="AV1188" i="1"/>
  <c r="AV1195" i="1"/>
  <c r="AV1202" i="1"/>
  <c r="AV1209" i="1"/>
  <c r="AV1411" i="1"/>
  <c r="AV1397" i="1"/>
  <c r="AZ1460" i="1"/>
  <c r="BA1460" i="1" s="1"/>
  <c r="AZ1530" i="1"/>
  <c r="BA1530" i="1" s="1"/>
  <c r="AZ1693" i="1"/>
  <c r="BA1693" i="1" s="1"/>
  <c r="AZ1456" i="1"/>
  <c r="BA1456" i="1" s="1"/>
  <c r="AW1672" i="1"/>
  <c r="AX1672" i="1" s="1"/>
  <c r="AV1262" i="1"/>
  <c r="AV1269" i="1"/>
  <c r="AV1336" i="1"/>
  <c r="AV1343" i="1"/>
  <c r="AV1350" i="1"/>
  <c r="AV1357" i="1"/>
  <c r="AZ1679" i="1"/>
  <c r="BA1679" i="1" s="1"/>
  <c r="AZ1509" i="1"/>
  <c r="BA1509" i="1" s="1"/>
  <c r="AW1509" i="1"/>
  <c r="AX1509" i="1" s="1"/>
  <c r="AZ1577" i="1"/>
  <c r="BA1577" i="1" s="1"/>
  <c r="AW1577" i="1"/>
  <c r="AX1577" i="1" s="1"/>
  <c r="AZ1688" i="1"/>
  <c r="BA1688" i="1" s="1"/>
  <c r="AZ1682" i="1"/>
  <c r="BA1682" i="1" s="1"/>
  <c r="AZ1670" i="1"/>
  <c r="BA1670" i="1" s="1"/>
  <c r="AZ1448" i="1"/>
  <c r="BA1448" i="1" s="1"/>
  <c r="AZ1461" i="1"/>
  <c r="BA1461" i="1" s="1"/>
  <c r="AW1461" i="1"/>
  <c r="AX1461" i="1" s="1"/>
  <c r="AW1634" i="1"/>
  <c r="AX1634" i="1" s="1"/>
  <c r="AZ1634" i="1"/>
  <c r="BA1634" i="1" s="1"/>
  <c r="AZ1646" i="1"/>
  <c r="BA1646" i="1" s="1"/>
  <c r="AZ1669" i="1"/>
  <c r="BA1669" i="1" s="1"/>
  <c r="AZ1544" i="1"/>
  <c r="BA1544" i="1" s="1"/>
  <c r="AZ1628" i="1"/>
  <c r="BA1628" i="1" s="1"/>
  <c r="AW1462" i="1"/>
  <c r="AX1462" i="1" s="1"/>
  <c r="AW1533" i="1"/>
  <c r="AX1533" i="1" s="1"/>
  <c r="AZ1481" i="1"/>
  <c r="BA1481" i="1" s="1"/>
  <c r="AZ1598" i="1"/>
  <c r="BA1598" i="1" s="1"/>
  <c r="AW1598" i="1"/>
  <c r="AX1598" i="1" s="1"/>
  <c r="AZ1474" i="1"/>
  <c r="BA1474" i="1" s="1"/>
  <c r="AZ1455" i="1"/>
  <c r="BA1455" i="1" s="1"/>
  <c r="AZ1478" i="1"/>
  <c r="BA1478" i="1" s="1"/>
  <c r="AW1478" i="1"/>
  <c r="AX1478" i="1" s="1"/>
  <c r="AV1258" i="1"/>
  <c r="AV1265" i="1"/>
  <c r="AV1272" i="1"/>
  <c r="AV1279" i="1"/>
  <c r="AV1286" i="1"/>
  <c r="AX1527" i="1"/>
  <c r="AW1542" i="1"/>
  <c r="AX1542" i="1" s="1"/>
  <c r="AZ1495" i="1"/>
  <c r="BA1495" i="1" s="1"/>
  <c r="AZ1629" i="1"/>
  <c r="BA1629" i="1" s="1"/>
  <c r="AZ1591" i="1"/>
  <c r="BA1591" i="1" s="1"/>
  <c r="AW1591" i="1"/>
  <c r="AX1591" i="1" s="1"/>
  <c r="AW1645" i="1"/>
  <c r="AX1645" i="1" s="1"/>
  <c r="AW1587" i="1"/>
  <c r="AX1587" i="1" s="1"/>
  <c r="AZ1587" i="1"/>
  <c r="BA1587" i="1" s="1"/>
  <c r="AZ1576" i="1"/>
  <c r="BA1576" i="1" s="1"/>
  <c r="AZ1562" i="1"/>
  <c r="BA1562" i="1" s="1"/>
  <c r="AW1562" i="1"/>
  <c r="AX1562" i="1" s="1"/>
  <c r="AZ1498" i="1"/>
  <c r="BA1498" i="1" s="1"/>
  <c r="AZ1624" i="1"/>
  <c r="BA1624" i="1" s="1"/>
  <c r="AZ1499" i="1"/>
  <c r="BA1499" i="1" s="1"/>
  <c r="AZ1446" i="1"/>
  <c r="BA1446" i="1" s="1"/>
  <c r="AW1446" i="1"/>
  <c r="AX1446" i="1" s="1"/>
  <c r="AZ1665" i="1"/>
  <c r="BA1665" i="1" s="1"/>
  <c r="AZ1639" i="1"/>
  <c r="BA1639" i="1" s="1"/>
  <c r="AW1639" i="1"/>
  <c r="AX1639" i="1" s="1"/>
  <c r="AW1532" i="1"/>
  <c r="AX1532" i="1" s="1"/>
  <c r="AZ1596" i="1"/>
  <c r="BA1596" i="1" s="1"/>
  <c r="AZ1602" i="1"/>
  <c r="BA1602" i="1" s="1"/>
  <c r="AX1512" i="1"/>
  <c r="AZ1459" i="1"/>
  <c r="BA1459" i="1" s="1"/>
  <c r="AW1459" i="1"/>
  <c r="AX1459" i="1" s="1"/>
  <c r="AV1370" i="1"/>
  <c r="AV1377" i="1"/>
  <c r="AV1384" i="1"/>
  <c r="AV1391" i="1"/>
  <c r="AZ1471" i="1"/>
  <c r="BA1471" i="1" s="1"/>
  <c r="AZ1580" i="1"/>
  <c r="BA1580" i="1" s="1"/>
  <c r="AW1605" i="1"/>
  <c r="AX1605" i="1" s="1"/>
  <c r="AZ1605" i="1"/>
  <c r="BA1605" i="1" s="1"/>
  <c r="AZ1633" i="1"/>
  <c r="BA1633" i="1" s="1"/>
  <c r="AZ1627" i="1"/>
  <c r="BA1627" i="1" s="1"/>
  <c r="AW1627" i="1"/>
  <c r="AX1627" i="1" s="1"/>
  <c r="AV1276" i="1"/>
  <c r="AV1283" i="1"/>
  <c r="AV1290" i="1"/>
  <c r="AV1297" i="1"/>
  <c r="AZ1534" i="1"/>
  <c r="BA1534" i="1" s="1"/>
  <c r="AZ1500" i="1"/>
  <c r="BA1500" i="1" s="1"/>
  <c r="AZ1485" i="1"/>
  <c r="BA1485" i="1" s="1"/>
  <c r="AZ1477" i="1"/>
  <c r="BA1477" i="1" s="1"/>
  <c r="AZ1671" i="1"/>
  <c r="BA1671" i="1" s="1"/>
  <c r="AZ1692" i="1"/>
  <c r="BA1692" i="1" s="1"/>
  <c r="AZ1637" i="1"/>
  <c r="BA1637" i="1" s="1"/>
  <c r="AZ1575" i="1"/>
  <c r="BA1575" i="1" s="1"/>
  <c r="AZ1463" i="1"/>
  <c r="BA1463" i="1" s="1"/>
  <c r="AZ1516" i="1"/>
  <c r="BA1516" i="1" s="1"/>
  <c r="AV1233" i="1"/>
  <c r="AZ1523" i="1"/>
  <c r="BA1523" i="1" s="1"/>
  <c r="AZ1525" i="1"/>
  <c r="BA1525" i="1" s="1"/>
  <c r="AW1482" i="1"/>
  <c r="AX1482" i="1" s="1"/>
  <c r="AZ1519" i="1"/>
  <c r="BA1519" i="1" s="1"/>
  <c r="AZ1445" i="1"/>
  <c r="BA1445" i="1" s="1"/>
  <c r="AZ1684" i="1"/>
  <c r="BA1684" i="1" s="1"/>
  <c r="AV1226" i="1"/>
  <c r="AV1293" i="1"/>
  <c r="AV1300" i="1"/>
  <c r="AZ1686" i="1"/>
  <c r="BA1686" i="1" s="1"/>
  <c r="AZ1568" i="1"/>
  <c r="BA1568" i="1" s="1"/>
  <c r="AZ1617" i="1"/>
  <c r="BA1617" i="1" s="1"/>
  <c r="AZ1549" i="1"/>
  <c r="BA1549" i="1" s="1"/>
  <c r="AZ1453" i="1"/>
  <c r="BA1453" i="1" s="1"/>
  <c r="AV1212" i="1"/>
  <c r="AV1219" i="1"/>
  <c r="AV1240" i="1"/>
  <c r="AV1247" i="1"/>
  <c r="AV1254" i="1"/>
  <c r="AZ1661" i="1"/>
  <c r="BA1661" i="1" s="1"/>
  <c r="AW1693" i="1"/>
  <c r="AX1693" i="1" s="1"/>
  <c r="AZ1649" i="1"/>
  <c r="BA1649" i="1" s="1"/>
  <c r="AZ1451" i="1"/>
  <c r="BA1451" i="1" s="1"/>
  <c r="AZ1476" i="1"/>
  <c r="BA1476" i="1" s="1"/>
  <c r="AV1224" i="1"/>
  <c r="AV1238" i="1"/>
  <c r="AV1245" i="1"/>
  <c r="AV1252" i="1"/>
  <c r="AV1365" i="1"/>
  <c r="AV1372" i="1"/>
  <c r="AV1379" i="1"/>
  <c r="AV1386" i="1"/>
  <c r="AV1393" i="1"/>
  <c r="AW1463" i="1"/>
  <c r="AX1463" i="1" s="1"/>
  <c r="AZ1582" i="1"/>
  <c r="BA1582" i="1" s="1"/>
  <c r="AZ1691" i="1"/>
  <c r="BA1691" i="1" s="1"/>
  <c r="AZ1469" i="1"/>
  <c r="BA1469" i="1" s="1"/>
  <c r="AS1123" i="1"/>
  <c r="AZ1502" i="1"/>
  <c r="BA1502" i="1" s="1"/>
  <c r="AW1549" i="1"/>
  <c r="AX1549" i="1" s="1"/>
  <c r="AZ1497" i="1"/>
  <c r="BA1497" i="1" s="1"/>
  <c r="AZ1635" i="1"/>
  <c r="BA1635" i="1" s="1"/>
  <c r="AZ1554" i="1"/>
  <c r="BA1554" i="1" s="1"/>
  <c r="AZ1454" i="1"/>
  <c r="BA1454" i="1" s="1"/>
  <c r="AZ1609" i="1"/>
  <c r="BA1609" i="1" s="1"/>
  <c r="AX1494" i="1"/>
  <c r="AX1517" i="1"/>
  <c r="AX1523" i="1"/>
  <c r="AX1537" i="1"/>
  <c r="AS1165" i="1"/>
  <c r="AV1165" i="1"/>
  <c r="AS1137" i="1"/>
  <c r="AV1137" i="1"/>
  <c r="AS1327" i="1"/>
  <c r="AV1327" i="1"/>
  <c r="AZ1630" i="1"/>
  <c r="BA1630" i="1" s="1"/>
  <c r="AW1630" i="1"/>
  <c r="AX1630" i="1" s="1"/>
  <c r="AS1199" i="1"/>
  <c r="AV1199" i="1"/>
  <c r="AS1206" i="1"/>
  <c r="AY1206" i="1" s="1"/>
  <c r="AV1206" i="1"/>
  <c r="AS1312" i="1"/>
  <c r="AV1312" i="1"/>
  <c r="AV1428" i="1"/>
  <c r="AS1340" i="1"/>
  <c r="AV1340" i="1"/>
  <c r="AS1347" i="1"/>
  <c r="AV1347" i="1"/>
  <c r="AV1410" i="1"/>
  <c r="AS1422" i="1"/>
  <c r="AV1422" i="1"/>
  <c r="AZ1539" i="1"/>
  <c r="BA1539" i="1" s="1"/>
  <c r="AW1539" i="1"/>
  <c r="AX1539" i="1" s="1"/>
  <c r="AS1148" i="1"/>
  <c r="AV1148" i="1"/>
  <c r="AS1310" i="1"/>
  <c r="AY1310" i="1" s="1"/>
  <c r="AV1310" i="1"/>
  <c r="AV1409" i="1"/>
  <c r="AS1440" i="1"/>
  <c r="AV1440" i="1"/>
  <c r="AZ1536" i="1"/>
  <c r="BA1536" i="1" s="1"/>
  <c r="AW1536" i="1"/>
  <c r="AX1536" i="1" s="1"/>
  <c r="AZ1631" i="1"/>
  <c r="BA1631" i="1" s="1"/>
  <c r="AW1456" i="1"/>
  <c r="AX1456" i="1" s="1"/>
  <c r="AS1147" i="1"/>
  <c r="AY1147" i="1" s="1"/>
  <c r="AV1147" i="1"/>
  <c r="AV1231" i="1"/>
  <c r="AS1425" i="1"/>
  <c r="AZ1565" i="1"/>
  <c r="BA1565" i="1" s="1"/>
  <c r="AW1692" i="1"/>
  <c r="AX1692" i="1" s="1"/>
  <c r="AW1602" i="1"/>
  <c r="AX1602" i="1" s="1"/>
  <c r="AV1322" i="1"/>
  <c r="AS1368" i="1"/>
  <c r="AV1368" i="1"/>
  <c r="AS1375" i="1"/>
  <c r="AV1375" i="1"/>
  <c r="AS1382" i="1"/>
  <c r="AV1382" i="1"/>
  <c r="AV1407" i="1"/>
  <c r="AS1424" i="1"/>
  <c r="AY1424" i="1" s="1"/>
  <c r="AV1424" i="1"/>
  <c r="AZ1464" i="1"/>
  <c r="BA1464" i="1" s="1"/>
  <c r="AW1455" i="1"/>
  <c r="AX1455" i="1" s="1"/>
  <c r="AV1145" i="1"/>
  <c r="AS1215" i="1"/>
  <c r="AV1215" i="1"/>
  <c r="AS1229" i="1"/>
  <c r="AV1229" i="1"/>
  <c r="AS1236" i="1"/>
  <c r="AV1236" i="1"/>
  <c r="AS1243" i="1"/>
  <c r="AY1243" i="1" s="1"/>
  <c r="AV1243" i="1"/>
  <c r="AS1250" i="1"/>
  <c r="AV1250" i="1"/>
  <c r="AV1420" i="1"/>
  <c r="AZ1531" i="1"/>
  <c r="BA1531" i="1" s="1"/>
  <c r="AW1691" i="1"/>
  <c r="AX1691" i="1" s="1"/>
  <c r="AW1575" i="1"/>
  <c r="AX1575" i="1" s="1"/>
  <c r="AW1451" i="1"/>
  <c r="AX1451" i="1" s="1"/>
  <c r="AZ1494" i="1"/>
  <c r="BA1494" i="1" s="1"/>
  <c r="AV1158" i="1"/>
  <c r="AV1320" i="1"/>
  <c r="AS1366" i="1"/>
  <c r="AV1366" i="1"/>
  <c r="AS1387" i="1"/>
  <c r="AV1387" i="1"/>
  <c r="AV1419" i="1"/>
  <c r="AZ1668" i="1"/>
  <c r="BA1668" i="1" s="1"/>
  <c r="AZ1513" i="1"/>
  <c r="BA1513" i="1" s="1"/>
  <c r="AW1513" i="1"/>
  <c r="AX1513" i="1" s="1"/>
  <c r="AW1552" i="1"/>
  <c r="AX1552" i="1" s="1"/>
  <c r="AZ1552" i="1"/>
  <c r="BA1552" i="1" s="1"/>
  <c r="AW1633" i="1"/>
  <c r="AX1633" i="1" s="1"/>
  <c r="AZ1614" i="1"/>
  <c r="BA1614" i="1" s="1"/>
  <c r="AZ1504" i="1"/>
  <c r="BA1504" i="1" s="1"/>
  <c r="AW1608" i="1"/>
  <c r="AX1608" i="1" s="1"/>
  <c r="AV1143" i="1"/>
  <c r="AS1213" i="1"/>
  <c r="AV1213" i="1"/>
  <c r="AS1220" i="1"/>
  <c r="AV1220" i="1"/>
  <c r="AS1227" i="1"/>
  <c r="AV1227" i="1"/>
  <c r="AS1234" i="1"/>
  <c r="AV1234" i="1"/>
  <c r="AS1241" i="1"/>
  <c r="AV1241" i="1"/>
  <c r="AS1248" i="1"/>
  <c r="AV1248" i="1"/>
  <c r="AS1255" i="1"/>
  <c r="AV1255" i="1"/>
  <c r="AS1284" i="1"/>
  <c r="AV1284" i="1"/>
  <c r="AV1319" i="1"/>
  <c r="AV1418" i="1"/>
  <c r="AW1568" i="1"/>
  <c r="AX1568" i="1" s="1"/>
  <c r="AW1454" i="1"/>
  <c r="AX1454" i="1" s="1"/>
  <c r="AW1600" i="1"/>
  <c r="AX1600" i="1" s="1"/>
  <c r="AZ1545" i="1"/>
  <c r="BA1545" i="1" s="1"/>
  <c r="AW1545" i="1"/>
  <c r="AX1545" i="1" s="1"/>
  <c r="AV1156" i="1"/>
  <c r="AV1332" i="1"/>
  <c r="AV1304" i="1"/>
  <c r="AV1403" i="1"/>
  <c r="AW1629" i="1"/>
  <c r="AX1629" i="1" s="1"/>
  <c r="AW1546" i="1"/>
  <c r="AX1546" i="1" s="1"/>
  <c r="AW1671" i="1"/>
  <c r="AX1671" i="1" s="1"/>
  <c r="AZ1466" i="1"/>
  <c r="BA1466" i="1" s="1"/>
  <c r="AZ1490" i="1"/>
  <c r="BA1490" i="1" s="1"/>
  <c r="AV1155" i="1"/>
  <c r="AV1141" i="1"/>
  <c r="AS1218" i="1"/>
  <c r="AV1218" i="1"/>
  <c r="AS1225" i="1"/>
  <c r="AV1225" i="1"/>
  <c r="AS1232" i="1"/>
  <c r="AV1232" i="1"/>
  <c r="AS1239" i="1"/>
  <c r="AV1239" i="1"/>
  <c r="AS1246" i="1"/>
  <c r="AV1246" i="1"/>
  <c r="AS1253" i="1"/>
  <c r="AV1253" i="1"/>
  <c r="AS1261" i="1"/>
  <c r="AV1261" i="1"/>
  <c r="AS1268" i="1"/>
  <c r="AY1268" i="1" s="1"/>
  <c r="AV1268" i="1"/>
  <c r="AS1275" i="1"/>
  <c r="AV1275" i="1"/>
  <c r="AS1282" i="1"/>
  <c r="AV1282" i="1"/>
  <c r="AS1289" i="1"/>
  <c r="AV1289" i="1"/>
  <c r="AS1296" i="1"/>
  <c r="AV1296" i="1"/>
  <c r="AV1331" i="1"/>
  <c r="AV1317" i="1"/>
  <c r="AV1303" i="1"/>
  <c r="AV1339" i="1"/>
  <c r="AV1346" i="1"/>
  <c r="AV1353" i="1"/>
  <c r="AV1360" i="1"/>
  <c r="AS1416" i="1"/>
  <c r="AY1416" i="1" s="1"/>
  <c r="AV1416" i="1"/>
  <c r="AS1402" i="1"/>
  <c r="AY1402" i="1" s="1"/>
  <c r="AV1402" i="1"/>
  <c r="AZ1514" i="1"/>
  <c r="BA1514" i="1" s="1"/>
  <c r="AW1514" i="1"/>
  <c r="AX1514" i="1" s="1"/>
  <c r="AW1507" i="1"/>
  <c r="AX1507" i="1" s="1"/>
  <c r="AZ1664" i="1"/>
  <c r="BA1664" i="1" s="1"/>
  <c r="AZ1581" i="1"/>
  <c r="BA1581" i="1" s="1"/>
  <c r="AZ1572" i="1"/>
  <c r="BA1572" i="1" s="1"/>
  <c r="AW1572" i="1"/>
  <c r="AX1572" i="1" s="1"/>
  <c r="AZ1480" i="1"/>
  <c r="BA1480" i="1" s="1"/>
  <c r="AZ1636" i="1"/>
  <c r="BA1636" i="1" s="1"/>
  <c r="AW1661" i="1"/>
  <c r="AX1661" i="1" s="1"/>
  <c r="AW1485" i="1"/>
  <c r="AX1485" i="1" s="1"/>
  <c r="AZ1505" i="1"/>
  <c r="BA1505" i="1" s="1"/>
  <c r="AZ1442" i="1"/>
  <c r="BA1442" i="1" s="1"/>
  <c r="AZ1458" i="1"/>
  <c r="BA1458" i="1" s="1"/>
  <c r="AW1686" i="1"/>
  <c r="AX1686" i="1" s="1"/>
  <c r="AW1448" i="1"/>
  <c r="AX1448" i="1" s="1"/>
  <c r="AW1479" i="1"/>
  <c r="AX1479" i="1" s="1"/>
  <c r="AZ1673" i="1"/>
  <c r="BA1673" i="1" s="1"/>
  <c r="AW1516" i="1"/>
  <c r="AX1516" i="1" s="1"/>
  <c r="AW1502" i="1"/>
  <c r="AX1502" i="1" s="1"/>
  <c r="AW1497" i="1"/>
  <c r="AX1497" i="1" s="1"/>
  <c r="AW1604" i="1"/>
  <c r="AX1604" i="1" s="1"/>
  <c r="AW1647" i="1"/>
  <c r="AX1647" i="1" s="1"/>
  <c r="AZ1683" i="1"/>
  <c r="BA1683" i="1" s="1"/>
  <c r="AW1679" i="1"/>
  <c r="AX1679" i="1" s="1"/>
  <c r="AZ1626" i="1"/>
  <c r="BA1626" i="1" s="1"/>
  <c r="AW1626" i="1"/>
  <c r="AX1626" i="1" s="1"/>
  <c r="AS1313" i="1"/>
  <c r="AV1313" i="1"/>
  <c r="AS1335" i="1"/>
  <c r="AV1335" i="1"/>
  <c r="AS1349" i="1"/>
  <c r="AV1349" i="1"/>
  <c r="AS1356" i="1"/>
  <c r="AV1356" i="1"/>
  <c r="AS1363" i="1"/>
  <c r="AV1363" i="1"/>
  <c r="AS1412" i="1"/>
  <c r="AV1412" i="1"/>
  <c r="AS1398" i="1"/>
  <c r="AV1398" i="1"/>
  <c r="AZ1621" i="1"/>
  <c r="BA1621" i="1" s="1"/>
  <c r="AW1621" i="1"/>
  <c r="AX1621" i="1" s="1"/>
  <c r="AS1150" i="1"/>
  <c r="AV1150" i="1"/>
  <c r="AS1178" i="1"/>
  <c r="AY1178" i="1" s="1"/>
  <c r="AV1178" i="1"/>
  <c r="AS1326" i="1"/>
  <c r="AY1326" i="1" s="1"/>
  <c r="AV1326" i="1"/>
  <c r="AV1325" i="1"/>
  <c r="AS1333" i="1"/>
  <c r="AV1333" i="1"/>
  <c r="AS1361" i="1"/>
  <c r="AV1361" i="1"/>
  <c r="AV1396" i="1"/>
  <c r="AS1427" i="1"/>
  <c r="AY1427" i="1" s="1"/>
  <c r="AZ1528" i="1"/>
  <c r="BA1528" i="1" s="1"/>
  <c r="AW1528" i="1"/>
  <c r="AX1528" i="1" s="1"/>
  <c r="AW1652" i="1"/>
  <c r="AX1652" i="1" s="1"/>
  <c r="AZ1652" i="1"/>
  <c r="BA1652" i="1" s="1"/>
  <c r="AS1324" i="1"/>
  <c r="AY1324" i="1" s="1"/>
  <c r="AV1324" i="1"/>
  <c r="AS1426" i="1"/>
  <c r="AV1408" i="1"/>
  <c r="AS1439" i="1"/>
  <c r="AZ1449" i="1"/>
  <c r="BA1449" i="1" s="1"/>
  <c r="AV1160" i="1"/>
  <c r="AV1146" i="1"/>
  <c r="AV1308" i="1"/>
  <c r="AS1438" i="1"/>
  <c r="AX1579" i="1"/>
  <c r="AW1560" i="1"/>
  <c r="AX1560" i="1" s="1"/>
  <c r="AZ1560" i="1"/>
  <c r="BA1560" i="1" s="1"/>
  <c r="AV1159" i="1"/>
  <c r="AS1222" i="1"/>
  <c r="AY1222" i="1" s="1"/>
  <c r="AV1222" i="1"/>
  <c r="AV1307" i="1"/>
  <c r="AV1406" i="1"/>
  <c r="AV1423" i="1"/>
  <c r="AZ1521" i="1"/>
  <c r="BA1521" i="1" s="1"/>
  <c r="AW1521" i="1"/>
  <c r="AX1521" i="1" s="1"/>
  <c r="AW1558" i="1"/>
  <c r="AX1558" i="1" s="1"/>
  <c r="AZ1590" i="1"/>
  <c r="BA1590" i="1" s="1"/>
  <c r="AW1590" i="1"/>
  <c r="AX1590" i="1" s="1"/>
  <c r="AW1573" i="1"/>
  <c r="AX1573" i="1" s="1"/>
  <c r="AZ1625" i="1"/>
  <c r="BA1625" i="1" s="1"/>
  <c r="AW1625" i="1"/>
  <c r="AX1625" i="1" s="1"/>
  <c r="AV1144" i="1"/>
  <c r="AV1306" i="1"/>
  <c r="AS1380" i="1"/>
  <c r="AV1380" i="1"/>
  <c r="AV1405" i="1"/>
  <c r="AV1436" i="1"/>
  <c r="AX1551" i="1"/>
  <c r="AW1615" i="1"/>
  <c r="AX1615" i="1" s="1"/>
  <c r="AW1584" i="1"/>
  <c r="AX1584" i="1" s="1"/>
  <c r="AV1157" i="1"/>
  <c r="AS1263" i="1"/>
  <c r="AV1263" i="1"/>
  <c r="AS1270" i="1"/>
  <c r="AY1270" i="1" s="1"/>
  <c r="AV1270" i="1"/>
  <c r="AS1277" i="1"/>
  <c r="AV1277" i="1"/>
  <c r="AS1298" i="1"/>
  <c r="AV1298" i="1"/>
  <c r="AV1305" i="1"/>
  <c r="AV1404" i="1"/>
  <c r="AZ1447" i="1"/>
  <c r="BA1447" i="1" s="1"/>
  <c r="AZ1559" i="1"/>
  <c r="BA1559" i="1" s="1"/>
  <c r="AV1142" i="1"/>
  <c r="AV1170" i="1"/>
  <c r="AV1177" i="1"/>
  <c r="AV1184" i="1"/>
  <c r="AV1191" i="1"/>
  <c r="AV1198" i="1"/>
  <c r="AV1205" i="1"/>
  <c r="AV1318" i="1"/>
  <c r="AS1364" i="1"/>
  <c r="AV1364" i="1"/>
  <c r="AS1378" i="1"/>
  <c r="AV1378" i="1"/>
  <c r="AS1385" i="1"/>
  <c r="AY1385" i="1" s="1"/>
  <c r="AV1385" i="1"/>
  <c r="AS1392" i="1"/>
  <c r="AV1392" i="1"/>
  <c r="AV1417" i="1"/>
  <c r="AZ1541" i="1"/>
  <c r="BA1541" i="1" s="1"/>
  <c r="AW1541" i="1"/>
  <c r="AX1541" i="1" s="1"/>
  <c r="AZ1607" i="1"/>
  <c r="BA1607" i="1" s="1"/>
  <c r="AW1607" i="1"/>
  <c r="AX1607" i="1" s="1"/>
  <c r="AV1154" i="1"/>
  <c r="AV1140" i="1"/>
  <c r="AS1168" i="1"/>
  <c r="AY1168" i="1" s="1"/>
  <c r="AV1168" i="1"/>
  <c r="AS1175" i="1"/>
  <c r="AV1175" i="1"/>
  <c r="AS1182" i="1"/>
  <c r="AY1182" i="1" s="1"/>
  <c r="AV1182" i="1"/>
  <c r="AS1189" i="1"/>
  <c r="AV1189" i="1"/>
  <c r="AS1196" i="1"/>
  <c r="AV1196" i="1"/>
  <c r="AS1203" i="1"/>
  <c r="AV1203" i="1"/>
  <c r="AS1210" i="1"/>
  <c r="AV1210" i="1"/>
  <c r="AV1330" i="1"/>
  <c r="AV1316" i="1"/>
  <c r="AV1302" i="1"/>
  <c r="AV1369" i="1"/>
  <c r="AV1376" i="1"/>
  <c r="AV1383" i="1"/>
  <c r="AV1390" i="1"/>
  <c r="AV1415" i="1"/>
  <c r="AV1401" i="1"/>
  <c r="AW1525" i="1"/>
  <c r="AX1525" i="1" s="1"/>
  <c r="AW1493" i="1"/>
  <c r="AX1493" i="1" s="1"/>
  <c r="AW1469" i="1"/>
  <c r="AX1469" i="1" s="1"/>
  <c r="AZ1564" i="1"/>
  <c r="BA1564" i="1" s="1"/>
  <c r="AZ1542" i="1"/>
  <c r="BA1542" i="1" s="1"/>
  <c r="AW1682" i="1"/>
  <c r="AX1682" i="1" s="1"/>
  <c r="AW1534" i="1"/>
  <c r="AX1534" i="1" s="1"/>
  <c r="AW1530" i="1"/>
  <c r="AX1530" i="1" s="1"/>
  <c r="AW1616" i="1"/>
  <c r="AX1616" i="1" s="1"/>
  <c r="AW1688" i="1"/>
  <c r="AX1688" i="1" s="1"/>
  <c r="AS1164" i="1"/>
  <c r="AV1164" i="1"/>
  <c r="AS1192" i="1"/>
  <c r="AV1192" i="1"/>
  <c r="AS1162" i="1"/>
  <c r="AV1162" i="1"/>
  <c r="AS1309" i="1"/>
  <c r="AV1309" i="1"/>
  <c r="AV1321" i="1"/>
  <c r="AV1153" i="1"/>
  <c r="AV1230" i="1"/>
  <c r="AV1329" i="1"/>
  <c r="AS1337" i="1"/>
  <c r="AV1337" i="1"/>
  <c r="AS1344" i="1"/>
  <c r="AV1344" i="1"/>
  <c r="AS1351" i="1"/>
  <c r="AV1351" i="1"/>
  <c r="AS1358" i="1"/>
  <c r="AV1358" i="1"/>
  <c r="AV1414" i="1"/>
  <c r="AV1400" i="1"/>
  <c r="AV1431" i="1"/>
  <c r="AZ1535" i="1"/>
  <c r="BA1535" i="1" s="1"/>
  <c r="AW1535" i="1"/>
  <c r="AX1535" i="1" s="1"/>
  <c r="AW1477" i="1"/>
  <c r="AX1477" i="1" s="1"/>
  <c r="AW1476" i="1"/>
  <c r="AX1476" i="1" s="1"/>
  <c r="AW1646" i="1"/>
  <c r="AX1646" i="1" s="1"/>
  <c r="AW1471" i="1"/>
  <c r="AX1471" i="1" s="1"/>
  <c r="AW1670" i="1"/>
  <c r="AX1670" i="1" s="1"/>
  <c r="AW1515" i="1"/>
  <c r="AX1515" i="1" s="1"/>
  <c r="AZ1522" i="1"/>
  <c r="BA1522" i="1" s="1"/>
  <c r="AW1522" i="1"/>
  <c r="AX1522" i="1" s="1"/>
  <c r="AW1684" i="1"/>
  <c r="AX1684" i="1" s="1"/>
  <c r="AW1460" i="1"/>
  <c r="AX1460" i="1" s="1"/>
  <c r="AW1669" i="1"/>
  <c r="AX1669" i="1" s="1"/>
  <c r="AW1510" i="1"/>
  <c r="AX1510" i="1" s="1"/>
  <c r="AW1649" i="1"/>
  <c r="AX1649" i="1" s="1"/>
  <c r="AW1523" i="1"/>
  <c r="AZ1537" i="1"/>
  <c r="BA1537" i="1" s="1"/>
  <c r="AW1617" i="1"/>
  <c r="AX1617" i="1" s="1"/>
  <c r="AS1151" i="1"/>
  <c r="AV1151" i="1"/>
  <c r="AS1342" i="1"/>
  <c r="AV1342" i="1"/>
  <c r="AZ1675" i="1"/>
  <c r="BA1675" i="1" s="1"/>
  <c r="AW1675" i="1"/>
  <c r="AX1675" i="1" s="1"/>
  <c r="AS1136" i="1"/>
  <c r="AV1136" i="1"/>
  <c r="AS1171" i="1"/>
  <c r="AV1171" i="1"/>
  <c r="AS1185" i="1"/>
  <c r="AV1185" i="1"/>
  <c r="AS1354" i="1"/>
  <c r="AV1354" i="1"/>
  <c r="AZ1550" i="1"/>
  <c r="BA1550" i="1" s="1"/>
  <c r="AW1550" i="1"/>
  <c r="AX1550" i="1" s="1"/>
  <c r="AV1395" i="1"/>
  <c r="AW1651" i="1"/>
  <c r="AX1651" i="1" s="1"/>
  <c r="AZ1651" i="1"/>
  <c r="BA1651" i="1" s="1"/>
  <c r="AS1161" i="1"/>
  <c r="AY1161" i="1" s="1"/>
  <c r="AV1161" i="1"/>
  <c r="AV1217" i="1"/>
  <c r="AS1323" i="1"/>
  <c r="AV1323" i="1"/>
  <c r="AS1389" i="1"/>
  <c r="AV1389" i="1"/>
  <c r="AV1437" i="1"/>
  <c r="AZ1517" i="1"/>
  <c r="BA1517" i="1" s="1"/>
  <c r="AW1517" i="1"/>
  <c r="AZ1543" i="1"/>
  <c r="BA1543" i="1" s="1"/>
  <c r="AW1543" i="1"/>
  <c r="AX1543" i="1" s="1"/>
  <c r="AS1373" i="1"/>
  <c r="AV1373" i="1"/>
  <c r="AS1394" i="1"/>
  <c r="AV1394" i="1"/>
  <c r="AZ1538" i="1"/>
  <c r="BA1538" i="1" s="1"/>
  <c r="AW1538" i="1"/>
  <c r="AX1538" i="1" s="1"/>
  <c r="AS1291" i="1"/>
  <c r="AV1291" i="1"/>
  <c r="AS1371" i="1"/>
  <c r="AY1371" i="1" s="1"/>
  <c r="AV1371" i="1"/>
  <c r="AV1139" i="1"/>
  <c r="AV1216" i="1"/>
  <c r="AV1223" i="1"/>
  <c r="AV1237" i="1"/>
  <c r="AV1244" i="1"/>
  <c r="AV1251" i="1"/>
  <c r="AS1259" i="1"/>
  <c r="AV1259" i="1"/>
  <c r="AS1266" i="1"/>
  <c r="AV1266" i="1"/>
  <c r="AS1273" i="1"/>
  <c r="AV1273" i="1"/>
  <c r="AS1280" i="1"/>
  <c r="AV1280" i="1"/>
  <c r="AS1287" i="1"/>
  <c r="AV1287" i="1"/>
  <c r="AS1294" i="1"/>
  <c r="AV1294" i="1"/>
  <c r="AS1301" i="1"/>
  <c r="AV1301" i="1"/>
  <c r="AV1315" i="1"/>
  <c r="AV1166" i="1"/>
  <c r="AV1152" i="1"/>
  <c r="AV1138" i="1"/>
  <c r="AS1173" i="1"/>
  <c r="AV1173" i="1"/>
  <c r="AS1180" i="1"/>
  <c r="AY1180" i="1" s="1"/>
  <c r="AV1180" i="1"/>
  <c r="AS1187" i="1"/>
  <c r="AV1187" i="1"/>
  <c r="AS1194" i="1"/>
  <c r="AV1194" i="1"/>
  <c r="AS1201" i="1"/>
  <c r="AV1201" i="1"/>
  <c r="AS1208" i="1"/>
  <c r="AV1208" i="1"/>
  <c r="AV1328" i="1"/>
  <c r="AV1314" i="1"/>
  <c r="AV1367" i="1"/>
  <c r="AV1374" i="1"/>
  <c r="AV1381" i="1"/>
  <c r="AV1388" i="1"/>
  <c r="AS1413" i="1"/>
  <c r="AV1413" i="1"/>
  <c r="AS1399" i="1"/>
  <c r="AV1399" i="1"/>
  <c r="AS1430" i="1"/>
  <c r="AZ1529" i="1"/>
  <c r="BA1529" i="1" s="1"/>
  <c r="AW1529" i="1"/>
  <c r="AX1529" i="1" s="1"/>
  <c r="AR1186" i="1"/>
  <c r="AU1186" i="1"/>
  <c r="AR1207" i="1"/>
  <c r="AU1207" i="1"/>
  <c r="AR1260" i="1"/>
  <c r="AU1260" i="1"/>
  <c r="AU1281" i="1"/>
  <c r="AR1281" i="1"/>
  <c r="AS1154" i="1"/>
  <c r="AS1140" i="1"/>
  <c r="AS1126" i="1"/>
  <c r="AU1166" i="1"/>
  <c r="AR1166" i="1"/>
  <c r="AR1152" i="1"/>
  <c r="AU1152" i="1"/>
  <c r="AR1138" i="1"/>
  <c r="AU1138" i="1"/>
  <c r="AR1124" i="1"/>
  <c r="AS1212" i="1"/>
  <c r="AR1216" i="1"/>
  <c r="AU1216" i="1"/>
  <c r="AS1219" i="1"/>
  <c r="AR1223" i="1"/>
  <c r="AU1223" i="1"/>
  <c r="AS1226" i="1"/>
  <c r="AR1230" i="1"/>
  <c r="AU1230" i="1"/>
  <c r="AS1233" i="1"/>
  <c r="AR1237" i="1"/>
  <c r="AU1237" i="1"/>
  <c r="AS1240" i="1"/>
  <c r="AR1244" i="1"/>
  <c r="AU1244" i="1"/>
  <c r="AS1247" i="1"/>
  <c r="AU1251" i="1"/>
  <c r="AR1251" i="1"/>
  <c r="AS1254" i="1"/>
  <c r="AS1330" i="1"/>
  <c r="AS1316" i="1"/>
  <c r="AS1302" i="1"/>
  <c r="AR1328" i="1"/>
  <c r="AU1328" i="1"/>
  <c r="AR1314" i="1"/>
  <c r="AU1314" i="1"/>
  <c r="AS1334" i="1"/>
  <c r="AU1338" i="1"/>
  <c r="AR1338" i="1"/>
  <c r="AS1341" i="1"/>
  <c r="AR1345" i="1"/>
  <c r="AU1345" i="1"/>
  <c r="AS1348" i="1"/>
  <c r="AU1352" i="1"/>
  <c r="AR1352" i="1"/>
  <c r="AS1355" i="1"/>
  <c r="AU1359" i="1"/>
  <c r="AR1359" i="1"/>
  <c r="AS1362" i="1"/>
  <c r="AT1416" i="1"/>
  <c r="AR1410" i="1"/>
  <c r="AU1410" i="1"/>
  <c r="AU1396" i="1"/>
  <c r="AR1396" i="1"/>
  <c r="AR1436" i="1"/>
  <c r="AS1122" i="1"/>
  <c r="AS1153" i="1"/>
  <c r="AS1139" i="1"/>
  <c r="AS1125" i="1"/>
  <c r="AR1165" i="1"/>
  <c r="AU1165" i="1"/>
  <c r="AU1151" i="1"/>
  <c r="AR1151" i="1"/>
  <c r="AR1137" i="1"/>
  <c r="AU1137" i="1"/>
  <c r="AR1123" i="1"/>
  <c r="AU1167" i="1"/>
  <c r="AR1167" i="1"/>
  <c r="AS1170" i="1"/>
  <c r="AU1174" i="1"/>
  <c r="AR1174" i="1"/>
  <c r="AS1177" i="1"/>
  <c r="AU1181" i="1"/>
  <c r="AR1181" i="1"/>
  <c r="AS1184" i="1"/>
  <c r="AU1188" i="1"/>
  <c r="AR1188" i="1"/>
  <c r="AS1191" i="1"/>
  <c r="AR1195" i="1"/>
  <c r="AU1195" i="1"/>
  <c r="AS1198" i="1"/>
  <c r="AR1202" i="1"/>
  <c r="AU1202" i="1"/>
  <c r="AS1205" i="1"/>
  <c r="AU1209" i="1"/>
  <c r="AR1209" i="1"/>
  <c r="AS1258" i="1"/>
  <c r="AU1262" i="1"/>
  <c r="AR1262" i="1"/>
  <c r="AS1265" i="1"/>
  <c r="AR1269" i="1"/>
  <c r="AU1269" i="1"/>
  <c r="AS1272" i="1"/>
  <c r="AR1276" i="1"/>
  <c r="AU1276" i="1"/>
  <c r="AS1279" i="1"/>
  <c r="AR1283" i="1"/>
  <c r="AU1283" i="1"/>
  <c r="AS1286" i="1"/>
  <c r="AU1290" i="1"/>
  <c r="AR1290" i="1"/>
  <c r="AS1293" i="1"/>
  <c r="AU1297" i="1"/>
  <c r="AR1297" i="1"/>
  <c r="AS1300" i="1"/>
  <c r="AS1329" i="1"/>
  <c r="AS1315" i="1"/>
  <c r="AU1327" i="1"/>
  <c r="AR1327" i="1"/>
  <c r="AR1313" i="1"/>
  <c r="AU1313" i="1"/>
  <c r="AU1367" i="1"/>
  <c r="AR1367" i="1"/>
  <c r="AS1370" i="1"/>
  <c r="AR1374" i="1"/>
  <c r="AU1374" i="1"/>
  <c r="AS1377" i="1"/>
  <c r="AR1381" i="1"/>
  <c r="AU1381" i="1"/>
  <c r="AS1384" i="1"/>
  <c r="AR1388" i="1"/>
  <c r="AU1388" i="1"/>
  <c r="AS1391" i="1"/>
  <c r="AS1415" i="1"/>
  <c r="AS1401" i="1"/>
  <c r="AU1409" i="1"/>
  <c r="AR1409" i="1"/>
  <c r="AR1395" i="1"/>
  <c r="AU1395" i="1"/>
  <c r="AS1429" i="1"/>
  <c r="AR1435" i="1"/>
  <c r="AS1166" i="1"/>
  <c r="AS1152" i="1"/>
  <c r="AS1138" i="1"/>
  <c r="AS1124" i="1"/>
  <c r="AR1164" i="1"/>
  <c r="AU1164" i="1"/>
  <c r="AU1150" i="1"/>
  <c r="AR1150" i="1"/>
  <c r="AR1136" i="1"/>
  <c r="AU1136" i="1"/>
  <c r="AU1214" i="1"/>
  <c r="AR1214" i="1"/>
  <c r="AS1217" i="1"/>
  <c r="AR1221" i="1"/>
  <c r="AU1221" i="1"/>
  <c r="AS1224" i="1"/>
  <c r="AU1228" i="1"/>
  <c r="AR1228" i="1"/>
  <c r="AS1231" i="1"/>
  <c r="AR1235" i="1"/>
  <c r="AU1235" i="1"/>
  <c r="AS1238" i="1"/>
  <c r="AU1242" i="1"/>
  <c r="AR1242" i="1"/>
  <c r="AS1245" i="1"/>
  <c r="AU1249" i="1"/>
  <c r="AR1249" i="1"/>
  <c r="AS1252" i="1"/>
  <c r="AR1256" i="1"/>
  <c r="AU1256" i="1"/>
  <c r="AS1328" i="1"/>
  <c r="AS1314" i="1"/>
  <c r="AU1326" i="1"/>
  <c r="AR1326" i="1"/>
  <c r="AU1312" i="1"/>
  <c r="AR1312" i="1"/>
  <c r="AR1336" i="1"/>
  <c r="AU1336" i="1"/>
  <c r="AS1339" i="1"/>
  <c r="AR1343" i="1"/>
  <c r="AU1343" i="1"/>
  <c r="AS1346" i="1"/>
  <c r="AU1350" i="1"/>
  <c r="AR1350" i="1"/>
  <c r="AS1353" i="1"/>
  <c r="AU1357" i="1"/>
  <c r="AR1357" i="1"/>
  <c r="AS1360" i="1"/>
  <c r="AS1414" i="1"/>
  <c r="AS1400" i="1"/>
  <c r="AU1408" i="1"/>
  <c r="AR1408" i="1"/>
  <c r="AS1428" i="1"/>
  <c r="AR1434" i="1"/>
  <c r="AU1163" i="1"/>
  <c r="AR1163" i="1"/>
  <c r="AR1179" i="1"/>
  <c r="AU1179" i="1"/>
  <c r="AR1274" i="1"/>
  <c r="AU1274" i="1"/>
  <c r="AR1288" i="1"/>
  <c r="AU1288" i="1"/>
  <c r="AR1295" i="1"/>
  <c r="AU1295" i="1"/>
  <c r="AU1372" i="1"/>
  <c r="AR1372" i="1"/>
  <c r="AR1407" i="1"/>
  <c r="AU1407" i="1"/>
  <c r="AU1148" i="1"/>
  <c r="AR1148" i="1"/>
  <c r="AR1219" i="1"/>
  <c r="AU1219" i="1"/>
  <c r="AR1233" i="1"/>
  <c r="AU1233" i="1"/>
  <c r="AT1243" i="1"/>
  <c r="AT1326" i="1"/>
  <c r="AU1348" i="1"/>
  <c r="AR1348" i="1"/>
  <c r="AU1420" i="1"/>
  <c r="AR1420" i="1"/>
  <c r="AR1406" i="1"/>
  <c r="AU1406" i="1"/>
  <c r="AS1163" i="1"/>
  <c r="AR1161" i="1"/>
  <c r="AU1161" i="1"/>
  <c r="AU1177" i="1"/>
  <c r="AR1177" i="1"/>
  <c r="AR1198" i="1"/>
  <c r="AU1198" i="1"/>
  <c r="AU1205" i="1"/>
  <c r="AR1205" i="1"/>
  <c r="AU1265" i="1"/>
  <c r="AR1265" i="1"/>
  <c r="AR1272" i="1"/>
  <c r="AU1272" i="1"/>
  <c r="AR1279" i="1"/>
  <c r="AU1279" i="1"/>
  <c r="AU1293" i="1"/>
  <c r="AR1293" i="1"/>
  <c r="AU1300" i="1"/>
  <c r="AR1300" i="1"/>
  <c r="AR1323" i="1"/>
  <c r="AU1323" i="1"/>
  <c r="AR1309" i="1"/>
  <c r="AU1309" i="1"/>
  <c r="AR1377" i="1"/>
  <c r="AU1377" i="1"/>
  <c r="AR1384" i="1"/>
  <c r="AU1384" i="1"/>
  <c r="AR1391" i="1"/>
  <c r="AU1391" i="1"/>
  <c r="AS1411" i="1"/>
  <c r="AS1397" i="1"/>
  <c r="AR1419" i="1"/>
  <c r="AU1419" i="1"/>
  <c r="AU1405" i="1"/>
  <c r="AR1405" i="1"/>
  <c r="AR1431" i="1"/>
  <c r="AR1231" i="1"/>
  <c r="AU1231" i="1"/>
  <c r="AU1245" i="1"/>
  <c r="AR1245" i="1"/>
  <c r="AU1346" i="1"/>
  <c r="AR1346" i="1"/>
  <c r="AR1360" i="1"/>
  <c r="AU1360" i="1"/>
  <c r="AS1410" i="1"/>
  <c r="AS1396" i="1"/>
  <c r="AR1418" i="1"/>
  <c r="AU1418" i="1"/>
  <c r="AU1404" i="1"/>
  <c r="AR1404" i="1"/>
  <c r="AT1424" i="1"/>
  <c r="AU1189" i="1"/>
  <c r="AR1189" i="1"/>
  <c r="AR1196" i="1"/>
  <c r="AU1196" i="1"/>
  <c r="AU1270" i="1"/>
  <c r="AR1270" i="1"/>
  <c r="AR1298" i="1"/>
  <c r="AU1298" i="1"/>
  <c r="AU1307" i="1"/>
  <c r="AR1307" i="1"/>
  <c r="AR1368" i="1"/>
  <c r="AU1368" i="1"/>
  <c r="AS1395" i="1"/>
  <c r="AR1417" i="1"/>
  <c r="AU1417" i="1"/>
  <c r="AS1437" i="1"/>
  <c r="AS1423" i="1"/>
  <c r="AS1146" i="1"/>
  <c r="AU1144" i="1"/>
  <c r="AR1144" i="1"/>
  <c r="AU1236" i="1"/>
  <c r="AR1236" i="1"/>
  <c r="AU1250" i="1"/>
  <c r="AR1250" i="1"/>
  <c r="AS1322" i="1"/>
  <c r="AS1308" i="1"/>
  <c r="AU1320" i="1"/>
  <c r="AR1320" i="1"/>
  <c r="AR1306" i="1"/>
  <c r="AU1306" i="1"/>
  <c r="AR1337" i="1"/>
  <c r="AU1337" i="1"/>
  <c r="AR1344" i="1"/>
  <c r="AU1344" i="1"/>
  <c r="AR1351" i="1"/>
  <c r="AU1351" i="1"/>
  <c r="AR1358" i="1"/>
  <c r="AU1358" i="1"/>
  <c r="AS1408" i="1"/>
  <c r="AU1416" i="1"/>
  <c r="AR1416" i="1"/>
  <c r="AU1402" i="1"/>
  <c r="AR1402" i="1"/>
  <c r="AS1436" i="1"/>
  <c r="AR1428" i="1"/>
  <c r="AS1159" i="1"/>
  <c r="AS1145" i="1"/>
  <c r="AS1131" i="1"/>
  <c r="AU1157" i="1"/>
  <c r="AR1157" i="1"/>
  <c r="AR1143" i="1"/>
  <c r="AU1143" i="1"/>
  <c r="AR1129" i="1"/>
  <c r="AS1169" i="1"/>
  <c r="AU1173" i="1"/>
  <c r="AR1173" i="1"/>
  <c r="AS1176" i="1"/>
  <c r="AR1180" i="1"/>
  <c r="AU1180" i="1"/>
  <c r="AS1183" i="1"/>
  <c r="AR1187" i="1"/>
  <c r="AU1187" i="1"/>
  <c r="AS1190" i="1"/>
  <c r="AR1194" i="1"/>
  <c r="AU1194" i="1"/>
  <c r="AS1197" i="1"/>
  <c r="AU1201" i="1"/>
  <c r="AR1201" i="1"/>
  <c r="AS1204" i="1"/>
  <c r="AU1208" i="1"/>
  <c r="AR1208" i="1"/>
  <c r="AS1211" i="1"/>
  <c r="AS1257" i="1"/>
  <c r="AR1261" i="1"/>
  <c r="AU1261" i="1"/>
  <c r="AS1264" i="1"/>
  <c r="AR1268" i="1"/>
  <c r="AU1268" i="1"/>
  <c r="AS1271" i="1"/>
  <c r="AR1275" i="1"/>
  <c r="AU1275" i="1"/>
  <c r="AS1278" i="1"/>
  <c r="AU1282" i="1"/>
  <c r="AR1282" i="1"/>
  <c r="AS1285" i="1"/>
  <c r="AU1289" i="1"/>
  <c r="AR1289" i="1"/>
  <c r="AS1292" i="1"/>
  <c r="AR1296" i="1"/>
  <c r="AU1296" i="1"/>
  <c r="AS1299" i="1"/>
  <c r="AS1321" i="1"/>
  <c r="AS1307" i="1"/>
  <c r="AR1319" i="1"/>
  <c r="AU1319" i="1"/>
  <c r="AU1305" i="1"/>
  <c r="AR1305" i="1"/>
  <c r="AR1366" i="1"/>
  <c r="AU1366" i="1"/>
  <c r="AS1369" i="1"/>
  <c r="AR1373" i="1"/>
  <c r="AU1373" i="1"/>
  <c r="AS1376" i="1"/>
  <c r="AR1380" i="1"/>
  <c r="AU1380" i="1"/>
  <c r="AS1383" i="1"/>
  <c r="AU1387" i="1"/>
  <c r="AR1387" i="1"/>
  <c r="AS1390" i="1"/>
  <c r="AU1394" i="1"/>
  <c r="AR1394" i="1"/>
  <c r="AS1407" i="1"/>
  <c r="AU1415" i="1"/>
  <c r="AR1415" i="1"/>
  <c r="AU1401" i="1"/>
  <c r="AR1401" i="1"/>
  <c r="AS1435" i="1"/>
  <c r="AR1422" i="1"/>
  <c r="AU1422" i="1"/>
  <c r="AR1427" i="1"/>
  <c r="AR1135" i="1"/>
  <c r="AR1212" i="1"/>
  <c r="AU1212" i="1"/>
  <c r="AR1432" i="1"/>
  <c r="AS1135" i="1"/>
  <c r="AR1147" i="1"/>
  <c r="AU1147" i="1"/>
  <c r="AS1311" i="1"/>
  <c r="AU1146" i="1"/>
  <c r="AR1146" i="1"/>
  <c r="AR1224" i="1"/>
  <c r="AU1224" i="1"/>
  <c r="AR1308" i="1"/>
  <c r="AU1308" i="1"/>
  <c r="AR1339" i="1"/>
  <c r="AU1339" i="1"/>
  <c r="AR1430" i="1"/>
  <c r="AU1159" i="1"/>
  <c r="AR1159" i="1"/>
  <c r="AR1175" i="1"/>
  <c r="AU1175" i="1"/>
  <c r="AR1203" i="1"/>
  <c r="AU1203" i="1"/>
  <c r="AU1277" i="1"/>
  <c r="AR1277" i="1"/>
  <c r="AU1382" i="1"/>
  <c r="AR1382" i="1"/>
  <c r="AS1409" i="1"/>
  <c r="AR1403" i="1"/>
  <c r="AU1403" i="1"/>
  <c r="AR1429" i="1"/>
  <c r="AR1215" i="1"/>
  <c r="AU1215" i="1"/>
  <c r="AR1222" i="1"/>
  <c r="AU1222" i="1"/>
  <c r="AS1158" i="1"/>
  <c r="AS1144" i="1"/>
  <c r="AS1130" i="1"/>
  <c r="AR1156" i="1"/>
  <c r="AU1156" i="1"/>
  <c r="AR1142" i="1"/>
  <c r="AU1142" i="1"/>
  <c r="AR1128" i="1"/>
  <c r="AU1213" i="1"/>
  <c r="AR1213" i="1"/>
  <c r="AS1216" i="1"/>
  <c r="AU1220" i="1"/>
  <c r="AR1220" i="1"/>
  <c r="AS1223" i="1"/>
  <c r="AR1227" i="1"/>
  <c r="AU1227" i="1"/>
  <c r="AS1230" i="1"/>
  <c r="AU1234" i="1"/>
  <c r="AR1234" i="1"/>
  <c r="AS1237" i="1"/>
  <c r="AU1241" i="1"/>
  <c r="AR1241" i="1"/>
  <c r="AS1244" i="1"/>
  <c r="AR1248" i="1"/>
  <c r="AU1248" i="1"/>
  <c r="AS1251" i="1"/>
  <c r="AR1255" i="1"/>
  <c r="AU1255" i="1"/>
  <c r="AS1320" i="1"/>
  <c r="AS1306" i="1"/>
  <c r="AR1332" i="1"/>
  <c r="AU1332" i="1"/>
  <c r="AU1318" i="1"/>
  <c r="AR1318" i="1"/>
  <c r="AU1304" i="1"/>
  <c r="AR1304" i="1"/>
  <c r="AR1335" i="1"/>
  <c r="AU1335" i="1"/>
  <c r="AS1338" i="1"/>
  <c r="AU1342" i="1"/>
  <c r="AR1342" i="1"/>
  <c r="AS1345" i="1"/>
  <c r="AR1349" i="1"/>
  <c r="AU1349" i="1"/>
  <c r="AS1352" i="1"/>
  <c r="AR1356" i="1"/>
  <c r="AU1356" i="1"/>
  <c r="AS1359" i="1"/>
  <c r="AR1363" i="1"/>
  <c r="AU1363" i="1"/>
  <c r="AS1420" i="1"/>
  <c r="AS1406" i="1"/>
  <c r="AR1414" i="1"/>
  <c r="AU1414" i="1"/>
  <c r="AU1400" i="1"/>
  <c r="AR1400" i="1"/>
  <c r="AS1434" i="1"/>
  <c r="AR1440" i="1"/>
  <c r="AR1426" i="1"/>
  <c r="AU1172" i="1"/>
  <c r="AR1172" i="1"/>
  <c r="AU1193" i="1"/>
  <c r="AR1193" i="1"/>
  <c r="AU1365" i="1"/>
  <c r="AR1365" i="1"/>
  <c r="AU1379" i="1"/>
  <c r="AR1379" i="1"/>
  <c r="AR1393" i="1"/>
  <c r="AU1393" i="1"/>
  <c r="AR1134" i="1"/>
  <c r="AU1254" i="1"/>
  <c r="AR1254" i="1"/>
  <c r="AU1324" i="1"/>
  <c r="AR1324" i="1"/>
  <c r="AR1362" i="1"/>
  <c r="AU1362" i="1"/>
  <c r="AS1149" i="1"/>
  <c r="AR1133" i="1"/>
  <c r="AR1170" i="1"/>
  <c r="AU1170" i="1"/>
  <c r="AR1184" i="1"/>
  <c r="AU1184" i="1"/>
  <c r="AU1258" i="1"/>
  <c r="AR1258" i="1"/>
  <c r="AR1160" i="1"/>
  <c r="AU1160" i="1"/>
  <c r="AU1353" i="1"/>
  <c r="AR1353" i="1"/>
  <c r="AR1131" i="1"/>
  <c r="AU1182" i="1"/>
  <c r="AR1182" i="1"/>
  <c r="AR1210" i="1"/>
  <c r="AU1210" i="1"/>
  <c r="AR1291" i="1"/>
  <c r="AU1291" i="1"/>
  <c r="AU1389" i="1"/>
  <c r="AR1389" i="1"/>
  <c r="AR1158" i="1"/>
  <c r="AU1158" i="1"/>
  <c r="AR1229" i="1"/>
  <c r="AU1229" i="1"/>
  <c r="AS1157" i="1"/>
  <c r="AS1143" i="1"/>
  <c r="AS1129" i="1"/>
  <c r="AU1155" i="1"/>
  <c r="AR1155" i="1"/>
  <c r="AR1141" i="1"/>
  <c r="AU1141" i="1"/>
  <c r="AR1127" i="1"/>
  <c r="AS1167" i="1"/>
  <c r="AR1171" i="1"/>
  <c r="AU1171" i="1"/>
  <c r="AS1174" i="1"/>
  <c r="AU1178" i="1"/>
  <c r="AR1178" i="1"/>
  <c r="AS1181" i="1"/>
  <c r="AU1185" i="1"/>
  <c r="AR1185" i="1"/>
  <c r="AS1188" i="1"/>
  <c r="AR1192" i="1"/>
  <c r="AU1192" i="1"/>
  <c r="AS1195" i="1"/>
  <c r="AR1199" i="1"/>
  <c r="AU1199" i="1"/>
  <c r="AS1202" i="1"/>
  <c r="AR1206" i="1"/>
  <c r="AU1206" i="1"/>
  <c r="AS1209" i="1"/>
  <c r="AR1259" i="1"/>
  <c r="AU1259" i="1"/>
  <c r="AS1262" i="1"/>
  <c r="AR1266" i="1"/>
  <c r="AU1266" i="1"/>
  <c r="AS1269" i="1"/>
  <c r="AR1273" i="1"/>
  <c r="AU1273" i="1"/>
  <c r="AS1276" i="1"/>
  <c r="AR1280" i="1"/>
  <c r="AU1280" i="1"/>
  <c r="AS1283" i="1"/>
  <c r="AR1287" i="1"/>
  <c r="AU1287" i="1"/>
  <c r="AS1290" i="1"/>
  <c r="AU1294" i="1"/>
  <c r="AR1294" i="1"/>
  <c r="AS1297" i="1"/>
  <c r="AU1301" i="1"/>
  <c r="AR1301" i="1"/>
  <c r="AS1319" i="1"/>
  <c r="AS1305" i="1"/>
  <c r="AU1331" i="1"/>
  <c r="AR1331" i="1"/>
  <c r="AR1317" i="1"/>
  <c r="AU1317" i="1"/>
  <c r="AR1303" i="1"/>
  <c r="AU1303" i="1"/>
  <c r="AR1364" i="1"/>
  <c r="AU1364" i="1"/>
  <c r="AS1367" i="1"/>
  <c r="AU1371" i="1"/>
  <c r="AR1371" i="1"/>
  <c r="AS1374" i="1"/>
  <c r="AR1378" i="1"/>
  <c r="AU1378" i="1"/>
  <c r="AS1381" i="1"/>
  <c r="AR1385" i="1"/>
  <c r="AU1385" i="1"/>
  <c r="AS1388" i="1"/>
  <c r="AR1392" i="1"/>
  <c r="AU1392" i="1"/>
  <c r="AS1419" i="1"/>
  <c r="AS1405" i="1"/>
  <c r="AU1413" i="1"/>
  <c r="AR1413" i="1"/>
  <c r="AR1399" i="1"/>
  <c r="AU1399" i="1"/>
  <c r="AS1433" i="1"/>
  <c r="AR1439" i="1"/>
  <c r="AR1425" i="1"/>
  <c r="AR1149" i="1"/>
  <c r="AU1149" i="1"/>
  <c r="AT1182" i="1"/>
  <c r="AU1311" i="1"/>
  <c r="AR1311" i="1"/>
  <c r="AR1386" i="1"/>
  <c r="AU1386" i="1"/>
  <c r="AR1433" i="1"/>
  <c r="AU1162" i="1"/>
  <c r="AR1162" i="1"/>
  <c r="AR1226" i="1"/>
  <c r="AU1226" i="1"/>
  <c r="AR1240" i="1"/>
  <c r="AU1240" i="1"/>
  <c r="AR1310" i="1"/>
  <c r="AU1310" i="1"/>
  <c r="AU1341" i="1"/>
  <c r="AR1341" i="1"/>
  <c r="AR1217" i="1"/>
  <c r="AU1217" i="1"/>
  <c r="AR1252" i="1"/>
  <c r="AU1252" i="1"/>
  <c r="AR1322" i="1"/>
  <c r="AU1322" i="1"/>
  <c r="AT1178" i="1"/>
  <c r="AR1321" i="1"/>
  <c r="AU1321" i="1"/>
  <c r="AR1375" i="1"/>
  <c r="AU1375" i="1"/>
  <c r="AS1160" i="1"/>
  <c r="AR1130" i="1"/>
  <c r="AR1243" i="1"/>
  <c r="AU1243" i="1"/>
  <c r="AS1156" i="1"/>
  <c r="AS1142" i="1"/>
  <c r="AS1128" i="1"/>
  <c r="AR1154" i="1"/>
  <c r="AU1154" i="1"/>
  <c r="AU1140" i="1"/>
  <c r="AR1140" i="1"/>
  <c r="AR1126" i="1"/>
  <c r="AS1214" i="1"/>
  <c r="AU1218" i="1"/>
  <c r="AR1218" i="1"/>
  <c r="AS1221" i="1"/>
  <c r="AU1225" i="1"/>
  <c r="AR1225" i="1"/>
  <c r="AS1228" i="1"/>
  <c r="AU1232" i="1"/>
  <c r="AR1232" i="1"/>
  <c r="AS1235" i="1"/>
  <c r="AR1239" i="1"/>
  <c r="AU1239" i="1"/>
  <c r="AS1242" i="1"/>
  <c r="AU1246" i="1"/>
  <c r="AR1246" i="1"/>
  <c r="AS1249" i="1"/>
  <c r="AU1253" i="1"/>
  <c r="AR1253" i="1"/>
  <c r="AS1256" i="1"/>
  <c r="AS1332" i="1"/>
  <c r="AS1318" i="1"/>
  <c r="AS1304" i="1"/>
  <c r="AU1330" i="1"/>
  <c r="AR1330" i="1"/>
  <c r="AU1316" i="1"/>
  <c r="AR1316" i="1"/>
  <c r="AR1302" i="1"/>
  <c r="AU1302" i="1"/>
  <c r="AU1333" i="1"/>
  <c r="AR1333" i="1"/>
  <c r="AS1336" i="1"/>
  <c r="AR1340" i="1"/>
  <c r="AU1340" i="1"/>
  <c r="AS1343" i="1"/>
  <c r="AR1347" i="1"/>
  <c r="AU1347" i="1"/>
  <c r="AS1350" i="1"/>
  <c r="AR1354" i="1"/>
  <c r="AU1354" i="1"/>
  <c r="AS1357" i="1"/>
  <c r="AU1361" i="1"/>
  <c r="AR1361" i="1"/>
  <c r="AS1418" i="1"/>
  <c r="AS1404" i="1"/>
  <c r="AR1412" i="1"/>
  <c r="AU1412" i="1"/>
  <c r="AU1398" i="1"/>
  <c r="AR1398" i="1"/>
  <c r="AS1432" i="1"/>
  <c r="AR1438" i="1"/>
  <c r="AR1424" i="1"/>
  <c r="AU1424" i="1"/>
  <c r="AR1200" i="1"/>
  <c r="AU1200" i="1"/>
  <c r="AR1267" i="1"/>
  <c r="AU1267" i="1"/>
  <c r="AR1325" i="1"/>
  <c r="AU1325" i="1"/>
  <c r="AR1247" i="1"/>
  <c r="AU1247" i="1"/>
  <c r="AR1334" i="1"/>
  <c r="AU1334" i="1"/>
  <c r="AR1355" i="1"/>
  <c r="AU1355" i="1"/>
  <c r="AT1180" i="1"/>
  <c r="AR1191" i="1"/>
  <c r="AU1191" i="1"/>
  <c r="AU1286" i="1"/>
  <c r="AR1286" i="1"/>
  <c r="AS1325" i="1"/>
  <c r="AR1370" i="1"/>
  <c r="AU1370" i="1"/>
  <c r="AR1132" i="1"/>
  <c r="AU1238" i="1"/>
  <c r="AR1238" i="1"/>
  <c r="AR1145" i="1"/>
  <c r="AU1145" i="1"/>
  <c r="AU1168" i="1"/>
  <c r="AR1168" i="1"/>
  <c r="AR1263" i="1"/>
  <c r="AU1263" i="1"/>
  <c r="AU1284" i="1"/>
  <c r="AR1284" i="1"/>
  <c r="AS1132" i="1"/>
  <c r="AS1155" i="1"/>
  <c r="AS1141" i="1"/>
  <c r="AS1127" i="1"/>
  <c r="AR1122" i="1"/>
  <c r="AR1153" i="1"/>
  <c r="AU1153" i="1"/>
  <c r="AU1139" i="1"/>
  <c r="AR1139" i="1"/>
  <c r="AR1125" i="1"/>
  <c r="AR1169" i="1"/>
  <c r="AU1169" i="1"/>
  <c r="AS1172" i="1"/>
  <c r="AR1176" i="1"/>
  <c r="AU1176" i="1"/>
  <c r="AS1179" i="1"/>
  <c r="AU1183" i="1"/>
  <c r="AR1183" i="1"/>
  <c r="AS1186" i="1"/>
  <c r="AR1190" i="1"/>
  <c r="AU1190" i="1"/>
  <c r="AS1193" i="1"/>
  <c r="AU1197" i="1"/>
  <c r="AR1197" i="1"/>
  <c r="AS1200" i="1"/>
  <c r="AU1204" i="1"/>
  <c r="AR1204" i="1"/>
  <c r="AS1207" i="1"/>
  <c r="AR1211" i="1"/>
  <c r="AU1211" i="1"/>
  <c r="AU1257" i="1"/>
  <c r="AR1257" i="1"/>
  <c r="AS1260" i="1"/>
  <c r="AR1264" i="1"/>
  <c r="AU1264" i="1"/>
  <c r="AS1267" i="1"/>
  <c r="AR1271" i="1"/>
  <c r="AU1271" i="1"/>
  <c r="AS1274" i="1"/>
  <c r="AU1278" i="1"/>
  <c r="AR1278" i="1"/>
  <c r="AS1281" i="1"/>
  <c r="AR1285" i="1"/>
  <c r="AU1285" i="1"/>
  <c r="AS1288" i="1"/>
  <c r="AU1292" i="1"/>
  <c r="AR1292" i="1"/>
  <c r="AS1295" i="1"/>
  <c r="AR1299" i="1"/>
  <c r="AU1299" i="1"/>
  <c r="AS1331" i="1"/>
  <c r="AS1317" i="1"/>
  <c r="AS1303" i="1"/>
  <c r="AR1329" i="1"/>
  <c r="AU1329" i="1"/>
  <c r="AU1315" i="1"/>
  <c r="AR1315" i="1"/>
  <c r="AS1365" i="1"/>
  <c r="AU1369" i="1"/>
  <c r="AR1369" i="1"/>
  <c r="AS1372" i="1"/>
  <c r="AU1376" i="1"/>
  <c r="AR1376" i="1"/>
  <c r="AS1379" i="1"/>
  <c r="AU1383" i="1"/>
  <c r="AR1383" i="1"/>
  <c r="AS1386" i="1"/>
  <c r="AU1390" i="1"/>
  <c r="AR1390" i="1"/>
  <c r="AS1393" i="1"/>
  <c r="AS1417" i="1"/>
  <c r="AS1403" i="1"/>
  <c r="AU1411" i="1"/>
  <c r="AR1411" i="1"/>
  <c r="AU1397" i="1"/>
  <c r="AR1397" i="1"/>
  <c r="AS1431" i="1"/>
  <c r="AR1437" i="1"/>
  <c r="AR1423" i="1"/>
  <c r="AP1435" i="1"/>
  <c r="AQ1435" i="1"/>
  <c r="AP1434" i="1"/>
  <c r="AQ1434" i="1"/>
  <c r="AP1433" i="1"/>
  <c r="AQ1433" i="1"/>
  <c r="AQ1432" i="1"/>
  <c r="AP1432" i="1"/>
  <c r="AQ1431" i="1"/>
  <c r="AP1431" i="1"/>
  <c r="AU1431" i="1" s="1"/>
  <c r="AQ1427" i="1"/>
  <c r="AP1427" i="1"/>
  <c r="AV1427" i="1" s="1"/>
  <c r="AQ1440" i="1"/>
  <c r="AP1440" i="1"/>
  <c r="AQ1426" i="1"/>
  <c r="AP1426" i="1"/>
  <c r="AQ1424" i="1"/>
  <c r="AP1424" i="1"/>
  <c r="AQ1437" i="1"/>
  <c r="AP1437" i="1"/>
  <c r="AQ1423" i="1"/>
  <c r="AP1423" i="1"/>
  <c r="AQ1430" i="1"/>
  <c r="AP1430" i="1"/>
  <c r="AV1430" i="1" s="1"/>
  <c r="AP1429" i="1"/>
  <c r="AU1429" i="1" s="1"/>
  <c r="AQ1429" i="1"/>
  <c r="AQ1428" i="1"/>
  <c r="AP1428" i="1"/>
  <c r="AQ1439" i="1"/>
  <c r="AP1439" i="1"/>
  <c r="AQ1425" i="1"/>
  <c r="AP1425" i="1"/>
  <c r="AU1425" i="1" s="1"/>
  <c r="AQ1438" i="1"/>
  <c r="AP1438" i="1"/>
  <c r="AP1436" i="1"/>
  <c r="AQ1436" i="1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2" i="3"/>
  <c r="F17" i="3"/>
  <c r="F18" i="3"/>
  <c r="F19" i="3"/>
  <c r="F20" i="3"/>
  <c r="F21" i="3"/>
  <c r="F22" i="3"/>
  <c r="F23" i="3"/>
  <c r="F24" i="3"/>
  <c r="F25" i="3"/>
  <c r="F26" i="3"/>
  <c r="F32" i="3"/>
  <c r="F33" i="3"/>
  <c r="F34" i="3"/>
  <c r="F35" i="3"/>
  <c r="F36" i="3"/>
  <c r="F37" i="3"/>
  <c r="F38" i="3"/>
  <c r="F39" i="3"/>
  <c r="F40" i="3"/>
  <c r="F41" i="3"/>
  <c r="F3" i="3"/>
  <c r="F4" i="3"/>
  <c r="F5" i="3"/>
  <c r="F6" i="3"/>
  <c r="F7" i="3"/>
  <c r="F8" i="3"/>
  <c r="F9" i="3"/>
  <c r="F10" i="3"/>
  <c r="F11" i="3"/>
  <c r="F2" i="3"/>
  <c r="AP1105" i="1"/>
  <c r="AP1114" i="1"/>
  <c r="AM1080" i="1"/>
  <c r="AP1080" i="1" s="1"/>
  <c r="AM1081" i="1"/>
  <c r="AP1081" i="1" s="1"/>
  <c r="AM1082" i="1"/>
  <c r="AP1082" i="1" s="1"/>
  <c r="AM1083" i="1"/>
  <c r="AP1083" i="1" s="1"/>
  <c r="AM1084" i="1"/>
  <c r="AP1084" i="1" s="1"/>
  <c r="AM1085" i="1"/>
  <c r="AP1085" i="1" s="1"/>
  <c r="AM1086" i="1"/>
  <c r="AP1086" i="1" s="1"/>
  <c r="AM1087" i="1"/>
  <c r="AP1087" i="1" s="1"/>
  <c r="AM1088" i="1"/>
  <c r="AP1088" i="1" s="1"/>
  <c r="AM1089" i="1"/>
  <c r="AP1089" i="1" s="1"/>
  <c r="AM1090" i="1"/>
  <c r="AP1090" i="1" s="1"/>
  <c r="AM1091" i="1"/>
  <c r="AP1091" i="1" s="1"/>
  <c r="AM1092" i="1"/>
  <c r="AP1092" i="1" s="1"/>
  <c r="AM1093" i="1"/>
  <c r="AP1093" i="1" s="1"/>
  <c r="AM1094" i="1"/>
  <c r="AP1094" i="1" s="1"/>
  <c r="AM1095" i="1"/>
  <c r="AP1095" i="1" s="1"/>
  <c r="AM1096" i="1"/>
  <c r="AP1096" i="1" s="1"/>
  <c r="AM1097" i="1"/>
  <c r="AP1097" i="1" s="1"/>
  <c r="AM1098" i="1"/>
  <c r="AP1098" i="1" s="1"/>
  <c r="AM1099" i="1"/>
  <c r="AP1099" i="1" s="1"/>
  <c r="AM1100" i="1"/>
  <c r="AP1100" i="1" s="1"/>
  <c r="AM1101" i="1"/>
  <c r="AP1101" i="1" s="1"/>
  <c r="AM1102" i="1"/>
  <c r="AP1102" i="1" s="1"/>
  <c r="AM1103" i="1"/>
  <c r="AP1103" i="1" s="1"/>
  <c r="AM1104" i="1"/>
  <c r="AP1104" i="1" s="1"/>
  <c r="AM1105" i="1"/>
  <c r="AM1106" i="1"/>
  <c r="AP1106" i="1" s="1"/>
  <c r="AM1107" i="1"/>
  <c r="AP1107" i="1" s="1"/>
  <c r="AM1108" i="1"/>
  <c r="AP1108" i="1" s="1"/>
  <c r="AM1109" i="1"/>
  <c r="AP1109" i="1" s="1"/>
  <c r="AM1110" i="1"/>
  <c r="AP1110" i="1" s="1"/>
  <c r="AM1111" i="1"/>
  <c r="AP1111" i="1" s="1"/>
  <c r="AM1112" i="1"/>
  <c r="AP1112" i="1" s="1"/>
  <c r="AM1113" i="1"/>
  <c r="AP1113" i="1" s="1"/>
  <c r="AM1114" i="1"/>
  <c r="AM1115" i="1"/>
  <c r="AP1115" i="1" s="1"/>
  <c r="AM1116" i="1"/>
  <c r="AP1116" i="1" s="1"/>
  <c r="AM1117" i="1"/>
  <c r="AP1117" i="1" s="1"/>
  <c r="AM1118" i="1"/>
  <c r="AP1118" i="1" s="1"/>
  <c r="AM1119" i="1"/>
  <c r="AP1119" i="1" s="1"/>
  <c r="AM1120" i="1"/>
  <c r="AP1120" i="1" s="1"/>
  <c r="AM1079" i="1"/>
  <c r="AP1079" i="1" s="1"/>
  <c r="AJ1080" i="1"/>
  <c r="AJ1081" i="1"/>
  <c r="AJ1082" i="1"/>
  <c r="AJ1083" i="1"/>
  <c r="AJ1084" i="1"/>
  <c r="AJ1085" i="1"/>
  <c r="AJ1086" i="1"/>
  <c r="AJ1087" i="1"/>
  <c r="AJ1088" i="1"/>
  <c r="AJ1089" i="1"/>
  <c r="AJ1090" i="1"/>
  <c r="AJ1091" i="1"/>
  <c r="AJ1092" i="1"/>
  <c r="AJ1093" i="1"/>
  <c r="AJ1094" i="1"/>
  <c r="AJ1095" i="1"/>
  <c r="AJ1096" i="1"/>
  <c r="AJ1097" i="1"/>
  <c r="AJ1098" i="1"/>
  <c r="AJ1099" i="1"/>
  <c r="AJ1100" i="1"/>
  <c r="AJ1101" i="1"/>
  <c r="AJ1102" i="1"/>
  <c r="AJ1103" i="1"/>
  <c r="AJ1104" i="1"/>
  <c r="AJ1105" i="1"/>
  <c r="AJ1106" i="1"/>
  <c r="AJ1107" i="1"/>
  <c r="AJ1108" i="1"/>
  <c r="AJ1109" i="1"/>
  <c r="AJ1110" i="1"/>
  <c r="AJ1111" i="1"/>
  <c r="AJ1112" i="1"/>
  <c r="AJ1113" i="1"/>
  <c r="AJ1114" i="1"/>
  <c r="AJ1115" i="1"/>
  <c r="AJ1116" i="1"/>
  <c r="AJ1117" i="1"/>
  <c r="AJ1118" i="1"/>
  <c r="AJ1119" i="1"/>
  <c r="AJ1120" i="1"/>
  <c r="AJ1079" i="1"/>
  <c r="AA1080" i="1"/>
  <c r="AA1081" i="1"/>
  <c r="AA1082" i="1"/>
  <c r="AA1083" i="1"/>
  <c r="AA1084" i="1"/>
  <c r="AA1085" i="1"/>
  <c r="AA1086" i="1"/>
  <c r="AA1087" i="1"/>
  <c r="AA1088" i="1"/>
  <c r="AA1089" i="1"/>
  <c r="AA1090" i="1"/>
  <c r="AA1091" i="1"/>
  <c r="AA1092" i="1"/>
  <c r="AA1093" i="1"/>
  <c r="AA1094" i="1"/>
  <c r="AA1095" i="1"/>
  <c r="AA1096" i="1"/>
  <c r="AA1097" i="1"/>
  <c r="AA1098" i="1"/>
  <c r="AA1099" i="1"/>
  <c r="AA1100" i="1"/>
  <c r="AA1101" i="1"/>
  <c r="AA1102" i="1"/>
  <c r="AA1103" i="1"/>
  <c r="AA1104" i="1"/>
  <c r="AA1105" i="1"/>
  <c r="AA1106" i="1"/>
  <c r="AA1107" i="1"/>
  <c r="AA1108" i="1"/>
  <c r="AA1109" i="1"/>
  <c r="AA1110" i="1"/>
  <c r="AA1111" i="1"/>
  <c r="AA1112" i="1"/>
  <c r="AA1113" i="1"/>
  <c r="AA1114" i="1"/>
  <c r="AA1115" i="1"/>
  <c r="AA1116" i="1"/>
  <c r="AA1117" i="1"/>
  <c r="AA1118" i="1"/>
  <c r="AA1119" i="1"/>
  <c r="AA1120" i="1"/>
  <c r="AA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079" i="1"/>
  <c r="K1080" i="1"/>
  <c r="K1081" i="1"/>
  <c r="K1082" i="1"/>
  <c r="K1083" i="1"/>
  <c r="K1084" i="1"/>
  <c r="K1085" i="1"/>
  <c r="AV1085" i="1" s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AV1097" i="1" s="1"/>
  <c r="K1098" i="1"/>
  <c r="K1099" i="1"/>
  <c r="AV1099" i="1" s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079" i="1"/>
  <c r="AA1070" i="1"/>
  <c r="K1036" i="1"/>
  <c r="AG1077" i="1"/>
  <c r="AG1076" i="1"/>
  <c r="AG1075" i="1"/>
  <c r="AG1074" i="1"/>
  <c r="AG1073" i="1"/>
  <c r="AG1072" i="1"/>
  <c r="AG1071" i="1"/>
  <c r="AG1070" i="1"/>
  <c r="AG1069" i="1"/>
  <c r="AG1068" i="1"/>
  <c r="AG1067" i="1"/>
  <c r="AG1066" i="1"/>
  <c r="AG1065" i="1"/>
  <c r="AG1064" i="1"/>
  <c r="AG1063" i="1"/>
  <c r="AG1062" i="1"/>
  <c r="AG1061" i="1"/>
  <c r="AG1060" i="1"/>
  <c r="AG1059" i="1"/>
  <c r="AG1058" i="1"/>
  <c r="AG1057" i="1"/>
  <c r="AG1056" i="1"/>
  <c r="AG1055" i="1"/>
  <c r="AG1054" i="1"/>
  <c r="AG1053" i="1"/>
  <c r="AG1052" i="1"/>
  <c r="AG1051" i="1"/>
  <c r="AJ1051" i="1" s="1"/>
  <c r="AG1050" i="1"/>
  <c r="AG1049" i="1"/>
  <c r="AG1048" i="1"/>
  <c r="AG1047" i="1"/>
  <c r="AG1046" i="1"/>
  <c r="AG1045" i="1"/>
  <c r="AG1044" i="1"/>
  <c r="AG1043" i="1"/>
  <c r="AG1042" i="1"/>
  <c r="AG1041" i="1"/>
  <c r="AG1040" i="1"/>
  <c r="AG1039" i="1"/>
  <c r="AG1038" i="1"/>
  <c r="AG1037" i="1"/>
  <c r="AG1036" i="1"/>
  <c r="AF1077" i="1"/>
  <c r="AF1076" i="1"/>
  <c r="AF1075" i="1"/>
  <c r="AF1074" i="1"/>
  <c r="AF1073" i="1"/>
  <c r="AF1072" i="1"/>
  <c r="AF1071" i="1"/>
  <c r="AF1070" i="1"/>
  <c r="AF1069" i="1"/>
  <c r="AF1068" i="1"/>
  <c r="AF1067" i="1"/>
  <c r="AF1066" i="1"/>
  <c r="AF1065" i="1"/>
  <c r="AF1064" i="1"/>
  <c r="AF1063" i="1"/>
  <c r="AF1062" i="1"/>
  <c r="AF1061" i="1"/>
  <c r="AF1060" i="1"/>
  <c r="AF1059" i="1"/>
  <c r="AF1058" i="1"/>
  <c r="AF1057" i="1"/>
  <c r="AF1056" i="1"/>
  <c r="AJ1056" i="1" s="1"/>
  <c r="AF1055" i="1"/>
  <c r="AF1054" i="1"/>
  <c r="AF1053" i="1"/>
  <c r="AF1052" i="1"/>
  <c r="AF1050" i="1"/>
  <c r="AF1049" i="1"/>
  <c r="AF1048" i="1"/>
  <c r="AF1047" i="1"/>
  <c r="AF1046" i="1"/>
  <c r="AF1045" i="1"/>
  <c r="AF1044" i="1"/>
  <c r="AF1043" i="1"/>
  <c r="AF1042" i="1"/>
  <c r="AF1041" i="1"/>
  <c r="AF1040" i="1"/>
  <c r="AF1039" i="1"/>
  <c r="AF1038" i="1"/>
  <c r="AF1037" i="1"/>
  <c r="AF1036" i="1"/>
  <c r="AE1077" i="1"/>
  <c r="AE1076" i="1"/>
  <c r="AE1075" i="1"/>
  <c r="AE1074" i="1"/>
  <c r="AE1073" i="1"/>
  <c r="AE1072" i="1"/>
  <c r="AE1071" i="1"/>
  <c r="AE1070" i="1"/>
  <c r="AE1069" i="1"/>
  <c r="AE1068" i="1"/>
  <c r="AE1067" i="1"/>
  <c r="AE1066" i="1"/>
  <c r="AE1065" i="1"/>
  <c r="AE1064" i="1"/>
  <c r="AE1063" i="1"/>
  <c r="AE1062" i="1"/>
  <c r="AE1061" i="1"/>
  <c r="AE1060" i="1"/>
  <c r="AE1059" i="1"/>
  <c r="AE1058" i="1"/>
  <c r="AE1057" i="1"/>
  <c r="AE1056" i="1"/>
  <c r="AE1055" i="1"/>
  <c r="AE1054" i="1"/>
  <c r="AE1053" i="1"/>
  <c r="AE1052" i="1"/>
  <c r="AE1051" i="1"/>
  <c r="AE1050" i="1"/>
  <c r="AE1049" i="1"/>
  <c r="AE1048" i="1"/>
  <c r="AE1047" i="1"/>
  <c r="AE1046" i="1"/>
  <c r="AE1045" i="1"/>
  <c r="AE1044" i="1"/>
  <c r="AE1043" i="1"/>
  <c r="AE1042" i="1"/>
  <c r="AE1041" i="1"/>
  <c r="AE1040" i="1"/>
  <c r="AE1039" i="1"/>
  <c r="AE1038" i="1"/>
  <c r="AE1037" i="1"/>
  <c r="AE1036" i="1"/>
  <c r="AD1077" i="1"/>
  <c r="AD1076" i="1"/>
  <c r="AD1075" i="1"/>
  <c r="AD1074" i="1"/>
  <c r="AD1073" i="1"/>
  <c r="AD1072" i="1"/>
  <c r="AD1071" i="1"/>
  <c r="AD1070" i="1"/>
  <c r="AD1069" i="1"/>
  <c r="AD1068" i="1"/>
  <c r="AD1067" i="1"/>
  <c r="AD1066" i="1"/>
  <c r="AD1065" i="1"/>
  <c r="AD1064" i="1"/>
  <c r="AD1063" i="1"/>
  <c r="AD1062" i="1"/>
  <c r="AD1061" i="1"/>
  <c r="AD1060" i="1"/>
  <c r="AD1059" i="1"/>
  <c r="AD1058" i="1"/>
  <c r="AD1057" i="1"/>
  <c r="AD1056" i="1"/>
  <c r="AD1055" i="1"/>
  <c r="AD1054" i="1"/>
  <c r="AD1053" i="1"/>
  <c r="AD1052" i="1"/>
  <c r="AD1051" i="1"/>
  <c r="AD1050" i="1"/>
  <c r="AD1049" i="1"/>
  <c r="AD1048" i="1"/>
  <c r="AD1047" i="1"/>
  <c r="AD1046" i="1"/>
  <c r="AD1045" i="1"/>
  <c r="AD1044" i="1"/>
  <c r="AD1043" i="1"/>
  <c r="AD1042" i="1"/>
  <c r="AD1041" i="1"/>
  <c r="AD1040" i="1"/>
  <c r="AD1039" i="1"/>
  <c r="AD1038" i="1"/>
  <c r="AD1037" i="1"/>
  <c r="AD1036" i="1"/>
  <c r="AC1077" i="1"/>
  <c r="AC1076" i="1"/>
  <c r="AC1075" i="1"/>
  <c r="AC1074" i="1"/>
  <c r="AC1073" i="1"/>
  <c r="AC1072" i="1"/>
  <c r="AC1071" i="1"/>
  <c r="AC1070" i="1"/>
  <c r="AC1069" i="1"/>
  <c r="AC1068" i="1"/>
  <c r="AC1067" i="1"/>
  <c r="AC1066" i="1"/>
  <c r="AC1065" i="1"/>
  <c r="AC1064" i="1"/>
  <c r="AC1063" i="1"/>
  <c r="AC1062" i="1"/>
  <c r="AC1061" i="1"/>
  <c r="AC1060" i="1"/>
  <c r="AC1059" i="1"/>
  <c r="AC1058" i="1"/>
  <c r="AC1057" i="1"/>
  <c r="AC1056" i="1"/>
  <c r="AC1055" i="1"/>
  <c r="AC1054" i="1"/>
  <c r="AC1053" i="1"/>
  <c r="AC1052" i="1"/>
  <c r="AC1051" i="1"/>
  <c r="AC1050" i="1"/>
  <c r="AC1049" i="1"/>
  <c r="AC1048" i="1"/>
  <c r="AC1047" i="1"/>
  <c r="AC1046" i="1"/>
  <c r="AC1045" i="1"/>
  <c r="AC1044" i="1"/>
  <c r="AC1043" i="1"/>
  <c r="AC1042" i="1"/>
  <c r="AC1041" i="1"/>
  <c r="AC1040" i="1"/>
  <c r="AC1039" i="1"/>
  <c r="AC1038" i="1"/>
  <c r="AC1037" i="1"/>
  <c r="AC1036" i="1"/>
  <c r="AB1077" i="1"/>
  <c r="AB1076" i="1"/>
  <c r="AB1075" i="1"/>
  <c r="AB1074" i="1"/>
  <c r="AB1073" i="1"/>
  <c r="AB1072" i="1"/>
  <c r="AB1071" i="1"/>
  <c r="AB1070" i="1"/>
  <c r="AB1069" i="1"/>
  <c r="AJ1069" i="1" s="1"/>
  <c r="AB1068" i="1"/>
  <c r="AB1067" i="1"/>
  <c r="AB1066" i="1"/>
  <c r="AB1065" i="1"/>
  <c r="AB1064" i="1"/>
  <c r="AB1063" i="1"/>
  <c r="AB1062" i="1"/>
  <c r="AB1061" i="1"/>
  <c r="AB1060" i="1"/>
  <c r="AB1059" i="1"/>
  <c r="AB1058" i="1"/>
  <c r="AB1057" i="1"/>
  <c r="AB1056" i="1"/>
  <c r="AB1055" i="1"/>
  <c r="AJ1055" i="1" s="1"/>
  <c r="AB1054" i="1"/>
  <c r="AB1053" i="1"/>
  <c r="AB1052" i="1"/>
  <c r="AB1051" i="1"/>
  <c r="AB1050" i="1"/>
  <c r="AB1049" i="1"/>
  <c r="AB1048" i="1"/>
  <c r="AB1047" i="1"/>
  <c r="AB1046" i="1"/>
  <c r="AB1045" i="1"/>
  <c r="AB1044" i="1"/>
  <c r="AJ1044" i="1" s="1"/>
  <c r="AB1043" i="1"/>
  <c r="AB1042" i="1"/>
  <c r="AB1041" i="1"/>
  <c r="AB1040" i="1"/>
  <c r="AB1039" i="1"/>
  <c r="AB1038" i="1"/>
  <c r="AB1037" i="1"/>
  <c r="AB1036" i="1"/>
  <c r="Z1077" i="1"/>
  <c r="Z1076" i="1"/>
  <c r="Z1075" i="1"/>
  <c r="Z1074" i="1"/>
  <c r="Z1073" i="1"/>
  <c r="Z1072" i="1"/>
  <c r="Z1071" i="1"/>
  <c r="Z1070" i="1"/>
  <c r="Z1069" i="1"/>
  <c r="Z1068" i="1"/>
  <c r="Z1067" i="1"/>
  <c r="Z1066" i="1"/>
  <c r="Z1065" i="1"/>
  <c r="Z1064" i="1"/>
  <c r="Z1063" i="1"/>
  <c r="Z1062" i="1"/>
  <c r="Z1061" i="1"/>
  <c r="Z1060" i="1"/>
  <c r="Z1059" i="1"/>
  <c r="Z1058" i="1"/>
  <c r="Z1057" i="1"/>
  <c r="Z1056" i="1"/>
  <c r="Z1055" i="1"/>
  <c r="Z1054" i="1"/>
  <c r="Z1053" i="1"/>
  <c r="Z1052" i="1"/>
  <c r="Z1051" i="1"/>
  <c r="Z1050" i="1"/>
  <c r="Z1049" i="1"/>
  <c r="Z1048" i="1"/>
  <c r="Z1047" i="1"/>
  <c r="Z1046" i="1"/>
  <c r="Z1045" i="1"/>
  <c r="Z1044" i="1"/>
  <c r="Z1043" i="1"/>
  <c r="Z1042" i="1"/>
  <c r="Z1041" i="1"/>
  <c r="Z1040" i="1"/>
  <c r="Z1039" i="1"/>
  <c r="Z1038" i="1"/>
  <c r="Z1037" i="1"/>
  <c r="Z1036" i="1"/>
  <c r="Y1077" i="1"/>
  <c r="Y1076" i="1"/>
  <c r="Y1075" i="1"/>
  <c r="Y1074" i="1"/>
  <c r="Y1073" i="1"/>
  <c r="Y1072" i="1"/>
  <c r="Y1071" i="1"/>
  <c r="Y1070" i="1"/>
  <c r="Y1069" i="1"/>
  <c r="Y1068" i="1"/>
  <c r="Y1067" i="1"/>
  <c r="Y1066" i="1"/>
  <c r="Y1065" i="1"/>
  <c r="Y1064" i="1"/>
  <c r="Y1063" i="1"/>
  <c r="Y1062" i="1"/>
  <c r="Y1061" i="1"/>
  <c r="Y1060" i="1"/>
  <c r="Y1059" i="1"/>
  <c r="Y1058" i="1"/>
  <c r="Y1057" i="1"/>
  <c r="Y1056" i="1"/>
  <c r="Y1055" i="1"/>
  <c r="Y1054" i="1"/>
  <c r="Y1053" i="1"/>
  <c r="Y1052" i="1"/>
  <c r="Y1051" i="1"/>
  <c r="Y1050" i="1"/>
  <c r="Y1049" i="1"/>
  <c r="Y1048" i="1"/>
  <c r="Y1047" i="1"/>
  <c r="Y1046" i="1"/>
  <c r="Y1045" i="1"/>
  <c r="Y1044" i="1"/>
  <c r="Y1043" i="1"/>
  <c r="Y1042" i="1"/>
  <c r="Y1041" i="1"/>
  <c r="Y1040" i="1"/>
  <c r="Y1039" i="1"/>
  <c r="Y1038" i="1"/>
  <c r="Y1037" i="1"/>
  <c r="Y1036" i="1"/>
  <c r="X1077" i="1"/>
  <c r="X1076" i="1"/>
  <c r="X1075" i="1"/>
  <c r="X1074" i="1"/>
  <c r="X1073" i="1"/>
  <c r="X1072" i="1"/>
  <c r="X1071" i="1"/>
  <c r="X1070" i="1"/>
  <c r="X1069" i="1"/>
  <c r="X1068" i="1"/>
  <c r="X1067" i="1"/>
  <c r="X1066" i="1"/>
  <c r="X1065" i="1"/>
  <c r="X1064" i="1"/>
  <c r="X1063" i="1"/>
  <c r="X1062" i="1"/>
  <c r="X1061" i="1"/>
  <c r="X1060" i="1"/>
  <c r="X1059" i="1"/>
  <c r="X1058" i="1"/>
  <c r="X1057" i="1"/>
  <c r="X1056" i="1"/>
  <c r="X1055" i="1"/>
  <c r="X1054" i="1"/>
  <c r="X1053" i="1"/>
  <c r="X1052" i="1"/>
  <c r="X1051" i="1"/>
  <c r="X1050" i="1"/>
  <c r="X1049" i="1"/>
  <c r="X1048" i="1"/>
  <c r="X1047" i="1"/>
  <c r="X1046" i="1"/>
  <c r="X1045" i="1"/>
  <c r="X1044" i="1"/>
  <c r="X1043" i="1"/>
  <c r="X1042" i="1"/>
  <c r="X1041" i="1"/>
  <c r="X1040" i="1"/>
  <c r="X1039" i="1"/>
  <c r="X1038" i="1"/>
  <c r="X1037" i="1"/>
  <c r="X1036" i="1"/>
  <c r="W1077" i="1"/>
  <c r="W1076" i="1"/>
  <c r="W1075" i="1"/>
  <c r="W1074" i="1"/>
  <c r="W1073" i="1"/>
  <c r="W1072" i="1"/>
  <c r="W1071" i="1"/>
  <c r="W1070" i="1"/>
  <c r="W1069" i="1"/>
  <c r="W1068" i="1"/>
  <c r="W1067" i="1"/>
  <c r="W1066" i="1"/>
  <c r="W1065" i="1"/>
  <c r="W1064" i="1"/>
  <c r="W1063" i="1"/>
  <c r="W1062" i="1"/>
  <c r="W1061" i="1"/>
  <c r="W1060" i="1"/>
  <c r="W1059" i="1"/>
  <c r="W1058" i="1"/>
  <c r="W1057" i="1"/>
  <c r="W1056" i="1"/>
  <c r="W1055" i="1"/>
  <c r="W1054" i="1"/>
  <c r="W1053" i="1"/>
  <c r="W1052" i="1"/>
  <c r="W1051" i="1"/>
  <c r="W1050" i="1"/>
  <c r="W1049" i="1"/>
  <c r="W1048" i="1"/>
  <c r="W1047" i="1"/>
  <c r="W1046" i="1"/>
  <c r="W1045" i="1"/>
  <c r="W1044" i="1"/>
  <c r="W1043" i="1"/>
  <c r="W1042" i="1"/>
  <c r="W1041" i="1"/>
  <c r="W1040" i="1"/>
  <c r="W1039" i="1"/>
  <c r="W1038" i="1"/>
  <c r="W1037" i="1"/>
  <c r="W1036" i="1"/>
  <c r="V1077" i="1"/>
  <c r="V1076" i="1"/>
  <c r="V1075" i="1"/>
  <c r="V1074" i="1"/>
  <c r="V1073" i="1"/>
  <c r="V1072" i="1"/>
  <c r="V1071" i="1"/>
  <c r="V1070" i="1"/>
  <c r="V1069" i="1"/>
  <c r="V1068" i="1"/>
  <c r="V1067" i="1"/>
  <c r="V1066" i="1"/>
  <c r="V1065" i="1"/>
  <c r="V1064" i="1"/>
  <c r="V1063" i="1"/>
  <c r="V1062" i="1"/>
  <c r="V1061" i="1"/>
  <c r="V1060" i="1"/>
  <c r="V1059" i="1"/>
  <c r="V1058" i="1"/>
  <c r="V1057" i="1"/>
  <c r="V1056" i="1"/>
  <c r="V1055" i="1"/>
  <c r="V1054" i="1"/>
  <c r="V1053" i="1"/>
  <c r="V1052" i="1"/>
  <c r="V1051" i="1"/>
  <c r="V1050" i="1"/>
  <c r="V1049" i="1"/>
  <c r="V1048" i="1"/>
  <c r="V1047" i="1"/>
  <c r="V1046" i="1"/>
  <c r="V1045" i="1"/>
  <c r="V1044" i="1"/>
  <c r="V1043" i="1"/>
  <c r="V1042" i="1"/>
  <c r="V1041" i="1"/>
  <c r="V1040" i="1"/>
  <c r="V1039" i="1"/>
  <c r="V1038" i="1"/>
  <c r="V1037" i="1"/>
  <c r="V1036" i="1"/>
  <c r="U1077" i="1"/>
  <c r="U1076" i="1"/>
  <c r="U1075" i="1"/>
  <c r="U1074" i="1"/>
  <c r="U1073" i="1"/>
  <c r="U1072" i="1"/>
  <c r="U1071" i="1"/>
  <c r="U1070" i="1"/>
  <c r="U1069" i="1"/>
  <c r="U1068" i="1"/>
  <c r="U1067" i="1"/>
  <c r="U1066" i="1"/>
  <c r="U1065" i="1"/>
  <c r="U1064" i="1"/>
  <c r="U1063" i="1"/>
  <c r="U1062" i="1"/>
  <c r="U1061" i="1"/>
  <c r="U1060" i="1"/>
  <c r="U1059" i="1"/>
  <c r="U1058" i="1"/>
  <c r="U1057" i="1"/>
  <c r="U1056" i="1"/>
  <c r="U1055" i="1"/>
  <c r="U1054" i="1"/>
  <c r="U1053" i="1"/>
  <c r="U1052" i="1"/>
  <c r="U1051" i="1"/>
  <c r="U1050" i="1"/>
  <c r="U1049" i="1"/>
  <c r="U1048" i="1"/>
  <c r="U1047" i="1"/>
  <c r="U1046" i="1"/>
  <c r="U1045" i="1"/>
  <c r="U1044" i="1"/>
  <c r="U1043" i="1"/>
  <c r="U1042" i="1"/>
  <c r="U1041" i="1"/>
  <c r="U1040" i="1"/>
  <c r="U1039" i="1"/>
  <c r="U1038" i="1"/>
  <c r="U1037" i="1"/>
  <c r="U1036" i="1"/>
  <c r="T1077" i="1"/>
  <c r="AA1077" i="1" s="1"/>
  <c r="T1076" i="1"/>
  <c r="AA1076" i="1" s="1"/>
  <c r="T1075" i="1"/>
  <c r="AA1075" i="1" s="1"/>
  <c r="T1074" i="1"/>
  <c r="AA1074" i="1" s="1"/>
  <c r="T1073" i="1"/>
  <c r="AA1073" i="1" s="1"/>
  <c r="T1072" i="1"/>
  <c r="T1071" i="1"/>
  <c r="AA1071" i="1" s="1"/>
  <c r="T1070" i="1"/>
  <c r="T1069" i="1"/>
  <c r="AA1069" i="1" s="1"/>
  <c r="T1068" i="1"/>
  <c r="AA1068" i="1" s="1"/>
  <c r="T1067" i="1"/>
  <c r="T1066" i="1"/>
  <c r="T1065" i="1"/>
  <c r="AA1065" i="1" s="1"/>
  <c r="T1064" i="1"/>
  <c r="AA1064" i="1" s="1"/>
  <c r="T1063" i="1"/>
  <c r="T1062" i="1"/>
  <c r="T1061" i="1"/>
  <c r="AA1061" i="1" s="1"/>
  <c r="T1060" i="1"/>
  <c r="AA1060" i="1" s="1"/>
  <c r="T1059" i="1"/>
  <c r="AA1059" i="1" s="1"/>
  <c r="T1058" i="1"/>
  <c r="T1057" i="1"/>
  <c r="AA1057" i="1" s="1"/>
  <c r="T1056" i="1"/>
  <c r="AA1056" i="1" s="1"/>
  <c r="T1055" i="1"/>
  <c r="AA1055" i="1" s="1"/>
  <c r="T1054" i="1"/>
  <c r="AA1054" i="1" s="1"/>
  <c r="T1053" i="1"/>
  <c r="T1052" i="1"/>
  <c r="AA1052" i="1" s="1"/>
  <c r="T1051" i="1"/>
  <c r="AA1051" i="1" s="1"/>
  <c r="T1050" i="1"/>
  <c r="AA1050" i="1" s="1"/>
  <c r="T1049" i="1"/>
  <c r="AA1049" i="1" s="1"/>
  <c r="T1048" i="1"/>
  <c r="T1047" i="1"/>
  <c r="AA1047" i="1" s="1"/>
  <c r="T1046" i="1"/>
  <c r="AA1046" i="1" s="1"/>
  <c r="T1045" i="1"/>
  <c r="T1044" i="1"/>
  <c r="AA1044" i="1" s="1"/>
  <c r="T1043" i="1"/>
  <c r="AA1043" i="1" s="1"/>
  <c r="T1042" i="1"/>
  <c r="AA1042" i="1" s="1"/>
  <c r="T1041" i="1"/>
  <c r="AA1041" i="1" s="1"/>
  <c r="T1040" i="1"/>
  <c r="T1039" i="1"/>
  <c r="T1038" i="1"/>
  <c r="AA1038" i="1" s="1"/>
  <c r="T1037" i="1"/>
  <c r="AA1037" i="1" s="1"/>
  <c r="T1036" i="1"/>
  <c r="AA1036" i="1" s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Q1077" i="1"/>
  <c r="Q1076" i="1"/>
  <c r="Q1075" i="1"/>
  <c r="Q1074" i="1"/>
  <c r="Q1073" i="1"/>
  <c r="Q1072" i="1"/>
  <c r="Q1071" i="1"/>
  <c r="Q1070" i="1"/>
  <c r="Q1069" i="1"/>
  <c r="Q1068" i="1"/>
  <c r="Q1067" i="1"/>
  <c r="Q1066" i="1"/>
  <c r="Q1065" i="1"/>
  <c r="Q1064" i="1"/>
  <c r="Q1063" i="1"/>
  <c r="S1063" i="1" s="1"/>
  <c r="Q1062" i="1"/>
  <c r="Q1061" i="1"/>
  <c r="Q1060" i="1"/>
  <c r="Q1059" i="1"/>
  <c r="Q1058" i="1"/>
  <c r="Q1057" i="1"/>
  <c r="Q1056" i="1"/>
  <c r="Q1055" i="1"/>
  <c r="Q1054" i="1"/>
  <c r="Q1053" i="1"/>
  <c r="Q1052" i="1"/>
  <c r="Q1051" i="1"/>
  <c r="Q1050" i="1"/>
  <c r="Q1049" i="1"/>
  <c r="Q1048" i="1"/>
  <c r="Q1047" i="1"/>
  <c r="Q1046" i="1"/>
  <c r="Q1045" i="1"/>
  <c r="Q1044" i="1"/>
  <c r="Q1043" i="1"/>
  <c r="Q1042" i="1"/>
  <c r="Q1041" i="1"/>
  <c r="Q1040" i="1"/>
  <c r="Q1039" i="1"/>
  <c r="Q1038" i="1"/>
  <c r="Q1037" i="1"/>
  <c r="Q1036" i="1"/>
  <c r="P1037" i="1"/>
  <c r="S1037" i="1" s="1"/>
  <c r="P1038" i="1"/>
  <c r="P1039" i="1"/>
  <c r="P1040" i="1"/>
  <c r="P1041" i="1"/>
  <c r="P1042" i="1"/>
  <c r="S1042" i="1" s="1"/>
  <c r="P1043" i="1"/>
  <c r="S1043" i="1" s="1"/>
  <c r="P1044" i="1"/>
  <c r="P1045" i="1"/>
  <c r="P1046" i="1"/>
  <c r="P1047" i="1"/>
  <c r="P1048" i="1"/>
  <c r="P1049" i="1"/>
  <c r="P1050" i="1"/>
  <c r="S1050" i="1" s="1"/>
  <c r="P1051" i="1"/>
  <c r="S1051" i="1" s="1"/>
  <c r="P1052" i="1"/>
  <c r="P1053" i="1"/>
  <c r="P1054" i="1"/>
  <c r="P1055" i="1"/>
  <c r="P1056" i="1"/>
  <c r="P1057" i="1"/>
  <c r="S1057" i="1" s="1"/>
  <c r="P1058" i="1"/>
  <c r="P1059" i="1"/>
  <c r="P1060" i="1"/>
  <c r="P1061" i="1"/>
  <c r="P1062" i="1"/>
  <c r="S1062" i="1" s="1"/>
  <c r="P1063" i="1"/>
  <c r="P1064" i="1"/>
  <c r="S1064" i="1" s="1"/>
  <c r="P1065" i="1"/>
  <c r="S1065" i="1" s="1"/>
  <c r="P1066" i="1"/>
  <c r="P1067" i="1"/>
  <c r="P1068" i="1"/>
  <c r="P1069" i="1"/>
  <c r="P1070" i="1"/>
  <c r="P1071" i="1"/>
  <c r="S1071" i="1" s="1"/>
  <c r="P1072" i="1"/>
  <c r="P1073" i="1"/>
  <c r="P1074" i="1"/>
  <c r="P1075" i="1"/>
  <c r="P1076" i="1"/>
  <c r="P1077" i="1"/>
  <c r="P1036" i="1"/>
  <c r="S1036" i="1" s="1"/>
  <c r="N1077" i="1"/>
  <c r="N1076" i="1"/>
  <c r="N1075" i="1"/>
  <c r="N1074" i="1"/>
  <c r="N1073" i="1"/>
  <c r="N1072" i="1"/>
  <c r="N1071" i="1"/>
  <c r="N1070" i="1"/>
  <c r="N1069" i="1"/>
  <c r="N1068" i="1"/>
  <c r="N1067" i="1"/>
  <c r="N1066" i="1"/>
  <c r="N1065" i="1"/>
  <c r="N1064" i="1"/>
  <c r="N1063" i="1"/>
  <c r="N1062" i="1"/>
  <c r="N1061" i="1"/>
  <c r="N1060" i="1"/>
  <c r="N1059" i="1"/>
  <c r="N1058" i="1"/>
  <c r="N1057" i="1"/>
  <c r="N1056" i="1"/>
  <c r="N1055" i="1"/>
  <c r="N1054" i="1"/>
  <c r="N1053" i="1"/>
  <c r="N1052" i="1"/>
  <c r="N1051" i="1"/>
  <c r="N1050" i="1"/>
  <c r="N1049" i="1"/>
  <c r="N1048" i="1"/>
  <c r="N1047" i="1"/>
  <c r="N1046" i="1"/>
  <c r="N1045" i="1"/>
  <c r="N1044" i="1"/>
  <c r="N1043" i="1"/>
  <c r="N1042" i="1"/>
  <c r="N1041" i="1"/>
  <c r="N1040" i="1"/>
  <c r="N1039" i="1"/>
  <c r="N1038" i="1"/>
  <c r="N1037" i="1"/>
  <c r="N1036" i="1"/>
  <c r="M1077" i="1"/>
  <c r="M1076" i="1"/>
  <c r="M1075" i="1"/>
  <c r="M1074" i="1"/>
  <c r="M1073" i="1"/>
  <c r="M1072" i="1"/>
  <c r="M1071" i="1"/>
  <c r="M1070" i="1"/>
  <c r="M1069" i="1"/>
  <c r="M1068" i="1"/>
  <c r="M1067" i="1"/>
  <c r="M1066" i="1"/>
  <c r="M1065" i="1"/>
  <c r="M1064" i="1"/>
  <c r="M1063" i="1"/>
  <c r="M1062" i="1"/>
  <c r="M1061" i="1"/>
  <c r="M1060" i="1"/>
  <c r="M1059" i="1"/>
  <c r="M1058" i="1"/>
  <c r="M1057" i="1"/>
  <c r="M1056" i="1"/>
  <c r="M1055" i="1"/>
  <c r="M1054" i="1"/>
  <c r="M1053" i="1"/>
  <c r="M1052" i="1"/>
  <c r="M1051" i="1"/>
  <c r="M1050" i="1"/>
  <c r="M1049" i="1"/>
  <c r="M1048" i="1"/>
  <c r="M1047" i="1"/>
  <c r="M1046" i="1"/>
  <c r="M1045" i="1"/>
  <c r="M1044" i="1"/>
  <c r="M1043" i="1"/>
  <c r="M1042" i="1"/>
  <c r="M1041" i="1"/>
  <c r="M1040" i="1"/>
  <c r="M1039" i="1"/>
  <c r="M1038" i="1"/>
  <c r="M1037" i="1"/>
  <c r="M1036" i="1"/>
  <c r="L1077" i="1"/>
  <c r="O1077" i="1" s="1"/>
  <c r="L1076" i="1"/>
  <c r="O1076" i="1" s="1"/>
  <c r="L1075" i="1"/>
  <c r="O1075" i="1" s="1"/>
  <c r="L1074" i="1"/>
  <c r="O1074" i="1" s="1"/>
  <c r="L1073" i="1"/>
  <c r="O1073" i="1" s="1"/>
  <c r="L1072" i="1"/>
  <c r="O1072" i="1" s="1"/>
  <c r="L1071" i="1"/>
  <c r="O1071" i="1" s="1"/>
  <c r="L1070" i="1"/>
  <c r="O1070" i="1" s="1"/>
  <c r="L1069" i="1"/>
  <c r="O1069" i="1" s="1"/>
  <c r="L1068" i="1"/>
  <c r="O1068" i="1" s="1"/>
  <c r="L1067" i="1"/>
  <c r="L1066" i="1"/>
  <c r="O1066" i="1" s="1"/>
  <c r="L1065" i="1"/>
  <c r="O1065" i="1" s="1"/>
  <c r="L1064" i="1"/>
  <c r="L1063" i="1"/>
  <c r="O1063" i="1" s="1"/>
  <c r="L1062" i="1"/>
  <c r="L1061" i="1"/>
  <c r="O1061" i="1" s="1"/>
  <c r="L1060" i="1"/>
  <c r="O1060" i="1" s="1"/>
  <c r="L1059" i="1"/>
  <c r="O1059" i="1" s="1"/>
  <c r="L1058" i="1"/>
  <c r="L1057" i="1"/>
  <c r="O1057" i="1" s="1"/>
  <c r="L1056" i="1"/>
  <c r="O1056" i="1" s="1"/>
  <c r="L1055" i="1"/>
  <c r="O1055" i="1" s="1"/>
  <c r="L1054" i="1"/>
  <c r="O1054" i="1" s="1"/>
  <c r="L1053" i="1"/>
  <c r="O1053" i="1" s="1"/>
  <c r="L1052" i="1"/>
  <c r="O1052" i="1" s="1"/>
  <c r="L1051" i="1"/>
  <c r="O1051" i="1" s="1"/>
  <c r="L1050" i="1"/>
  <c r="L1049" i="1"/>
  <c r="O1049" i="1" s="1"/>
  <c r="L1048" i="1"/>
  <c r="L1047" i="1"/>
  <c r="L1046" i="1"/>
  <c r="O1046" i="1" s="1"/>
  <c r="L1045" i="1"/>
  <c r="O1045" i="1" s="1"/>
  <c r="L1044" i="1"/>
  <c r="L1043" i="1"/>
  <c r="O1043" i="1" s="1"/>
  <c r="L1042" i="1"/>
  <c r="O1042" i="1" s="1"/>
  <c r="L1041" i="1"/>
  <c r="O1041" i="1" s="1"/>
  <c r="L1040" i="1"/>
  <c r="O1040" i="1" s="1"/>
  <c r="L1039" i="1"/>
  <c r="O1039" i="1" s="1"/>
  <c r="L1038" i="1"/>
  <c r="O1038" i="1" s="1"/>
  <c r="L1037" i="1"/>
  <c r="O1037" i="1" s="1"/>
  <c r="L1036" i="1"/>
  <c r="J1077" i="1"/>
  <c r="J1076" i="1"/>
  <c r="J1075" i="1"/>
  <c r="J1074" i="1"/>
  <c r="J1073" i="1"/>
  <c r="J1072" i="1"/>
  <c r="J1071" i="1"/>
  <c r="J1070" i="1"/>
  <c r="J1069" i="1"/>
  <c r="J1068" i="1"/>
  <c r="J1067" i="1"/>
  <c r="J1066" i="1"/>
  <c r="J1065" i="1"/>
  <c r="J1064" i="1"/>
  <c r="J1063" i="1"/>
  <c r="J1062" i="1"/>
  <c r="J1061" i="1"/>
  <c r="J1060" i="1"/>
  <c r="J1059" i="1"/>
  <c r="J1058" i="1"/>
  <c r="J1057" i="1"/>
  <c r="J1056" i="1"/>
  <c r="J1055" i="1"/>
  <c r="J1054" i="1"/>
  <c r="J1053" i="1"/>
  <c r="J1052" i="1"/>
  <c r="J1051" i="1"/>
  <c r="J1050" i="1"/>
  <c r="J1049" i="1"/>
  <c r="J1048" i="1"/>
  <c r="J1047" i="1"/>
  <c r="J1046" i="1"/>
  <c r="J1045" i="1"/>
  <c r="J1044" i="1"/>
  <c r="J1043" i="1"/>
  <c r="J1042" i="1"/>
  <c r="J1041" i="1"/>
  <c r="J1040" i="1"/>
  <c r="J1039" i="1"/>
  <c r="J1038" i="1"/>
  <c r="J1037" i="1"/>
  <c r="J1036" i="1"/>
  <c r="I1077" i="1"/>
  <c r="I1076" i="1"/>
  <c r="I1075" i="1"/>
  <c r="I1074" i="1"/>
  <c r="I1073" i="1"/>
  <c r="I1072" i="1"/>
  <c r="I1071" i="1"/>
  <c r="I1070" i="1"/>
  <c r="I1069" i="1"/>
  <c r="I1068" i="1"/>
  <c r="I1067" i="1"/>
  <c r="I1066" i="1"/>
  <c r="I1065" i="1"/>
  <c r="I1064" i="1"/>
  <c r="I1063" i="1"/>
  <c r="I1062" i="1"/>
  <c r="I1061" i="1"/>
  <c r="I1060" i="1"/>
  <c r="I1059" i="1"/>
  <c r="I1058" i="1"/>
  <c r="I1057" i="1"/>
  <c r="I1056" i="1"/>
  <c r="I1055" i="1"/>
  <c r="I1054" i="1"/>
  <c r="I1053" i="1"/>
  <c r="I1052" i="1"/>
  <c r="I1051" i="1"/>
  <c r="I1050" i="1"/>
  <c r="I1049" i="1"/>
  <c r="I1048" i="1"/>
  <c r="I1047" i="1"/>
  <c r="I1046" i="1"/>
  <c r="I1045" i="1"/>
  <c r="I1044" i="1"/>
  <c r="I1043" i="1"/>
  <c r="I1042" i="1"/>
  <c r="I1041" i="1"/>
  <c r="I1040" i="1"/>
  <c r="I1039" i="1"/>
  <c r="I1038" i="1"/>
  <c r="I1037" i="1"/>
  <c r="I1036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F1077" i="1"/>
  <c r="F1076" i="1"/>
  <c r="F1075" i="1"/>
  <c r="F1074" i="1"/>
  <c r="F1073" i="1"/>
  <c r="F1072" i="1"/>
  <c r="F1071" i="1"/>
  <c r="F1070" i="1"/>
  <c r="F1069" i="1"/>
  <c r="F1068" i="1"/>
  <c r="F1067" i="1"/>
  <c r="F1066" i="1"/>
  <c r="F1065" i="1"/>
  <c r="F1064" i="1"/>
  <c r="F1063" i="1"/>
  <c r="F1062" i="1"/>
  <c r="F1061" i="1"/>
  <c r="F1060" i="1"/>
  <c r="F1059" i="1"/>
  <c r="F1058" i="1"/>
  <c r="F1057" i="1"/>
  <c r="F1056" i="1"/>
  <c r="F1055" i="1"/>
  <c r="F1054" i="1"/>
  <c r="F1053" i="1"/>
  <c r="F1052" i="1"/>
  <c r="F1051" i="1"/>
  <c r="F1050" i="1"/>
  <c r="F1049" i="1"/>
  <c r="F1048" i="1"/>
  <c r="F1047" i="1"/>
  <c r="F1046" i="1"/>
  <c r="F1045" i="1"/>
  <c r="F1044" i="1"/>
  <c r="F1043" i="1"/>
  <c r="F1042" i="1"/>
  <c r="F1041" i="1"/>
  <c r="F1040" i="1"/>
  <c r="F1039" i="1"/>
  <c r="F1038" i="1"/>
  <c r="F1037" i="1"/>
  <c r="F1036" i="1"/>
  <c r="E1077" i="1"/>
  <c r="K1077" i="1" s="1"/>
  <c r="E1076" i="1"/>
  <c r="E1075" i="1"/>
  <c r="E1074" i="1"/>
  <c r="E1073" i="1"/>
  <c r="E1072" i="1"/>
  <c r="E1071" i="1"/>
  <c r="E1070" i="1"/>
  <c r="E1069" i="1"/>
  <c r="E1068" i="1"/>
  <c r="E1067" i="1"/>
  <c r="E1066" i="1"/>
  <c r="E1065" i="1"/>
  <c r="E1064" i="1"/>
  <c r="E1063" i="1"/>
  <c r="K1063" i="1" s="1"/>
  <c r="E1062" i="1"/>
  <c r="E1061" i="1"/>
  <c r="E1060" i="1"/>
  <c r="K1060" i="1" s="1"/>
  <c r="E1059" i="1"/>
  <c r="E1058" i="1"/>
  <c r="K1058" i="1" s="1"/>
  <c r="E1057" i="1"/>
  <c r="E1056" i="1"/>
  <c r="E1055" i="1"/>
  <c r="E1054" i="1"/>
  <c r="E1053" i="1"/>
  <c r="E1052" i="1"/>
  <c r="E1051" i="1"/>
  <c r="E1050" i="1"/>
  <c r="E1049" i="1"/>
  <c r="E1048" i="1"/>
  <c r="E1047" i="1"/>
  <c r="E1046" i="1"/>
  <c r="E1045" i="1"/>
  <c r="E1044" i="1"/>
  <c r="E1043" i="1"/>
  <c r="E1042" i="1"/>
  <c r="E1041" i="1"/>
  <c r="E1040" i="1"/>
  <c r="E1039" i="1"/>
  <c r="E1038" i="1"/>
  <c r="E1037" i="1"/>
  <c r="E1036" i="1"/>
  <c r="D1037" i="1"/>
  <c r="K1037" i="1" s="1"/>
  <c r="AV1037" i="1" s="1"/>
  <c r="D1038" i="1"/>
  <c r="D1039" i="1"/>
  <c r="D1040" i="1"/>
  <c r="D1041" i="1"/>
  <c r="D1042" i="1"/>
  <c r="D1043" i="1"/>
  <c r="K1043" i="1" s="1"/>
  <c r="D1044" i="1"/>
  <c r="D1045" i="1"/>
  <c r="D1046" i="1"/>
  <c r="D1047" i="1"/>
  <c r="D1048" i="1"/>
  <c r="D1049" i="1"/>
  <c r="D1050" i="1"/>
  <c r="K1050" i="1" s="1"/>
  <c r="D1051" i="1"/>
  <c r="K1051" i="1" s="1"/>
  <c r="D1052" i="1"/>
  <c r="D1053" i="1"/>
  <c r="D1054" i="1"/>
  <c r="D1055" i="1"/>
  <c r="D1056" i="1"/>
  <c r="D1057" i="1"/>
  <c r="K1057" i="1" s="1"/>
  <c r="D1058" i="1"/>
  <c r="D1059" i="1"/>
  <c r="K1059" i="1" s="1"/>
  <c r="D1060" i="1"/>
  <c r="D1061" i="1"/>
  <c r="D1062" i="1"/>
  <c r="D1063" i="1"/>
  <c r="D1064" i="1"/>
  <c r="K1064" i="1" s="1"/>
  <c r="D1065" i="1"/>
  <c r="K1065" i="1" s="1"/>
  <c r="D1066" i="1"/>
  <c r="D1067" i="1"/>
  <c r="D1068" i="1"/>
  <c r="K1068" i="1" s="1"/>
  <c r="D1069" i="1"/>
  <c r="D1070" i="1"/>
  <c r="D1071" i="1"/>
  <c r="K1071" i="1" s="1"/>
  <c r="D1072" i="1"/>
  <c r="D1073" i="1"/>
  <c r="D1074" i="1"/>
  <c r="D1075" i="1"/>
  <c r="D1076" i="1"/>
  <c r="D1077" i="1"/>
  <c r="D1036" i="1"/>
  <c r="AP999" i="1"/>
  <c r="AP1032" i="1"/>
  <c r="AP1034" i="1"/>
  <c r="AM994" i="1"/>
  <c r="AP994" i="1" s="1"/>
  <c r="AM995" i="1"/>
  <c r="AP995" i="1" s="1"/>
  <c r="AM996" i="1"/>
  <c r="AP996" i="1" s="1"/>
  <c r="AM997" i="1"/>
  <c r="AP997" i="1" s="1"/>
  <c r="AM998" i="1"/>
  <c r="AP998" i="1" s="1"/>
  <c r="AM999" i="1"/>
  <c r="AM1000" i="1"/>
  <c r="AP1000" i="1" s="1"/>
  <c r="AM1001" i="1"/>
  <c r="AP1001" i="1" s="1"/>
  <c r="AM1002" i="1"/>
  <c r="AP1002" i="1" s="1"/>
  <c r="AM1003" i="1"/>
  <c r="AP1003" i="1" s="1"/>
  <c r="AM1004" i="1"/>
  <c r="AP1004" i="1" s="1"/>
  <c r="AM1005" i="1"/>
  <c r="AP1005" i="1" s="1"/>
  <c r="AM1006" i="1"/>
  <c r="AP1006" i="1" s="1"/>
  <c r="AM1007" i="1"/>
  <c r="AP1007" i="1" s="1"/>
  <c r="AM1008" i="1"/>
  <c r="AP1008" i="1" s="1"/>
  <c r="AM1009" i="1"/>
  <c r="AP1009" i="1" s="1"/>
  <c r="AM1010" i="1"/>
  <c r="AP1010" i="1" s="1"/>
  <c r="AM1011" i="1"/>
  <c r="AP1011" i="1" s="1"/>
  <c r="AM1012" i="1"/>
  <c r="AP1012" i="1" s="1"/>
  <c r="AM1013" i="1"/>
  <c r="AP1013" i="1" s="1"/>
  <c r="AM1014" i="1"/>
  <c r="AP1014" i="1" s="1"/>
  <c r="AM1015" i="1"/>
  <c r="AP1015" i="1" s="1"/>
  <c r="AM1016" i="1"/>
  <c r="AP1016" i="1" s="1"/>
  <c r="AM1017" i="1"/>
  <c r="AP1017" i="1" s="1"/>
  <c r="AM1018" i="1"/>
  <c r="AP1018" i="1" s="1"/>
  <c r="AM1019" i="1"/>
  <c r="AP1019" i="1" s="1"/>
  <c r="AM1020" i="1"/>
  <c r="AP1020" i="1" s="1"/>
  <c r="AM1021" i="1"/>
  <c r="AP1021" i="1" s="1"/>
  <c r="AM1022" i="1"/>
  <c r="AP1022" i="1" s="1"/>
  <c r="AM1023" i="1"/>
  <c r="AP1023" i="1" s="1"/>
  <c r="AM1024" i="1"/>
  <c r="AP1024" i="1" s="1"/>
  <c r="AM1025" i="1"/>
  <c r="AP1025" i="1" s="1"/>
  <c r="AM1026" i="1"/>
  <c r="AP1026" i="1" s="1"/>
  <c r="AM1027" i="1"/>
  <c r="AP1027" i="1" s="1"/>
  <c r="AM1028" i="1"/>
  <c r="AP1028" i="1" s="1"/>
  <c r="AM1029" i="1"/>
  <c r="AP1029" i="1" s="1"/>
  <c r="AM1030" i="1"/>
  <c r="AP1030" i="1" s="1"/>
  <c r="AM1031" i="1"/>
  <c r="AP1031" i="1" s="1"/>
  <c r="AM1032" i="1"/>
  <c r="AM1033" i="1"/>
  <c r="AP1033" i="1" s="1"/>
  <c r="AM1034" i="1"/>
  <c r="AM993" i="1"/>
  <c r="AP993" i="1" s="1"/>
  <c r="AJ994" i="1"/>
  <c r="AJ995" i="1"/>
  <c r="AJ996" i="1"/>
  <c r="AJ997" i="1"/>
  <c r="AJ998" i="1"/>
  <c r="AJ999" i="1"/>
  <c r="AJ1000" i="1"/>
  <c r="AJ1001" i="1"/>
  <c r="AJ1002" i="1"/>
  <c r="AJ1003" i="1"/>
  <c r="AJ1004" i="1"/>
  <c r="AJ1005" i="1"/>
  <c r="AJ1006" i="1"/>
  <c r="AJ1007" i="1"/>
  <c r="AJ1008" i="1"/>
  <c r="AJ1009" i="1"/>
  <c r="AJ1010" i="1"/>
  <c r="AJ1011" i="1"/>
  <c r="AJ1012" i="1"/>
  <c r="AJ1013" i="1"/>
  <c r="AJ1014" i="1"/>
  <c r="AJ1015" i="1"/>
  <c r="AJ1016" i="1"/>
  <c r="AJ1017" i="1"/>
  <c r="AJ1018" i="1"/>
  <c r="AJ1019" i="1"/>
  <c r="AJ1020" i="1"/>
  <c r="AJ1021" i="1"/>
  <c r="AJ1022" i="1"/>
  <c r="AJ1023" i="1"/>
  <c r="AJ1024" i="1"/>
  <c r="AJ1025" i="1"/>
  <c r="AJ1026" i="1"/>
  <c r="AJ1027" i="1"/>
  <c r="AJ1028" i="1"/>
  <c r="AJ1029" i="1"/>
  <c r="AJ1030" i="1"/>
  <c r="AJ1031" i="1"/>
  <c r="AJ1032" i="1"/>
  <c r="AJ1033" i="1"/>
  <c r="AJ1034" i="1"/>
  <c r="AJ993" i="1"/>
  <c r="AA994" i="1"/>
  <c r="AA995" i="1"/>
  <c r="AA996" i="1"/>
  <c r="AA997" i="1"/>
  <c r="AA998" i="1"/>
  <c r="AA999" i="1"/>
  <c r="AA1000" i="1"/>
  <c r="AA1001" i="1"/>
  <c r="AA1002" i="1"/>
  <c r="AA1003" i="1"/>
  <c r="AA1004" i="1"/>
  <c r="AA1005" i="1"/>
  <c r="AA1006" i="1"/>
  <c r="AA1007" i="1"/>
  <c r="AA1008" i="1"/>
  <c r="AA1009" i="1"/>
  <c r="AA1010" i="1"/>
  <c r="AA1011" i="1"/>
  <c r="AA1012" i="1"/>
  <c r="AA1013" i="1"/>
  <c r="AA1014" i="1"/>
  <c r="AA1015" i="1"/>
  <c r="AA1016" i="1"/>
  <c r="AA1017" i="1"/>
  <c r="AA1018" i="1"/>
  <c r="AA1019" i="1"/>
  <c r="AA1020" i="1"/>
  <c r="AA1021" i="1"/>
  <c r="AA1022" i="1"/>
  <c r="AA1023" i="1"/>
  <c r="AA1024" i="1"/>
  <c r="AA1025" i="1"/>
  <c r="AA1026" i="1"/>
  <c r="AA1027" i="1"/>
  <c r="AA1028" i="1"/>
  <c r="AA1029" i="1"/>
  <c r="AA1030" i="1"/>
  <c r="AA1031" i="1"/>
  <c r="AA1032" i="1"/>
  <c r="AA1033" i="1"/>
  <c r="AA1034" i="1"/>
  <c r="AA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AV1022" i="1" s="1"/>
  <c r="K1023" i="1"/>
  <c r="K1024" i="1"/>
  <c r="K1025" i="1"/>
  <c r="K1026" i="1"/>
  <c r="K1027" i="1"/>
  <c r="K1028" i="1"/>
  <c r="K1029" i="1"/>
  <c r="K1030" i="1"/>
  <c r="K1031" i="1"/>
  <c r="AV1031" i="1" s="1"/>
  <c r="K1032" i="1"/>
  <c r="K1033" i="1"/>
  <c r="K1034" i="1"/>
  <c r="K993" i="1"/>
  <c r="O991" i="1"/>
  <c r="S980" i="1"/>
  <c r="AG991" i="1"/>
  <c r="AG990" i="1"/>
  <c r="AG989" i="1"/>
  <c r="AG988" i="1"/>
  <c r="AG987" i="1"/>
  <c r="AG986" i="1"/>
  <c r="AG985" i="1"/>
  <c r="AG984" i="1"/>
  <c r="AG983" i="1"/>
  <c r="AG982" i="1"/>
  <c r="AG981" i="1"/>
  <c r="AG980" i="1"/>
  <c r="AG979" i="1"/>
  <c r="AG978" i="1"/>
  <c r="AG977" i="1"/>
  <c r="AG976" i="1"/>
  <c r="AG975" i="1"/>
  <c r="AG974" i="1"/>
  <c r="AG973" i="1"/>
  <c r="AG972" i="1"/>
  <c r="AG971" i="1"/>
  <c r="AG970" i="1"/>
  <c r="AG969" i="1"/>
  <c r="AG968" i="1"/>
  <c r="AG967" i="1"/>
  <c r="AG966" i="1"/>
  <c r="AG965" i="1"/>
  <c r="AG964" i="1"/>
  <c r="AG963" i="1"/>
  <c r="AG962" i="1"/>
  <c r="AG961" i="1"/>
  <c r="AG960" i="1"/>
  <c r="AG959" i="1"/>
  <c r="AG958" i="1"/>
  <c r="AG957" i="1"/>
  <c r="AG956" i="1"/>
  <c r="AG955" i="1"/>
  <c r="AG954" i="1"/>
  <c r="AG953" i="1"/>
  <c r="AG952" i="1"/>
  <c r="AG951" i="1"/>
  <c r="AF991" i="1"/>
  <c r="AF990" i="1"/>
  <c r="AF989" i="1"/>
  <c r="AF988" i="1"/>
  <c r="AF987" i="1"/>
  <c r="AF986" i="1"/>
  <c r="AF985" i="1"/>
  <c r="AF984" i="1"/>
  <c r="AF983" i="1"/>
  <c r="AF982" i="1"/>
  <c r="AF981" i="1"/>
  <c r="AF980" i="1"/>
  <c r="AF979" i="1"/>
  <c r="AF978" i="1"/>
  <c r="AF977" i="1"/>
  <c r="AF976" i="1"/>
  <c r="AF975" i="1"/>
  <c r="AF974" i="1"/>
  <c r="AF973" i="1"/>
  <c r="AF972" i="1"/>
  <c r="AF971" i="1"/>
  <c r="AF970" i="1"/>
  <c r="AF969" i="1"/>
  <c r="AF968" i="1"/>
  <c r="AF967" i="1"/>
  <c r="AF966" i="1"/>
  <c r="AF964" i="1"/>
  <c r="AF963" i="1"/>
  <c r="AF962" i="1"/>
  <c r="AF961" i="1"/>
  <c r="AF960" i="1"/>
  <c r="AF959" i="1"/>
  <c r="AF958" i="1"/>
  <c r="AF957" i="1"/>
  <c r="AF956" i="1"/>
  <c r="AF955" i="1"/>
  <c r="AF954" i="1"/>
  <c r="AF953" i="1"/>
  <c r="AF952" i="1"/>
  <c r="AF951" i="1"/>
  <c r="AE991" i="1"/>
  <c r="AE990" i="1"/>
  <c r="AE989" i="1"/>
  <c r="AE988" i="1"/>
  <c r="AE987" i="1"/>
  <c r="AE986" i="1"/>
  <c r="AE985" i="1"/>
  <c r="AE984" i="1"/>
  <c r="AE983" i="1"/>
  <c r="AE982" i="1"/>
  <c r="AE981" i="1"/>
  <c r="AE980" i="1"/>
  <c r="AE979" i="1"/>
  <c r="AE978" i="1"/>
  <c r="AE977" i="1"/>
  <c r="AE976" i="1"/>
  <c r="AE975" i="1"/>
  <c r="AE974" i="1"/>
  <c r="AE973" i="1"/>
  <c r="AE972" i="1"/>
  <c r="AE971" i="1"/>
  <c r="AE970" i="1"/>
  <c r="AE969" i="1"/>
  <c r="AE968" i="1"/>
  <c r="AE967" i="1"/>
  <c r="AE966" i="1"/>
  <c r="AE965" i="1"/>
  <c r="AE964" i="1"/>
  <c r="AE963" i="1"/>
  <c r="AE962" i="1"/>
  <c r="AE961" i="1"/>
  <c r="AE960" i="1"/>
  <c r="AE959" i="1"/>
  <c r="AE958" i="1"/>
  <c r="AE957" i="1"/>
  <c r="AE956" i="1"/>
  <c r="AE955" i="1"/>
  <c r="AE954" i="1"/>
  <c r="AE953" i="1"/>
  <c r="AE952" i="1"/>
  <c r="AE951" i="1"/>
  <c r="AD991" i="1"/>
  <c r="AD990" i="1"/>
  <c r="AD989" i="1"/>
  <c r="AD988" i="1"/>
  <c r="AD987" i="1"/>
  <c r="AD986" i="1"/>
  <c r="AD985" i="1"/>
  <c r="AD984" i="1"/>
  <c r="AD983" i="1"/>
  <c r="AD982" i="1"/>
  <c r="AD981" i="1"/>
  <c r="AD980" i="1"/>
  <c r="AD979" i="1"/>
  <c r="AD978" i="1"/>
  <c r="AD977" i="1"/>
  <c r="AD976" i="1"/>
  <c r="AD975" i="1"/>
  <c r="AD974" i="1"/>
  <c r="AD973" i="1"/>
  <c r="AD972" i="1"/>
  <c r="AD971" i="1"/>
  <c r="AD970" i="1"/>
  <c r="AD969" i="1"/>
  <c r="AD968" i="1"/>
  <c r="AD967" i="1"/>
  <c r="AD966" i="1"/>
  <c r="AD965" i="1"/>
  <c r="AD964" i="1"/>
  <c r="AD963" i="1"/>
  <c r="AD962" i="1"/>
  <c r="AD961" i="1"/>
  <c r="AD960" i="1"/>
  <c r="AD959" i="1"/>
  <c r="AD958" i="1"/>
  <c r="AD957" i="1"/>
  <c r="AD956" i="1"/>
  <c r="AD955" i="1"/>
  <c r="AD954" i="1"/>
  <c r="AD953" i="1"/>
  <c r="AD952" i="1"/>
  <c r="AD951" i="1"/>
  <c r="AC991" i="1"/>
  <c r="AC990" i="1"/>
  <c r="AC989" i="1"/>
  <c r="AC988" i="1"/>
  <c r="AC987" i="1"/>
  <c r="AC986" i="1"/>
  <c r="AC985" i="1"/>
  <c r="AC984" i="1"/>
  <c r="AC983" i="1"/>
  <c r="AC982" i="1"/>
  <c r="AC981" i="1"/>
  <c r="AC980" i="1"/>
  <c r="AC979" i="1"/>
  <c r="AC978" i="1"/>
  <c r="AC977" i="1"/>
  <c r="AC976" i="1"/>
  <c r="AC975" i="1"/>
  <c r="AC974" i="1"/>
  <c r="AC973" i="1"/>
  <c r="AC972" i="1"/>
  <c r="AC971" i="1"/>
  <c r="AC970" i="1"/>
  <c r="AC969" i="1"/>
  <c r="AC968" i="1"/>
  <c r="AC967" i="1"/>
  <c r="AC966" i="1"/>
  <c r="AC965" i="1"/>
  <c r="AC964" i="1"/>
  <c r="AC963" i="1"/>
  <c r="AC962" i="1"/>
  <c r="AC961" i="1"/>
  <c r="AC960" i="1"/>
  <c r="AC959" i="1"/>
  <c r="AC958" i="1"/>
  <c r="AC957" i="1"/>
  <c r="AC956" i="1"/>
  <c r="AC955" i="1"/>
  <c r="AC954" i="1"/>
  <c r="AC953" i="1"/>
  <c r="AC952" i="1"/>
  <c r="AC951" i="1"/>
  <c r="AB991" i="1"/>
  <c r="AB990" i="1"/>
  <c r="AB989" i="1"/>
  <c r="AB988" i="1"/>
  <c r="AB987" i="1"/>
  <c r="AB986" i="1"/>
  <c r="AB985" i="1"/>
  <c r="AB984" i="1"/>
  <c r="AB983" i="1"/>
  <c r="AB982" i="1"/>
  <c r="AB980" i="1"/>
  <c r="AB979" i="1"/>
  <c r="AJ979" i="1" s="1"/>
  <c r="AB978" i="1"/>
  <c r="AB977" i="1"/>
  <c r="AB976" i="1"/>
  <c r="AB975" i="1"/>
  <c r="AB974" i="1"/>
  <c r="AB973" i="1"/>
  <c r="AB972" i="1"/>
  <c r="AB971" i="1"/>
  <c r="AB970" i="1"/>
  <c r="AB969" i="1"/>
  <c r="AB968" i="1"/>
  <c r="AB967" i="1"/>
  <c r="AB966" i="1"/>
  <c r="AB965" i="1"/>
  <c r="AB964" i="1"/>
  <c r="AB963" i="1"/>
  <c r="AB962" i="1"/>
  <c r="AB961" i="1"/>
  <c r="AB960" i="1"/>
  <c r="AB959" i="1"/>
  <c r="AB958" i="1"/>
  <c r="AB957" i="1"/>
  <c r="AB956" i="1"/>
  <c r="AB955" i="1"/>
  <c r="AB954" i="1"/>
  <c r="AB953" i="1"/>
  <c r="AB952" i="1"/>
  <c r="AB951" i="1"/>
  <c r="AJ951" i="1" s="1"/>
  <c r="Z991" i="1"/>
  <c r="Z990" i="1"/>
  <c r="Z989" i="1"/>
  <c r="Z988" i="1"/>
  <c r="Z987" i="1"/>
  <c r="Z986" i="1"/>
  <c r="Z985" i="1"/>
  <c r="Z984" i="1"/>
  <c r="Z983" i="1"/>
  <c r="Z982" i="1"/>
  <c r="Z981" i="1"/>
  <c r="Z980" i="1"/>
  <c r="Z979" i="1"/>
  <c r="Z978" i="1"/>
  <c r="Z977" i="1"/>
  <c r="Z976" i="1"/>
  <c r="Z975" i="1"/>
  <c r="Z974" i="1"/>
  <c r="Z973" i="1"/>
  <c r="Z972" i="1"/>
  <c r="Z971" i="1"/>
  <c r="Z970" i="1"/>
  <c r="Z969" i="1"/>
  <c r="Z968" i="1"/>
  <c r="Z967" i="1"/>
  <c r="Z966" i="1"/>
  <c r="Z965" i="1"/>
  <c r="Z964" i="1"/>
  <c r="Z963" i="1"/>
  <c r="Z962" i="1"/>
  <c r="Z961" i="1"/>
  <c r="Z960" i="1"/>
  <c r="Z959" i="1"/>
  <c r="Z958" i="1"/>
  <c r="Z957" i="1"/>
  <c r="Z956" i="1"/>
  <c r="Z955" i="1"/>
  <c r="Z954" i="1"/>
  <c r="Z953" i="1"/>
  <c r="Z952" i="1"/>
  <c r="Z951" i="1"/>
  <c r="Y991" i="1"/>
  <c r="Y990" i="1"/>
  <c r="Y989" i="1"/>
  <c r="Y988" i="1"/>
  <c r="Y987" i="1"/>
  <c r="Y986" i="1"/>
  <c r="Y985" i="1"/>
  <c r="Y984" i="1"/>
  <c r="Y983" i="1"/>
  <c r="Y982" i="1"/>
  <c r="Y981" i="1"/>
  <c r="Y980" i="1"/>
  <c r="Y979" i="1"/>
  <c r="Y978" i="1"/>
  <c r="Y977" i="1"/>
  <c r="Y976" i="1"/>
  <c r="Y975" i="1"/>
  <c r="Y974" i="1"/>
  <c r="Y973" i="1"/>
  <c r="Y972" i="1"/>
  <c r="Y971" i="1"/>
  <c r="Y970" i="1"/>
  <c r="Y969" i="1"/>
  <c r="Y968" i="1"/>
  <c r="Y967" i="1"/>
  <c r="Y966" i="1"/>
  <c r="Y965" i="1"/>
  <c r="Y964" i="1"/>
  <c r="Y963" i="1"/>
  <c r="Y962" i="1"/>
  <c r="Y961" i="1"/>
  <c r="Y960" i="1"/>
  <c r="Y959" i="1"/>
  <c r="Y958" i="1"/>
  <c r="Y957" i="1"/>
  <c r="Y956" i="1"/>
  <c r="Y955" i="1"/>
  <c r="Y954" i="1"/>
  <c r="Y953" i="1"/>
  <c r="Y952" i="1"/>
  <c r="Y951" i="1"/>
  <c r="X991" i="1"/>
  <c r="X990" i="1"/>
  <c r="X989" i="1"/>
  <c r="X988" i="1"/>
  <c r="X987" i="1"/>
  <c r="X986" i="1"/>
  <c r="X985" i="1"/>
  <c r="X984" i="1"/>
  <c r="X983" i="1"/>
  <c r="X982" i="1"/>
  <c r="X981" i="1"/>
  <c r="X980" i="1"/>
  <c r="X979" i="1"/>
  <c r="X978" i="1"/>
  <c r="X977" i="1"/>
  <c r="X976" i="1"/>
  <c r="X975" i="1"/>
  <c r="X974" i="1"/>
  <c r="X973" i="1"/>
  <c r="X972" i="1"/>
  <c r="X971" i="1"/>
  <c r="X970" i="1"/>
  <c r="X969" i="1"/>
  <c r="X968" i="1"/>
  <c r="X967" i="1"/>
  <c r="X966" i="1"/>
  <c r="X965" i="1"/>
  <c r="X964" i="1"/>
  <c r="X963" i="1"/>
  <c r="X962" i="1"/>
  <c r="X961" i="1"/>
  <c r="X960" i="1"/>
  <c r="X959" i="1"/>
  <c r="X958" i="1"/>
  <c r="X957" i="1"/>
  <c r="X956" i="1"/>
  <c r="X955" i="1"/>
  <c r="X954" i="1"/>
  <c r="X953" i="1"/>
  <c r="X952" i="1"/>
  <c r="X951" i="1"/>
  <c r="W991" i="1"/>
  <c r="W990" i="1"/>
  <c r="W989" i="1"/>
  <c r="W988" i="1"/>
  <c r="W987" i="1"/>
  <c r="W986" i="1"/>
  <c r="W985" i="1"/>
  <c r="W984" i="1"/>
  <c r="W983" i="1"/>
  <c r="W982" i="1"/>
  <c r="W981" i="1"/>
  <c r="W980" i="1"/>
  <c r="W979" i="1"/>
  <c r="W978" i="1"/>
  <c r="W977" i="1"/>
  <c r="W976" i="1"/>
  <c r="W975" i="1"/>
  <c r="W974" i="1"/>
  <c r="W973" i="1"/>
  <c r="W972" i="1"/>
  <c r="W971" i="1"/>
  <c r="W970" i="1"/>
  <c r="W969" i="1"/>
  <c r="W968" i="1"/>
  <c r="W967" i="1"/>
  <c r="W966" i="1"/>
  <c r="W965" i="1"/>
  <c r="W964" i="1"/>
  <c r="W963" i="1"/>
  <c r="W962" i="1"/>
  <c r="W961" i="1"/>
  <c r="W960" i="1"/>
  <c r="W959" i="1"/>
  <c r="W958" i="1"/>
  <c r="W957" i="1"/>
  <c r="W956" i="1"/>
  <c r="W955" i="1"/>
  <c r="W954" i="1"/>
  <c r="W953" i="1"/>
  <c r="W952" i="1"/>
  <c r="W951" i="1"/>
  <c r="V991" i="1"/>
  <c r="V990" i="1"/>
  <c r="V989" i="1"/>
  <c r="V988" i="1"/>
  <c r="V987" i="1"/>
  <c r="V986" i="1"/>
  <c r="V985" i="1"/>
  <c r="V984" i="1"/>
  <c r="V983" i="1"/>
  <c r="V982" i="1"/>
  <c r="V981" i="1"/>
  <c r="V980" i="1"/>
  <c r="V979" i="1"/>
  <c r="V978" i="1"/>
  <c r="V977" i="1"/>
  <c r="V976" i="1"/>
  <c r="V975" i="1"/>
  <c r="V974" i="1"/>
  <c r="V973" i="1"/>
  <c r="V972" i="1"/>
  <c r="V971" i="1"/>
  <c r="V970" i="1"/>
  <c r="V969" i="1"/>
  <c r="V968" i="1"/>
  <c r="V967" i="1"/>
  <c r="V966" i="1"/>
  <c r="V965" i="1"/>
  <c r="V964" i="1"/>
  <c r="V963" i="1"/>
  <c r="V962" i="1"/>
  <c r="V961" i="1"/>
  <c r="V960" i="1"/>
  <c r="V959" i="1"/>
  <c r="V958" i="1"/>
  <c r="V957" i="1"/>
  <c r="V956" i="1"/>
  <c r="V955" i="1"/>
  <c r="V954" i="1"/>
  <c r="V953" i="1"/>
  <c r="V952" i="1"/>
  <c r="V951" i="1"/>
  <c r="U991" i="1"/>
  <c r="U990" i="1"/>
  <c r="U989" i="1"/>
  <c r="U988" i="1"/>
  <c r="U987" i="1"/>
  <c r="U986" i="1"/>
  <c r="U985" i="1"/>
  <c r="U984" i="1"/>
  <c r="U983" i="1"/>
  <c r="U982" i="1"/>
  <c r="U981" i="1"/>
  <c r="U980" i="1"/>
  <c r="U979" i="1"/>
  <c r="U978" i="1"/>
  <c r="U977" i="1"/>
  <c r="U976" i="1"/>
  <c r="U975" i="1"/>
  <c r="U974" i="1"/>
  <c r="U973" i="1"/>
  <c r="U972" i="1"/>
  <c r="U971" i="1"/>
  <c r="U970" i="1"/>
  <c r="U969" i="1"/>
  <c r="U968" i="1"/>
  <c r="U967" i="1"/>
  <c r="U966" i="1"/>
  <c r="U965" i="1"/>
  <c r="U964" i="1"/>
  <c r="U963" i="1"/>
  <c r="U962" i="1"/>
  <c r="U961" i="1"/>
  <c r="U960" i="1"/>
  <c r="U959" i="1"/>
  <c r="U958" i="1"/>
  <c r="U957" i="1"/>
  <c r="U956" i="1"/>
  <c r="U955" i="1"/>
  <c r="U954" i="1"/>
  <c r="U953" i="1"/>
  <c r="U952" i="1"/>
  <c r="U951" i="1"/>
  <c r="T991" i="1"/>
  <c r="T990" i="1"/>
  <c r="T989" i="1"/>
  <c r="T988" i="1"/>
  <c r="T987" i="1"/>
  <c r="T986" i="1"/>
  <c r="T985" i="1"/>
  <c r="T984" i="1"/>
  <c r="T983" i="1"/>
  <c r="T982" i="1"/>
  <c r="T981" i="1"/>
  <c r="T980" i="1"/>
  <c r="T979" i="1"/>
  <c r="T978" i="1"/>
  <c r="T977" i="1"/>
  <c r="T976" i="1"/>
  <c r="T975" i="1"/>
  <c r="T974" i="1"/>
  <c r="T973" i="1"/>
  <c r="T972" i="1"/>
  <c r="T971" i="1"/>
  <c r="T970" i="1"/>
  <c r="T969" i="1"/>
  <c r="T968" i="1"/>
  <c r="T967" i="1"/>
  <c r="T966" i="1"/>
  <c r="T965" i="1"/>
  <c r="T964" i="1"/>
  <c r="T963" i="1"/>
  <c r="T962" i="1"/>
  <c r="T961" i="1"/>
  <c r="T960" i="1"/>
  <c r="T959" i="1"/>
  <c r="T958" i="1"/>
  <c r="T957" i="1"/>
  <c r="T956" i="1"/>
  <c r="T955" i="1"/>
  <c r="T954" i="1"/>
  <c r="T953" i="1"/>
  <c r="T952" i="1"/>
  <c r="T951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Q991" i="1"/>
  <c r="Q990" i="1"/>
  <c r="Q989" i="1"/>
  <c r="Q988" i="1"/>
  <c r="Q987" i="1"/>
  <c r="Q986" i="1"/>
  <c r="Q985" i="1"/>
  <c r="Q984" i="1"/>
  <c r="Q983" i="1"/>
  <c r="Q982" i="1"/>
  <c r="Q981" i="1"/>
  <c r="Q980" i="1"/>
  <c r="Q979" i="1"/>
  <c r="Q978" i="1"/>
  <c r="Q977" i="1"/>
  <c r="Q976" i="1"/>
  <c r="Q975" i="1"/>
  <c r="Q974" i="1"/>
  <c r="Q973" i="1"/>
  <c r="Q972" i="1"/>
  <c r="Q971" i="1"/>
  <c r="Q970" i="1"/>
  <c r="Q969" i="1"/>
  <c r="Q968" i="1"/>
  <c r="Q967" i="1"/>
  <c r="Q966" i="1"/>
  <c r="Q965" i="1"/>
  <c r="Q964" i="1"/>
  <c r="Q963" i="1"/>
  <c r="Q962" i="1"/>
  <c r="Q961" i="1"/>
  <c r="Q960" i="1"/>
  <c r="Q959" i="1"/>
  <c r="Q958" i="1"/>
  <c r="Q957" i="1"/>
  <c r="Q956" i="1"/>
  <c r="Q955" i="1"/>
  <c r="Q954" i="1"/>
  <c r="Q953" i="1"/>
  <c r="Q952" i="1"/>
  <c r="Q951" i="1"/>
  <c r="P991" i="1"/>
  <c r="P990" i="1"/>
  <c r="P989" i="1"/>
  <c r="P988" i="1"/>
  <c r="P987" i="1"/>
  <c r="P986" i="1"/>
  <c r="P985" i="1"/>
  <c r="P984" i="1"/>
  <c r="P983" i="1"/>
  <c r="P982" i="1"/>
  <c r="P981" i="1"/>
  <c r="P980" i="1"/>
  <c r="P979" i="1"/>
  <c r="P978" i="1"/>
  <c r="P977" i="1"/>
  <c r="P976" i="1"/>
  <c r="P975" i="1"/>
  <c r="P974" i="1"/>
  <c r="P973" i="1"/>
  <c r="P972" i="1"/>
  <c r="P971" i="1"/>
  <c r="P970" i="1"/>
  <c r="P969" i="1"/>
  <c r="P968" i="1"/>
  <c r="P967" i="1"/>
  <c r="P966" i="1"/>
  <c r="P965" i="1"/>
  <c r="P964" i="1"/>
  <c r="P963" i="1"/>
  <c r="P962" i="1"/>
  <c r="P961" i="1"/>
  <c r="P960" i="1"/>
  <c r="P959" i="1"/>
  <c r="P958" i="1"/>
  <c r="P957" i="1"/>
  <c r="P956" i="1"/>
  <c r="P955" i="1"/>
  <c r="P954" i="1"/>
  <c r="P953" i="1"/>
  <c r="P952" i="1"/>
  <c r="P951" i="1"/>
  <c r="N991" i="1"/>
  <c r="N990" i="1"/>
  <c r="N989" i="1"/>
  <c r="N988" i="1"/>
  <c r="N987" i="1"/>
  <c r="N986" i="1"/>
  <c r="N985" i="1"/>
  <c r="N984" i="1"/>
  <c r="N983" i="1"/>
  <c r="N982" i="1"/>
  <c r="N981" i="1"/>
  <c r="N980" i="1"/>
  <c r="N979" i="1"/>
  <c r="N978" i="1"/>
  <c r="N977" i="1"/>
  <c r="N976" i="1"/>
  <c r="N975" i="1"/>
  <c r="N974" i="1"/>
  <c r="N973" i="1"/>
  <c r="N972" i="1"/>
  <c r="N971" i="1"/>
  <c r="N970" i="1"/>
  <c r="N969" i="1"/>
  <c r="N968" i="1"/>
  <c r="N967" i="1"/>
  <c r="N966" i="1"/>
  <c r="N965" i="1"/>
  <c r="N964" i="1"/>
  <c r="N963" i="1"/>
  <c r="N962" i="1"/>
  <c r="N961" i="1"/>
  <c r="N960" i="1"/>
  <c r="N959" i="1"/>
  <c r="N958" i="1"/>
  <c r="N957" i="1"/>
  <c r="N956" i="1"/>
  <c r="N955" i="1"/>
  <c r="N954" i="1"/>
  <c r="N953" i="1"/>
  <c r="N952" i="1"/>
  <c r="N951" i="1"/>
  <c r="M991" i="1"/>
  <c r="M990" i="1"/>
  <c r="M989" i="1"/>
  <c r="M988" i="1"/>
  <c r="M987" i="1"/>
  <c r="M986" i="1"/>
  <c r="M985" i="1"/>
  <c r="M984" i="1"/>
  <c r="M983" i="1"/>
  <c r="M982" i="1"/>
  <c r="M981" i="1"/>
  <c r="M980" i="1"/>
  <c r="M979" i="1"/>
  <c r="M978" i="1"/>
  <c r="M977" i="1"/>
  <c r="M976" i="1"/>
  <c r="M975" i="1"/>
  <c r="M974" i="1"/>
  <c r="M973" i="1"/>
  <c r="O973" i="1" s="1"/>
  <c r="M972" i="1"/>
  <c r="M971" i="1"/>
  <c r="M970" i="1"/>
  <c r="M969" i="1"/>
  <c r="M968" i="1"/>
  <c r="M967" i="1"/>
  <c r="M966" i="1"/>
  <c r="M965" i="1"/>
  <c r="M964" i="1"/>
  <c r="M963" i="1"/>
  <c r="M962" i="1"/>
  <c r="M961" i="1"/>
  <c r="M960" i="1"/>
  <c r="M959" i="1"/>
  <c r="M958" i="1"/>
  <c r="M957" i="1"/>
  <c r="M956" i="1"/>
  <c r="M955" i="1"/>
  <c r="M954" i="1"/>
  <c r="M953" i="1"/>
  <c r="M952" i="1"/>
  <c r="M951" i="1"/>
  <c r="L991" i="1"/>
  <c r="L990" i="1"/>
  <c r="L989" i="1"/>
  <c r="L988" i="1"/>
  <c r="L987" i="1"/>
  <c r="L986" i="1"/>
  <c r="L985" i="1"/>
  <c r="L984" i="1"/>
  <c r="L983" i="1"/>
  <c r="L982" i="1"/>
  <c r="L981" i="1"/>
  <c r="L980" i="1"/>
  <c r="L979" i="1"/>
  <c r="L978" i="1"/>
  <c r="L977" i="1"/>
  <c r="L976" i="1"/>
  <c r="L975" i="1"/>
  <c r="L974" i="1"/>
  <c r="L973" i="1"/>
  <c r="L972" i="1"/>
  <c r="L971" i="1"/>
  <c r="L970" i="1"/>
  <c r="L969" i="1"/>
  <c r="L968" i="1"/>
  <c r="L967" i="1"/>
  <c r="L966" i="1"/>
  <c r="L965" i="1"/>
  <c r="L964" i="1"/>
  <c r="L963" i="1"/>
  <c r="L962" i="1"/>
  <c r="L961" i="1"/>
  <c r="L960" i="1"/>
  <c r="L959" i="1"/>
  <c r="L958" i="1"/>
  <c r="L957" i="1"/>
  <c r="L956" i="1"/>
  <c r="L955" i="1"/>
  <c r="L954" i="1"/>
  <c r="L953" i="1"/>
  <c r="L952" i="1"/>
  <c r="L951" i="1"/>
  <c r="J991" i="1"/>
  <c r="J990" i="1"/>
  <c r="J989" i="1"/>
  <c r="J988" i="1"/>
  <c r="J987" i="1"/>
  <c r="J986" i="1"/>
  <c r="J985" i="1"/>
  <c r="J984" i="1"/>
  <c r="J983" i="1"/>
  <c r="J982" i="1"/>
  <c r="J981" i="1"/>
  <c r="J980" i="1"/>
  <c r="J979" i="1"/>
  <c r="J978" i="1"/>
  <c r="J977" i="1"/>
  <c r="J976" i="1"/>
  <c r="J975" i="1"/>
  <c r="J974" i="1"/>
  <c r="J973" i="1"/>
  <c r="J972" i="1"/>
  <c r="J971" i="1"/>
  <c r="J970" i="1"/>
  <c r="J969" i="1"/>
  <c r="J968" i="1"/>
  <c r="J967" i="1"/>
  <c r="J966" i="1"/>
  <c r="J965" i="1"/>
  <c r="J964" i="1"/>
  <c r="J963" i="1"/>
  <c r="J962" i="1"/>
  <c r="J961" i="1"/>
  <c r="J960" i="1"/>
  <c r="J959" i="1"/>
  <c r="J958" i="1"/>
  <c r="J957" i="1"/>
  <c r="J956" i="1"/>
  <c r="J955" i="1"/>
  <c r="J954" i="1"/>
  <c r="J953" i="1"/>
  <c r="J952" i="1"/>
  <c r="J951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51" i="1"/>
  <c r="AJ909" i="1"/>
  <c r="AJ910" i="1"/>
  <c r="AJ911" i="1"/>
  <c r="AJ912" i="1"/>
  <c r="AJ913" i="1"/>
  <c r="AJ914" i="1"/>
  <c r="AJ915" i="1"/>
  <c r="AJ916" i="1"/>
  <c r="AJ917" i="1"/>
  <c r="AJ918" i="1"/>
  <c r="AJ919" i="1"/>
  <c r="AJ920" i="1"/>
  <c r="AJ921" i="1"/>
  <c r="AJ922" i="1"/>
  <c r="AJ923" i="1"/>
  <c r="AJ924" i="1"/>
  <c r="AJ925" i="1"/>
  <c r="AJ926" i="1"/>
  <c r="AJ927" i="1"/>
  <c r="AJ928" i="1"/>
  <c r="AJ929" i="1"/>
  <c r="AJ930" i="1"/>
  <c r="AJ931" i="1"/>
  <c r="AJ932" i="1"/>
  <c r="AJ933" i="1"/>
  <c r="AJ934" i="1"/>
  <c r="AJ935" i="1"/>
  <c r="AJ936" i="1"/>
  <c r="AJ937" i="1"/>
  <c r="AJ938" i="1"/>
  <c r="AJ939" i="1"/>
  <c r="AJ940" i="1"/>
  <c r="AJ941" i="1"/>
  <c r="AJ942" i="1"/>
  <c r="AJ943" i="1"/>
  <c r="AJ944" i="1"/>
  <c r="AJ945" i="1"/>
  <c r="AJ946" i="1"/>
  <c r="AJ947" i="1"/>
  <c r="AJ948" i="1"/>
  <c r="AJ949" i="1"/>
  <c r="AJ950" i="1"/>
  <c r="AJ908" i="1"/>
  <c r="Z949" i="1"/>
  <c r="Z948" i="1"/>
  <c r="Z947" i="1"/>
  <c r="Z946" i="1"/>
  <c r="Z945" i="1"/>
  <c r="Z944" i="1"/>
  <c r="Z943" i="1"/>
  <c r="Z942" i="1"/>
  <c r="Z941" i="1"/>
  <c r="Z940" i="1"/>
  <c r="Z939" i="1"/>
  <c r="Z938" i="1"/>
  <c r="Z937" i="1"/>
  <c r="Z936" i="1"/>
  <c r="Z935" i="1"/>
  <c r="Z934" i="1"/>
  <c r="Z933" i="1"/>
  <c r="Z932" i="1"/>
  <c r="Z931" i="1"/>
  <c r="Z930" i="1"/>
  <c r="Z929" i="1"/>
  <c r="Z928" i="1"/>
  <c r="Z927" i="1"/>
  <c r="Z926" i="1"/>
  <c r="Z925" i="1"/>
  <c r="Z924" i="1"/>
  <c r="Z923" i="1"/>
  <c r="Z922" i="1"/>
  <c r="Z921" i="1"/>
  <c r="Z920" i="1"/>
  <c r="Z919" i="1"/>
  <c r="Z918" i="1"/>
  <c r="Z917" i="1"/>
  <c r="Z916" i="1"/>
  <c r="Z915" i="1"/>
  <c r="Z914" i="1"/>
  <c r="Z913" i="1"/>
  <c r="Z912" i="1"/>
  <c r="Z911" i="1"/>
  <c r="Z910" i="1"/>
  <c r="Z909" i="1"/>
  <c r="Z908" i="1"/>
  <c r="Y949" i="1"/>
  <c r="Y948" i="1"/>
  <c r="Y947" i="1"/>
  <c r="Y946" i="1"/>
  <c r="Y945" i="1"/>
  <c r="Y944" i="1"/>
  <c r="Y943" i="1"/>
  <c r="Y942" i="1"/>
  <c r="Y941" i="1"/>
  <c r="Y940" i="1"/>
  <c r="Y939" i="1"/>
  <c r="Y938" i="1"/>
  <c r="Y937" i="1"/>
  <c r="Y936" i="1"/>
  <c r="Y935" i="1"/>
  <c r="Y934" i="1"/>
  <c r="Y933" i="1"/>
  <c r="Y932" i="1"/>
  <c r="Y931" i="1"/>
  <c r="Y930" i="1"/>
  <c r="Y929" i="1"/>
  <c r="Y928" i="1"/>
  <c r="Y927" i="1"/>
  <c r="Y926" i="1"/>
  <c r="Y925" i="1"/>
  <c r="Y924" i="1"/>
  <c r="Y923" i="1"/>
  <c r="Y922" i="1"/>
  <c r="Y921" i="1"/>
  <c r="Y920" i="1"/>
  <c r="Y919" i="1"/>
  <c r="Y918" i="1"/>
  <c r="Y917" i="1"/>
  <c r="Y916" i="1"/>
  <c r="Y915" i="1"/>
  <c r="Y914" i="1"/>
  <c r="Y913" i="1"/>
  <c r="Y912" i="1"/>
  <c r="Y911" i="1"/>
  <c r="Y910" i="1"/>
  <c r="Y909" i="1"/>
  <c r="Y908" i="1"/>
  <c r="X949" i="1"/>
  <c r="X948" i="1"/>
  <c r="X947" i="1"/>
  <c r="X946" i="1"/>
  <c r="X945" i="1"/>
  <c r="X944" i="1"/>
  <c r="X943" i="1"/>
  <c r="X942" i="1"/>
  <c r="X941" i="1"/>
  <c r="X940" i="1"/>
  <c r="X939" i="1"/>
  <c r="X938" i="1"/>
  <c r="X937" i="1"/>
  <c r="X936" i="1"/>
  <c r="X935" i="1"/>
  <c r="X934" i="1"/>
  <c r="X933" i="1"/>
  <c r="X932" i="1"/>
  <c r="X931" i="1"/>
  <c r="X930" i="1"/>
  <c r="X929" i="1"/>
  <c r="X928" i="1"/>
  <c r="X927" i="1"/>
  <c r="X926" i="1"/>
  <c r="X925" i="1"/>
  <c r="X924" i="1"/>
  <c r="X923" i="1"/>
  <c r="X922" i="1"/>
  <c r="X921" i="1"/>
  <c r="X920" i="1"/>
  <c r="X919" i="1"/>
  <c r="X918" i="1"/>
  <c r="X917" i="1"/>
  <c r="X916" i="1"/>
  <c r="X915" i="1"/>
  <c r="X914" i="1"/>
  <c r="X913" i="1"/>
  <c r="X912" i="1"/>
  <c r="X911" i="1"/>
  <c r="X910" i="1"/>
  <c r="X909" i="1"/>
  <c r="X908" i="1"/>
  <c r="W949" i="1"/>
  <c r="W948" i="1"/>
  <c r="W947" i="1"/>
  <c r="W946" i="1"/>
  <c r="W945" i="1"/>
  <c r="W944" i="1"/>
  <c r="W943" i="1"/>
  <c r="W942" i="1"/>
  <c r="W941" i="1"/>
  <c r="W940" i="1"/>
  <c r="W939" i="1"/>
  <c r="W938" i="1"/>
  <c r="W937" i="1"/>
  <c r="W936" i="1"/>
  <c r="W935" i="1"/>
  <c r="W934" i="1"/>
  <c r="W933" i="1"/>
  <c r="W932" i="1"/>
  <c r="W931" i="1"/>
  <c r="W930" i="1"/>
  <c r="W929" i="1"/>
  <c r="W928" i="1"/>
  <c r="W927" i="1"/>
  <c r="W926" i="1"/>
  <c r="W925" i="1"/>
  <c r="W924" i="1"/>
  <c r="W923" i="1"/>
  <c r="W922" i="1"/>
  <c r="W921" i="1"/>
  <c r="W920" i="1"/>
  <c r="W919" i="1"/>
  <c r="W918" i="1"/>
  <c r="W917" i="1"/>
  <c r="W916" i="1"/>
  <c r="W915" i="1"/>
  <c r="W914" i="1"/>
  <c r="W913" i="1"/>
  <c r="W912" i="1"/>
  <c r="W911" i="1"/>
  <c r="W910" i="1"/>
  <c r="W909" i="1"/>
  <c r="W908" i="1"/>
  <c r="V949" i="1"/>
  <c r="V948" i="1"/>
  <c r="V947" i="1"/>
  <c r="V946" i="1"/>
  <c r="V945" i="1"/>
  <c r="V944" i="1"/>
  <c r="V943" i="1"/>
  <c r="V942" i="1"/>
  <c r="V941" i="1"/>
  <c r="V940" i="1"/>
  <c r="V939" i="1"/>
  <c r="V938" i="1"/>
  <c r="V937" i="1"/>
  <c r="V936" i="1"/>
  <c r="V935" i="1"/>
  <c r="V934" i="1"/>
  <c r="V933" i="1"/>
  <c r="V932" i="1"/>
  <c r="V931" i="1"/>
  <c r="V930" i="1"/>
  <c r="V929" i="1"/>
  <c r="V928" i="1"/>
  <c r="V927" i="1"/>
  <c r="V926" i="1"/>
  <c r="V925" i="1"/>
  <c r="V924" i="1"/>
  <c r="V923" i="1"/>
  <c r="V922" i="1"/>
  <c r="V921" i="1"/>
  <c r="V920" i="1"/>
  <c r="V919" i="1"/>
  <c r="V918" i="1"/>
  <c r="V917" i="1"/>
  <c r="V916" i="1"/>
  <c r="V915" i="1"/>
  <c r="V914" i="1"/>
  <c r="V913" i="1"/>
  <c r="V912" i="1"/>
  <c r="V911" i="1"/>
  <c r="V910" i="1"/>
  <c r="V909" i="1"/>
  <c r="V908" i="1"/>
  <c r="U949" i="1"/>
  <c r="U948" i="1"/>
  <c r="U947" i="1"/>
  <c r="U946" i="1"/>
  <c r="U945" i="1"/>
  <c r="U944" i="1"/>
  <c r="U943" i="1"/>
  <c r="U942" i="1"/>
  <c r="U941" i="1"/>
  <c r="U940" i="1"/>
  <c r="U939" i="1"/>
  <c r="U938" i="1"/>
  <c r="U937" i="1"/>
  <c r="U936" i="1"/>
  <c r="U935" i="1"/>
  <c r="U934" i="1"/>
  <c r="U933" i="1"/>
  <c r="U932" i="1"/>
  <c r="U931" i="1"/>
  <c r="U930" i="1"/>
  <c r="U929" i="1"/>
  <c r="U928" i="1"/>
  <c r="U927" i="1"/>
  <c r="U926" i="1"/>
  <c r="U925" i="1"/>
  <c r="U924" i="1"/>
  <c r="U923" i="1"/>
  <c r="U922" i="1"/>
  <c r="U921" i="1"/>
  <c r="U920" i="1"/>
  <c r="U919" i="1"/>
  <c r="U918" i="1"/>
  <c r="U917" i="1"/>
  <c r="U916" i="1"/>
  <c r="U915" i="1"/>
  <c r="U914" i="1"/>
  <c r="U913" i="1"/>
  <c r="U912" i="1"/>
  <c r="U911" i="1"/>
  <c r="U910" i="1"/>
  <c r="U909" i="1"/>
  <c r="U908" i="1"/>
  <c r="T909" i="1"/>
  <c r="T910" i="1"/>
  <c r="T911" i="1"/>
  <c r="T912" i="1"/>
  <c r="T913" i="1"/>
  <c r="T914" i="1"/>
  <c r="T915" i="1"/>
  <c r="AA915" i="1" s="1"/>
  <c r="T916" i="1"/>
  <c r="AA916" i="1" s="1"/>
  <c r="T917" i="1"/>
  <c r="T918" i="1"/>
  <c r="T919" i="1"/>
  <c r="T920" i="1"/>
  <c r="T921" i="1"/>
  <c r="T922" i="1"/>
  <c r="AA922" i="1" s="1"/>
  <c r="T923" i="1"/>
  <c r="T924" i="1"/>
  <c r="T925" i="1"/>
  <c r="T926" i="1"/>
  <c r="T927" i="1"/>
  <c r="T928" i="1"/>
  <c r="T929" i="1"/>
  <c r="AA929" i="1" s="1"/>
  <c r="T930" i="1"/>
  <c r="AA930" i="1" s="1"/>
  <c r="T931" i="1"/>
  <c r="T932" i="1"/>
  <c r="T933" i="1"/>
  <c r="T934" i="1"/>
  <c r="T935" i="1"/>
  <c r="T936" i="1"/>
  <c r="AA936" i="1" s="1"/>
  <c r="T937" i="1"/>
  <c r="T938" i="1"/>
  <c r="T939" i="1"/>
  <c r="T940" i="1"/>
  <c r="T941" i="1"/>
  <c r="AA941" i="1" s="1"/>
  <c r="T942" i="1"/>
  <c r="T943" i="1"/>
  <c r="AA943" i="1" s="1"/>
  <c r="T944" i="1"/>
  <c r="AA944" i="1" s="1"/>
  <c r="T945" i="1"/>
  <c r="T946" i="1"/>
  <c r="T947" i="1"/>
  <c r="T948" i="1"/>
  <c r="T949" i="1"/>
  <c r="T908" i="1"/>
  <c r="AA908" i="1" s="1"/>
  <c r="S924" i="1"/>
  <c r="S929" i="1"/>
  <c r="P909" i="1"/>
  <c r="Q909" i="1"/>
  <c r="R909" i="1"/>
  <c r="P910" i="1"/>
  <c r="Q910" i="1"/>
  <c r="R910" i="1"/>
  <c r="P911" i="1"/>
  <c r="Q911" i="1"/>
  <c r="R911" i="1"/>
  <c r="P912" i="1"/>
  <c r="Q912" i="1"/>
  <c r="R912" i="1"/>
  <c r="P913" i="1"/>
  <c r="Q913" i="1"/>
  <c r="R913" i="1"/>
  <c r="P914" i="1"/>
  <c r="Q914" i="1"/>
  <c r="R914" i="1"/>
  <c r="P915" i="1"/>
  <c r="Q915" i="1"/>
  <c r="R915" i="1"/>
  <c r="P916" i="1"/>
  <c r="Q916" i="1"/>
  <c r="R916" i="1"/>
  <c r="P917" i="1"/>
  <c r="Q917" i="1"/>
  <c r="R917" i="1"/>
  <c r="P918" i="1"/>
  <c r="Q918" i="1"/>
  <c r="R918" i="1"/>
  <c r="P919" i="1"/>
  <c r="Q919" i="1"/>
  <c r="R919" i="1"/>
  <c r="P920" i="1"/>
  <c r="Q920" i="1"/>
  <c r="R920" i="1"/>
  <c r="P921" i="1"/>
  <c r="Q921" i="1"/>
  <c r="R921" i="1"/>
  <c r="P922" i="1"/>
  <c r="Q922" i="1"/>
  <c r="R922" i="1"/>
  <c r="P923" i="1"/>
  <c r="Q923" i="1"/>
  <c r="R923" i="1"/>
  <c r="P924" i="1"/>
  <c r="Q924" i="1"/>
  <c r="R924" i="1"/>
  <c r="P925" i="1"/>
  <c r="Q925" i="1"/>
  <c r="R925" i="1"/>
  <c r="P926" i="1"/>
  <c r="Q926" i="1"/>
  <c r="R926" i="1"/>
  <c r="P927" i="1"/>
  <c r="Q927" i="1"/>
  <c r="R927" i="1"/>
  <c r="P928" i="1"/>
  <c r="Q928" i="1"/>
  <c r="R928" i="1"/>
  <c r="P929" i="1"/>
  <c r="Q929" i="1"/>
  <c r="R929" i="1"/>
  <c r="P930" i="1"/>
  <c r="Q930" i="1"/>
  <c r="R930" i="1"/>
  <c r="P931" i="1"/>
  <c r="Q931" i="1"/>
  <c r="R931" i="1"/>
  <c r="P932" i="1"/>
  <c r="Q932" i="1"/>
  <c r="R932" i="1"/>
  <c r="P933" i="1"/>
  <c r="Q933" i="1"/>
  <c r="R933" i="1"/>
  <c r="P934" i="1"/>
  <c r="Q934" i="1"/>
  <c r="R934" i="1"/>
  <c r="P935" i="1"/>
  <c r="Q935" i="1"/>
  <c r="R935" i="1"/>
  <c r="P936" i="1"/>
  <c r="Q936" i="1"/>
  <c r="R936" i="1"/>
  <c r="P937" i="1"/>
  <c r="Q937" i="1"/>
  <c r="R937" i="1"/>
  <c r="P938" i="1"/>
  <c r="Q938" i="1"/>
  <c r="R938" i="1"/>
  <c r="P939" i="1"/>
  <c r="Q939" i="1"/>
  <c r="R939" i="1"/>
  <c r="P940" i="1"/>
  <c r="Q940" i="1"/>
  <c r="R940" i="1"/>
  <c r="P941" i="1"/>
  <c r="Q941" i="1"/>
  <c r="R941" i="1"/>
  <c r="P942" i="1"/>
  <c r="Q942" i="1"/>
  <c r="R942" i="1"/>
  <c r="P943" i="1"/>
  <c r="Q943" i="1"/>
  <c r="R943" i="1"/>
  <c r="P944" i="1"/>
  <c r="Q944" i="1"/>
  <c r="R944" i="1"/>
  <c r="P945" i="1"/>
  <c r="Q945" i="1"/>
  <c r="R945" i="1"/>
  <c r="P946" i="1"/>
  <c r="Q946" i="1"/>
  <c r="R946" i="1"/>
  <c r="P947" i="1"/>
  <c r="Q947" i="1"/>
  <c r="R947" i="1"/>
  <c r="P948" i="1"/>
  <c r="Q948" i="1"/>
  <c r="R948" i="1"/>
  <c r="P949" i="1"/>
  <c r="Q949" i="1"/>
  <c r="R949" i="1"/>
  <c r="R908" i="1"/>
  <c r="Q908" i="1"/>
  <c r="P908" i="1"/>
  <c r="L909" i="1"/>
  <c r="M909" i="1"/>
  <c r="N909" i="1"/>
  <c r="L910" i="1"/>
  <c r="M910" i="1"/>
  <c r="N910" i="1"/>
  <c r="L911" i="1"/>
  <c r="M911" i="1"/>
  <c r="N911" i="1"/>
  <c r="O911" i="1" s="1"/>
  <c r="L912" i="1"/>
  <c r="M912" i="1"/>
  <c r="N912" i="1"/>
  <c r="L913" i="1"/>
  <c r="M913" i="1"/>
  <c r="N913" i="1"/>
  <c r="L914" i="1"/>
  <c r="M914" i="1"/>
  <c r="N914" i="1"/>
  <c r="L915" i="1"/>
  <c r="M915" i="1"/>
  <c r="N915" i="1"/>
  <c r="L916" i="1"/>
  <c r="M916" i="1"/>
  <c r="N916" i="1"/>
  <c r="L917" i="1"/>
  <c r="M917" i="1"/>
  <c r="N917" i="1"/>
  <c r="L918" i="1"/>
  <c r="M918" i="1"/>
  <c r="N918" i="1"/>
  <c r="L919" i="1"/>
  <c r="M919" i="1"/>
  <c r="N919" i="1"/>
  <c r="L920" i="1"/>
  <c r="M920" i="1"/>
  <c r="N920" i="1"/>
  <c r="L921" i="1"/>
  <c r="O921" i="1" s="1"/>
  <c r="M921" i="1"/>
  <c r="N921" i="1"/>
  <c r="L922" i="1"/>
  <c r="M922" i="1"/>
  <c r="N922" i="1"/>
  <c r="L923" i="1"/>
  <c r="M923" i="1"/>
  <c r="N923" i="1"/>
  <c r="L924" i="1"/>
  <c r="M924" i="1"/>
  <c r="N924" i="1"/>
  <c r="O924" i="1" s="1"/>
  <c r="L925" i="1"/>
  <c r="M925" i="1"/>
  <c r="N925" i="1"/>
  <c r="L926" i="1"/>
  <c r="M926" i="1"/>
  <c r="N926" i="1"/>
  <c r="L927" i="1"/>
  <c r="M927" i="1"/>
  <c r="N927" i="1"/>
  <c r="L928" i="1"/>
  <c r="M928" i="1"/>
  <c r="N928" i="1"/>
  <c r="L929" i="1"/>
  <c r="M929" i="1"/>
  <c r="N929" i="1"/>
  <c r="L930" i="1"/>
  <c r="M930" i="1"/>
  <c r="N930" i="1"/>
  <c r="L931" i="1"/>
  <c r="M931" i="1"/>
  <c r="N931" i="1"/>
  <c r="L932" i="1"/>
  <c r="M932" i="1"/>
  <c r="N932" i="1"/>
  <c r="L933" i="1"/>
  <c r="M933" i="1"/>
  <c r="N933" i="1"/>
  <c r="L934" i="1"/>
  <c r="M934" i="1"/>
  <c r="N934" i="1"/>
  <c r="L935" i="1"/>
  <c r="M935" i="1"/>
  <c r="N935" i="1"/>
  <c r="L936" i="1"/>
  <c r="M936" i="1"/>
  <c r="N936" i="1"/>
  <c r="L937" i="1"/>
  <c r="O937" i="1" s="1"/>
  <c r="M937" i="1"/>
  <c r="N937" i="1"/>
  <c r="L938" i="1"/>
  <c r="M938" i="1"/>
  <c r="N938" i="1"/>
  <c r="O938" i="1" s="1"/>
  <c r="L939" i="1"/>
  <c r="M939" i="1"/>
  <c r="N939" i="1"/>
  <c r="L940" i="1"/>
  <c r="M940" i="1"/>
  <c r="N940" i="1"/>
  <c r="L941" i="1"/>
  <c r="M941" i="1"/>
  <c r="N941" i="1"/>
  <c r="L942" i="1"/>
  <c r="M942" i="1"/>
  <c r="N942" i="1"/>
  <c r="L943" i="1"/>
  <c r="M943" i="1"/>
  <c r="N943" i="1"/>
  <c r="L944" i="1"/>
  <c r="M944" i="1"/>
  <c r="O944" i="1" s="1"/>
  <c r="N944" i="1"/>
  <c r="L945" i="1"/>
  <c r="M945" i="1"/>
  <c r="N945" i="1"/>
  <c r="L946" i="1"/>
  <c r="M946" i="1"/>
  <c r="N946" i="1"/>
  <c r="L947" i="1"/>
  <c r="M947" i="1"/>
  <c r="N947" i="1"/>
  <c r="L948" i="1"/>
  <c r="M948" i="1"/>
  <c r="N948" i="1"/>
  <c r="L949" i="1"/>
  <c r="M949" i="1"/>
  <c r="N949" i="1"/>
  <c r="M908" i="1"/>
  <c r="N908" i="1"/>
  <c r="L908" i="1"/>
  <c r="J949" i="1"/>
  <c r="I949" i="1"/>
  <c r="H949" i="1"/>
  <c r="G949" i="1"/>
  <c r="F949" i="1"/>
  <c r="E949" i="1"/>
  <c r="J948" i="1"/>
  <c r="I948" i="1"/>
  <c r="H948" i="1"/>
  <c r="G948" i="1"/>
  <c r="F948" i="1"/>
  <c r="E948" i="1"/>
  <c r="J947" i="1"/>
  <c r="I947" i="1"/>
  <c r="H947" i="1"/>
  <c r="G947" i="1"/>
  <c r="F947" i="1"/>
  <c r="E947" i="1"/>
  <c r="J946" i="1"/>
  <c r="I946" i="1"/>
  <c r="H946" i="1"/>
  <c r="G946" i="1"/>
  <c r="F946" i="1"/>
  <c r="E946" i="1"/>
  <c r="J945" i="1"/>
  <c r="I945" i="1"/>
  <c r="H945" i="1"/>
  <c r="G945" i="1"/>
  <c r="F945" i="1"/>
  <c r="E945" i="1"/>
  <c r="J944" i="1"/>
  <c r="I944" i="1"/>
  <c r="H944" i="1"/>
  <c r="G944" i="1"/>
  <c r="F944" i="1"/>
  <c r="E944" i="1"/>
  <c r="J943" i="1"/>
  <c r="I943" i="1"/>
  <c r="H943" i="1"/>
  <c r="G943" i="1"/>
  <c r="F943" i="1"/>
  <c r="E943" i="1"/>
  <c r="J942" i="1"/>
  <c r="I942" i="1"/>
  <c r="H942" i="1"/>
  <c r="G942" i="1"/>
  <c r="F942" i="1"/>
  <c r="E942" i="1"/>
  <c r="J941" i="1"/>
  <c r="I941" i="1"/>
  <c r="H941" i="1"/>
  <c r="G941" i="1"/>
  <c r="F941" i="1"/>
  <c r="E941" i="1"/>
  <c r="J940" i="1"/>
  <c r="I940" i="1"/>
  <c r="H940" i="1"/>
  <c r="G940" i="1"/>
  <c r="F940" i="1"/>
  <c r="E940" i="1"/>
  <c r="J939" i="1"/>
  <c r="I939" i="1"/>
  <c r="H939" i="1"/>
  <c r="G939" i="1"/>
  <c r="F939" i="1"/>
  <c r="E939" i="1"/>
  <c r="J938" i="1"/>
  <c r="I938" i="1"/>
  <c r="H938" i="1"/>
  <c r="G938" i="1"/>
  <c r="F938" i="1"/>
  <c r="E938" i="1"/>
  <c r="J937" i="1"/>
  <c r="I937" i="1"/>
  <c r="H937" i="1"/>
  <c r="G937" i="1"/>
  <c r="F937" i="1"/>
  <c r="E937" i="1"/>
  <c r="J936" i="1"/>
  <c r="I936" i="1"/>
  <c r="H936" i="1"/>
  <c r="G936" i="1"/>
  <c r="F936" i="1"/>
  <c r="E936" i="1"/>
  <c r="J935" i="1"/>
  <c r="I935" i="1"/>
  <c r="H935" i="1"/>
  <c r="G935" i="1"/>
  <c r="F935" i="1"/>
  <c r="E935" i="1"/>
  <c r="J934" i="1"/>
  <c r="I934" i="1"/>
  <c r="H934" i="1"/>
  <c r="G934" i="1"/>
  <c r="F934" i="1"/>
  <c r="E934" i="1"/>
  <c r="J933" i="1"/>
  <c r="I933" i="1"/>
  <c r="H933" i="1"/>
  <c r="G933" i="1"/>
  <c r="F933" i="1"/>
  <c r="E933" i="1"/>
  <c r="J932" i="1"/>
  <c r="I932" i="1"/>
  <c r="H932" i="1"/>
  <c r="G932" i="1"/>
  <c r="F932" i="1"/>
  <c r="E932" i="1"/>
  <c r="J931" i="1"/>
  <c r="I931" i="1"/>
  <c r="H931" i="1"/>
  <c r="G931" i="1"/>
  <c r="F931" i="1"/>
  <c r="E931" i="1"/>
  <c r="J930" i="1"/>
  <c r="I930" i="1"/>
  <c r="H930" i="1"/>
  <c r="G930" i="1"/>
  <c r="F930" i="1"/>
  <c r="E930" i="1"/>
  <c r="J929" i="1"/>
  <c r="I929" i="1"/>
  <c r="H929" i="1"/>
  <c r="G929" i="1"/>
  <c r="F929" i="1"/>
  <c r="E929" i="1"/>
  <c r="J928" i="1"/>
  <c r="I928" i="1"/>
  <c r="H928" i="1"/>
  <c r="G928" i="1"/>
  <c r="F928" i="1"/>
  <c r="E928" i="1"/>
  <c r="J927" i="1"/>
  <c r="I927" i="1"/>
  <c r="H927" i="1"/>
  <c r="G927" i="1"/>
  <c r="F927" i="1"/>
  <c r="E927" i="1"/>
  <c r="J926" i="1"/>
  <c r="I926" i="1"/>
  <c r="H926" i="1"/>
  <c r="G926" i="1"/>
  <c r="F926" i="1"/>
  <c r="E926" i="1"/>
  <c r="J925" i="1"/>
  <c r="I925" i="1"/>
  <c r="H925" i="1"/>
  <c r="G925" i="1"/>
  <c r="F925" i="1"/>
  <c r="E925" i="1"/>
  <c r="J924" i="1"/>
  <c r="I924" i="1"/>
  <c r="H924" i="1"/>
  <c r="G924" i="1"/>
  <c r="F924" i="1"/>
  <c r="E924" i="1"/>
  <c r="J923" i="1"/>
  <c r="I923" i="1"/>
  <c r="H923" i="1"/>
  <c r="G923" i="1"/>
  <c r="F923" i="1"/>
  <c r="E923" i="1"/>
  <c r="J922" i="1"/>
  <c r="I922" i="1"/>
  <c r="H922" i="1"/>
  <c r="G922" i="1"/>
  <c r="F922" i="1"/>
  <c r="E922" i="1"/>
  <c r="J921" i="1"/>
  <c r="I921" i="1"/>
  <c r="H921" i="1"/>
  <c r="G921" i="1"/>
  <c r="F921" i="1"/>
  <c r="E921" i="1"/>
  <c r="J920" i="1"/>
  <c r="I920" i="1"/>
  <c r="H920" i="1"/>
  <c r="G920" i="1"/>
  <c r="F920" i="1"/>
  <c r="E920" i="1"/>
  <c r="J919" i="1"/>
  <c r="I919" i="1"/>
  <c r="H919" i="1"/>
  <c r="G919" i="1"/>
  <c r="F919" i="1"/>
  <c r="E919" i="1"/>
  <c r="J918" i="1"/>
  <c r="I918" i="1"/>
  <c r="H918" i="1"/>
  <c r="G918" i="1"/>
  <c r="F918" i="1"/>
  <c r="E918" i="1"/>
  <c r="J917" i="1"/>
  <c r="I917" i="1"/>
  <c r="H917" i="1"/>
  <c r="G917" i="1"/>
  <c r="F917" i="1"/>
  <c r="E917" i="1"/>
  <c r="J916" i="1"/>
  <c r="I916" i="1"/>
  <c r="H916" i="1"/>
  <c r="G916" i="1"/>
  <c r="F916" i="1"/>
  <c r="E916" i="1"/>
  <c r="J915" i="1"/>
  <c r="I915" i="1"/>
  <c r="H915" i="1"/>
  <c r="G915" i="1"/>
  <c r="F915" i="1"/>
  <c r="E915" i="1"/>
  <c r="J914" i="1"/>
  <c r="I914" i="1"/>
  <c r="H914" i="1"/>
  <c r="G914" i="1"/>
  <c r="F914" i="1"/>
  <c r="E914" i="1"/>
  <c r="J913" i="1"/>
  <c r="I913" i="1"/>
  <c r="H913" i="1"/>
  <c r="G913" i="1"/>
  <c r="F913" i="1"/>
  <c r="E913" i="1"/>
  <c r="J912" i="1"/>
  <c r="I912" i="1"/>
  <c r="H912" i="1"/>
  <c r="G912" i="1"/>
  <c r="F912" i="1"/>
  <c r="E912" i="1"/>
  <c r="J911" i="1"/>
  <c r="I911" i="1"/>
  <c r="H911" i="1"/>
  <c r="G911" i="1"/>
  <c r="F911" i="1"/>
  <c r="E911" i="1"/>
  <c r="J910" i="1"/>
  <c r="I910" i="1"/>
  <c r="H910" i="1"/>
  <c r="G910" i="1"/>
  <c r="F910" i="1"/>
  <c r="E910" i="1"/>
  <c r="J909" i="1"/>
  <c r="I909" i="1"/>
  <c r="H909" i="1"/>
  <c r="G909" i="1"/>
  <c r="F909" i="1"/>
  <c r="E909" i="1"/>
  <c r="J908" i="1"/>
  <c r="I908" i="1"/>
  <c r="H908" i="1"/>
  <c r="G908" i="1"/>
  <c r="F908" i="1"/>
  <c r="E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08" i="1"/>
  <c r="AM866" i="1"/>
  <c r="AP866" i="1" s="1"/>
  <c r="AM867" i="1"/>
  <c r="AP867" i="1" s="1"/>
  <c r="AM868" i="1"/>
  <c r="AP868" i="1" s="1"/>
  <c r="AM869" i="1"/>
  <c r="AP869" i="1" s="1"/>
  <c r="AM870" i="1"/>
  <c r="AP870" i="1" s="1"/>
  <c r="AM871" i="1"/>
  <c r="AP871" i="1" s="1"/>
  <c r="AM872" i="1"/>
  <c r="AP872" i="1" s="1"/>
  <c r="AM873" i="1"/>
  <c r="AP873" i="1" s="1"/>
  <c r="AM874" i="1"/>
  <c r="AP874" i="1" s="1"/>
  <c r="AM875" i="1"/>
  <c r="AP875" i="1" s="1"/>
  <c r="AM876" i="1"/>
  <c r="AP876" i="1" s="1"/>
  <c r="AM877" i="1"/>
  <c r="AP877" i="1" s="1"/>
  <c r="AM878" i="1"/>
  <c r="AP878" i="1" s="1"/>
  <c r="AM879" i="1"/>
  <c r="AP879" i="1" s="1"/>
  <c r="AM880" i="1"/>
  <c r="AP880" i="1" s="1"/>
  <c r="AM881" i="1"/>
  <c r="AP881" i="1" s="1"/>
  <c r="AM882" i="1"/>
  <c r="AP882" i="1" s="1"/>
  <c r="AM883" i="1"/>
  <c r="AP883" i="1" s="1"/>
  <c r="AM884" i="1"/>
  <c r="AP884" i="1" s="1"/>
  <c r="AM885" i="1"/>
  <c r="AP885" i="1" s="1"/>
  <c r="AM886" i="1"/>
  <c r="AP886" i="1" s="1"/>
  <c r="AM887" i="1"/>
  <c r="AP887" i="1" s="1"/>
  <c r="AM888" i="1"/>
  <c r="AP888" i="1" s="1"/>
  <c r="AM889" i="1"/>
  <c r="AP889" i="1" s="1"/>
  <c r="AM890" i="1"/>
  <c r="AP890" i="1" s="1"/>
  <c r="AM891" i="1"/>
  <c r="AP891" i="1" s="1"/>
  <c r="AM892" i="1"/>
  <c r="AP892" i="1" s="1"/>
  <c r="AM893" i="1"/>
  <c r="AP893" i="1" s="1"/>
  <c r="AM894" i="1"/>
  <c r="AP894" i="1" s="1"/>
  <c r="AM895" i="1"/>
  <c r="AP895" i="1" s="1"/>
  <c r="AM896" i="1"/>
  <c r="AP896" i="1" s="1"/>
  <c r="AM897" i="1"/>
  <c r="AP897" i="1" s="1"/>
  <c r="AM898" i="1"/>
  <c r="AP898" i="1" s="1"/>
  <c r="AM899" i="1"/>
  <c r="AP899" i="1" s="1"/>
  <c r="AM900" i="1"/>
  <c r="AP900" i="1" s="1"/>
  <c r="AM901" i="1"/>
  <c r="AP901" i="1" s="1"/>
  <c r="AM902" i="1"/>
  <c r="AP902" i="1" s="1"/>
  <c r="AM903" i="1"/>
  <c r="AP903" i="1" s="1"/>
  <c r="AM904" i="1"/>
  <c r="AP904" i="1" s="1"/>
  <c r="AM905" i="1"/>
  <c r="AP905" i="1" s="1"/>
  <c r="AM906" i="1"/>
  <c r="AP906" i="1" s="1"/>
  <c r="AM865" i="1"/>
  <c r="AP865" i="1" s="1"/>
  <c r="AJ866" i="1"/>
  <c r="AJ867" i="1"/>
  <c r="AJ868" i="1"/>
  <c r="AJ869" i="1"/>
  <c r="AJ870" i="1"/>
  <c r="AJ871" i="1"/>
  <c r="AJ872" i="1"/>
  <c r="AJ873" i="1"/>
  <c r="AJ874" i="1"/>
  <c r="AJ875" i="1"/>
  <c r="AJ876" i="1"/>
  <c r="AJ877" i="1"/>
  <c r="AJ878" i="1"/>
  <c r="AJ879" i="1"/>
  <c r="AJ880" i="1"/>
  <c r="AJ881" i="1"/>
  <c r="AJ882" i="1"/>
  <c r="AJ883" i="1"/>
  <c r="AJ884" i="1"/>
  <c r="AJ885" i="1"/>
  <c r="AJ886" i="1"/>
  <c r="AJ887" i="1"/>
  <c r="AJ888" i="1"/>
  <c r="AJ889" i="1"/>
  <c r="AJ890" i="1"/>
  <c r="AJ891" i="1"/>
  <c r="AJ892" i="1"/>
  <c r="AJ893" i="1"/>
  <c r="AJ894" i="1"/>
  <c r="AJ895" i="1"/>
  <c r="AJ896" i="1"/>
  <c r="AJ897" i="1"/>
  <c r="AJ898" i="1"/>
  <c r="AJ899" i="1"/>
  <c r="AJ900" i="1"/>
  <c r="AJ901" i="1"/>
  <c r="AJ902" i="1"/>
  <c r="AJ903" i="1"/>
  <c r="AJ904" i="1"/>
  <c r="AJ905" i="1"/>
  <c r="AJ906" i="1"/>
  <c r="AJ865" i="1"/>
  <c r="AA866" i="1"/>
  <c r="AA867" i="1"/>
  <c r="AA868" i="1"/>
  <c r="AA869" i="1"/>
  <c r="AA870" i="1"/>
  <c r="AA871" i="1"/>
  <c r="AA872" i="1"/>
  <c r="AA873" i="1"/>
  <c r="AA874" i="1"/>
  <c r="AA875" i="1"/>
  <c r="AA876" i="1"/>
  <c r="AA877" i="1"/>
  <c r="AA878" i="1"/>
  <c r="AA879" i="1"/>
  <c r="AA880" i="1"/>
  <c r="AA881" i="1"/>
  <c r="AA882" i="1"/>
  <c r="AA883" i="1"/>
  <c r="AA884" i="1"/>
  <c r="AA885" i="1"/>
  <c r="AA886" i="1"/>
  <c r="AA887" i="1"/>
  <c r="AA888" i="1"/>
  <c r="AA889" i="1"/>
  <c r="AA890" i="1"/>
  <c r="AA891" i="1"/>
  <c r="AA892" i="1"/>
  <c r="AA893" i="1"/>
  <c r="AA894" i="1"/>
  <c r="AA895" i="1"/>
  <c r="AA896" i="1"/>
  <c r="AA897" i="1"/>
  <c r="AA898" i="1"/>
  <c r="AA899" i="1"/>
  <c r="AA900" i="1"/>
  <c r="AA901" i="1"/>
  <c r="AA902" i="1"/>
  <c r="AA903" i="1"/>
  <c r="AA904" i="1"/>
  <c r="AA905" i="1"/>
  <c r="AA906" i="1"/>
  <c r="AA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865" i="1"/>
  <c r="K866" i="1"/>
  <c r="K867" i="1"/>
  <c r="AV867" i="1" s="1"/>
  <c r="K868" i="1"/>
  <c r="K869" i="1"/>
  <c r="K870" i="1"/>
  <c r="K871" i="1"/>
  <c r="K872" i="1"/>
  <c r="K873" i="1"/>
  <c r="AV873" i="1" s="1"/>
  <c r="K874" i="1"/>
  <c r="K875" i="1"/>
  <c r="K876" i="1"/>
  <c r="K877" i="1"/>
  <c r="K878" i="1"/>
  <c r="K879" i="1"/>
  <c r="K880" i="1"/>
  <c r="K881" i="1"/>
  <c r="K882" i="1"/>
  <c r="K883" i="1"/>
  <c r="AV883" i="1" s="1"/>
  <c r="K884" i="1"/>
  <c r="AV884" i="1" s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AV900" i="1" s="1"/>
  <c r="K901" i="1"/>
  <c r="K902" i="1"/>
  <c r="K903" i="1"/>
  <c r="K904" i="1"/>
  <c r="K905" i="1"/>
  <c r="K906" i="1"/>
  <c r="K865" i="1"/>
  <c r="AP834" i="1"/>
  <c r="AP862" i="1"/>
  <c r="AM824" i="1"/>
  <c r="AP824" i="1" s="1"/>
  <c r="AM825" i="1"/>
  <c r="AP825" i="1" s="1"/>
  <c r="AM826" i="1"/>
  <c r="AP826" i="1" s="1"/>
  <c r="AM827" i="1"/>
  <c r="AP827" i="1" s="1"/>
  <c r="AM828" i="1"/>
  <c r="AP828" i="1" s="1"/>
  <c r="AM829" i="1"/>
  <c r="AP829" i="1" s="1"/>
  <c r="AM830" i="1"/>
  <c r="AP830" i="1" s="1"/>
  <c r="AM831" i="1"/>
  <c r="AP831" i="1" s="1"/>
  <c r="AM832" i="1"/>
  <c r="AP832" i="1" s="1"/>
  <c r="AM833" i="1"/>
  <c r="AP833" i="1" s="1"/>
  <c r="AM834" i="1"/>
  <c r="AM835" i="1"/>
  <c r="AP835" i="1" s="1"/>
  <c r="AM836" i="1"/>
  <c r="AP836" i="1" s="1"/>
  <c r="AM837" i="1"/>
  <c r="AP837" i="1" s="1"/>
  <c r="AM838" i="1"/>
  <c r="AP838" i="1" s="1"/>
  <c r="AM839" i="1"/>
  <c r="AP839" i="1" s="1"/>
  <c r="AM840" i="1"/>
  <c r="AP840" i="1" s="1"/>
  <c r="AM841" i="1"/>
  <c r="AP841" i="1" s="1"/>
  <c r="AM842" i="1"/>
  <c r="AP842" i="1" s="1"/>
  <c r="AM843" i="1"/>
  <c r="AP843" i="1" s="1"/>
  <c r="AM844" i="1"/>
  <c r="AP844" i="1" s="1"/>
  <c r="AM845" i="1"/>
  <c r="AP845" i="1" s="1"/>
  <c r="AM846" i="1"/>
  <c r="AP846" i="1" s="1"/>
  <c r="AM847" i="1"/>
  <c r="AP847" i="1" s="1"/>
  <c r="AM848" i="1"/>
  <c r="AP848" i="1" s="1"/>
  <c r="AM849" i="1"/>
  <c r="AP849" i="1" s="1"/>
  <c r="AM850" i="1"/>
  <c r="AP850" i="1" s="1"/>
  <c r="AM851" i="1"/>
  <c r="AP851" i="1" s="1"/>
  <c r="AM852" i="1"/>
  <c r="AP852" i="1" s="1"/>
  <c r="AM853" i="1"/>
  <c r="AP853" i="1" s="1"/>
  <c r="AM854" i="1"/>
  <c r="AP854" i="1" s="1"/>
  <c r="AM855" i="1"/>
  <c r="AP855" i="1" s="1"/>
  <c r="AM856" i="1"/>
  <c r="AP856" i="1" s="1"/>
  <c r="AM857" i="1"/>
  <c r="AP857" i="1" s="1"/>
  <c r="AM858" i="1"/>
  <c r="AP858" i="1" s="1"/>
  <c r="AM859" i="1"/>
  <c r="AP859" i="1" s="1"/>
  <c r="AM860" i="1"/>
  <c r="AP860" i="1" s="1"/>
  <c r="AM861" i="1"/>
  <c r="AP861" i="1" s="1"/>
  <c r="AM862" i="1"/>
  <c r="AM863" i="1"/>
  <c r="AP863" i="1" s="1"/>
  <c r="AM823" i="1"/>
  <c r="AP823" i="1" s="1"/>
  <c r="AJ824" i="1"/>
  <c r="AJ825" i="1"/>
  <c r="AJ826" i="1"/>
  <c r="AJ827" i="1"/>
  <c r="AJ828" i="1"/>
  <c r="AJ829" i="1"/>
  <c r="AJ830" i="1"/>
  <c r="AJ831" i="1"/>
  <c r="AJ832" i="1"/>
  <c r="AJ833" i="1"/>
  <c r="AJ834" i="1"/>
  <c r="AJ835" i="1"/>
  <c r="AJ836" i="1"/>
  <c r="AJ837" i="1"/>
  <c r="AJ838" i="1"/>
  <c r="AJ839" i="1"/>
  <c r="AJ840" i="1"/>
  <c r="AJ841" i="1"/>
  <c r="AJ842" i="1"/>
  <c r="AJ843" i="1"/>
  <c r="AJ844" i="1"/>
  <c r="AJ845" i="1"/>
  <c r="AJ846" i="1"/>
  <c r="AJ847" i="1"/>
  <c r="AJ848" i="1"/>
  <c r="AJ849" i="1"/>
  <c r="AJ850" i="1"/>
  <c r="AJ851" i="1"/>
  <c r="AJ852" i="1"/>
  <c r="AJ853" i="1"/>
  <c r="AJ854" i="1"/>
  <c r="AJ855" i="1"/>
  <c r="AJ856" i="1"/>
  <c r="AJ857" i="1"/>
  <c r="AJ858" i="1"/>
  <c r="AJ859" i="1"/>
  <c r="AJ860" i="1"/>
  <c r="AJ861" i="1"/>
  <c r="AJ862" i="1"/>
  <c r="AJ863" i="1"/>
  <c r="AJ823" i="1"/>
  <c r="AA824" i="1"/>
  <c r="AA825" i="1"/>
  <c r="AA826" i="1"/>
  <c r="AA827" i="1"/>
  <c r="AA828" i="1"/>
  <c r="AA829" i="1"/>
  <c r="AA830" i="1"/>
  <c r="AA831" i="1"/>
  <c r="AA832" i="1"/>
  <c r="AA833" i="1"/>
  <c r="AA834" i="1"/>
  <c r="AA835" i="1"/>
  <c r="AA836" i="1"/>
  <c r="AA837" i="1"/>
  <c r="AA838" i="1"/>
  <c r="AA839" i="1"/>
  <c r="AA840" i="1"/>
  <c r="AA841" i="1"/>
  <c r="AA842" i="1"/>
  <c r="AA843" i="1"/>
  <c r="AA844" i="1"/>
  <c r="AA845" i="1"/>
  <c r="AA846" i="1"/>
  <c r="AA847" i="1"/>
  <c r="AA848" i="1"/>
  <c r="AA849" i="1"/>
  <c r="AA850" i="1"/>
  <c r="AA851" i="1"/>
  <c r="AA852" i="1"/>
  <c r="AA853" i="1"/>
  <c r="AA854" i="1"/>
  <c r="AA855" i="1"/>
  <c r="AA856" i="1"/>
  <c r="AA857" i="1"/>
  <c r="AA858" i="1"/>
  <c r="AA859" i="1"/>
  <c r="AA860" i="1"/>
  <c r="AA861" i="1"/>
  <c r="AA862" i="1"/>
  <c r="AA863" i="1"/>
  <c r="AA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23" i="1"/>
  <c r="AP810" i="1"/>
  <c r="AM801" i="1"/>
  <c r="AP801" i="1" s="1"/>
  <c r="AM802" i="1"/>
  <c r="AP802" i="1" s="1"/>
  <c r="AM803" i="1"/>
  <c r="AM804" i="1"/>
  <c r="AP804" i="1" s="1"/>
  <c r="AM805" i="1"/>
  <c r="AP805" i="1" s="1"/>
  <c r="AM806" i="1"/>
  <c r="AP806" i="1" s="1"/>
  <c r="AM807" i="1"/>
  <c r="AP807" i="1" s="1"/>
  <c r="AM808" i="1"/>
  <c r="AP808" i="1" s="1"/>
  <c r="AM809" i="1"/>
  <c r="AP809" i="1" s="1"/>
  <c r="AM810" i="1"/>
  <c r="AM811" i="1"/>
  <c r="AP811" i="1" s="1"/>
  <c r="AM812" i="1"/>
  <c r="AP812" i="1" s="1"/>
  <c r="AM813" i="1"/>
  <c r="AP813" i="1" s="1"/>
  <c r="AM814" i="1"/>
  <c r="AP814" i="1" s="1"/>
  <c r="AM815" i="1"/>
  <c r="AP815" i="1" s="1"/>
  <c r="AM816" i="1"/>
  <c r="AP816" i="1" s="1"/>
  <c r="AM817" i="1"/>
  <c r="AP817" i="1" s="1"/>
  <c r="AM818" i="1"/>
  <c r="AP818" i="1" s="1"/>
  <c r="AM819" i="1"/>
  <c r="AP819" i="1" s="1"/>
  <c r="AM820" i="1"/>
  <c r="AP820" i="1" s="1"/>
  <c r="AM821" i="1"/>
  <c r="AM800" i="1"/>
  <c r="AP800" i="1" s="1"/>
  <c r="AJ800" i="1"/>
  <c r="AJ801" i="1"/>
  <c r="AJ802" i="1"/>
  <c r="AJ804" i="1"/>
  <c r="AJ805" i="1"/>
  <c r="AJ806" i="1"/>
  <c r="AJ807" i="1"/>
  <c r="AJ808" i="1"/>
  <c r="AJ809" i="1"/>
  <c r="AJ810" i="1"/>
  <c r="AJ811" i="1"/>
  <c r="AJ812" i="1"/>
  <c r="AJ813" i="1"/>
  <c r="AJ814" i="1"/>
  <c r="AJ815" i="1"/>
  <c r="AJ816" i="1"/>
  <c r="AJ817" i="1"/>
  <c r="AJ818" i="1"/>
  <c r="AJ819" i="1"/>
  <c r="AJ820" i="1"/>
  <c r="AJ821" i="1"/>
  <c r="AA800" i="1"/>
  <c r="AA801" i="1"/>
  <c r="AA802" i="1"/>
  <c r="AA804" i="1"/>
  <c r="AA805" i="1"/>
  <c r="AA806" i="1"/>
  <c r="AA807" i="1"/>
  <c r="AA808" i="1"/>
  <c r="AA809" i="1"/>
  <c r="AA810" i="1"/>
  <c r="AA811" i="1"/>
  <c r="AA812" i="1"/>
  <c r="AA813" i="1"/>
  <c r="AA814" i="1"/>
  <c r="AA815" i="1"/>
  <c r="AA816" i="1"/>
  <c r="AA817" i="1"/>
  <c r="AA818" i="1"/>
  <c r="AA819" i="1"/>
  <c r="AA820" i="1"/>
  <c r="AA821" i="1"/>
  <c r="S800" i="1"/>
  <c r="S801" i="1"/>
  <c r="S802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O800" i="1"/>
  <c r="O801" i="1"/>
  <c r="O802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K800" i="1"/>
  <c r="K801" i="1"/>
  <c r="K802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AM790" i="1"/>
  <c r="AP790" i="1" s="1"/>
  <c r="AM791" i="1"/>
  <c r="AP791" i="1" s="1"/>
  <c r="AM792" i="1"/>
  <c r="AP792" i="1" s="1"/>
  <c r="AM793" i="1"/>
  <c r="AP793" i="1" s="1"/>
  <c r="AM794" i="1"/>
  <c r="AP794" i="1" s="1"/>
  <c r="AM795" i="1"/>
  <c r="AP795" i="1" s="1"/>
  <c r="AM796" i="1"/>
  <c r="AP796" i="1" s="1"/>
  <c r="AM797" i="1"/>
  <c r="AP797" i="1" s="1"/>
  <c r="AM798" i="1"/>
  <c r="AP798" i="1" s="1"/>
  <c r="AM799" i="1"/>
  <c r="AP799" i="1" s="1"/>
  <c r="AM789" i="1"/>
  <c r="AP789" i="1" s="1"/>
  <c r="AJ790" i="1"/>
  <c r="AJ791" i="1"/>
  <c r="AJ792" i="1"/>
  <c r="AJ793" i="1"/>
  <c r="AJ794" i="1"/>
  <c r="AJ795" i="1"/>
  <c r="AJ796" i="1"/>
  <c r="AJ797" i="1"/>
  <c r="AJ798" i="1"/>
  <c r="AJ799" i="1"/>
  <c r="AJ789" i="1"/>
  <c r="AA790" i="1"/>
  <c r="AA791" i="1"/>
  <c r="AA792" i="1"/>
  <c r="AA793" i="1"/>
  <c r="AA794" i="1"/>
  <c r="AA795" i="1"/>
  <c r="AA796" i="1"/>
  <c r="AA797" i="1"/>
  <c r="AA798" i="1"/>
  <c r="AA799" i="1"/>
  <c r="AA789" i="1"/>
  <c r="S790" i="1"/>
  <c r="S791" i="1"/>
  <c r="S792" i="1"/>
  <c r="S793" i="1"/>
  <c r="S794" i="1"/>
  <c r="S795" i="1"/>
  <c r="S796" i="1"/>
  <c r="S797" i="1"/>
  <c r="S798" i="1"/>
  <c r="S799" i="1"/>
  <c r="S789" i="1"/>
  <c r="O790" i="1"/>
  <c r="O791" i="1"/>
  <c r="O792" i="1"/>
  <c r="O793" i="1"/>
  <c r="O794" i="1"/>
  <c r="O795" i="1"/>
  <c r="O796" i="1"/>
  <c r="O797" i="1"/>
  <c r="O798" i="1"/>
  <c r="O799" i="1"/>
  <c r="O789" i="1"/>
  <c r="K790" i="1"/>
  <c r="K791" i="1"/>
  <c r="K792" i="1"/>
  <c r="K793" i="1"/>
  <c r="K794" i="1"/>
  <c r="K795" i="1"/>
  <c r="K796" i="1"/>
  <c r="K797" i="1"/>
  <c r="K798" i="1"/>
  <c r="K799" i="1"/>
  <c r="K789" i="1"/>
  <c r="AQ777" i="1"/>
  <c r="AM762" i="1"/>
  <c r="AP762" i="1" s="1"/>
  <c r="AM763" i="1"/>
  <c r="AP763" i="1" s="1"/>
  <c r="AM764" i="1"/>
  <c r="AP764" i="1" s="1"/>
  <c r="AM765" i="1"/>
  <c r="AP765" i="1" s="1"/>
  <c r="AM766" i="1"/>
  <c r="AM767" i="1"/>
  <c r="AM768" i="1"/>
  <c r="AP768" i="1" s="1"/>
  <c r="AM769" i="1"/>
  <c r="AP769" i="1" s="1"/>
  <c r="AM770" i="1"/>
  <c r="AM771" i="1"/>
  <c r="AP771" i="1" s="1"/>
  <c r="AM772" i="1"/>
  <c r="AP772" i="1" s="1"/>
  <c r="AM773" i="1"/>
  <c r="AP773" i="1" s="1"/>
  <c r="AM774" i="1"/>
  <c r="AQ774" i="1" s="1"/>
  <c r="AM775" i="1"/>
  <c r="AP775" i="1" s="1"/>
  <c r="AM776" i="1"/>
  <c r="AQ776" i="1" s="1"/>
  <c r="AM777" i="1"/>
  <c r="AP777" i="1" s="1"/>
  <c r="AM778" i="1"/>
  <c r="AM779" i="1"/>
  <c r="AP779" i="1" s="1"/>
  <c r="AM780" i="1"/>
  <c r="AM781" i="1"/>
  <c r="AM782" i="1"/>
  <c r="AP782" i="1" s="1"/>
  <c r="AM783" i="1"/>
  <c r="AQ783" i="1" s="1"/>
  <c r="AM784" i="1"/>
  <c r="AP784" i="1" s="1"/>
  <c r="AM785" i="1"/>
  <c r="AP785" i="1" s="1"/>
  <c r="AM786" i="1"/>
  <c r="AP786" i="1" s="1"/>
  <c r="AM787" i="1"/>
  <c r="AP787" i="1" s="1"/>
  <c r="AM761" i="1"/>
  <c r="AP761" i="1" s="1"/>
  <c r="AJ762" i="1"/>
  <c r="AJ763" i="1"/>
  <c r="AJ764" i="1"/>
  <c r="AJ765" i="1"/>
  <c r="AJ766" i="1"/>
  <c r="AJ767" i="1"/>
  <c r="AJ768" i="1"/>
  <c r="AJ769" i="1"/>
  <c r="AJ770" i="1"/>
  <c r="AJ771" i="1"/>
  <c r="AJ772" i="1"/>
  <c r="AJ773" i="1"/>
  <c r="AJ774" i="1"/>
  <c r="AJ775" i="1"/>
  <c r="AJ776" i="1"/>
  <c r="AJ777" i="1"/>
  <c r="AJ778" i="1"/>
  <c r="AJ779" i="1"/>
  <c r="AJ780" i="1"/>
  <c r="AJ781" i="1"/>
  <c r="AJ782" i="1"/>
  <c r="AJ783" i="1"/>
  <c r="AJ784" i="1"/>
  <c r="AJ785" i="1"/>
  <c r="AJ786" i="1"/>
  <c r="AJ787" i="1"/>
  <c r="AJ761" i="1"/>
  <c r="AA787" i="1"/>
  <c r="AA786" i="1"/>
  <c r="AA785" i="1"/>
  <c r="AA784" i="1"/>
  <c r="AA783" i="1"/>
  <c r="AA782" i="1"/>
  <c r="AA781" i="1"/>
  <c r="AA780" i="1"/>
  <c r="AA779" i="1"/>
  <c r="AA778" i="1"/>
  <c r="AA777" i="1"/>
  <c r="AA776" i="1"/>
  <c r="AA775" i="1"/>
  <c r="AA774" i="1"/>
  <c r="AA773" i="1"/>
  <c r="AA772" i="1"/>
  <c r="AA771" i="1"/>
  <c r="AA770" i="1"/>
  <c r="AA769" i="1"/>
  <c r="AA768" i="1"/>
  <c r="AA767" i="1"/>
  <c r="AA766" i="1"/>
  <c r="AA765" i="1"/>
  <c r="AA764" i="1"/>
  <c r="AA763" i="1"/>
  <c r="AA762" i="1"/>
  <c r="AA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AV775" i="1" s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61" i="1"/>
  <c r="S942" i="1" l="1"/>
  <c r="S928" i="1"/>
  <c r="AA940" i="1"/>
  <c r="AA926" i="1"/>
  <c r="AA912" i="1"/>
  <c r="AT1385" i="1"/>
  <c r="AZ1385" i="1" s="1"/>
  <c r="BA1385" i="1" s="1"/>
  <c r="AV1429" i="1"/>
  <c r="AP774" i="1"/>
  <c r="AU774" i="1" s="1"/>
  <c r="O927" i="1"/>
  <c r="AA911" i="1"/>
  <c r="AA933" i="1"/>
  <c r="AY1440" i="1"/>
  <c r="AA909" i="1"/>
  <c r="AA949" i="1"/>
  <c r="AJ1072" i="1"/>
  <c r="AU1427" i="1"/>
  <c r="AV1096" i="1"/>
  <c r="K945" i="1"/>
  <c r="K931" i="1"/>
  <c r="K917" i="1"/>
  <c r="K919" i="1"/>
  <c r="AJ1077" i="1"/>
  <c r="AU1077" i="1" s="1"/>
  <c r="AT1324" i="1"/>
  <c r="AT1427" i="1"/>
  <c r="AY1429" i="1"/>
  <c r="AT1268" i="1"/>
  <c r="S947" i="1"/>
  <c r="S943" i="1"/>
  <c r="S953" i="1"/>
  <c r="S981" i="1"/>
  <c r="O1044" i="1"/>
  <c r="O1058" i="1"/>
  <c r="AA1058" i="1"/>
  <c r="AA1072" i="1"/>
  <c r="AA1045" i="1"/>
  <c r="AV795" i="1"/>
  <c r="AV813" i="1"/>
  <c r="AV858" i="1"/>
  <c r="AV844" i="1"/>
  <c r="AV830" i="1"/>
  <c r="O974" i="1"/>
  <c r="AV812" i="1"/>
  <c r="K942" i="1"/>
  <c r="K928" i="1"/>
  <c r="K921" i="1"/>
  <c r="K935" i="1"/>
  <c r="K949" i="1"/>
  <c r="O920" i="1"/>
  <c r="AJ990" i="1"/>
  <c r="AU990" i="1" s="1"/>
  <c r="AT1168" i="1"/>
  <c r="AZ1168" i="1" s="1"/>
  <c r="BA1168" i="1" s="1"/>
  <c r="O943" i="1"/>
  <c r="O1048" i="1"/>
  <c r="O1062" i="1"/>
  <c r="AA1048" i="1"/>
  <c r="AA1062" i="1"/>
  <c r="AV810" i="1"/>
  <c r="AV769" i="1"/>
  <c r="O965" i="1"/>
  <c r="O979" i="1"/>
  <c r="S968" i="1"/>
  <c r="AA957" i="1"/>
  <c r="AY1428" i="1"/>
  <c r="AY1430" i="1"/>
  <c r="AX1164" i="1"/>
  <c r="AX1353" i="1"/>
  <c r="AS905" i="1"/>
  <c r="AV905" i="1"/>
  <c r="AS891" i="1"/>
  <c r="AV891" i="1"/>
  <c r="AS877" i="1"/>
  <c r="AV877" i="1"/>
  <c r="AS1071" i="1"/>
  <c r="AV1071" i="1"/>
  <c r="AS1057" i="1"/>
  <c r="AV1057" i="1"/>
  <c r="AS1043" i="1"/>
  <c r="AV1043" i="1"/>
  <c r="AM1071" i="1"/>
  <c r="AL1071" i="1" s="1"/>
  <c r="AT1372" i="1"/>
  <c r="AZ1372" i="1" s="1"/>
  <c r="BA1372" i="1" s="1"/>
  <c r="AY1372" i="1"/>
  <c r="AT1260" i="1"/>
  <c r="AY1260" i="1"/>
  <c r="AZ1260" i="1" s="1"/>
  <c r="BA1260" i="1" s="1"/>
  <c r="AT1186" i="1"/>
  <c r="AY1186" i="1"/>
  <c r="AZ1247" i="1"/>
  <c r="BA1247" i="1" s="1"/>
  <c r="AZ1412" i="1"/>
  <c r="BA1412" i="1" s="1"/>
  <c r="AW1412" i="1"/>
  <c r="AX1412" i="1" s="1"/>
  <c r="AT1221" i="1"/>
  <c r="AY1221" i="1"/>
  <c r="AW1206" i="1"/>
  <c r="AX1206" i="1" s="1"/>
  <c r="AT1174" i="1"/>
  <c r="AY1174" i="1"/>
  <c r="AT1352" i="1"/>
  <c r="AW1352" i="1" s="1"/>
  <c r="AX1352" i="1" s="1"/>
  <c r="AY1352" i="1"/>
  <c r="AZ1352" i="1" s="1"/>
  <c r="BA1352" i="1" s="1"/>
  <c r="AT1230" i="1"/>
  <c r="AW1230" i="1" s="1"/>
  <c r="AX1230" i="1" s="1"/>
  <c r="AY1230" i="1"/>
  <c r="AT1299" i="1"/>
  <c r="AY1299" i="1"/>
  <c r="AT1190" i="1"/>
  <c r="AY1190" i="1"/>
  <c r="AW1157" i="1"/>
  <c r="AX1157" i="1" s="1"/>
  <c r="AT1194" i="1"/>
  <c r="AZ1194" i="1" s="1"/>
  <c r="BA1194" i="1" s="1"/>
  <c r="AY1194" i="1"/>
  <c r="AT1171" i="1"/>
  <c r="AY1171" i="1"/>
  <c r="AT1210" i="1"/>
  <c r="AW1210" i="1" s="1"/>
  <c r="AX1210" i="1" s="1"/>
  <c r="AY1210" i="1"/>
  <c r="AZ1210" i="1" s="1"/>
  <c r="BA1210" i="1" s="1"/>
  <c r="AT1250" i="1"/>
  <c r="AZ1250" i="1" s="1"/>
  <c r="BA1250" i="1" s="1"/>
  <c r="AY1250" i="1"/>
  <c r="O945" i="1"/>
  <c r="AV945" i="1" s="1"/>
  <c r="S923" i="1"/>
  <c r="K956" i="1"/>
  <c r="O952" i="1"/>
  <c r="O966" i="1"/>
  <c r="O980" i="1"/>
  <c r="S955" i="1"/>
  <c r="S969" i="1"/>
  <c r="S983" i="1"/>
  <c r="AA958" i="1"/>
  <c r="AA972" i="1"/>
  <c r="AM1058" i="1"/>
  <c r="AL1058" i="1" s="1"/>
  <c r="AM1072" i="1"/>
  <c r="AL1072" i="1" s="1"/>
  <c r="AT1388" i="1"/>
  <c r="AW1388" i="1" s="1"/>
  <c r="AX1388" i="1" s="1"/>
  <c r="AY1388" i="1"/>
  <c r="AT1283" i="1"/>
  <c r="AY1283" i="1"/>
  <c r="AZ1171" i="1"/>
  <c r="BA1171" i="1" s="1"/>
  <c r="AW1171" i="1"/>
  <c r="AX1171" i="1" s="1"/>
  <c r="AZ1296" i="1"/>
  <c r="BA1296" i="1" s="1"/>
  <c r="AT1264" i="1"/>
  <c r="AY1264" i="1"/>
  <c r="AT1358" i="1"/>
  <c r="AW1358" i="1" s="1"/>
  <c r="AX1358" i="1" s="1"/>
  <c r="AY1358" i="1"/>
  <c r="AY1364" i="1"/>
  <c r="AT1364" i="1"/>
  <c r="AW1364" i="1" s="1"/>
  <c r="AX1364" i="1" s="1"/>
  <c r="AT1361" i="1"/>
  <c r="AW1361" i="1" s="1"/>
  <c r="AX1361" i="1" s="1"/>
  <c r="AY1361" i="1"/>
  <c r="AT1282" i="1"/>
  <c r="AY1282" i="1"/>
  <c r="AT1232" i="1"/>
  <c r="AY1232" i="1"/>
  <c r="AT1213" i="1"/>
  <c r="AY1213" i="1"/>
  <c r="AS903" i="1"/>
  <c r="AV903" i="1"/>
  <c r="AS889" i="1"/>
  <c r="AV889" i="1"/>
  <c r="AS875" i="1"/>
  <c r="AV875" i="1"/>
  <c r="K920" i="1"/>
  <c r="AU1423" i="1"/>
  <c r="AU1432" i="1"/>
  <c r="AV1432" i="1"/>
  <c r="AW1369" i="1"/>
  <c r="AX1369" i="1" s="1"/>
  <c r="AT1288" i="1"/>
  <c r="AW1288" i="1" s="1"/>
  <c r="AX1288" i="1" s="1"/>
  <c r="AY1288" i="1"/>
  <c r="AW1257" i="1"/>
  <c r="AX1257" i="1" s="1"/>
  <c r="AT1141" i="1"/>
  <c r="AZ1141" i="1" s="1"/>
  <c r="BA1141" i="1" s="1"/>
  <c r="AY1141" i="1"/>
  <c r="AZ1325" i="1"/>
  <c r="BA1325" i="1" s="1"/>
  <c r="AW1325" i="1"/>
  <c r="AX1325" i="1" s="1"/>
  <c r="AT1404" i="1"/>
  <c r="AY1404" i="1"/>
  <c r="AT1249" i="1"/>
  <c r="AW1249" i="1" s="1"/>
  <c r="AX1249" i="1" s="1"/>
  <c r="AY1249" i="1"/>
  <c r="AT1222" i="1"/>
  <c r="AY1434" i="1"/>
  <c r="AT1320" i="1"/>
  <c r="AW1320" i="1" s="1"/>
  <c r="AX1320" i="1" s="1"/>
  <c r="AY1320" i="1"/>
  <c r="AT1158" i="1"/>
  <c r="AW1158" i="1" s="1"/>
  <c r="AX1158" i="1" s="1"/>
  <c r="AY1158" i="1"/>
  <c r="AZ1158" i="1" s="1"/>
  <c r="BA1158" i="1" s="1"/>
  <c r="AW1203" i="1"/>
  <c r="AX1203" i="1" s="1"/>
  <c r="AY1435" i="1"/>
  <c r="AT1376" i="1"/>
  <c r="AY1376" i="1"/>
  <c r="AT1145" i="1"/>
  <c r="AY1145" i="1"/>
  <c r="AT1301" i="1"/>
  <c r="AY1301" i="1"/>
  <c r="AT1192" i="1"/>
  <c r="AW1192" i="1" s="1"/>
  <c r="AX1192" i="1" s="1"/>
  <c r="AY1192" i="1"/>
  <c r="AT1277" i="1"/>
  <c r="AZ1277" i="1" s="1"/>
  <c r="BA1277" i="1" s="1"/>
  <c r="AY1277" i="1"/>
  <c r="AS1017" i="1"/>
  <c r="AY1017" i="1" s="1"/>
  <c r="AV1017" i="1"/>
  <c r="AS1003" i="1"/>
  <c r="AV1003" i="1"/>
  <c r="AS1109" i="1"/>
  <c r="AV1109" i="1"/>
  <c r="AS1095" i="1"/>
  <c r="AY1095" i="1" s="1"/>
  <c r="AV1095" i="1"/>
  <c r="AS1081" i="1"/>
  <c r="AV1081" i="1"/>
  <c r="AU1438" i="1"/>
  <c r="AV1438" i="1"/>
  <c r="AU1437" i="1"/>
  <c r="AT1381" i="1"/>
  <c r="AW1381" i="1" s="1"/>
  <c r="AX1381" i="1" s="1"/>
  <c r="AY1381" i="1"/>
  <c r="AZ1381" i="1" s="1"/>
  <c r="BA1381" i="1" s="1"/>
  <c r="AT1276" i="1"/>
  <c r="AW1276" i="1" s="1"/>
  <c r="AX1276" i="1" s="1"/>
  <c r="AY1276" i="1"/>
  <c r="AW1350" i="1"/>
  <c r="AX1350" i="1" s="1"/>
  <c r="AZ1221" i="1"/>
  <c r="BA1221" i="1" s="1"/>
  <c r="AW1221" i="1"/>
  <c r="AX1221" i="1" s="1"/>
  <c r="AT1166" i="1"/>
  <c r="AZ1166" i="1" s="1"/>
  <c r="BA1166" i="1" s="1"/>
  <c r="AY1166" i="1"/>
  <c r="AT1265" i="1"/>
  <c r="AZ1265" i="1" s="1"/>
  <c r="BA1265" i="1" s="1"/>
  <c r="AY1265" i="1"/>
  <c r="AW1151" i="1"/>
  <c r="AX1151" i="1" s="1"/>
  <c r="AT1362" i="1"/>
  <c r="AY1362" i="1"/>
  <c r="AT1196" i="1"/>
  <c r="AW1196" i="1" s="1"/>
  <c r="AX1196" i="1" s="1"/>
  <c r="AY1196" i="1"/>
  <c r="AT1412" i="1"/>
  <c r="AY1412" i="1"/>
  <c r="AY1387" i="1"/>
  <c r="AT1387" i="1"/>
  <c r="AT1422" i="1"/>
  <c r="AW1422" i="1" s="1"/>
  <c r="AX1422" i="1" s="1"/>
  <c r="AY1422" i="1"/>
  <c r="AV784" i="1"/>
  <c r="AV794" i="1"/>
  <c r="AV857" i="1"/>
  <c r="AV843" i="1"/>
  <c r="AV829" i="1"/>
  <c r="AS886" i="1"/>
  <c r="AV886" i="1"/>
  <c r="AS872" i="1"/>
  <c r="AV872" i="1"/>
  <c r="O939" i="1"/>
  <c r="AS1030" i="1"/>
  <c r="AY1030" i="1" s="1"/>
  <c r="AV1030" i="1"/>
  <c r="AS1016" i="1"/>
  <c r="AY1016" i="1" s="1"/>
  <c r="AV1016" i="1"/>
  <c r="AS1002" i="1"/>
  <c r="AV1002" i="1"/>
  <c r="AS1108" i="1"/>
  <c r="AV1108" i="1"/>
  <c r="AS1094" i="1"/>
  <c r="AV1094" i="1"/>
  <c r="AS1080" i="1"/>
  <c r="AY1080" i="1" s="1"/>
  <c r="AV1080" i="1"/>
  <c r="AV1433" i="1"/>
  <c r="AU1433" i="1"/>
  <c r="AT1393" i="1"/>
  <c r="AZ1393" i="1" s="1"/>
  <c r="BA1393" i="1" s="1"/>
  <c r="AY1393" i="1"/>
  <c r="AT1281" i="1"/>
  <c r="AY1281" i="1"/>
  <c r="AZ1281" i="1" s="1"/>
  <c r="BA1281" i="1" s="1"/>
  <c r="AT1207" i="1"/>
  <c r="AY1207" i="1"/>
  <c r="AZ1207" i="1" s="1"/>
  <c r="BA1207" i="1" s="1"/>
  <c r="AZ1361" i="1"/>
  <c r="BA1361" i="1" s="1"/>
  <c r="AT1242" i="1"/>
  <c r="AY1242" i="1"/>
  <c r="AZ1242" i="1" s="1"/>
  <c r="BA1242" i="1" s="1"/>
  <c r="AT1305" i="1"/>
  <c r="AW1305" i="1" s="1"/>
  <c r="AX1305" i="1" s="1"/>
  <c r="AY1305" i="1"/>
  <c r="AT1195" i="1"/>
  <c r="AY1195" i="1"/>
  <c r="AZ1195" i="1" s="1"/>
  <c r="BA1195" i="1" s="1"/>
  <c r="AW1141" i="1"/>
  <c r="AX1141" i="1" s="1"/>
  <c r="AW1346" i="1"/>
  <c r="AX1346" i="1" s="1"/>
  <c r="AT1163" i="1"/>
  <c r="AY1163" i="1"/>
  <c r="AT1346" i="1"/>
  <c r="AY1346" i="1"/>
  <c r="AT1252" i="1"/>
  <c r="AW1252" i="1" s="1"/>
  <c r="AX1252" i="1" s="1"/>
  <c r="AY1252" i="1"/>
  <c r="AT1377" i="1"/>
  <c r="AY1377" i="1"/>
  <c r="AT1184" i="1"/>
  <c r="AW1184" i="1" s="1"/>
  <c r="AX1184" i="1" s="1"/>
  <c r="AY1184" i="1"/>
  <c r="AZ1184" i="1" s="1"/>
  <c r="BA1184" i="1" s="1"/>
  <c r="AT1344" i="1"/>
  <c r="AW1344" i="1" s="1"/>
  <c r="AX1344" i="1" s="1"/>
  <c r="AY1344" i="1"/>
  <c r="AS888" i="1"/>
  <c r="AV888" i="1"/>
  <c r="AT1403" i="1"/>
  <c r="AY1403" i="1"/>
  <c r="AZ1403" i="1" s="1"/>
  <c r="BA1403" i="1" s="1"/>
  <c r="AT1365" i="1"/>
  <c r="AW1365" i="1" s="1"/>
  <c r="AX1365" i="1" s="1"/>
  <c r="AY1365" i="1"/>
  <c r="AZ1365" i="1" s="1"/>
  <c r="BA1365" i="1" s="1"/>
  <c r="AZ1211" i="1"/>
  <c r="BA1211" i="1" s="1"/>
  <c r="AW1211" i="1"/>
  <c r="AX1211" i="1" s="1"/>
  <c r="AT1179" i="1"/>
  <c r="AY1179" i="1"/>
  <c r="AT1418" i="1"/>
  <c r="AY1418" i="1"/>
  <c r="AT1167" i="1"/>
  <c r="AY1167" i="1"/>
  <c r="AT1345" i="1"/>
  <c r="AY1345" i="1"/>
  <c r="AT1223" i="1"/>
  <c r="AY1223" i="1"/>
  <c r="AT1136" i="1"/>
  <c r="AW1136" i="1" s="1"/>
  <c r="AX1136" i="1" s="1"/>
  <c r="AY1136" i="1"/>
  <c r="AZ1136" i="1" s="1"/>
  <c r="BA1136" i="1" s="1"/>
  <c r="AT1380" i="1"/>
  <c r="AW1380" i="1" s="1"/>
  <c r="AX1380" i="1" s="1"/>
  <c r="AY1380" i="1"/>
  <c r="AT1225" i="1"/>
  <c r="AY1225" i="1"/>
  <c r="AT1255" i="1"/>
  <c r="AY1255" i="1"/>
  <c r="AZ1255" i="1" s="1"/>
  <c r="BA1255" i="1" s="1"/>
  <c r="AT1382" i="1"/>
  <c r="AZ1382" i="1" s="1"/>
  <c r="BA1382" i="1" s="1"/>
  <c r="AY1382" i="1"/>
  <c r="AS885" i="1"/>
  <c r="AV885" i="1"/>
  <c r="AT1172" i="1"/>
  <c r="AZ1172" i="1" s="1"/>
  <c r="BA1172" i="1" s="1"/>
  <c r="AY1172" i="1"/>
  <c r="AT1357" i="1"/>
  <c r="AY1357" i="1"/>
  <c r="AZ1357" i="1" s="1"/>
  <c r="BA1357" i="1" s="1"/>
  <c r="AW1406" i="1"/>
  <c r="AX1406" i="1" s="1"/>
  <c r="AX1354" i="1"/>
  <c r="AT1189" i="1"/>
  <c r="AW1189" i="1" s="1"/>
  <c r="AX1189" i="1" s="1"/>
  <c r="AY1189" i="1"/>
  <c r="AS792" i="1"/>
  <c r="AY792" i="1" s="1"/>
  <c r="AV792" i="1"/>
  <c r="AV855" i="1"/>
  <c r="AS898" i="1"/>
  <c r="AV898" i="1"/>
  <c r="AS870" i="1"/>
  <c r="AV870" i="1"/>
  <c r="AS1014" i="1"/>
  <c r="AY1014" i="1" s="1"/>
  <c r="AV1014" i="1"/>
  <c r="AV1050" i="1"/>
  <c r="O1036" i="1"/>
  <c r="AS1036" i="1" s="1"/>
  <c r="O1064" i="1"/>
  <c r="AS1064" i="1" s="1"/>
  <c r="AS1120" i="1"/>
  <c r="AV1120" i="1"/>
  <c r="AS1092" i="1"/>
  <c r="AY1092" i="1" s="1"/>
  <c r="AV1092" i="1"/>
  <c r="AU1434" i="1"/>
  <c r="AV1434" i="1"/>
  <c r="AZ1204" i="1"/>
  <c r="BA1204" i="1" s="1"/>
  <c r="AW1204" i="1"/>
  <c r="AX1204" i="1" s="1"/>
  <c r="AT1258" i="1"/>
  <c r="AZ1258" i="1" s="1"/>
  <c r="BA1258" i="1" s="1"/>
  <c r="AY1258" i="1"/>
  <c r="AT1355" i="1"/>
  <c r="AY1355" i="1"/>
  <c r="AT1337" i="1"/>
  <c r="AY1337" i="1"/>
  <c r="AV767" i="1"/>
  <c r="AS791" i="1"/>
  <c r="AY791" i="1" s="1"/>
  <c r="AV791" i="1"/>
  <c r="AS897" i="1"/>
  <c r="AV897" i="1"/>
  <c r="AS869" i="1"/>
  <c r="AV869" i="1"/>
  <c r="AS1027" i="1"/>
  <c r="AV1027" i="1"/>
  <c r="AS999" i="1"/>
  <c r="AY999" i="1" s="1"/>
  <c r="AV999" i="1"/>
  <c r="AS1119" i="1"/>
  <c r="AV1119" i="1"/>
  <c r="AS1091" i="1"/>
  <c r="AY1091" i="1" s="1"/>
  <c r="AV1091" i="1"/>
  <c r="AU1439" i="1"/>
  <c r="AV1439" i="1"/>
  <c r="AT1204" i="1"/>
  <c r="AY1204" i="1"/>
  <c r="AT1245" i="1"/>
  <c r="AY1245" i="1"/>
  <c r="AT1370" i="1"/>
  <c r="AW1370" i="1" s="1"/>
  <c r="AX1370" i="1" s="1"/>
  <c r="AY1370" i="1"/>
  <c r="AT1139" i="1"/>
  <c r="AY1139" i="1"/>
  <c r="AX1376" i="1"/>
  <c r="AU1435" i="1"/>
  <c r="AV1435" i="1"/>
  <c r="AT1169" i="1"/>
  <c r="AY1169" i="1"/>
  <c r="AT1308" i="1"/>
  <c r="AY1308" i="1"/>
  <c r="AT1438" i="1"/>
  <c r="AT1392" i="1"/>
  <c r="AY1392" i="1"/>
  <c r="AV852" i="1"/>
  <c r="AV838" i="1"/>
  <c r="AS997" i="1"/>
  <c r="AV997" i="1"/>
  <c r="AS1103" i="1"/>
  <c r="AV1103" i="1"/>
  <c r="AT1409" i="1"/>
  <c r="AY1409" i="1"/>
  <c r="AT1273" i="1"/>
  <c r="AY1273" i="1"/>
  <c r="AP776" i="1"/>
  <c r="AU776" i="1" s="1"/>
  <c r="AS806" i="1"/>
  <c r="AY806" i="1" s="1"/>
  <c r="AV806" i="1"/>
  <c r="AS851" i="1"/>
  <c r="AV851" i="1"/>
  <c r="AS996" i="1"/>
  <c r="AV996" i="1"/>
  <c r="AS1102" i="1"/>
  <c r="AV1102" i="1"/>
  <c r="AT1405" i="1"/>
  <c r="AY1405" i="1"/>
  <c r="AT1181" i="1"/>
  <c r="AY1181" i="1"/>
  <c r="AZ1431" i="1"/>
  <c r="AT1400" i="1"/>
  <c r="AW1400" i="1" s="1"/>
  <c r="AX1400" i="1" s="1"/>
  <c r="AY1400" i="1"/>
  <c r="AT1238" i="1"/>
  <c r="AY1238" i="1"/>
  <c r="AT1401" i="1"/>
  <c r="AZ1401" i="1" s="1"/>
  <c r="BA1401" i="1" s="1"/>
  <c r="AY1401" i="1"/>
  <c r="AT1170" i="1"/>
  <c r="AY1170" i="1"/>
  <c r="AZ1170" i="1" s="1"/>
  <c r="BA1170" i="1" s="1"/>
  <c r="AZ1345" i="1"/>
  <c r="BA1345" i="1" s="1"/>
  <c r="AW1345" i="1"/>
  <c r="AX1345" i="1" s="1"/>
  <c r="AT1219" i="1"/>
  <c r="AY1219" i="1"/>
  <c r="AT1394" i="1"/>
  <c r="AW1394" i="1" s="1"/>
  <c r="AX1394" i="1" s="1"/>
  <c r="AY1394" i="1"/>
  <c r="AV777" i="1"/>
  <c r="AV763" i="1"/>
  <c r="AV819" i="1"/>
  <c r="AS805" i="1"/>
  <c r="AY805" i="1" s="1"/>
  <c r="AV805" i="1"/>
  <c r="AV823" i="1"/>
  <c r="AV850" i="1"/>
  <c r="AV836" i="1"/>
  <c r="S910" i="1"/>
  <c r="K957" i="1"/>
  <c r="K958" i="1"/>
  <c r="O963" i="1"/>
  <c r="O964" i="1"/>
  <c r="S952" i="1"/>
  <c r="S954" i="1"/>
  <c r="S982" i="1"/>
  <c r="AA955" i="1"/>
  <c r="AM962" i="1"/>
  <c r="AL962" i="1" s="1"/>
  <c r="AJ991" i="1"/>
  <c r="AS1023" i="1"/>
  <c r="AY1023" i="1" s="1"/>
  <c r="AV1023" i="1"/>
  <c r="AS1009" i="1"/>
  <c r="AY1009" i="1" s="1"/>
  <c r="AV1009" i="1"/>
  <c r="AS995" i="1"/>
  <c r="AY995" i="1" s="1"/>
  <c r="AV995" i="1"/>
  <c r="AS1115" i="1"/>
  <c r="AV1115" i="1"/>
  <c r="AS1101" i="1"/>
  <c r="AV1101" i="1"/>
  <c r="AS1087" i="1"/>
  <c r="AV1087" i="1"/>
  <c r="AT1419" i="1"/>
  <c r="AY1419" i="1"/>
  <c r="AZ1419" i="1" s="1"/>
  <c r="BA1419" i="1" s="1"/>
  <c r="AT1290" i="1"/>
  <c r="AY1290" i="1"/>
  <c r="AT1307" i="1"/>
  <c r="AY1307" i="1"/>
  <c r="AT1271" i="1"/>
  <c r="AW1271" i="1" s="1"/>
  <c r="AX1271" i="1" s="1"/>
  <c r="AY1271" i="1"/>
  <c r="AT1414" i="1"/>
  <c r="AZ1414" i="1" s="1"/>
  <c r="BA1414" i="1" s="1"/>
  <c r="AY1414" i="1"/>
  <c r="AZ1312" i="1"/>
  <c r="BA1312" i="1" s="1"/>
  <c r="AW1312" i="1"/>
  <c r="AX1312" i="1" s="1"/>
  <c r="AZ1235" i="1"/>
  <c r="BA1235" i="1" s="1"/>
  <c r="AT1415" i="1"/>
  <c r="AY1415" i="1"/>
  <c r="AT1279" i="1"/>
  <c r="AZ1279" i="1" s="1"/>
  <c r="BA1279" i="1" s="1"/>
  <c r="AY1279" i="1"/>
  <c r="AT1430" i="1"/>
  <c r="AT1399" i="1"/>
  <c r="AW1399" i="1" s="1"/>
  <c r="AX1399" i="1" s="1"/>
  <c r="AY1399" i="1"/>
  <c r="AZ1399" i="1" s="1"/>
  <c r="BA1399" i="1" s="1"/>
  <c r="AT1201" i="1"/>
  <c r="AW1201" i="1" s="1"/>
  <c r="AX1201" i="1" s="1"/>
  <c r="AY1201" i="1"/>
  <c r="AZ1201" i="1" s="1"/>
  <c r="BA1201" i="1" s="1"/>
  <c r="AT1185" i="1"/>
  <c r="AZ1185" i="1" s="1"/>
  <c r="BA1185" i="1" s="1"/>
  <c r="AY1185" i="1"/>
  <c r="AT1162" i="1"/>
  <c r="AW1162" i="1" s="1"/>
  <c r="AX1162" i="1" s="1"/>
  <c r="AY1162" i="1"/>
  <c r="AT1335" i="1"/>
  <c r="AY1335" i="1"/>
  <c r="AS902" i="1"/>
  <c r="AV902" i="1"/>
  <c r="AS874" i="1"/>
  <c r="AV874" i="1"/>
  <c r="AT1155" i="1"/>
  <c r="AW1155" i="1" s="1"/>
  <c r="AX1155" i="1" s="1"/>
  <c r="AY1155" i="1"/>
  <c r="AZ1333" i="1"/>
  <c r="BA1333" i="1" s="1"/>
  <c r="AT1214" i="1"/>
  <c r="AW1214" i="1" s="1"/>
  <c r="AX1214" i="1" s="1"/>
  <c r="AY1214" i="1"/>
  <c r="AW1199" i="1"/>
  <c r="AX1199" i="1" s="1"/>
  <c r="AW1255" i="1"/>
  <c r="AX1255" i="1" s="1"/>
  <c r="AZ1314" i="1"/>
  <c r="BA1314" i="1" s="1"/>
  <c r="AW1314" i="1"/>
  <c r="AX1314" i="1" s="1"/>
  <c r="AZ1237" i="1"/>
  <c r="BA1237" i="1" s="1"/>
  <c r="AT1275" i="1"/>
  <c r="AZ1275" i="1" s="1"/>
  <c r="BA1275" i="1" s="1"/>
  <c r="AY1275" i="1"/>
  <c r="AS899" i="1"/>
  <c r="AV899" i="1"/>
  <c r="AS871" i="1"/>
  <c r="AV871" i="1"/>
  <c r="AM963" i="1"/>
  <c r="AL963" i="1" s="1"/>
  <c r="AS1065" i="1"/>
  <c r="AV1065" i="1"/>
  <c r="AS1051" i="1"/>
  <c r="AV1051" i="1"/>
  <c r="AW1359" i="1"/>
  <c r="AX1359" i="1" s="1"/>
  <c r="AZ1230" i="1"/>
  <c r="BA1230" i="1" s="1"/>
  <c r="AT1173" i="1"/>
  <c r="AY1173" i="1"/>
  <c r="AT1287" i="1"/>
  <c r="AW1287" i="1" s="1"/>
  <c r="AX1287" i="1" s="1"/>
  <c r="AY1287" i="1"/>
  <c r="AZ1287" i="1" s="1"/>
  <c r="BA1287" i="1" s="1"/>
  <c r="AT1263" i="1"/>
  <c r="AY1263" i="1"/>
  <c r="AT1229" i="1"/>
  <c r="AZ1229" i="1" s="1"/>
  <c r="BA1229" i="1" s="1"/>
  <c r="AY1229" i="1"/>
  <c r="AV841" i="1"/>
  <c r="AV827" i="1"/>
  <c r="AS1028" i="1"/>
  <c r="AY1028" i="1" s="1"/>
  <c r="AV1028" i="1"/>
  <c r="AS1000" i="1"/>
  <c r="AV1000" i="1"/>
  <c r="AV1064" i="1"/>
  <c r="AS1106" i="1"/>
  <c r="AY1106" i="1" s="1"/>
  <c r="AV1106" i="1"/>
  <c r="AZ1390" i="1"/>
  <c r="BA1390" i="1" s="1"/>
  <c r="AW1191" i="1"/>
  <c r="AX1191" i="1" s="1"/>
  <c r="AZ1354" i="1"/>
  <c r="BA1354" i="1" s="1"/>
  <c r="AT1302" i="1"/>
  <c r="AY1302" i="1"/>
  <c r="AX1403" i="1"/>
  <c r="AT1241" i="1"/>
  <c r="AY1241" i="1"/>
  <c r="AS809" i="1"/>
  <c r="AV809" i="1"/>
  <c r="AV854" i="1"/>
  <c r="AV840" i="1"/>
  <c r="AV826" i="1"/>
  <c r="AS1013" i="1"/>
  <c r="AY1013" i="1" s="1"/>
  <c r="AV1013" i="1"/>
  <c r="AS1105" i="1"/>
  <c r="AV1105" i="1"/>
  <c r="AU1426" i="1"/>
  <c r="AV1426" i="1"/>
  <c r="AW1282" i="1"/>
  <c r="AX1282" i="1" s="1"/>
  <c r="AZ1282" i="1"/>
  <c r="BA1282" i="1" s="1"/>
  <c r="AZ1320" i="1"/>
  <c r="BA1320" i="1" s="1"/>
  <c r="AT1395" i="1"/>
  <c r="AW1395" i="1" s="1"/>
  <c r="AX1395" i="1" s="1"/>
  <c r="AY1395" i="1"/>
  <c r="AZ1395" i="1" s="1"/>
  <c r="BA1395" i="1" s="1"/>
  <c r="AT1339" i="1"/>
  <c r="AW1339" i="1" s="1"/>
  <c r="AX1339" i="1" s="1"/>
  <c r="AY1339" i="1"/>
  <c r="AZ1339" i="1" s="1"/>
  <c r="BA1339" i="1" s="1"/>
  <c r="AT1177" i="1"/>
  <c r="AZ1177" i="1" s="1"/>
  <c r="BA1177" i="1" s="1"/>
  <c r="AY1177" i="1"/>
  <c r="AT1280" i="1"/>
  <c r="AY1280" i="1"/>
  <c r="AT1278" i="1"/>
  <c r="AY1278" i="1"/>
  <c r="AZ1416" i="1"/>
  <c r="BA1416" i="1" s="1"/>
  <c r="AW1416" i="1"/>
  <c r="AX1416" i="1" s="1"/>
  <c r="AZ1420" i="1"/>
  <c r="BA1420" i="1" s="1"/>
  <c r="AT1330" i="1"/>
  <c r="AW1330" i="1" s="1"/>
  <c r="AX1330" i="1" s="1"/>
  <c r="AY1330" i="1"/>
  <c r="AT1140" i="1"/>
  <c r="AW1140" i="1" s="1"/>
  <c r="AX1140" i="1" s="1"/>
  <c r="AY1140" i="1"/>
  <c r="AZ1140" i="1" s="1"/>
  <c r="BA1140" i="1" s="1"/>
  <c r="AT1253" i="1"/>
  <c r="AW1253" i="1" s="1"/>
  <c r="AX1253" i="1" s="1"/>
  <c r="AY1253" i="1"/>
  <c r="AS807" i="1"/>
  <c r="AY807" i="1" s="1"/>
  <c r="AV807" i="1"/>
  <c r="AV824" i="1"/>
  <c r="O989" i="1"/>
  <c r="S979" i="1"/>
  <c r="AS1025" i="1"/>
  <c r="AV1025" i="1"/>
  <c r="AS1011" i="1"/>
  <c r="AV1011" i="1"/>
  <c r="AS1117" i="1"/>
  <c r="AV1117" i="1"/>
  <c r="AS1089" i="1"/>
  <c r="AV1089" i="1"/>
  <c r="AZ1142" i="1"/>
  <c r="BA1142" i="1" s="1"/>
  <c r="AW1142" i="1"/>
  <c r="AX1142" i="1" s="1"/>
  <c r="AZ1408" i="1"/>
  <c r="BA1408" i="1" s="1"/>
  <c r="AW1242" i="1"/>
  <c r="AX1242" i="1" s="1"/>
  <c r="AT1205" i="1"/>
  <c r="AW1205" i="1" s="1"/>
  <c r="AX1205" i="1" s="1"/>
  <c r="AY1205" i="1"/>
  <c r="AZ1205" i="1" s="1"/>
  <c r="BA1205" i="1" s="1"/>
  <c r="AW1174" i="1"/>
  <c r="AX1174" i="1" s="1"/>
  <c r="AT1348" i="1"/>
  <c r="AY1348" i="1"/>
  <c r="AT1254" i="1"/>
  <c r="AW1254" i="1" s="1"/>
  <c r="AX1254" i="1" s="1"/>
  <c r="AY1254" i="1"/>
  <c r="AT1154" i="1"/>
  <c r="AY1154" i="1"/>
  <c r="AT1208" i="1"/>
  <c r="AY1208" i="1"/>
  <c r="AZ1208" i="1" s="1"/>
  <c r="BA1208" i="1" s="1"/>
  <c r="AV764" i="1"/>
  <c r="AS820" i="1"/>
  <c r="AV820" i="1"/>
  <c r="AS837" i="1"/>
  <c r="AV837" i="1"/>
  <c r="AS1024" i="1"/>
  <c r="AV1024" i="1"/>
  <c r="AS1010" i="1"/>
  <c r="AV1010" i="1"/>
  <c r="AS1116" i="1"/>
  <c r="AV1116" i="1"/>
  <c r="AS1088" i="1"/>
  <c r="AV1088" i="1"/>
  <c r="AZ1364" i="1"/>
  <c r="BA1364" i="1" s="1"/>
  <c r="AT1157" i="1"/>
  <c r="AY1157" i="1"/>
  <c r="AT1161" i="1"/>
  <c r="AZ1161" i="1" s="1"/>
  <c r="BA1161" i="1" s="1"/>
  <c r="AT1359" i="1"/>
  <c r="AY1359" i="1"/>
  <c r="AZ1359" i="1" s="1"/>
  <c r="BA1359" i="1" s="1"/>
  <c r="AT1237" i="1"/>
  <c r="AW1237" i="1" s="1"/>
  <c r="AX1237" i="1" s="1"/>
  <c r="AY1237" i="1"/>
  <c r="AW1308" i="1"/>
  <c r="AX1308" i="1" s="1"/>
  <c r="AT1197" i="1"/>
  <c r="AY1197" i="1"/>
  <c r="AZ1358" i="1"/>
  <c r="BA1358" i="1" s="1"/>
  <c r="AS776" i="1"/>
  <c r="AS762" i="1"/>
  <c r="AV762" i="1"/>
  <c r="AV789" i="1"/>
  <c r="AV818" i="1"/>
  <c r="AV804" i="1"/>
  <c r="AV863" i="1"/>
  <c r="AV849" i="1"/>
  <c r="AV835" i="1"/>
  <c r="AS906" i="1"/>
  <c r="AV906" i="1"/>
  <c r="AS892" i="1"/>
  <c r="AV892" i="1"/>
  <c r="AS878" i="1"/>
  <c r="AV878" i="1"/>
  <c r="K972" i="1"/>
  <c r="AA956" i="1"/>
  <c r="AS1008" i="1"/>
  <c r="AV1008" i="1"/>
  <c r="AS994" i="1"/>
  <c r="AV994" i="1"/>
  <c r="AW1376" i="1"/>
  <c r="AT1295" i="1"/>
  <c r="AZ1295" i="1" s="1"/>
  <c r="BA1295" i="1" s="1"/>
  <c r="AY1295" i="1"/>
  <c r="AW1398" i="1"/>
  <c r="AX1398" i="1" s="1"/>
  <c r="AT1256" i="1"/>
  <c r="AY1256" i="1"/>
  <c r="AW1324" i="1"/>
  <c r="AX1324" i="1" s="1"/>
  <c r="AZ1324" i="1"/>
  <c r="BA1324" i="1" s="1"/>
  <c r="AT1371" i="1"/>
  <c r="AZ1371" i="1" s="1"/>
  <c r="BA1371" i="1" s="1"/>
  <c r="AW1307" i="1"/>
  <c r="AX1307" i="1" s="1"/>
  <c r="AX1413" i="1"/>
  <c r="AT1373" i="1"/>
  <c r="AY1373" i="1"/>
  <c r="AY1378" i="1"/>
  <c r="AT1378" i="1"/>
  <c r="AW1378" i="1" s="1"/>
  <c r="AX1378" i="1" s="1"/>
  <c r="AT1289" i="1"/>
  <c r="AW1289" i="1" s="1"/>
  <c r="AX1289" i="1" s="1"/>
  <c r="AY1289" i="1"/>
  <c r="AT1239" i="1"/>
  <c r="AZ1239" i="1" s="1"/>
  <c r="BA1239" i="1" s="1"/>
  <c r="AY1239" i="1"/>
  <c r="AV782" i="1"/>
  <c r="AV768" i="1"/>
  <c r="AS793" i="1"/>
  <c r="AV793" i="1"/>
  <c r="AS811" i="1"/>
  <c r="AV811" i="1"/>
  <c r="AV856" i="1"/>
  <c r="AV842" i="1"/>
  <c r="AV828" i="1"/>
  <c r="AS904" i="1"/>
  <c r="AV904" i="1"/>
  <c r="AS890" i="1"/>
  <c r="AV890" i="1"/>
  <c r="AS876" i="1"/>
  <c r="AV876" i="1"/>
  <c r="S937" i="1"/>
  <c r="S914" i="1"/>
  <c r="S909" i="1"/>
  <c r="AA945" i="1"/>
  <c r="AA931" i="1"/>
  <c r="AS1029" i="1"/>
  <c r="AV1029" i="1"/>
  <c r="AS1015" i="1"/>
  <c r="AV1015" i="1"/>
  <c r="AS1001" i="1"/>
  <c r="AV1001" i="1"/>
  <c r="AJ1073" i="1"/>
  <c r="AU1073" i="1" s="1"/>
  <c r="AS1079" i="1"/>
  <c r="AV1079" i="1"/>
  <c r="AS1107" i="1"/>
  <c r="AY1107" i="1" s="1"/>
  <c r="AV1107" i="1"/>
  <c r="AS1093" i="1"/>
  <c r="AV1093" i="1"/>
  <c r="AU1436" i="1"/>
  <c r="AT1336" i="1"/>
  <c r="AY1336" i="1"/>
  <c r="AZ1336" i="1" s="1"/>
  <c r="BA1336" i="1" s="1"/>
  <c r="AT1160" i="1"/>
  <c r="AY1160" i="1"/>
  <c r="AT1209" i="1"/>
  <c r="AW1209" i="1" s="1"/>
  <c r="AX1209" i="1" s="1"/>
  <c r="AY1209" i="1"/>
  <c r="AZ1178" i="1"/>
  <c r="BA1178" i="1" s="1"/>
  <c r="AW1178" i="1"/>
  <c r="AX1178" i="1" s="1"/>
  <c r="AZ1156" i="1"/>
  <c r="BA1156" i="1" s="1"/>
  <c r="AT1390" i="1"/>
  <c r="AW1390" i="1" s="1"/>
  <c r="AX1390" i="1" s="1"/>
  <c r="AY1390" i="1"/>
  <c r="AW1275" i="1"/>
  <c r="AX1275" i="1" s="1"/>
  <c r="AT1408" i="1"/>
  <c r="AW1408" i="1" s="1"/>
  <c r="AX1408" i="1" s="1"/>
  <c r="AY1408" i="1"/>
  <c r="AT1322" i="1"/>
  <c r="AY1322" i="1"/>
  <c r="AZ1189" i="1"/>
  <c r="BA1189" i="1" s="1"/>
  <c r="AZ1163" i="1"/>
  <c r="BA1163" i="1" s="1"/>
  <c r="AW1163" i="1"/>
  <c r="AX1163" i="1" s="1"/>
  <c r="AW1343" i="1"/>
  <c r="AX1343" i="1" s="1"/>
  <c r="AT1217" i="1"/>
  <c r="AY1217" i="1"/>
  <c r="AT1293" i="1"/>
  <c r="AY1293" i="1"/>
  <c r="AZ1293" i="1" s="1"/>
  <c r="BA1293" i="1" s="1"/>
  <c r="AT1233" i="1"/>
  <c r="AY1233" i="1"/>
  <c r="AT1413" i="1"/>
  <c r="AW1413" i="1" s="1"/>
  <c r="AY1413" i="1"/>
  <c r="AT1294" i="1"/>
  <c r="AW1294" i="1" s="1"/>
  <c r="AX1294" i="1" s="1"/>
  <c r="AY1294" i="1"/>
  <c r="AT1351" i="1"/>
  <c r="AY1351" i="1"/>
  <c r="AT1164" i="1"/>
  <c r="AY1164" i="1"/>
  <c r="AT1203" i="1"/>
  <c r="AZ1203" i="1" s="1"/>
  <c r="BA1203" i="1" s="1"/>
  <c r="AY1203" i="1"/>
  <c r="AT1296" i="1"/>
  <c r="AW1296" i="1" s="1"/>
  <c r="AX1296" i="1" s="1"/>
  <c r="AY1296" i="1"/>
  <c r="AT1246" i="1"/>
  <c r="AY1246" i="1"/>
  <c r="AT1215" i="1"/>
  <c r="AW1215" i="1" s="1"/>
  <c r="AX1215" i="1" s="1"/>
  <c r="AY1215" i="1"/>
  <c r="AT1375" i="1"/>
  <c r="AZ1375" i="1" s="1"/>
  <c r="BA1375" i="1" s="1"/>
  <c r="AY1375" i="1"/>
  <c r="AT1148" i="1"/>
  <c r="AY1148" i="1"/>
  <c r="AT1312" i="1"/>
  <c r="AY1312" i="1"/>
  <c r="AT1137" i="1"/>
  <c r="AY1137" i="1"/>
  <c r="AT1368" i="1"/>
  <c r="AY1368" i="1"/>
  <c r="AT1165" i="1"/>
  <c r="AY1165" i="1"/>
  <c r="AV779" i="1"/>
  <c r="AV765" i="1"/>
  <c r="AV790" i="1"/>
  <c r="AS808" i="1"/>
  <c r="AV808" i="1"/>
  <c r="AV853" i="1"/>
  <c r="AV839" i="1"/>
  <c r="AV825" i="1"/>
  <c r="AS901" i="1"/>
  <c r="AV901" i="1"/>
  <c r="AS887" i="1"/>
  <c r="AV887" i="1"/>
  <c r="K923" i="1"/>
  <c r="AS923" i="1" s="1"/>
  <c r="S946" i="1"/>
  <c r="S932" i="1"/>
  <c r="S918" i="1"/>
  <c r="AA942" i="1"/>
  <c r="AA914" i="1"/>
  <c r="K974" i="1"/>
  <c r="AS1026" i="1"/>
  <c r="AY1026" i="1" s="1"/>
  <c r="AV1026" i="1"/>
  <c r="AS1012" i="1"/>
  <c r="AY1012" i="1" s="1"/>
  <c r="AV1012" i="1"/>
  <c r="AS998" i="1"/>
  <c r="AY998" i="1" s="1"/>
  <c r="AV998" i="1"/>
  <c r="AJ1048" i="1"/>
  <c r="AS1118" i="1"/>
  <c r="AV1118" i="1"/>
  <c r="AS1104" i="1"/>
  <c r="AY1104" i="1" s="1"/>
  <c r="AV1104" i="1"/>
  <c r="AS1090" i="1"/>
  <c r="AY1090" i="1" s="1"/>
  <c r="AV1090" i="1"/>
  <c r="AT1425" i="1"/>
  <c r="AT1417" i="1"/>
  <c r="AY1417" i="1"/>
  <c r="AT1325" i="1"/>
  <c r="AY1325" i="1"/>
  <c r="AZ1302" i="1"/>
  <c r="BA1302" i="1" s="1"/>
  <c r="AW1302" i="1"/>
  <c r="AX1302" i="1" s="1"/>
  <c r="AZ1240" i="1"/>
  <c r="BA1240" i="1" s="1"/>
  <c r="AT1202" i="1"/>
  <c r="AW1202" i="1" s="1"/>
  <c r="AX1202" i="1" s="1"/>
  <c r="AY1202" i="1"/>
  <c r="AT1306" i="1"/>
  <c r="AY1306" i="1"/>
  <c r="AT1144" i="1"/>
  <c r="AY1144" i="1"/>
  <c r="AW1427" i="1"/>
  <c r="AX1427" i="1" s="1"/>
  <c r="AZ1427" i="1"/>
  <c r="BA1427" i="1" s="1"/>
  <c r="AT1383" i="1"/>
  <c r="AY1383" i="1"/>
  <c r="AT1321" i="1"/>
  <c r="AZ1321" i="1" s="1"/>
  <c r="BA1321" i="1" s="1"/>
  <c r="AY1321" i="1"/>
  <c r="AZ1268" i="1"/>
  <c r="BA1268" i="1" s="1"/>
  <c r="AW1268" i="1"/>
  <c r="AX1268" i="1" s="1"/>
  <c r="AW1336" i="1"/>
  <c r="AX1336" i="1" s="1"/>
  <c r="AT1286" i="1"/>
  <c r="AW1286" i="1" s="1"/>
  <c r="AX1286" i="1" s="1"/>
  <c r="AY1286" i="1"/>
  <c r="AT1153" i="1"/>
  <c r="AW1153" i="1" s="1"/>
  <c r="AX1153" i="1" s="1"/>
  <c r="AY1153" i="1"/>
  <c r="AT1316" i="1"/>
  <c r="AW1316" i="1" s="1"/>
  <c r="AX1316" i="1" s="1"/>
  <c r="AY1316" i="1"/>
  <c r="AZ1316" i="1" s="1"/>
  <c r="BA1316" i="1" s="1"/>
  <c r="AT1226" i="1"/>
  <c r="AZ1226" i="1" s="1"/>
  <c r="BA1226" i="1" s="1"/>
  <c r="AY1226" i="1"/>
  <c r="AT1354" i="1"/>
  <c r="AW1354" i="1" s="1"/>
  <c r="AY1354" i="1"/>
  <c r="AT1333" i="1"/>
  <c r="AW1333" i="1" s="1"/>
  <c r="AX1333" i="1" s="1"/>
  <c r="AY1333" i="1"/>
  <c r="AT1398" i="1"/>
  <c r="AZ1398" i="1" s="1"/>
  <c r="BA1398" i="1" s="1"/>
  <c r="AY1398" i="1"/>
  <c r="AT1313" i="1"/>
  <c r="AW1313" i="1" s="1"/>
  <c r="AX1313" i="1" s="1"/>
  <c r="AY1313" i="1"/>
  <c r="AT1248" i="1"/>
  <c r="AW1248" i="1" s="1"/>
  <c r="AX1248" i="1" s="1"/>
  <c r="AY1248" i="1"/>
  <c r="AS1100" i="1"/>
  <c r="AY1100" i="1" s="1"/>
  <c r="AV1100" i="1"/>
  <c r="AT1274" i="1"/>
  <c r="AW1274" i="1" s="1"/>
  <c r="AX1274" i="1" s="1"/>
  <c r="AY1274" i="1"/>
  <c r="AT1319" i="1"/>
  <c r="AW1319" i="1" s="1"/>
  <c r="AX1319" i="1" s="1"/>
  <c r="AY1319" i="1"/>
  <c r="AT1251" i="1"/>
  <c r="AY1251" i="1"/>
  <c r="AT1311" i="1"/>
  <c r="AW1311" i="1" s="1"/>
  <c r="AX1311" i="1" s="1"/>
  <c r="AY1311" i="1"/>
  <c r="AT1292" i="1"/>
  <c r="AW1292" i="1" s="1"/>
  <c r="AX1292" i="1" s="1"/>
  <c r="AY1292" i="1"/>
  <c r="AZ1292" i="1" s="1"/>
  <c r="BA1292" i="1" s="1"/>
  <c r="AT1183" i="1"/>
  <c r="AY1183" i="1"/>
  <c r="AT1146" i="1"/>
  <c r="AW1146" i="1" s="1"/>
  <c r="AX1146" i="1" s="1"/>
  <c r="AY1146" i="1"/>
  <c r="AT1396" i="1"/>
  <c r="AY1396" i="1"/>
  <c r="AT1360" i="1"/>
  <c r="AW1360" i="1" s="1"/>
  <c r="AX1360" i="1" s="1"/>
  <c r="AY1360" i="1"/>
  <c r="AT1198" i="1"/>
  <c r="AW1198" i="1" s="1"/>
  <c r="AX1198" i="1" s="1"/>
  <c r="AY1198" i="1"/>
  <c r="AW1281" i="1"/>
  <c r="AX1281" i="1" s="1"/>
  <c r="AT1363" i="1"/>
  <c r="AW1363" i="1" s="1"/>
  <c r="AX1363" i="1" s="1"/>
  <c r="AY1363" i="1"/>
  <c r="AZ1363" i="1" s="1"/>
  <c r="BA1363" i="1" s="1"/>
  <c r="AV761" i="1"/>
  <c r="AV817" i="1"/>
  <c r="AS848" i="1"/>
  <c r="AV848" i="1"/>
  <c r="AS896" i="1"/>
  <c r="AV896" i="1"/>
  <c r="AS868" i="1"/>
  <c r="AV868" i="1"/>
  <c r="O933" i="1"/>
  <c r="K983" i="1"/>
  <c r="K969" i="1"/>
  <c r="AS993" i="1"/>
  <c r="AV993" i="1"/>
  <c r="S1061" i="1"/>
  <c r="AA1039" i="1"/>
  <c r="AT1350" i="1"/>
  <c r="AY1350" i="1"/>
  <c r="AZ1350" i="1" s="1"/>
  <c r="BA1350" i="1" s="1"/>
  <c r="AZ1162" i="1"/>
  <c r="BA1162" i="1" s="1"/>
  <c r="AT1269" i="1"/>
  <c r="AY1269" i="1"/>
  <c r="AT1257" i="1"/>
  <c r="AY1257" i="1"/>
  <c r="AY1423" i="1"/>
  <c r="AW1419" i="1"/>
  <c r="AX1419" i="1" s="1"/>
  <c r="AZ1274" i="1"/>
  <c r="BA1274" i="1" s="1"/>
  <c r="AZ1326" i="1"/>
  <c r="BA1326" i="1" s="1"/>
  <c r="AW1326" i="1"/>
  <c r="AX1326" i="1" s="1"/>
  <c r="AW1195" i="1"/>
  <c r="AX1195" i="1" s="1"/>
  <c r="AT1341" i="1"/>
  <c r="AW1341" i="1" s="1"/>
  <c r="AX1341" i="1" s="1"/>
  <c r="AY1341" i="1"/>
  <c r="AT1266" i="1"/>
  <c r="AY1266" i="1"/>
  <c r="AZ1266" i="1" s="1"/>
  <c r="BA1266" i="1" s="1"/>
  <c r="AT1218" i="1"/>
  <c r="AY1218" i="1"/>
  <c r="AT1366" i="1"/>
  <c r="AY1366" i="1"/>
  <c r="AV787" i="1"/>
  <c r="AV773" i="1"/>
  <c r="AV798" i="1"/>
  <c r="AV816" i="1"/>
  <c r="AV801" i="1"/>
  <c r="AV861" i="1"/>
  <c r="AV847" i="1"/>
  <c r="AV833" i="1"/>
  <c r="AS895" i="1"/>
  <c r="AV895" i="1"/>
  <c r="AS881" i="1"/>
  <c r="AV881" i="1"/>
  <c r="K938" i="1"/>
  <c r="S944" i="1"/>
  <c r="K982" i="1"/>
  <c r="AS982" i="1" s="1"/>
  <c r="K968" i="1"/>
  <c r="K954" i="1"/>
  <c r="S957" i="1"/>
  <c r="AS1034" i="1"/>
  <c r="AY1034" i="1" s="1"/>
  <c r="AV1034" i="1"/>
  <c r="AS1020" i="1"/>
  <c r="AV1020" i="1"/>
  <c r="AS1006" i="1"/>
  <c r="AV1006" i="1"/>
  <c r="K1074" i="1"/>
  <c r="K1046" i="1"/>
  <c r="K1054" i="1"/>
  <c r="S1074" i="1"/>
  <c r="S1060" i="1"/>
  <c r="AS1060" i="1" s="1"/>
  <c r="S1046" i="1"/>
  <c r="S1040" i="1"/>
  <c r="S1054" i="1"/>
  <c r="S1068" i="1"/>
  <c r="AV1068" i="1" s="1"/>
  <c r="AJ1041" i="1"/>
  <c r="AS1112" i="1"/>
  <c r="AV1112" i="1"/>
  <c r="AS1098" i="1"/>
  <c r="AV1098" i="1"/>
  <c r="AS1084" i="1"/>
  <c r="AV1084" i="1"/>
  <c r="AT1331" i="1"/>
  <c r="AW1331" i="1" s="1"/>
  <c r="AX1331" i="1" s="1"/>
  <c r="AY1331" i="1"/>
  <c r="AW1355" i="1"/>
  <c r="AX1355" i="1" s="1"/>
  <c r="AT1304" i="1"/>
  <c r="AY1304" i="1"/>
  <c r="AT1142" i="1"/>
  <c r="AY1142" i="1"/>
  <c r="AZ1301" i="1"/>
  <c r="BA1301" i="1" s="1"/>
  <c r="AW1301" i="1"/>
  <c r="AX1301" i="1" s="1"/>
  <c r="AW1266" i="1"/>
  <c r="AX1266" i="1" s="1"/>
  <c r="AT1188" i="1"/>
  <c r="AY1188" i="1"/>
  <c r="AT1406" i="1"/>
  <c r="AY1406" i="1"/>
  <c r="AZ1406" i="1" s="1"/>
  <c r="BA1406" i="1" s="1"/>
  <c r="AZ1335" i="1"/>
  <c r="BA1335" i="1" s="1"/>
  <c r="AW1335" i="1"/>
  <c r="AX1335" i="1" s="1"/>
  <c r="AW1147" i="1"/>
  <c r="AX1147" i="1" s="1"/>
  <c r="AT1369" i="1"/>
  <c r="AY1369" i="1"/>
  <c r="AZ1369" i="1" s="1"/>
  <c r="BA1369" i="1" s="1"/>
  <c r="AZ1289" i="1"/>
  <c r="BA1289" i="1" s="1"/>
  <c r="AT1211" i="1"/>
  <c r="AY1211" i="1"/>
  <c r="AY1436" i="1"/>
  <c r="AY1437" i="1"/>
  <c r="AW1177" i="1"/>
  <c r="AX1177" i="1" s="1"/>
  <c r="AW1219" i="1"/>
  <c r="AX1219" i="1" s="1"/>
  <c r="AW1357" i="1"/>
  <c r="AX1357" i="1" s="1"/>
  <c r="AT1314" i="1"/>
  <c r="AY1314" i="1"/>
  <c r="AT1315" i="1"/>
  <c r="AY1315" i="1"/>
  <c r="AT1272" i="1"/>
  <c r="AY1272" i="1"/>
  <c r="AW1137" i="1"/>
  <c r="AX1137" i="1" s="1"/>
  <c r="AT1212" i="1"/>
  <c r="AW1212" i="1" s="1"/>
  <c r="AX1212" i="1" s="1"/>
  <c r="AY1212" i="1"/>
  <c r="AT1323" i="1"/>
  <c r="AW1323" i="1" s="1"/>
  <c r="AX1323" i="1" s="1"/>
  <c r="AY1323" i="1"/>
  <c r="AT1342" i="1"/>
  <c r="AW1342" i="1" s="1"/>
  <c r="AX1342" i="1" s="1"/>
  <c r="AY1342" i="1"/>
  <c r="AT1356" i="1"/>
  <c r="AY1356" i="1"/>
  <c r="AT1227" i="1"/>
  <c r="AY1227" i="1"/>
  <c r="AV1425" i="1"/>
  <c r="AT1347" i="1"/>
  <c r="AW1347" i="1" s="1"/>
  <c r="AX1347" i="1" s="1"/>
  <c r="AY1347" i="1"/>
  <c r="AJ1052" i="1"/>
  <c r="AU1052" i="1" s="1"/>
  <c r="AS1086" i="1"/>
  <c r="AV1086" i="1"/>
  <c r="AU1428" i="1"/>
  <c r="AY1433" i="1"/>
  <c r="AT1159" i="1"/>
  <c r="AY1159" i="1"/>
  <c r="AZ1159" i="1" s="1"/>
  <c r="BA1159" i="1" s="1"/>
  <c r="AZ1164" i="1"/>
  <c r="BA1164" i="1" s="1"/>
  <c r="AW1164" i="1"/>
  <c r="AV799" i="1"/>
  <c r="AS834" i="1"/>
  <c r="AV834" i="1"/>
  <c r="O919" i="1"/>
  <c r="AS1113" i="1"/>
  <c r="AV1113" i="1"/>
  <c r="AT1317" i="1"/>
  <c r="AY1317" i="1"/>
  <c r="AT1410" i="1"/>
  <c r="AW1410" i="1" s="1"/>
  <c r="AX1410" i="1" s="1"/>
  <c r="AY1410" i="1"/>
  <c r="AT1231" i="1"/>
  <c r="AY1231" i="1"/>
  <c r="AT1247" i="1"/>
  <c r="AW1247" i="1" s="1"/>
  <c r="AX1247" i="1" s="1"/>
  <c r="AY1247" i="1"/>
  <c r="AV772" i="1"/>
  <c r="AV832" i="1"/>
  <c r="AS894" i="1"/>
  <c r="AV894" i="1"/>
  <c r="AS880" i="1"/>
  <c r="AV880" i="1"/>
  <c r="AS866" i="1"/>
  <c r="AV866" i="1"/>
  <c r="O923" i="1"/>
  <c r="S911" i="1"/>
  <c r="O955" i="1"/>
  <c r="AS1033" i="1"/>
  <c r="AY1033" i="1" s="1"/>
  <c r="AV1033" i="1"/>
  <c r="AS1019" i="1"/>
  <c r="AV1019" i="1"/>
  <c r="AS1005" i="1"/>
  <c r="AV1005" i="1"/>
  <c r="AS1111" i="1"/>
  <c r="AY1111" i="1" s="1"/>
  <c r="AV1111" i="1"/>
  <c r="AS1083" i="1"/>
  <c r="AV1083" i="1"/>
  <c r="AT1379" i="1"/>
  <c r="AW1379" i="1" s="1"/>
  <c r="AX1379" i="1" s="1"/>
  <c r="AY1379" i="1"/>
  <c r="AZ1379" i="1" s="1"/>
  <c r="BA1379" i="1" s="1"/>
  <c r="AT1267" i="1"/>
  <c r="AY1267" i="1"/>
  <c r="AT1193" i="1"/>
  <c r="AY1193" i="1"/>
  <c r="AZ1139" i="1"/>
  <c r="BA1139" i="1" s="1"/>
  <c r="AW1139" i="1"/>
  <c r="AX1139" i="1" s="1"/>
  <c r="AZ1145" i="1"/>
  <c r="BA1145" i="1" s="1"/>
  <c r="AW1145" i="1"/>
  <c r="AX1145" i="1" s="1"/>
  <c r="AY1432" i="1"/>
  <c r="AT1318" i="1"/>
  <c r="AZ1318" i="1" s="1"/>
  <c r="BA1318" i="1" s="1"/>
  <c r="AY1318" i="1"/>
  <c r="AT1228" i="1"/>
  <c r="AY1228" i="1"/>
  <c r="AZ1228" i="1" s="1"/>
  <c r="BA1228" i="1" s="1"/>
  <c r="AT1156" i="1"/>
  <c r="AW1156" i="1" s="1"/>
  <c r="AX1156" i="1" s="1"/>
  <c r="AY1156" i="1"/>
  <c r="AT1297" i="1"/>
  <c r="AW1297" i="1" s="1"/>
  <c r="AX1297" i="1" s="1"/>
  <c r="AY1297" i="1"/>
  <c r="AZ1297" i="1" s="1"/>
  <c r="BA1297" i="1" s="1"/>
  <c r="AZ1182" i="1"/>
  <c r="BA1182" i="1" s="1"/>
  <c r="AW1182" i="1"/>
  <c r="AX1182" i="1" s="1"/>
  <c r="AT1420" i="1"/>
  <c r="AW1420" i="1" s="1"/>
  <c r="AX1420" i="1" s="1"/>
  <c r="AY1420" i="1"/>
  <c r="AT1244" i="1"/>
  <c r="AZ1244" i="1" s="1"/>
  <c r="BA1244" i="1" s="1"/>
  <c r="AY1244" i="1"/>
  <c r="AW1159" i="1"/>
  <c r="AX1159" i="1" s="1"/>
  <c r="AW1366" i="1"/>
  <c r="AX1366" i="1" s="1"/>
  <c r="AT1285" i="1"/>
  <c r="AY1285" i="1"/>
  <c r="AT1176" i="1"/>
  <c r="AW1176" i="1" s="1"/>
  <c r="AX1176" i="1" s="1"/>
  <c r="AY1176" i="1"/>
  <c r="AT1206" i="1"/>
  <c r="AZ1206" i="1" s="1"/>
  <c r="BA1206" i="1" s="1"/>
  <c r="AT1397" i="1"/>
  <c r="AY1397" i="1"/>
  <c r="AT1270" i="1"/>
  <c r="AZ1270" i="1" s="1"/>
  <c r="BA1270" i="1" s="1"/>
  <c r="AT1353" i="1"/>
  <c r="AW1353" i="1" s="1"/>
  <c r="AY1353" i="1"/>
  <c r="AZ1353" i="1" s="1"/>
  <c r="BA1353" i="1" s="1"/>
  <c r="AT1328" i="1"/>
  <c r="AZ1328" i="1" s="1"/>
  <c r="BA1328" i="1" s="1"/>
  <c r="AY1328" i="1"/>
  <c r="AW1228" i="1"/>
  <c r="AX1228" i="1" s="1"/>
  <c r="AT1138" i="1"/>
  <c r="AY1138" i="1"/>
  <c r="AT1384" i="1"/>
  <c r="AY1384" i="1"/>
  <c r="AT1329" i="1"/>
  <c r="AZ1329" i="1" s="1"/>
  <c r="BA1329" i="1" s="1"/>
  <c r="AY1329" i="1"/>
  <c r="AZ1269" i="1"/>
  <c r="BA1269" i="1" s="1"/>
  <c r="AW1269" i="1"/>
  <c r="AX1269" i="1" s="1"/>
  <c r="AT1191" i="1"/>
  <c r="AY1191" i="1"/>
  <c r="AZ1191" i="1" s="1"/>
  <c r="BA1191" i="1" s="1"/>
  <c r="AW1338" i="1"/>
  <c r="AX1338" i="1" s="1"/>
  <c r="AW1207" i="1"/>
  <c r="AX1207" i="1" s="1"/>
  <c r="AT1259" i="1"/>
  <c r="AZ1259" i="1" s="1"/>
  <c r="BA1259" i="1" s="1"/>
  <c r="AY1259" i="1"/>
  <c r="AT1291" i="1"/>
  <c r="AW1291" i="1" s="1"/>
  <c r="AX1291" i="1" s="1"/>
  <c r="AY1291" i="1"/>
  <c r="AT1309" i="1"/>
  <c r="AW1309" i="1" s="1"/>
  <c r="AX1309" i="1" s="1"/>
  <c r="AY1309" i="1"/>
  <c r="AT1298" i="1"/>
  <c r="AW1298" i="1" s="1"/>
  <c r="AX1298" i="1" s="1"/>
  <c r="AY1298" i="1"/>
  <c r="AT1150" i="1"/>
  <c r="AW1150" i="1" s="1"/>
  <c r="AX1150" i="1" s="1"/>
  <c r="AY1150" i="1"/>
  <c r="AT1261" i="1"/>
  <c r="AY1261" i="1"/>
  <c r="AT1236" i="1"/>
  <c r="AW1236" i="1" s="1"/>
  <c r="AX1236" i="1" s="1"/>
  <c r="AY1236" i="1"/>
  <c r="AY1425" i="1"/>
  <c r="AT1199" i="1"/>
  <c r="AY1199" i="1"/>
  <c r="AZ1199" i="1" s="1"/>
  <c r="BA1199" i="1" s="1"/>
  <c r="AT1327" i="1"/>
  <c r="AY1327" i="1"/>
  <c r="AS1114" i="1"/>
  <c r="AY1114" i="1" s="1"/>
  <c r="AV1114" i="1"/>
  <c r="AT1440" i="1"/>
  <c r="AT1386" i="1"/>
  <c r="AW1386" i="1" s="1"/>
  <c r="AX1386" i="1" s="1"/>
  <c r="AY1386" i="1"/>
  <c r="AT1303" i="1"/>
  <c r="AW1303" i="1" s="1"/>
  <c r="AX1303" i="1" s="1"/>
  <c r="AY1303" i="1"/>
  <c r="AT1200" i="1"/>
  <c r="AY1200" i="1"/>
  <c r="AZ1424" i="1"/>
  <c r="BA1424" i="1" s="1"/>
  <c r="AW1424" i="1"/>
  <c r="AX1424" i="1" s="1"/>
  <c r="AT1235" i="1"/>
  <c r="AW1235" i="1" s="1"/>
  <c r="AX1235" i="1" s="1"/>
  <c r="AY1235" i="1"/>
  <c r="AW1405" i="1"/>
  <c r="AX1405" i="1" s="1"/>
  <c r="AW1233" i="1"/>
  <c r="AX1233" i="1" s="1"/>
  <c r="AT1391" i="1"/>
  <c r="AW1391" i="1" s="1"/>
  <c r="AX1391" i="1" s="1"/>
  <c r="AY1391" i="1"/>
  <c r="AZ1391" i="1" s="1"/>
  <c r="BA1391" i="1" s="1"/>
  <c r="AZ1276" i="1"/>
  <c r="BA1276" i="1" s="1"/>
  <c r="AT1151" i="1"/>
  <c r="AZ1151" i="1" s="1"/>
  <c r="BA1151" i="1" s="1"/>
  <c r="AY1151" i="1"/>
  <c r="AT1234" i="1"/>
  <c r="AZ1234" i="1" s="1"/>
  <c r="BA1234" i="1" s="1"/>
  <c r="AY1234" i="1"/>
  <c r="AV802" i="1"/>
  <c r="AS862" i="1"/>
  <c r="AV862" i="1"/>
  <c r="AS882" i="1"/>
  <c r="AV882" i="1"/>
  <c r="O947" i="1"/>
  <c r="K955" i="1"/>
  <c r="AA959" i="1"/>
  <c r="AS1021" i="1"/>
  <c r="AY1021" i="1" s="1"/>
  <c r="AV1021" i="1"/>
  <c r="AS1007" i="1"/>
  <c r="AV1007" i="1"/>
  <c r="AM1075" i="1"/>
  <c r="AL1075" i="1" s="1"/>
  <c r="AM1054" i="1"/>
  <c r="AL1054" i="1" s="1"/>
  <c r="AT1310" i="1"/>
  <c r="AW1310" i="1" s="1"/>
  <c r="AX1310" i="1" s="1"/>
  <c r="AT1374" i="1"/>
  <c r="AW1374" i="1" s="1"/>
  <c r="AX1374" i="1" s="1"/>
  <c r="AY1374" i="1"/>
  <c r="AW1170" i="1"/>
  <c r="AX1170" i="1" s="1"/>
  <c r="AT1338" i="1"/>
  <c r="AZ1338" i="1" s="1"/>
  <c r="BA1338" i="1" s="1"/>
  <c r="AY1338" i="1"/>
  <c r="AT1216" i="1"/>
  <c r="AY1216" i="1"/>
  <c r="AW1401" i="1"/>
  <c r="AX1401" i="1" s="1"/>
  <c r="AZ1180" i="1"/>
  <c r="BA1180" i="1" s="1"/>
  <c r="AW1180" i="1"/>
  <c r="AX1180" i="1" s="1"/>
  <c r="AZ1396" i="1"/>
  <c r="BA1396" i="1" s="1"/>
  <c r="AW1396" i="1"/>
  <c r="AX1396" i="1" s="1"/>
  <c r="AW1260" i="1"/>
  <c r="AX1260" i="1" s="1"/>
  <c r="AT1187" i="1"/>
  <c r="AZ1187" i="1" s="1"/>
  <c r="BA1187" i="1" s="1"/>
  <c r="AY1187" i="1"/>
  <c r="AT1175" i="1"/>
  <c r="AW1175" i="1" s="1"/>
  <c r="AX1175" i="1" s="1"/>
  <c r="AY1175" i="1"/>
  <c r="AY1426" i="1"/>
  <c r="AV786" i="1"/>
  <c r="AV797" i="1"/>
  <c r="AV815" i="1"/>
  <c r="AV800" i="1"/>
  <c r="AV860" i="1"/>
  <c r="AV846" i="1"/>
  <c r="AV785" i="1"/>
  <c r="AV771" i="1"/>
  <c r="AV796" i="1"/>
  <c r="AV814" i="1"/>
  <c r="AV859" i="1"/>
  <c r="AV845" i="1"/>
  <c r="AV831" i="1"/>
  <c r="AS865" i="1"/>
  <c r="AV865" i="1"/>
  <c r="AS893" i="1"/>
  <c r="AV893" i="1"/>
  <c r="AS879" i="1"/>
  <c r="AV879" i="1"/>
  <c r="O908" i="1"/>
  <c r="S948" i="1"/>
  <c r="O956" i="1"/>
  <c r="AA954" i="1"/>
  <c r="AV1032" i="1"/>
  <c r="AS1018" i="1"/>
  <c r="AV1018" i="1"/>
  <c r="AS1004" i="1"/>
  <c r="AV1004" i="1"/>
  <c r="K1044" i="1"/>
  <c r="K1042" i="1"/>
  <c r="S1072" i="1"/>
  <c r="AJ1042" i="1"/>
  <c r="AU1042" i="1" s="1"/>
  <c r="AM1056" i="1"/>
  <c r="AM1070" i="1"/>
  <c r="AL1070" i="1" s="1"/>
  <c r="AS1110" i="1"/>
  <c r="AV1110" i="1"/>
  <c r="AS1082" i="1"/>
  <c r="AV1082" i="1"/>
  <c r="AU1430" i="1"/>
  <c r="BA1431" i="1"/>
  <c r="AY1431" i="1"/>
  <c r="AZ1264" i="1"/>
  <c r="BA1264" i="1" s="1"/>
  <c r="AW1264" i="1"/>
  <c r="AX1264" i="1" s="1"/>
  <c r="AT1343" i="1"/>
  <c r="AZ1343" i="1" s="1"/>
  <c r="BA1343" i="1" s="1"/>
  <c r="AY1343" i="1"/>
  <c r="AT1332" i="1"/>
  <c r="AW1332" i="1" s="1"/>
  <c r="AX1332" i="1" s="1"/>
  <c r="AY1332" i="1"/>
  <c r="AZ1243" i="1"/>
  <c r="BA1243" i="1" s="1"/>
  <c r="AW1243" i="1"/>
  <c r="AX1243" i="1" s="1"/>
  <c r="AZ1217" i="1"/>
  <c r="BA1217" i="1" s="1"/>
  <c r="AW1217" i="1"/>
  <c r="AX1217" i="1" s="1"/>
  <c r="AT1367" i="1"/>
  <c r="AZ1367" i="1" s="1"/>
  <c r="BA1367" i="1" s="1"/>
  <c r="AY1367" i="1"/>
  <c r="AT1262" i="1"/>
  <c r="AY1262" i="1"/>
  <c r="AT1143" i="1"/>
  <c r="AW1143" i="1" s="1"/>
  <c r="AX1143" i="1" s="1"/>
  <c r="AY1143" i="1"/>
  <c r="AT1149" i="1"/>
  <c r="AY1149" i="1"/>
  <c r="AW1403" i="1"/>
  <c r="AT1147" i="1"/>
  <c r="AZ1147" i="1" s="1"/>
  <c r="BA1147" i="1" s="1"/>
  <c r="AT1407" i="1"/>
  <c r="AW1407" i="1" s="1"/>
  <c r="AX1407" i="1" s="1"/>
  <c r="AY1407" i="1"/>
  <c r="AW1208" i="1"/>
  <c r="AX1208" i="1" s="1"/>
  <c r="AZ1196" i="1"/>
  <c r="BA1196" i="1" s="1"/>
  <c r="AT1411" i="1"/>
  <c r="AY1411" i="1"/>
  <c r="AW1293" i="1"/>
  <c r="AX1293" i="1" s="1"/>
  <c r="AT1224" i="1"/>
  <c r="AY1224" i="1"/>
  <c r="AT1152" i="1"/>
  <c r="AW1152" i="1" s="1"/>
  <c r="AX1152" i="1" s="1"/>
  <c r="AY1152" i="1"/>
  <c r="AZ1152" i="1" s="1"/>
  <c r="BA1152" i="1" s="1"/>
  <c r="AT1300" i="1"/>
  <c r="AW1300" i="1" s="1"/>
  <c r="AX1300" i="1" s="1"/>
  <c r="AY1300" i="1"/>
  <c r="AT1402" i="1"/>
  <c r="AZ1402" i="1" s="1"/>
  <c r="BA1402" i="1" s="1"/>
  <c r="AT1334" i="1"/>
  <c r="AZ1334" i="1" s="1"/>
  <c r="BA1334" i="1" s="1"/>
  <c r="AY1334" i="1"/>
  <c r="AT1240" i="1"/>
  <c r="AW1240" i="1" s="1"/>
  <c r="AX1240" i="1" s="1"/>
  <c r="AY1240" i="1"/>
  <c r="AZ1138" i="1"/>
  <c r="BA1138" i="1" s="1"/>
  <c r="AW1138" i="1"/>
  <c r="AX1138" i="1" s="1"/>
  <c r="AT1389" i="1"/>
  <c r="AW1389" i="1" s="1"/>
  <c r="AX1389" i="1" s="1"/>
  <c r="AY1389" i="1"/>
  <c r="AY1438" i="1"/>
  <c r="AY1439" i="1"/>
  <c r="AT1349" i="1"/>
  <c r="AW1349" i="1" s="1"/>
  <c r="AX1349" i="1" s="1"/>
  <c r="AY1349" i="1"/>
  <c r="AZ1349" i="1" s="1"/>
  <c r="BA1349" i="1" s="1"/>
  <c r="AT1284" i="1"/>
  <c r="AY1284" i="1"/>
  <c r="AT1220" i="1"/>
  <c r="AZ1220" i="1" s="1"/>
  <c r="BA1220" i="1" s="1"/>
  <c r="AY1220" i="1"/>
  <c r="AT1340" i="1"/>
  <c r="AY1340" i="1"/>
  <c r="AU1069" i="1"/>
  <c r="AU1072" i="1"/>
  <c r="AU991" i="1"/>
  <c r="AU979" i="1"/>
  <c r="AR979" i="1"/>
  <c r="AR889" i="1"/>
  <c r="AU889" i="1"/>
  <c r="AU928" i="1"/>
  <c r="AS1099" i="1"/>
  <c r="AR1099" i="1"/>
  <c r="AU1099" i="1"/>
  <c r="AS832" i="1"/>
  <c r="K976" i="1"/>
  <c r="AA1040" i="1"/>
  <c r="AU1051" i="1"/>
  <c r="AS859" i="1"/>
  <c r="AR841" i="1"/>
  <c r="AU841" i="1"/>
  <c r="AR872" i="1"/>
  <c r="AU872" i="1"/>
  <c r="O917" i="1"/>
  <c r="AR925" i="1"/>
  <c r="AU925" i="1"/>
  <c r="S972" i="1"/>
  <c r="AM983" i="1"/>
  <c r="AL983" i="1" s="1"/>
  <c r="AU791" i="1"/>
  <c r="AR791" i="1"/>
  <c r="AR807" i="1"/>
  <c r="AU807" i="1"/>
  <c r="AR871" i="1"/>
  <c r="AU871" i="1"/>
  <c r="AM951" i="1"/>
  <c r="AT1033" i="1"/>
  <c r="AS785" i="1"/>
  <c r="AS765" i="1"/>
  <c r="AS796" i="1"/>
  <c r="AR861" i="1"/>
  <c r="AU861" i="1"/>
  <c r="AR833" i="1"/>
  <c r="AU833" i="1"/>
  <c r="AR906" i="1"/>
  <c r="AU906" i="1"/>
  <c r="AU892" i="1"/>
  <c r="AR892" i="1"/>
  <c r="AU878" i="1"/>
  <c r="AR878" i="1"/>
  <c r="AU945" i="1"/>
  <c r="AU917" i="1"/>
  <c r="AA986" i="1"/>
  <c r="AT1012" i="1"/>
  <c r="AU1026" i="1"/>
  <c r="AR1026" i="1"/>
  <c r="AR998" i="1"/>
  <c r="AU998" i="1"/>
  <c r="AS778" i="1"/>
  <c r="AR774" i="1"/>
  <c r="AP783" i="1"/>
  <c r="AU783" i="1" s="1"/>
  <c r="AR797" i="1"/>
  <c r="AU797" i="1"/>
  <c r="AS813" i="1"/>
  <c r="AU813" i="1"/>
  <c r="AR813" i="1"/>
  <c r="AS850" i="1"/>
  <c r="AU846" i="1"/>
  <c r="AR846" i="1"/>
  <c r="AU832" i="1"/>
  <c r="AR832" i="1"/>
  <c r="AU905" i="1"/>
  <c r="AR905" i="1"/>
  <c r="AR891" i="1"/>
  <c r="AU891" i="1"/>
  <c r="AR877" i="1"/>
  <c r="AU877" i="1"/>
  <c r="O928" i="1"/>
  <c r="O914" i="1"/>
  <c r="AM908" i="1"/>
  <c r="AL908" i="1" s="1"/>
  <c r="S927" i="1"/>
  <c r="S913" i="1"/>
  <c r="AU944" i="1"/>
  <c r="AU930" i="1"/>
  <c r="AU916" i="1"/>
  <c r="AU1025" i="1"/>
  <c r="AR1025" i="1"/>
  <c r="AR1011" i="1"/>
  <c r="AU1011" i="1"/>
  <c r="AU997" i="1"/>
  <c r="AR997" i="1"/>
  <c r="AM1036" i="1"/>
  <c r="AL1036" i="1" s="1"/>
  <c r="AJ1070" i="1"/>
  <c r="AR1115" i="1"/>
  <c r="AU1115" i="1"/>
  <c r="AR1101" i="1"/>
  <c r="AU1101" i="1"/>
  <c r="AU1087" i="1"/>
  <c r="AR1087" i="1"/>
  <c r="AU786" i="1"/>
  <c r="AR786" i="1"/>
  <c r="AT1023" i="1"/>
  <c r="AR995" i="1"/>
  <c r="AU995" i="1"/>
  <c r="AU1055" i="1"/>
  <c r="AS847" i="1"/>
  <c r="O981" i="1"/>
  <c r="AU873" i="1"/>
  <c r="AR873" i="1"/>
  <c r="AA974" i="1"/>
  <c r="AU1006" i="1"/>
  <c r="AR1006" i="1"/>
  <c r="AS772" i="1"/>
  <c r="AS830" i="1"/>
  <c r="K979" i="1"/>
  <c r="AM986" i="1"/>
  <c r="AL986" i="1" s="1"/>
  <c r="AS779" i="1"/>
  <c r="AU775" i="1"/>
  <c r="AR775" i="1"/>
  <c r="AU798" i="1"/>
  <c r="AR798" i="1"/>
  <c r="AS814" i="1"/>
  <c r="AR814" i="1"/>
  <c r="AU814" i="1"/>
  <c r="AU847" i="1"/>
  <c r="AR847" i="1"/>
  <c r="AM948" i="1"/>
  <c r="AL948" i="1" s="1"/>
  <c r="AU931" i="1"/>
  <c r="AT998" i="1"/>
  <c r="AR1012" i="1"/>
  <c r="AU1012" i="1"/>
  <c r="AS1037" i="1"/>
  <c r="AM1049" i="1"/>
  <c r="AL1049" i="1" s="1"/>
  <c r="AR1116" i="1"/>
  <c r="AU1116" i="1"/>
  <c r="AU1102" i="1"/>
  <c r="AR1102" i="1"/>
  <c r="AR1088" i="1"/>
  <c r="AU1088" i="1"/>
  <c r="AU1440" i="1"/>
  <c r="AS764" i="1"/>
  <c r="AU761" i="1"/>
  <c r="AR761" i="1"/>
  <c r="AS795" i="1"/>
  <c r="AS823" i="1"/>
  <c r="AS836" i="1"/>
  <c r="AR860" i="1"/>
  <c r="AU860" i="1"/>
  <c r="AS777" i="1"/>
  <c r="AS763" i="1"/>
  <c r="AU787" i="1"/>
  <c r="AR787" i="1"/>
  <c r="AR773" i="1"/>
  <c r="AU773" i="1"/>
  <c r="AQ779" i="1"/>
  <c r="AS794" i="1"/>
  <c r="AR796" i="1"/>
  <c r="AU796" i="1"/>
  <c r="AS812" i="1"/>
  <c r="AR812" i="1"/>
  <c r="AU812" i="1"/>
  <c r="AS863" i="1"/>
  <c r="AS849" i="1"/>
  <c r="AS835" i="1"/>
  <c r="AR859" i="1"/>
  <c r="AU859" i="1"/>
  <c r="AR845" i="1"/>
  <c r="AU845" i="1"/>
  <c r="AU831" i="1"/>
  <c r="AR831" i="1"/>
  <c r="AU904" i="1"/>
  <c r="AR904" i="1"/>
  <c r="AU890" i="1"/>
  <c r="AR890" i="1"/>
  <c r="AR876" i="1"/>
  <c r="AU876" i="1"/>
  <c r="O913" i="1"/>
  <c r="S945" i="1"/>
  <c r="AU943" i="1"/>
  <c r="AU929" i="1"/>
  <c r="AU915" i="1"/>
  <c r="AU1024" i="1"/>
  <c r="AR1024" i="1"/>
  <c r="AR1010" i="1"/>
  <c r="AU1010" i="1"/>
  <c r="AU996" i="1"/>
  <c r="AR996" i="1"/>
  <c r="AJ1066" i="1"/>
  <c r="AT1100" i="1"/>
  <c r="AR1114" i="1"/>
  <c r="AU1114" i="1"/>
  <c r="AR1100" i="1"/>
  <c r="AU1100" i="1"/>
  <c r="AU1086" i="1"/>
  <c r="AR1086" i="1"/>
  <c r="AT1434" i="1"/>
  <c r="AR795" i="1"/>
  <c r="AU795" i="1"/>
  <c r="AR903" i="1"/>
  <c r="AU903" i="1"/>
  <c r="AU942" i="1"/>
  <c r="K989" i="1"/>
  <c r="AA973" i="1"/>
  <c r="AR1084" i="1"/>
  <c r="AU1084" i="1"/>
  <c r="AS774" i="1"/>
  <c r="AR770" i="1"/>
  <c r="AR901" i="1"/>
  <c r="AU901" i="1"/>
  <c r="AU912" i="1"/>
  <c r="S971" i="1"/>
  <c r="O926" i="1"/>
  <c r="AJ971" i="1"/>
  <c r="AU1019" i="1"/>
  <c r="AR1019" i="1"/>
  <c r="AR1095" i="1"/>
  <c r="AU1095" i="1"/>
  <c r="AS857" i="1"/>
  <c r="AU937" i="1"/>
  <c r="AR1032" i="1"/>
  <c r="AU1032" i="1"/>
  <c r="AT1435" i="1"/>
  <c r="AR766" i="1"/>
  <c r="AS842" i="1"/>
  <c r="AR824" i="1"/>
  <c r="AU824" i="1"/>
  <c r="S990" i="1"/>
  <c r="K1072" i="1"/>
  <c r="S1056" i="1"/>
  <c r="AR779" i="1"/>
  <c r="AU779" i="1"/>
  <c r="AU765" i="1"/>
  <c r="AR765" i="1"/>
  <c r="AS789" i="1"/>
  <c r="AS818" i="1"/>
  <c r="AS804" i="1"/>
  <c r="AR818" i="1"/>
  <c r="AU818" i="1"/>
  <c r="AU804" i="1"/>
  <c r="AR804" i="1"/>
  <c r="AS855" i="1"/>
  <c r="AS841" i="1"/>
  <c r="AS827" i="1"/>
  <c r="AU851" i="1"/>
  <c r="AR851" i="1"/>
  <c r="AR837" i="1"/>
  <c r="AU837" i="1"/>
  <c r="AR896" i="1"/>
  <c r="AU896" i="1"/>
  <c r="AU882" i="1"/>
  <c r="AR882" i="1"/>
  <c r="AR868" i="1"/>
  <c r="AU868" i="1"/>
  <c r="O925" i="1"/>
  <c r="S938" i="1"/>
  <c r="AS938" i="1" s="1"/>
  <c r="AA910" i="1"/>
  <c r="AA948" i="1"/>
  <c r="AU949" i="1"/>
  <c r="AU935" i="1"/>
  <c r="AU921" i="1"/>
  <c r="K970" i="1"/>
  <c r="O987" i="1"/>
  <c r="O988" i="1"/>
  <c r="S962" i="1"/>
  <c r="AA971" i="1"/>
  <c r="AT1016" i="1"/>
  <c r="AU1030" i="1"/>
  <c r="AR1030" i="1"/>
  <c r="AR1016" i="1"/>
  <c r="AU1016" i="1"/>
  <c r="AR1002" i="1"/>
  <c r="AU1002" i="1"/>
  <c r="K1069" i="1"/>
  <c r="K1055" i="1"/>
  <c r="K1041" i="1"/>
  <c r="K1073" i="1"/>
  <c r="S1069" i="1"/>
  <c r="S1041" i="1"/>
  <c r="S1045" i="1"/>
  <c r="S1059" i="1"/>
  <c r="AS1059" i="1" s="1"/>
  <c r="AM1042" i="1"/>
  <c r="AL1042" i="1" s="1"/>
  <c r="AT1106" i="1"/>
  <c r="AU1120" i="1"/>
  <c r="AR1120" i="1"/>
  <c r="AU1106" i="1"/>
  <c r="AR1106" i="1"/>
  <c r="AR1092" i="1"/>
  <c r="AU1092" i="1"/>
  <c r="AT1431" i="1"/>
  <c r="AW1431" i="1" s="1"/>
  <c r="AX1431" i="1" s="1"/>
  <c r="AT1429" i="1"/>
  <c r="AR811" i="1"/>
  <c r="AU811" i="1"/>
  <c r="AU844" i="1"/>
  <c r="AR844" i="1"/>
  <c r="AT1009" i="1"/>
  <c r="AR1009" i="1"/>
  <c r="AU1009" i="1"/>
  <c r="AR771" i="1"/>
  <c r="AU771" i="1"/>
  <c r="AU829" i="1"/>
  <c r="AR829" i="1"/>
  <c r="S956" i="1"/>
  <c r="AU1112" i="1"/>
  <c r="AR1112" i="1"/>
  <c r="AS761" i="1"/>
  <c r="AR793" i="1"/>
  <c r="AU793" i="1"/>
  <c r="AR1021" i="1"/>
  <c r="AU1021" i="1"/>
  <c r="AS1054" i="1"/>
  <c r="AS1097" i="1"/>
  <c r="AU1097" i="1"/>
  <c r="AR1097" i="1"/>
  <c r="AS845" i="1"/>
  <c r="AU900" i="1"/>
  <c r="AR900" i="1"/>
  <c r="S925" i="1"/>
  <c r="AU939" i="1"/>
  <c r="AR1034" i="1"/>
  <c r="AU1034" i="1"/>
  <c r="AU768" i="1"/>
  <c r="AR768" i="1"/>
  <c r="AR821" i="1"/>
  <c r="AR899" i="1"/>
  <c r="AU899" i="1"/>
  <c r="AA927" i="1"/>
  <c r="AA977" i="1"/>
  <c r="AR781" i="1"/>
  <c r="AS843" i="1"/>
  <c r="AR853" i="1"/>
  <c r="AU853" i="1"/>
  <c r="K913" i="1"/>
  <c r="O916" i="1"/>
  <c r="AU908" i="1"/>
  <c r="AJ1071" i="1"/>
  <c r="AR1094" i="1"/>
  <c r="AU1094" i="1"/>
  <c r="AR838" i="1"/>
  <c r="AU838" i="1"/>
  <c r="AR883" i="1"/>
  <c r="AU883" i="1"/>
  <c r="AM947" i="1"/>
  <c r="AL947" i="1" s="1"/>
  <c r="AU936" i="1"/>
  <c r="AR1003" i="1"/>
  <c r="AU1003" i="1"/>
  <c r="AS817" i="1"/>
  <c r="AU817" i="1"/>
  <c r="AR817" i="1"/>
  <c r="AU881" i="1"/>
  <c r="AR881" i="1"/>
  <c r="O934" i="1"/>
  <c r="AM929" i="1"/>
  <c r="AL929" i="1" s="1"/>
  <c r="S933" i="1"/>
  <c r="AU948" i="1"/>
  <c r="AU934" i="1"/>
  <c r="AU920" i="1"/>
  <c r="S963" i="1"/>
  <c r="AA970" i="1"/>
  <c r="AU1029" i="1"/>
  <c r="AR1029" i="1"/>
  <c r="AU1015" i="1"/>
  <c r="AR1015" i="1"/>
  <c r="AR1001" i="1"/>
  <c r="AU1001" i="1"/>
  <c r="AT1091" i="1"/>
  <c r="AR1119" i="1"/>
  <c r="AU1119" i="1"/>
  <c r="AR1105" i="1"/>
  <c r="AU1105" i="1"/>
  <c r="AR1091" i="1"/>
  <c r="AU1091" i="1"/>
  <c r="AT1439" i="1"/>
  <c r="AT1428" i="1"/>
  <c r="AU772" i="1"/>
  <c r="AR772" i="1"/>
  <c r="AU951" i="1"/>
  <c r="AS1085" i="1"/>
  <c r="AU1113" i="1"/>
  <c r="AR1113" i="1"/>
  <c r="AR1085" i="1"/>
  <c r="AU1085" i="1"/>
  <c r="AS775" i="1"/>
  <c r="AR785" i="1"/>
  <c r="AU785" i="1"/>
  <c r="AT792" i="1"/>
  <c r="AR794" i="1"/>
  <c r="AU794" i="1"/>
  <c r="AS810" i="1"/>
  <c r="AR810" i="1"/>
  <c r="AU810" i="1"/>
  <c r="AS861" i="1"/>
  <c r="AS833" i="1"/>
  <c r="AR857" i="1"/>
  <c r="AU857" i="1"/>
  <c r="AR843" i="1"/>
  <c r="AU843" i="1"/>
  <c r="AR902" i="1"/>
  <c r="AU902" i="1"/>
  <c r="AR888" i="1"/>
  <c r="AU888" i="1"/>
  <c r="AU874" i="1"/>
  <c r="AR874" i="1"/>
  <c r="AM932" i="1"/>
  <c r="AL932" i="1" s="1"/>
  <c r="K934" i="1"/>
  <c r="AU941" i="1"/>
  <c r="AU927" i="1"/>
  <c r="AU913" i="1"/>
  <c r="K961" i="1"/>
  <c r="K975" i="1"/>
  <c r="O953" i="1"/>
  <c r="O967" i="1"/>
  <c r="O954" i="1"/>
  <c r="S970" i="1"/>
  <c r="S984" i="1"/>
  <c r="AA987" i="1"/>
  <c r="AS1022" i="1"/>
  <c r="AU1022" i="1"/>
  <c r="AR1022" i="1"/>
  <c r="AU1008" i="1"/>
  <c r="AR1008" i="1"/>
  <c r="AR994" i="1"/>
  <c r="AU994" i="1"/>
  <c r="AA1053" i="1"/>
  <c r="AA1067" i="1"/>
  <c r="AU1098" i="1"/>
  <c r="AR1098" i="1"/>
  <c r="AR784" i="1"/>
  <c r="AU784" i="1"/>
  <c r="AR809" i="1"/>
  <c r="AU809" i="1"/>
  <c r="AS846" i="1"/>
  <c r="AR856" i="1"/>
  <c r="AU856" i="1"/>
  <c r="AU926" i="1"/>
  <c r="AJ967" i="1"/>
  <c r="AU993" i="1"/>
  <c r="AR993" i="1"/>
  <c r="AR1007" i="1"/>
  <c r="AU1007" i="1"/>
  <c r="AT1426" i="1"/>
  <c r="AS773" i="1"/>
  <c r="AR783" i="1"/>
  <c r="AR792" i="1"/>
  <c r="AU792" i="1"/>
  <c r="AR827" i="1"/>
  <c r="AU827" i="1"/>
  <c r="AU886" i="1"/>
  <c r="AR886" i="1"/>
  <c r="O940" i="1"/>
  <c r="AU1056" i="1"/>
  <c r="AS786" i="1"/>
  <c r="AR782" i="1"/>
  <c r="AU782" i="1"/>
  <c r="AS821" i="1"/>
  <c r="AS844" i="1"/>
  <c r="AU826" i="1"/>
  <c r="AR826" i="1"/>
  <c r="AR885" i="1"/>
  <c r="AU885" i="1"/>
  <c r="K937" i="1"/>
  <c r="AA917" i="1"/>
  <c r="AU938" i="1"/>
  <c r="AU910" i="1"/>
  <c r="K978" i="1"/>
  <c r="AA976" i="1"/>
  <c r="AM964" i="1"/>
  <c r="AL964" i="1" s="1"/>
  <c r="AA980" i="1"/>
  <c r="AM989" i="1"/>
  <c r="AL989" i="1" s="1"/>
  <c r="AU1109" i="1"/>
  <c r="AR1109" i="1"/>
  <c r="AU1081" i="1"/>
  <c r="AR1081" i="1"/>
  <c r="AS771" i="1"/>
  <c r="AR767" i="1"/>
  <c r="AQ769" i="1"/>
  <c r="AU790" i="1"/>
  <c r="AR790" i="1"/>
  <c r="AT806" i="1"/>
  <c r="AU820" i="1"/>
  <c r="AR820" i="1"/>
  <c r="AU806" i="1"/>
  <c r="AR806" i="1"/>
  <c r="AR884" i="1"/>
  <c r="AU884" i="1"/>
  <c r="K927" i="1"/>
  <c r="S920" i="1"/>
  <c r="AU909" i="1"/>
  <c r="AU1018" i="1"/>
  <c r="AR1018" i="1"/>
  <c r="AJ1057" i="1"/>
  <c r="AM1057" i="1"/>
  <c r="AL1057" i="1" s="1"/>
  <c r="AR1108" i="1"/>
  <c r="AU1108" i="1"/>
  <c r="AS784" i="1"/>
  <c r="AR780" i="1"/>
  <c r="AS819" i="1"/>
  <c r="AU819" i="1"/>
  <c r="AR819" i="1"/>
  <c r="AU805" i="1"/>
  <c r="AR805" i="1"/>
  <c r="AS856" i="1"/>
  <c r="K926" i="1"/>
  <c r="K912" i="1"/>
  <c r="K947" i="1"/>
  <c r="S915" i="1"/>
  <c r="AS1031" i="1"/>
  <c r="AR1031" i="1"/>
  <c r="AU1031" i="1"/>
  <c r="K1070" i="1"/>
  <c r="S1044" i="1"/>
  <c r="AM1044" i="1"/>
  <c r="AL1044" i="1" s="1"/>
  <c r="AT1107" i="1"/>
  <c r="AR1107" i="1"/>
  <c r="AU1107" i="1"/>
  <c r="AS769" i="1"/>
  <c r="AS768" i="1"/>
  <c r="AU802" i="1"/>
  <c r="AR802" i="1"/>
  <c r="AS854" i="1"/>
  <c r="AS826" i="1"/>
  <c r="AU823" i="1"/>
  <c r="AR823" i="1"/>
  <c r="AU836" i="1"/>
  <c r="AR836" i="1"/>
  <c r="K910" i="1"/>
  <c r="O948" i="1"/>
  <c r="AS767" i="1"/>
  <c r="AU777" i="1"/>
  <c r="AR777" i="1"/>
  <c r="AS798" i="1"/>
  <c r="AR789" i="1"/>
  <c r="AU789" i="1"/>
  <c r="AS816" i="1"/>
  <c r="AS801" i="1"/>
  <c r="AU816" i="1"/>
  <c r="AR816" i="1"/>
  <c r="AR801" i="1"/>
  <c r="AU801" i="1"/>
  <c r="AS853" i="1"/>
  <c r="AS839" i="1"/>
  <c r="AS825" i="1"/>
  <c r="AU863" i="1"/>
  <c r="AR863" i="1"/>
  <c r="AR849" i="1"/>
  <c r="AU849" i="1"/>
  <c r="AU835" i="1"/>
  <c r="AR835" i="1"/>
  <c r="AR894" i="1"/>
  <c r="AU894" i="1"/>
  <c r="AR880" i="1"/>
  <c r="AU880" i="1"/>
  <c r="AR866" i="1"/>
  <c r="AU866" i="1"/>
  <c r="AU947" i="1"/>
  <c r="AU933" i="1"/>
  <c r="AU919" i="1"/>
  <c r="AT1028" i="1"/>
  <c r="AR1028" i="1"/>
  <c r="AU1028" i="1"/>
  <c r="AR1014" i="1"/>
  <c r="AU1014" i="1"/>
  <c r="AU1000" i="1"/>
  <c r="AR1000" i="1"/>
  <c r="K1067" i="1"/>
  <c r="K1053" i="1"/>
  <c r="K1039" i="1"/>
  <c r="K1061" i="1"/>
  <c r="K1075" i="1"/>
  <c r="S1067" i="1"/>
  <c r="S1053" i="1"/>
  <c r="S1039" i="1"/>
  <c r="AJ1047" i="1"/>
  <c r="AJ1075" i="1"/>
  <c r="AR1118" i="1"/>
  <c r="AU1118" i="1"/>
  <c r="AR1104" i="1"/>
  <c r="AU1104" i="1"/>
  <c r="AU1090" i="1"/>
  <c r="AR1090" i="1"/>
  <c r="AT1423" i="1"/>
  <c r="AR858" i="1"/>
  <c r="AU858" i="1"/>
  <c r="AU830" i="1"/>
  <c r="AR830" i="1"/>
  <c r="AR875" i="1"/>
  <c r="AU875" i="1"/>
  <c r="AU914" i="1"/>
  <c r="AR1023" i="1"/>
  <c r="AU1023" i="1"/>
  <c r="AA1066" i="1"/>
  <c r="AS860" i="1"/>
  <c r="AR842" i="1"/>
  <c r="AU842" i="1"/>
  <c r="AR828" i="1"/>
  <c r="AU828" i="1"/>
  <c r="AS873" i="1"/>
  <c r="AR887" i="1"/>
  <c r="AU887" i="1"/>
  <c r="AU940" i="1"/>
  <c r="AJ953" i="1"/>
  <c r="K1040" i="1"/>
  <c r="AR1111" i="1"/>
  <c r="AU1111" i="1"/>
  <c r="AR1083" i="1"/>
  <c r="AU1083" i="1"/>
  <c r="AS787" i="1"/>
  <c r="AR769" i="1"/>
  <c r="AU769" i="1"/>
  <c r="AS790" i="1"/>
  <c r="AR808" i="1"/>
  <c r="AU808" i="1"/>
  <c r="AS831" i="1"/>
  <c r="AR855" i="1"/>
  <c r="AU855" i="1"/>
  <c r="AS900" i="1"/>
  <c r="O931" i="1"/>
  <c r="O912" i="1"/>
  <c r="AU911" i="1"/>
  <c r="AM956" i="1"/>
  <c r="AL956" i="1" s="1"/>
  <c r="AR1020" i="1"/>
  <c r="AU1020" i="1"/>
  <c r="AU1044" i="1"/>
  <c r="AS1096" i="1"/>
  <c r="AR1110" i="1"/>
  <c r="AU1110" i="1"/>
  <c r="AR1096" i="1"/>
  <c r="AU1096" i="1"/>
  <c r="AU1082" i="1"/>
  <c r="AR1082" i="1"/>
  <c r="AS858" i="1"/>
  <c r="AR854" i="1"/>
  <c r="AU854" i="1"/>
  <c r="AR840" i="1"/>
  <c r="AU840" i="1"/>
  <c r="K914" i="1"/>
  <c r="AS935" i="1"/>
  <c r="K939" i="1"/>
  <c r="AA913" i="1"/>
  <c r="AU924" i="1"/>
  <c r="O970" i="1"/>
  <c r="O971" i="1"/>
  <c r="S973" i="1"/>
  <c r="AA978" i="1"/>
  <c r="AM981" i="1"/>
  <c r="AL981" i="1" s="1"/>
  <c r="AM969" i="1"/>
  <c r="AL969" i="1" s="1"/>
  <c r="AJ972" i="1"/>
  <c r="AJ973" i="1"/>
  <c r="AJ975" i="1"/>
  <c r="AR1033" i="1"/>
  <c r="AU1033" i="1"/>
  <c r="AR1005" i="1"/>
  <c r="AU1005" i="1"/>
  <c r="AT1095" i="1"/>
  <c r="AS829" i="1"/>
  <c r="AU839" i="1"/>
  <c r="AR839" i="1"/>
  <c r="AU825" i="1"/>
  <c r="AR825" i="1"/>
  <c r="AS884" i="1"/>
  <c r="AR898" i="1"/>
  <c r="AU898" i="1"/>
  <c r="AR870" i="1"/>
  <c r="AU870" i="1"/>
  <c r="K941" i="1"/>
  <c r="O930" i="1"/>
  <c r="AR923" i="1"/>
  <c r="AU923" i="1"/>
  <c r="AS1032" i="1"/>
  <c r="AR1004" i="1"/>
  <c r="AU1004" i="1"/>
  <c r="AU1080" i="1"/>
  <c r="AR1080" i="1"/>
  <c r="AS770" i="1"/>
  <c r="AT805" i="1"/>
  <c r="AS828" i="1"/>
  <c r="AR852" i="1"/>
  <c r="AU852" i="1"/>
  <c r="AS883" i="1"/>
  <c r="AU897" i="1"/>
  <c r="AR897" i="1"/>
  <c r="AR869" i="1"/>
  <c r="AU869" i="1"/>
  <c r="K940" i="1"/>
  <c r="AU922" i="1"/>
  <c r="K971" i="1"/>
  <c r="AR1017" i="1"/>
  <c r="AU1017" i="1"/>
  <c r="K1056" i="1"/>
  <c r="S1070" i="1"/>
  <c r="S1058" i="1"/>
  <c r="AU1079" i="1"/>
  <c r="AR1079" i="1"/>
  <c r="AR1093" i="1"/>
  <c r="AU1093" i="1"/>
  <c r="AS783" i="1"/>
  <c r="AY783" i="1" s="1"/>
  <c r="AS782" i="1"/>
  <c r="AR778" i="1"/>
  <c r="AU764" i="1"/>
  <c r="AR764" i="1"/>
  <c r="AS799" i="1"/>
  <c r="AS802" i="1"/>
  <c r="AS840" i="1"/>
  <c r="AR850" i="1"/>
  <c r="AU850" i="1"/>
  <c r="AS867" i="1"/>
  <c r="AR895" i="1"/>
  <c r="AU895" i="1"/>
  <c r="AU867" i="1"/>
  <c r="AR867" i="1"/>
  <c r="K924" i="1"/>
  <c r="AS781" i="1"/>
  <c r="AU763" i="1"/>
  <c r="AR763" i="1"/>
  <c r="AS780" i="1"/>
  <c r="AS766" i="1"/>
  <c r="AR776" i="1"/>
  <c r="AR762" i="1"/>
  <c r="AU762" i="1"/>
  <c r="AQ784" i="1"/>
  <c r="AS797" i="1"/>
  <c r="AR799" i="1"/>
  <c r="AU799" i="1"/>
  <c r="AS815" i="1"/>
  <c r="AS800" i="1"/>
  <c r="AR815" i="1"/>
  <c r="AU815" i="1"/>
  <c r="AR800" i="1"/>
  <c r="AU800" i="1"/>
  <c r="AP803" i="1"/>
  <c r="AS852" i="1"/>
  <c r="AS838" i="1"/>
  <c r="AS824" i="1"/>
  <c r="AU862" i="1"/>
  <c r="AR862" i="1"/>
  <c r="AR848" i="1"/>
  <c r="AU848" i="1"/>
  <c r="AR834" i="1"/>
  <c r="AU834" i="1"/>
  <c r="AR865" i="1"/>
  <c r="AU865" i="1"/>
  <c r="AR893" i="1"/>
  <c r="AU893" i="1"/>
  <c r="AR879" i="1"/>
  <c r="AU879" i="1"/>
  <c r="AU946" i="1"/>
  <c r="AR932" i="1"/>
  <c r="AU932" i="1"/>
  <c r="AU918" i="1"/>
  <c r="K988" i="1"/>
  <c r="AV988" i="1" s="1"/>
  <c r="K960" i="1"/>
  <c r="K986" i="1"/>
  <c r="S965" i="1"/>
  <c r="S966" i="1"/>
  <c r="S967" i="1"/>
  <c r="AJ963" i="1"/>
  <c r="AJ964" i="1"/>
  <c r="AJ965" i="1"/>
  <c r="AJ981" i="1"/>
  <c r="AT1013" i="1"/>
  <c r="AT999" i="1"/>
  <c r="AU1027" i="1"/>
  <c r="AR1027" i="1"/>
  <c r="AU1013" i="1"/>
  <c r="AR1013" i="1"/>
  <c r="AR999" i="1"/>
  <c r="AU999" i="1"/>
  <c r="K1066" i="1"/>
  <c r="K1052" i="1"/>
  <c r="K1038" i="1"/>
  <c r="K1062" i="1"/>
  <c r="K1076" i="1"/>
  <c r="S1066" i="1"/>
  <c r="S1052" i="1"/>
  <c r="AU1048" i="1"/>
  <c r="AU1117" i="1"/>
  <c r="AR1117" i="1"/>
  <c r="AU1103" i="1"/>
  <c r="AR1103" i="1"/>
  <c r="AR1089" i="1"/>
  <c r="AU1089" i="1"/>
  <c r="AT1432" i="1"/>
  <c r="AT1433" i="1"/>
  <c r="AT1436" i="1"/>
  <c r="AT1437" i="1"/>
  <c r="S985" i="1"/>
  <c r="AA963" i="1"/>
  <c r="AM940" i="1"/>
  <c r="S940" i="1"/>
  <c r="AA947" i="1"/>
  <c r="K951" i="1"/>
  <c r="S949" i="1"/>
  <c r="S935" i="1"/>
  <c r="S921" i="1"/>
  <c r="AJ958" i="1"/>
  <c r="AJ987" i="1"/>
  <c r="AM974" i="1"/>
  <c r="AL974" i="1" s="1"/>
  <c r="K1049" i="1"/>
  <c r="S1077" i="1"/>
  <c r="S1049" i="1"/>
  <c r="AM1047" i="1"/>
  <c r="AL1047" i="1" s="1"/>
  <c r="AJ1049" i="1"/>
  <c r="O949" i="1"/>
  <c r="AV949" i="1" s="1"/>
  <c r="O935" i="1"/>
  <c r="AM944" i="1"/>
  <c r="AL944" i="1" s="1"/>
  <c r="S930" i="1"/>
  <c r="S916" i="1"/>
  <c r="K962" i="1"/>
  <c r="AA966" i="1"/>
  <c r="AA981" i="1"/>
  <c r="AM959" i="1"/>
  <c r="AL959" i="1" s="1"/>
  <c r="AJ969" i="1"/>
  <c r="K1048" i="1"/>
  <c r="S1076" i="1"/>
  <c r="S1048" i="1"/>
  <c r="AQ780" i="1"/>
  <c r="AP780" i="1"/>
  <c r="AV780" i="1" s="1"/>
  <c r="AM927" i="1"/>
  <c r="AL927" i="1" s="1"/>
  <c r="AM939" i="1"/>
  <c r="AA939" i="1"/>
  <c r="AM925" i="1"/>
  <c r="AL925" i="1" s="1"/>
  <c r="AA925" i="1"/>
  <c r="AM913" i="1"/>
  <c r="AL913" i="1" s="1"/>
  <c r="AM952" i="1"/>
  <c r="AL952" i="1" s="1"/>
  <c r="AM966" i="1"/>
  <c r="AL966" i="1" s="1"/>
  <c r="AJ966" i="1"/>
  <c r="AJ980" i="1"/>
  <c r="AM980" i="1"/>
  <c r="AL980" i="1" s="1"/>
  <c r="K1045" i="1"/>
  <c r="S1055" i="1"/>
  <c r="AM1055" i="1"/>
  <c r="AL1055" i="1" s="1"/>
  <c r="AM1045" i="1"/>
  <c r="AL1045" i="1" s="1"/>
  <c r="AJ1045" i="1"/>
  <c r="AJ1059" i="1"/>
  <c r="AM1059" i="1"/>
  <c r="AL1059" i="1" s="1"/>
  <c r="AM1073" i="1"/>
  <c r="AJ1060" i="1"/>
  <c r="AM1060" i="1"/>
  <c r="AL1060" i="1" s="1"/>
  <c r="AJ1074" i="1"/>
  <c r="AM1074" i="1"/>
  <c r="AL1074" i="1" s="1"/>
  <c r="AM1046" i="1"/>
  <c r="AL1046" i="1" s="1"/>
  <c r="AJ1046" i="1"/>
  <c r="K911" i="1"/>
  <c r="AM941" i="1"/>
  <c r="AL941" i="1" s="1"/>
  <c r="S941" i="1"/>
  <c r="AM937" i="1"/>
  <c r="AL937" i="1" s="1"/>
  <c r="AA937" i="1"/>
  <c r="AA923" i="1"/>
  <c r="AM923" i="1"/>
  <c r="AL923" i="1" s="1"/>
  <c r="K967" i="1"/>
  <c r="O969" i="1"/>
  <c r="S958" i="1"/>
  <c r="S986" i="1"/>
  <c r="AA961" i="1"/>
  <c r="AA989" i="1"/>
  <c r="AM954" i="1"/>
  <c r="AL954" i="1" s="1"/>
  <c r="AJ983" i="1"/>
  <c r="S936" i="1"/>
  <c r="AM936" i="1"/>
  <c r="AL936" i="1" s="1"/>
  <c r="AM910" i="1"/>
  <c r="K980" i="1"/>
  <c r="AV980" i="1" s="1"/>
  <c r="K966" i="1"/>
  <c r="K952" i="1"/>
  <c r="K965" i="1"/>
  <c r="O984" i="1"/>
  <c r="O957" i="1"/>
  <c r="AA962" i="1"/>
  <c r="AA990" i="1"/>
  <c r="AJ984" i="1"/>
  <c r="AM984" i="1"/>
  <c r="AL984" i="1" s="1"/>
  <c r="S1038" i="1"/>
  <c r="AM1038" i="1"/>
  <c r="AL1038" i="1" s="1"/>
  <c r="AM1062" i="1"/>
  <c r="AL1062" i="1" s="1"/>
  <c r="AJ1062" i="1"/>
  <c r="AM926" i="1"/>
  <c r="AL926" i="1" s="1"/>
  <c r="S917" i="1"/>
  <c r="AM921" i="1"/>
  <c r="AL921" i="1" s="1"/>
  <c r="AA921" i="1"/>
  <c r="AM1052" i="1"/>
  <c r="AL1052" i="1" s="1"/>
  <c r="AM934" i="1"/>
  <c r="AL934" i="1" s="1"/>
  <c r="S989" i="1"/>
  <c r="AA951" i="1"/>
  <c r="AJ989" i="1"/>
  <c r="AM1050" i="1"/>
  <c r="AL1050" i="1" s="1"/>
  <c r="AJ1064" i="1"/>
  <c r="AM1064" i="1"/>
  <c r="AL1064" i="1" s="1"/>
  <c r="AJ1050" i="1"/>
  <c r="S939" i="1"/>
  <c r="AM933" i="1"/>
  <c r="AM946" i="1"/>
  <c r="AL946" i="1" s="1"/>
  <c r="AA982" i="1"/>
  <c r="K944" i="1"/>
  <c r="K930" i="1"/>
  <c r="K916" i="1"/>
  <c r="AM943" i="1"/>
  <c r="AL943" i="1" s="1"/>
  <c r="S926" i="1"/>
  <c r="AM915" i="1"/>
  <c r="AL915" i="1" s="1"/>
  <c r="AA934" i="1"/>
  <c r="AM930" i="1"/>
  <c r="AL930" i="1" s="1"/>
  <c r="AM967" i="1"/>
  <c r="AL967" i="1" s="1"/>
  <c r="AM1077" i="1"/>
  <c r="AL1077" i="1" s="1"/>
  <c r="AJ1036" i="1"/>
  <c r="AQ766" i="1"/>
  <c r="AP766" i="1"/>
  <c r="AU766" i="1" s="1"/>
  <c r="AM928" i="1"/>
  <c r="AL928" i="1" s="1"/>
  <c r="K925" i="1"/>
  <c r="AM918" i="1"/>
  <c r="AL918" i="1" s="1"/>
  <c r="AM938" i="1"/>
  <c r="AL938" i="1" s="1"/>
  <c r="AA938" i="1"/>
  <c r="AM924" i="1"/>
  <c r="AL924" i="1" s="1"/>
  <c r="AA924" i="1"/>
  <c r="AM912" i="1"/>
  <c r="AL912" i="1" s="1"/>
  <c r="K990" i="1"/>
  <c r="O968" i="1"/>
  <c r="O982" i="1"/>
  <c r="AA960" i="1"/>
  <c r="AA988" i="1"/>
  <c r="AM953" i="1"/>
  <c r="AL953" i="1" s="1"/>
  <c r="AM982" i="1"/>
  <c r="AL982" i="1" s="1"/>
  <c r="AJ982" i="1"/>
  <c r="AM911" i="1"/>
  <c r="AL911" i="1" s="1"/>
  <c r="K981" i="1"/>
  <c r="K953" i="1"/>
  <c r="O983" i="1"/>
  <c r="AA975" i="1"/>
  <c r="AM968" i="1"/>
  <c r="AL968" i="1" s="1"/>
  <c r="AJ968" i="1"/>
  <c r="AM970" i="1"/>
  <c r="AL970" i="1" s="1"/>
  <c r="O1047" i="1"/>
  <c r="AJ1061" i="1"/>
  <c r="AM1061" i="1"/>
  <c r="AL1061" i="1" s="1"/>
  <c r="K909" i="1"/>
  <c r="S922" i="1"/>
  <c r="AM922" i="1"/>
  <c r="AL922" i="1" s="1"/>
  <c r="O985" i="1"/>
  <c r="S959" i="1"/>
  <c r="S987" i="1"/>
  <c r="AA991" i="1"/>
  <c r="AM955" i="1"/>
  <c r="AL955" i="1" s="1"/>
  <c r="AM985" i="1"/>
  <c r="AL985" i="1" s="1"/>
  <c r="AJ985" i="1"/>
  <c r="AM1048" i="1"/>
  <c r="AL1048" i="1" s="1"/>
  <c r="AJ1076" i="1"/>
  <c r="AM1053" i="1"/>
  <c r="AL1053" i="1" s="1"/>
  <c r="S931" i="1"/>
  <c r="S912" i="1"/>
  <c r="AM949" i="1"/>
  <c r="AL949" i="1" s="1"/>
  <c r="AM935" i="1"/>
  <c r="AL935" i="1" s="1"/>
  <c r="AA935" i="1"/>
  <c r="AM909" i="1"/>
  <c r="AL909" i="1" s="1"/>
  <c r="S960" i="1"/>
  <c r="S974" i="1"/>
  <c r="S988" i="1"/>
  <c r="AJ956" i="1"/>
  <c r="AJ970" i="1"/>
  <c r="AA1063" i="1"/>
  <c r="AM1063" i="1"/>
  <c r="AL1063" i="1" s="1"/>
  <c r="AJ1063" i="1"/>
  <c r="AM920" i="1"/>
  <c r="AL920" i="1" s="1"/>
  <c r="AA920" i="1"/>
  <c r="K964" i="1"/>
  <c r="AA964" i="1"/>
  <c r="AJ986" i="1"/>
  <c r="O1050" i="1"/>
  <c r="AS1050" i="1" s="1"/>
  <c r="AJ955" i="1"/>
  <c r="K1047" i="1"/>
  <c r="S1047" i="1"/>
  <c r="AM942" i="1"/>
  <c r="AL942" i="1" s="1"/>
  <c r="AM975" i="1"/>
  <c r="AL975" i="1" s="1"/>
  <c r="AM977" i="1"/>
  <c r="AL977" i="1" s="1"/>
  <c r="AM978" i="1"/>
  <c r="AL978" i="1" s="1"/>
  <c r="AM979" i="1"/>
  <c r="AL979" i="1" s="1"/>
  <c r="AJ954" i="1"/>
  <c r="AQ781" i="1"/>
  <c r="AP781" i="1"/>
  <c r="AU781" i="1" s="1"/>
  <c r="AQ767" i="1"/>
  <c r="AP767" i="1"/>
  <c r="K943" i="1"/>
  <c r="K929" i="1"/>
  <c r="K915" i="1"/>
  <c r="O929" i="1"/>
  <c r="O915" i="1"/>
  <c r="AM914" i="1"/>
  <c r="AJ952" i="1"/>
  <c r="AM1076" i="1"/>
  <c r="AL1076" i="1" s="1"/>
  <c r="AM957" i="1"/>
  <c r="AL957" i="1" s="1"/>
  <c r="O910" i="1"/>
  <c r="AA979" i="1"/>
  <c r="AM960" i="1"/>
  <c r="AL960" i="1" s="1"/>
  <c r="AM1066" i="1"/>
  <c r="AL1066" i="1" s="1"/>
  <c r="O975" i="1"/>
  <c r="AJ1053" i="1"/>
  <c r="AQ765" i="1"/>
  <c r="O942" i="1"/>
  <c r="S964" i="1"/>
  <c r="S978" i="1"/>
  <c r="AJ960" i="1"/>
  <c r="AJ974" i="1"/>
  <c r="AM919" i="1"/>
  <c r="AL919" i="1" s="1"/>
  <c r="O958" i="1"/>
  <c r="O986" i="1"/>
  <c r="S975" i="1"/>
  <c r="AM1065" i="1"/>
  <c r="AL1065" i="1" s="1"/>
  <c r="S934" i="1"/>
  <c r="K977" i="1"/>
  <c r="S976" i="1"/>
  <c r="AA965" i="1"/>
  <c r="AM972" i="1"/>
  <c r="AL972" i="1" s="1"/>
  <c r="AM987" i="1"/>
  <c r="AL987" i="1" s="1"/>
  <c r="AJ1038" i="1"/>
  <c r="O960" i="1"/>
  <c r="O961" i="1"/>
  <c r="S977" i="1"/>
  <c r="S991" i="1"/>
  <c r="AA967" i="1"/>
  <c r="AM973" i="1"/>
  <c r="AL973" i="1" s="1"/>
  <c r="AM958" i="1"/>
  <c r="AL958" i="1" s="1"/>
  <c r="O1067" i="1"/>
  <c r="K984" i="1"/>
  <c r="O962" i="1"/>
  <c r="O976" i="1"/>
  <c r="S951" i="1"/>
  <c r="O972" i="1"/>
  <c r="AS972" i="1" s="1"/>
  <c r="S961" i="1"/>
  <c r="AM971" i="1"/>
  <c r="AL971" i="1" s="1"/>
  <c r="AJ1037" i="1"/>
  <c r="AM1051" i="1"/>
  <c r="AL1051" i="1" s="1"/>
  <c r="AM1037" i="1"/>
  <c r="AL1037" i="1" s="1"/>
  <c r="AP778" i="1"/>
  <c r="AQ778" i="1"/>
  <c r="K991" i="1"/>
  <c r="K963" i="1"/>
  <c r="O959" i="1"/>
  <c r="AJ1065" i="1"/>
  <c r="AA952" i="1"/>
  <c r="AA953" i="1"/>
  <c r="AJ959" i="1"/>
  <c r="AJ988" i="1"/>
  <c r="AM988" i="1"/>
  <c r="AL988" i="1" s="1"/>
  <c r="S1075" i="1"/>
  <c r="AJ1039" i="1"/>
  <c r="AM1039" i="1"/>
  <c r="AL1039" i="1" s="1"/>
  <c r="AJ1067" i="1"/>
  <c r="AM1067" i="1"/>
  <c r="AL1067" i="1" s="1"/>
  <c r="O909" i="1"/>
  <c r="S919" i="1"/>
  <c r="O990" i="1"/>
  <c r="AA968" i="1"/>
  <c r="AJ961" i="1"/>
  <c r="AM961" i="1"/>
  <c r="AL961" i="1" s="1"/>
  <c r="AM990" i="1"/>
  <c r="AL990" i="1" s="1"/>
  <c r="S1073" i="1"/>
  <c r="AQ764" i="1"/>
  <c r="K948" i="1"/>
  <c r="O946" i="1"/>
  <c r="O932" i="1"/>
  <c r="O918" i="1"/>
  <c r="AA928" i="1"/>
  <c r="AA919" i="1"/>
  <c r="AM916" i="1"/>
  <c r="AL916" i="1" s="1"/>
  <c r="K987" i="1"/>
  <c r="K973" i="1"/>
  <c r="K959" i="1"/>
  <c r="K985" i="1"/>
  <c r="O977" i="1"/>
  <c r="AA969" i="1"/>
  <c r="AS969" i="1" s="1"/>
  <c r="AA983" i="1"/>
  <c r="AJ962" i="1"/>
  <c r="AM976" i="1"/>
  <c r="AL976" i="1" s="1"/>
  <c r="AJ976" i="1"/>
  <c r="AM991" i="1"/>
  <c r="AL991" i="1" s="1"/>
  <c r="AJ978" i="1"/>
  <c r="AQ763" i="1"/>
  <c r="K933" i="1"/>
  <c r="O941" i="1"/>
  <c r="O978" i="1"/>
  <c r="AA984" i="1"/>
  <c r="AA985" i="1"/>
  <c r="AJ977" i="1"/>
  <c r="AM1043" i="1"/>
  <c r="AL1043" i="1" s="1"/>
  <c r="AJ1043" i="1"/>
  <c r="K946" i="1"/>
  <c r="K932" i="1"/>
  <c r="K918" i="1"/>
  <c r="O936" i="1"/>
  <c r="O922" i="1"/>
  <c r="S908" i="1"/>
  <c r="O951" i="1"/>
  <c r="AJ957" i="1"/>
  <c r="AJ1058" i="1"/>
  <c r="AJ1040" i="1"/>
  <c r="AJ1054" i="1"/>
  <c r="AJ1068" i="1"/>
  <c r="AM1068" i="1"/>
  <c r="AL1068" i="1" s="1"/>
  <c r="AM1041" i="1"/>
  <c r="AL1041" i="1" s="1"/>
  <c r="AP770" i="1"/>
  <c r="AQ770" i="1"/>
  <c r="K908" i="1"/>
  <c r="AV908" i="1" s="1"/>
  <c r="K936" i="1"/>
  <c r="K922" i="1"/>
  <c r="AA946" i="1"/>
  <c r="AA932" i="1"/>
  <c r="AA918" i="1"/>
  <c r="AM1069" i="1"/>
  <c r="AL1069" i="1" s="1"/>
  <c r="AM1040" i="1"/>
  <c r="AL1040" i="1" s="1"/>
  <c r="AM945" i="1"/>
  <c r="AL945" i="1" s="1"/>
  <c r="AM931" i="1"/>
  <c r="AL931" i="1" s="1"/>
  <c r="AM917" i="1"/>
  <c r="AL917" i="1" s="1"/>
  <c r="AM965" i="1"/>
  <c r="AL965" i="1" s="1"/>
  <c r="AQ785" i="1"/>
  <c r="AQ771" i="1"/>
  <c r="AQ772" i="1"/>
  <c r="AQ786" i="1"/>
  <c r="AQ782" i="1"/>
  <c r="AQ775" i="1"/>
  <c r="AQ768" i="1"/>
  <c r="AQ787" i="1"/>
  <c r="AQ773" i="1"/>
  <c r="AM721" i="1"/>
  <c r="AP721" i="1" s="1"/>
  <c r="AM722" i="1"/>
  <c r="AP722" i="1" s="1"/>
  <c r="AM723" i="1"/>
  <c r="AP723" i="1" s="1"/>
  <c r="AM724" i="1"/>
  <c r="AP724" i="1" s="1"/>
  <c r="AM725" i="1"/>
  <c r="AP725" i="1" s="1"/>
  <c r="AM726" i="1"/>
  <c r="AP726" i="1" s="1"/>
  <c r="AM727" i="1"/>
  <c r="AP727" i="1" s="1"/>
  <c r="AM728" i="1"/>
  <c r="AP728" i="1" s="1"/>
  <c r="AM729" i="1"/>
  <c r="AP729" i="1" s="1"/>
  <c r="AM730" i="1"/>
  <c r="AP730" i="1" s="1"/>
  <c r="AM731" i="1"/>
  <c r="AP731" i="1" s="1"/>
  <c r="AM732" i="1"/>
  <c r="AP732" i="1" s="1"/>
  <c r="AM733" i="1"/>
  <c r="AP733" i="1" s="1"/>
  <c r="AM734" i="1"/>
  <c r="AP734" i="1" s="1"/>
  <c r="AM735" i="1"/>
  <c r="AP735" i="1" s="1"/>
  <c r="AM736" i="1"/>
  <c r="AP736" i="1" s="1"/>
  <c r="AM737" i="1"/>
  <c r="AP737" i="1" s="1"/>
  <c r="AM738" i="1"/>
  <c r="AP738" i="1" s="1"/>
  <c r="AM739" i="1"/>
  <c r="AP739" i="1" s="1"/>
  <c r="AM740" i="1"/>
  <c r="AP740" i="1" s="1"/>
  <c r="AM741" i="1"/>
  <c r="AM742" i="1"/>
  <c r="AM743" i="1"/>
  <c r="AM744" i="1"/>
  <c r="AM745" i="1"/>
  <c r="AM746" i="1"/>
  <c r="AM747" i="1"/>
  <c r="AM748" i="1"/>
  <c r="AM749" i="1"/>
  <c r="AM750" i="1"/>
  <c r="AM751" i="1"/>
  <c r="AM752" i="1"/>
  <c r="AM753" i="1"/>
  <c r="AM754" i="1"/>
  <c r="AM755" i="1"/>
  <c r="AM756" i="1"/>
  <c r="AM757" i="1"/>
  <c r="AM758" i="1"/>
  <c r="AM759" i="1"/>
  <c r="AM720" i="1"/>
  <c r="AP720" i="1" s="1"/>
  <c r="AJ720" i="1"/>
  <c r="AJ721" i="1"/>
  <c r="AJ722" i="1"/>
  <c r="AJ723" i="1"/>
  <c r="AJ724" i="1"/>
  <c r="AJ725" i="1"/>
  <c r="AJ726" i="1"/>
  <c r="AJ727" i="1"/>
  <c r="AJ728" i="1"/>
  <c r="AJ729" i="1"/>
  <c r="AJ730" i="1"/>
  <c r="AJ731" i="1"/>
  <c r="AJ732" i="1"/>
  <c r="AJ733" i="1"/>
  <c r="AJ734" i="1"/>
  <c r="AJ735" i="1"/>
  <c r="AJ736" i="1"/>
  <c r="AJ737" i="1"/>
  <c r="AJ738" i="1"/>
  <c r="AJ739" i="1"/>
  <c r="AJ740" i="1"/>
  <c r="AJ741" i="1"/>
  <c r="AJ742" i="1"/>
  <c r="AJ743" i="1"/>
  <c r="AJ744" i="1"/>
  <c r="AJ745" i="1"/>
  <c r="AJ746" i="1"/>
  <c r="AJ747" i="1"/>
  <c r="AJ748" i="1"/>
  <c r="AJ749" i="1"/>
  <c r="AJ750" i="1"/>
  <c r="AJ751" i="1"/>
  <c r="AJ752" i="1"/>
  <c r="AJ753" i="1"/>
  <c r="AJ754" i="1"/>
  <c r="AJ755" i="1"/>
  <c r="AJ756" i="1"/>
  <c r="AJ757" i="1"/>
  <c r="AJ758" i="1"/>
  <c r="AJ759" i="1"/>
  <c r="AA720" i="1"/>
  <c r="AA721" i="1"/>
  <c r="AA722" i="1"/>
  <c r="AA723" i="1"/>
  <c r="AA724" i="1"/>
  <c r="AA725" i="1"/>
  <c r="AA726" i="1"/>
  <c r="AA727" i="1"/>
  <c r="AA728" i="1"/>
  <c r="AA729" i="1"/>
  <c r="AA730" i="1"/>
  <c r="AA731" i="1"/>
  <c r="AA732" i="1"/>
  <c r="AA733" i="1"/>
  <c r="AA734" i="1"/>
  <c r="AA735" i="1"/>
  <c r="AA736" i="1"/>
  <c r="AA737" i="1"/>
  <c r="AA738" i="1"/>
  <c r="AA739" i="1"/>
  <c r="AA740" i="1"/>
  <c r="AA741" i="1"/>
  <c r="AA742" i="1"/>
  <c r="AA743" i="1"/>
  <c r="AA744" i="1"/>
  <c r="AA745" i="1"/>
  <c r="AA746" i="1"/>
  <c r="AA747" i="1"/>
  <c r="AA748" i="1"/>
  <c r="AA749" i="1"/>
  <c r="AA750" i="1"/>
  <c r="AA751" i="1"/>
  <c r="AA752" i="1"/>
  <c r="AA753" i="1"/>
  <c r="AA754" i="1"/>
  <c r="AA755" i="1"/>
  <c r="AA756" i="1"/>
  <c r="AA757" i="1"/>
  <c r="AA758" i="1"/>
  <c r="AA75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AP694" i="1"/>
  <c r="AM687" i="1"/>
  <c r="AP687" i="1" s="1"/>
  <c r="AM688" i="1"/>
  <c r="AP688" i="1" s="1"/>
  <c r="AM689" i="1"/>
  <c r="AP689" i="1" s="1"/>
  <c r="AM690" i="1"/>
  <c r="AP690" i="1" s="1"/>
  <c r="AM691" i="1"/>
  <c r="AP691" i="1" s="1"/>
  <c r="AM692" i="1"/>
  <c r="AP692" i="1" s="1"/>
  <c r="AM693" i="1"/>
  <c r="AP693" i="1" s="1"/>
  <c r="AM694" i="1"/>
  <c r="AM695" i="1"/>
  <c r="AP695" i="1" s="1"/>
  <c r="AM696" i="1"/>
  <c r="AP696" i="1" s="1"/>
  <c r="AM697" i="1"/>
  <c r="AP697" i="1" s="1"/>
  <c r="AM698" i="1"/>
  <c r="AP698" i="1" s="1"/>
  <c r="AM699" i="1"/>
  <c r="AP699" i="1" s="1"/>
  <c r="AM700" i="1"/>
  <c r="AP700" i="1" s="1"/>
  <c r="AM701" i="1"/>
  <c r="AP701" i="1" s="1"/>
  <c r="AM702" i="1"/>
  <c r="AP702" i="1" s="1"/>
  <c r="AM703" i="1"/>
  <c r="AP703" i="1" s="1"/>
  <c r="AM704" i="1"/>
  <c r="AP704" i="1" s="1"/>
  <c r="AM705" i="1"/>
  <c r="AP705" i="1" s="1"/>
  <c r="AM706" i="1"/>
  <c r="AP706" i="1" s="1"/>
  <c r="AM707" i="1"/>
  <c r="AP707" i="1" s="1"/>
  <c r="AM708" i="1"/>
  <c r="AP708" i="1" s="1"/>
  <c r="AM709" i="1"/>
  <c r="AP709" i="1" s="1"/>
  <c r="AM710" i="1"/>
  <c r="AP710" i="1" s="1"/>
  <c r="AM711" i="1"/>
  <c r="AP711" i="1" s="1"/>
  <c r="AM712" i="1"/>
  <c r="AP712" i="1" s="1"/>
  <c r="AM713" i="1"/>
  <c r="AP713" i="1" s="1"/>
  <c r="AM714" i="1"/>
  <c r="AP714" i="1" s="1"/>
  <c r="AM715" i="1"/>
  <c r="AP715" i="1" s="1"/>
  <c r="AM716" i="1"/>
  <c r="AP716" i="1" s="1"/>
  <c r="AM717" i="1"/>
  <c r="AP717" i="1" s="1"/>
  <c r="AM718" i="1"/>
  <c r="AP718" i="1" s="1"/>
  <c r="AM719" i="1"/>
  <c r="AP719" i="1" s="1"/>
  <c r="AM686" i="1"/>
  <c r="AP686" i="1" s="1"/>
  <c r="AJ686" i="1"/>
  <c r="AJ687" i="1"/>
  <c r="AJ688" i="1"/>
  <c r="AJ689" i="1"/>
  <c r="AJ690" i="1"/>
  <c r="AJ691" i="1"/>
  <c r="AJ692" i="1"/>
  <c r="AJ693" i="1"/>
  <c r="AJ694" i="1"/>
  <c r="AJ695" i="1"/>
  <c r="AJ696" i="1"/>
  <c r="AJ697" i="1"/>
  <c r="AJ698" i="1"/>
  <c r="AJ699" i="1"/>
  <c r="AJ700" i="1"/>
  <c r="AJ701" i="1"/>
  <c r="AJ702" i="1"/>
  <c r="AJ703" i="1"/>
  <c r="AJ704" i="1"/>
  <c r="AJ705" i="1"/>
  <c r="AJ706" i="1"/>
  <c r="AJ707" i="1"/>
  <c r="AJ708" i="1"/>
  <c r="AJ709" i="1"/>
  <c r="AJ710" i="1"/>
  <c r="AJ711" i="1"/>
  <c r="AJ712" i="1"/>
  <c r="AJ713" i="1"/>
  <c r="AJ714" i="1"/>
  <c r="AJ715" i="1"/>
  <c r="AJ716" i="1"/>
  <c r="AJ717" i="1"/>
  <c r="AJ718" i="1"/>
  <c r="AJ719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AA699" i="1"/>
  <c r="AA700" i="1"/>
  <c r="AA701" i="1"/>
  <c r="AA702" i="1"/>
  <c r="AA703" i="1"/>
  <c r="AA704" i="1"/>
  <c r="AA705" i="1"/>
  <c r="AA706" i="1"/>
  <c r="AA707" i="1"/>
  <c r="AA708" i="1"/>
  <c r="AA709" i="1"/>
  <c r="AA710" i="1"/>
  <c r="AA711" i="1"/>
  <c r="AA712" i="1"/>
  <c r="AA713" i="1"/>
  <c r="AA714" i="1"/>
  <c r="AA715" i="1"/>
  <c r="AA716" i="1"/>
  <c r="AA717" i="1"/>
  <c r="AA718" i="1"/>
  <c r="AA719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K686" i="1"/>
  <c r="AV686" i="1" s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AZ1175" i="1" l="1"/>
  <c r="BA1175" i="1" s="1"/>
  <c r="AZ1253" i="1"/>
  <c r="BA1253" i="1" s="1"/>
  <c r="AV776" i="1"/>
  <c r="AW1259" i="1"/>
  <c r="AX1259" i="1" s="1"/>
  <c r="AW1367" i="1"/>
  <c r="AX1367" i="1" s="1"/>
  <c r="AW1258" i="1"/>
  <c r="AX1258" i="1" s="1"/>
  <c r="AW1279" i="1"/>
  <c r="AX1279" i="1" s="1"/>
  <c r="AV1060" i="1"/>
  <c r="AV951" i="1"/>
  <c r="AT995" i="1"/>
  <c r="AZ1340" i="1"/>
  <c r="BA1340" i="1" s="1"/>
  <c r="AW1402" i="1"/>
  <c r="AX1402" i="1" s="1"/>
  <c r="AW1185" i="1"/>
  <c r="AX1185" i="1" s="1"/>
  <c r="AZ1304" i="1"/>
  <c r="BA1304" i="1" s="1"/>
  <c r="AZ1254" i="1"/>
  <c r="BA1254" i="1" s="1"/>
  <c r="AV974" i="1"/>
  <c r="AZ1351" i="1"/>
  <c r="BA1351" i="1" s="1"/>
  <c r="AZ1378" i="1"/>
  <c r="BA1378" i="1" s="1"/>
  <c r="AZ1256" i="1"/>
  <c r="BA1256" i="1" s="1"/>
  <c r="AW1295" i="1"/>
  <c r="AX1295" i="1" s="1"/>
  <c r="AZ1376" i="1"/>
  <c r="BA1376" i="1" s="1"/>
  <c r="AV920" i="1"/>
  <c r="AW1277" i="1"/>
  <c r="AX1277" i="1" s="1"/>
  <c r="AS958" i="1"/>
  <c r="AT958" i="1" s="1"/>
  <c r="AV935" i="1"/>
  <c r="AT1014" i="1"/>
  <c r="AZ1014" i="1" s="1"/>
  <c r="BA1014" i="1" s="1"/>
  <c r="AR926" i="1"/>
  <c r="AT1114" i="1"/>
  <c r="AW1114" i="1" s="1"/>
  <c r="AX1114" i="1" s="1"/>
  <c r="AW1334" i="1"/>
  <c r="AX1334" i="1" s="1"/>
  <c r="AZ1200" i="1"/>
  <c r="BA1200" i="1" s="1"/>
  <c r="AZ1317" i="1"/>
  <c r="BA1317" i="1" s="1"/>
  <c r="AZ1347" i="1"/>
  <c r="BA1347" i="1" s="1"/>
  <c r="AZ1183" i="1"/>
  <c r="BA1183" i="1" s="1"/>
  <c r="AW1318" i="1"/>
  <c r="AX1318" i="1" s="1"/>
  <c r="AW1340" i="1"/>
  <c r="AX1340" i="1" s="1"/>
  <c r="AZ1263" i="1"/>
  <c r="BA1263" i="1" s="1"/>
  <c r="AZ1415" i="1"/>
  <c r="BA1415" i="1" s="1"/>
  <c r="AV766" i="1"/>
  <c r="AZ1167" i="1"/>
  <c r="BA1167" i="1" s="1"/>
  <c r="AZ1236" i="1"/>
  <c r="BA1236" i="1" s="1"/>
  <c r="AZ1146" i="1"/>
  <c r="BA1146" i="1" s="1"/>
  <c r="AV714" i="1"/>
  <c r="AV700" i="1"/>
  <c r="AV735" i="1"/>
  <c r="AV721" i="1"/>
  <c r="AV946" i="1"/>
  <c r="AV948" i="1"/>
  <c r="AR946" i="1"/>
  <c r="AV914" i="1"/>
  <c r="AZ1262" i="1"/>
  <c r="BA1262" i="1" s="1"/>
  <c r="AZ1216" i="1"/>
  <c r="BA1216" i="1" s="1"/>
  <c r="AZ1261" i="1"/>
  <c r="BA1261" i="1" s="1"/>
  <c r="AW1168" i="1"/>
  <c r="AX1168" i="1" s="1"/>
  <c r="AS957" i="1"/>
  <c r="AT957" i="1" s="1"/>
  <c r="AW1385" i="1"/>
  <c r="AX1385" i="1" s="1"/>
  <c r="AZ1407" i="1"/>
  <c r="BA1407" i="1" s="1"/>
  <c r="AW1229" i="1"/>
  <c r="AX1229" i="1" s="1"/>
  <c r="AZ1219" i="1"/>
  <c r="BA1219" i="1" s="1"/>
  <c r="AZ1355" i="1"/>
  <c r="BA1355" i="1" s="1"/>
  <c r="AZ1418" i="1"/>
  <c r="BA1418" i="1" s="1"/>
  <c r="AV713" i="1"/>
  <c r="AV699" i="1"/>
  <c r="AV1045" i="1"/>
  <c r="AS1058" i="1"/>
  <c r="AY1058" i="1" s="1"/>
  <c r="AV919" i="1"/>
  <c r="AW1244" i="1"/>
  <c r="AX1244" i="1" s="1"/>
  <c r="AZ1311" i="1"/>
  <c r="BA1311" i="1" s="1"/>
  <c r="AZ1313" i="1"/>
  <c r="BA1313" i="1" s="1"/>
  <c r="AZ1197" i="1"/>
  <c r="BA1197" i="1" s="1"/>
  <c r="AZ1308" i="1"/>
  <c r="BA1308" i="1" s="1"/>
  <c r="AZ1380" i="1"/>
  <c r="BA1380" i="1" s="1"/>
  <c r="AT1026" i="1"/>
  <c r="AZ1233" i="1"/>
  <c r="BA1233" i="1" s="1"/>
  <c r="AW1328" i="1"/>
  <c r="AX1328" i="1" s="1"/>
  <c r="AW1234" i="1"/>
  <c r="AX1234" i="1" s="1"/>
  <c r="AZ1280" i="1"/>
  <c r="BA1280" i="1" s="1"/>
  <c r="AW1414" i="1"/>
  <c r="AX1414" i="1" s="1"/>
  <c r="AZ1344" i="1"/>
  <c r="BA1344" i="1" s="1"/>
  <c r="AT807" i="1"/>
  <c r="AW1371" i="1"/>
  <c r="AX1371" i="1" s="1"/>
  <c r="AZ1227" i="1"/>
  <c r="BA1227" i="1" s="1"/>
  <c r="AZ1257" i="1"/>
  <c r="BA1257" i="1" s="1"/>
  <c r="AZ1360" i="1"/>
  <c r="BA1360" i="1" s="1"/>
  <c r="AW1227" i="1"/>
  <c r="AX1227" i="1" s="1"/>
  <c r="AW1172" i="1"/>
  <c r="AX1172" i="1" s="1"/>
  <c r="AV1059" i="1"/>
  <c r="AW1239" i="1"/>
  <c r="AX1239" i="1" s="1"/>
  <c r="AW1250" i="1"/>
  <c r="AX1250" i="1" s="1"/>
  <c r="AZ1305" i="1"/>
  <c r="BA1305" i="1" s="1"/>
  <c r="AV1036" i="1"/>
  <c r="AW1226" i="1"/>
  <c r="AX1226" i="1" s="1"/>
  <c r="AZ1288" i="1"/>
  <c r="BA1288" i="1" s="1"/>
  <c r="AW1187" i="1"/>
  <c r="AX1187" i="1" s="1"/>
  <c r="AZ1186" i="1"/>
  <c r="BA1186" i="1" s="1"/>
  <c r="AZ1331" i="1"/>
  <c r="BA1331" i="1" s="1"/>
  <c r="AW1166" i="1"/>
  <c r="AX1166" i="1" s="1"/>
  <c r="AZ1298" i="1"/>
  <c r="BA1298" i="1" s="1"/>
  <c r="AZ1209" i="1"/>
  <c r="BA1209" i="1" s="1"/>
  <c r="AR1072" i="1"/>
  <c r="AZ1303" i="1"/>
  <c r="BA1303" i="1" s="1"/>
  <c r="AZ1384" i="1"/>
  <c r="BA1384" i="1" s="1"/>
  <c r="AZ1315" i="1"/>
  <c r="BA1315" i="1" s="1"/>
  <c r="AZ1218" i="1"/>
  <c r="BA1218" i="1" s="1"/>
  <c r="AZ1137" i="1"/>
  <c r="BA1137" i="1" s="1"/>
  <c r="AZ1249" i="1"/>
  <c r="BA1249" i="1" s="1"/>
  <c r="AZ1212" i="1"/>
  <c r="BA1212" i="1" s="1"/>
  <c r="AZ1400" i="1"/>
  <c r="BA1400" i="1" s="1"/>
  <c r="AW1270" i="1"/>
  <c r="AX1270" i="1" s="1"/>
  <c r="AZ1294" i="1"/>
  <c r="BA1294" i="1" s="1"/>
  <c r="AZ1246" i="1"/>
  <c r="BA1246" i="1" s="1"/>
  <c r="AZ1377" i="1"/>
  <c r="BA1377" i="1" s="1"/>
  <c r="AS942" i="1"/>
  <c r="AT942" i="1" s="1"/>
  <c r="AW942" i="1" s="1"/>
  <c r="AW1220" i="1"/>
  <c r="AX1220" i="1" s="1"/>
  <c r="AZ1322" i="1"/>
  <c r="BA1322" i="1" s="1"/>
  <c r="AW1262" i="1"/>
  <c r="AX1262" i="1" s="1"/>
  <c r="AW1418" i="1"/>
  <c r="AX1418" i="1" s="1"/>
  <c r="AT1017" i="1"/>
  <c r="AR1042" i="1"/>
  <c r="AS919" i="1"/>
  <c r="AV965" i="1"/>
  <c r="AV962" i="1"/>
  <c r="AY781" i="1"/>
  <c r="AT1090" i="1"/>
  <c r="AW1090" i="1" s="1"/>
  <c r="AX1090" i="1" s="1"/>
  <c r="AV774" i="1"/>
  <c r="AZ1356" i="1"/>
  <c r="BA1356" i="1" s="1"/>
  <c r="AW1265" i="1"/>
  <c r="AX1265" i="1" s="1"/>
  <c r="AZ1306" i="1"/>
  <c r="BA1306" i="1" s="1"/>
  <c r="AW1322" i="1"/>
  <c r="AX1322" i="1" s="1"/>
  <c r="AW1329" i="1"/>
  <c r="AX1329" i="1" s="1"/>
  <c r="AW1186" i="1"/>
  <c r="AX1186" i="1" s="1"/>
  <c r="AW1194" i="1"/>
  <c r="AX1194" i="1" s="1"/>
  <c r="AW1393" i="1"/>
  <c r="AX1393" i="1" s="1"/>
  <c r="AW1375" i="1"/>
  <c r="AX1375" i="1" s="1"/>
  <c r="AT1030" i="1"/>
  <c r="AZ1030" i="1" s="1"/>
  <c r="BA1030" i="1" s="1"/>
  <c r="AV923" i="1"/>
  <c r="AZ1290" i="1"/>
  <c r="BA1290" i="1" s="1"/>
  <c r="AZ1370" i="1"/>
  <c r="BA1370" i="1" s="1"/>
  <c r="AZ1388" i="1"/>
  <c r="BA1388" i="1" s="1"/>
  <c r="AZ1299" i="1"/>
  <c r="BA1299" i="1" s="1"/>
  <c r="AS1044" i="1"/>
  <c r="AY1044" i="1" s="1"/>
  <c r="AZ1397" i="1"/>
  <c r="BA1397" i="1" s="1"/>
  <c r="AZ1192" i="1"/>
  <c r="BA1192" i="1" s="1"/>
  <c r="AV1054" i="1"/>
  <c r="AZ1245" i="1"/>
  <c r="BA1245" i="1" s="1"/>
  <c r="AZ1327" i="1"/>
  <c r="BA1327" i="1" s="1"/>
  <c r="AV952" i="1"/>
  <c r="AT1104" i="1"/>
  <c r="AT1080" i="1"/>
  <c r="AW1299" i="1"/>
  <c r="AX1299" i="1" s="1"/>
  <c r="AZ1410" i="1"/>
  <c r="BA1410" i="1" s="1"/>
  <c r="AZ1342" i="1"/>
  <c r="BA1342" i="1" s="1"/>
  <c r="AW1245" i="1"/>
  <c r="AX1245" i="1" s="1"/>
  <c r="AZ1394" i="1"/>
  <c r="BA1394" i="1" s="1"/>
  <c r="AS1068" i="1"/>
  <c r="AT1068" i="1" s="1"/>
  <c r="AT1064" i="1"/>
  <c r="AY1064" i="1"/>
  <c r="AT790" i="1"/>
  <c r="AY790" i="1"/>
  <c r="AZ1013" i="1"/>
  <c r="BA1013" i="1" s="1"/>
  <c r="AW1013" i="1"/>
  <c r="AX1013" i="1" s="1"/>
  <c r="AT831" i="1"/>
  <c r="AZ831" i="1" s="1"/>
  <c r="BA831" i="1" s="1"/>
  <c r="AY831" i="1"/>
  <c r="AT801" i="1"/>
  <c r="AY801" i="1"/>
  <c r="AT826" i="1"/>
  <c r="AY826" i="1"/>
  <c r="AT1031" i="1"/>
  <c r="AY1031" i="1"/>
  <c r="AT843" i="1"/>
  <c r="AZ843" i="1" s="1"/>
  <c r="BA843" i="1" s="1"/>
  <c r="AY843" i="1"/>
  <c r="AZ1231" i="1"/>
  <c r="BA1231" i="1" s="1"/>
  <c r="AW1231" i="1"/>
  <c r="AX1231" i="1" s="1"/>
  <c r="AZ1248" i="1"/>
  <c r="BA1248" i="1" s="1"/>
  <c r="AZ1148" i="1"/>
  <c r="BA1148" i="1" s="1"/>
  <c r="AW1148" i="1"/>
  <c r="AX1148" i="1" s="1"/>
  <c r="AZ1238" i="1"/>
  <c r="BA1238" i="1" s="1"/>
  <c r="AW1238" i="1"/>
  <c r="AX1238" i="1" s="1"/>
  <c r="AX1435" i="1"/>
  <c r="AT1120" i="1"/>
  <c r="AY1120" i="1"/>
  <c r="AZ1213" i="1"/>
  <c r="BA1213" i="1" s="1"/>
  <c r="AW1213" i="1"/>
  <c r="AX1213" i="1" s="1"/>
  <c r="AV717" i="1"/>
  <c r="AV703" i="1"/>
  <c r="AV689" i="1"/>
  <c r="AV738" i="1"/>
  <c r="AV724" i="1"/>
  <c r="AV936" i="1"/>
  <c r="AU778" i="1"/>
  <c r="AV778" i="1"/>
  <c r="AL933" i="1"/>
  <c r="AR933" i="1"/>
  <c r="AL939" i="1"/>
  <c r="AR939" i="1"/>
  <c r="AW867" i="1"/>
  <c r="AX867" i="1" s="1"/>
  <c r="AZ1093" i="1"/>
  <c r="BA1093" i="1" s="1"/>
  <c r="AW1005" i="1"/>
  <c r="AX1005" i="1" s="1"/>
  <c r="AZ887" i="1"/>
  <c r="BA887" i="1" s="1"/>
  <c r="AZ1028" i="1"/>
  <c r="BA1028" i="1" s="1"/>
  <c r="AW1028" i="1"/>
  <c r="AT816" i="1"/>
  <c r="AY816" i="1"/>
  <c r="AT854" i="1"/>
  <c r="AY854" i="1"/>
  <c r="AV978" i="1"/>
  <c r="AW1105" i="1"/>
  <c r="AZ781" i="1"/>
  <c r="BA781" i="1" s="1"/>
  <c r="AW781" i="1"/>
  <c r="AW1099" i="1"/>
  <c r="AX1099" i="1" s="1"/>
  <c r="AZ1099" i="1"/>
  <c r="BA1099" i="1" s="1"/>
  <c r="AW1224" i="1"/>
  <c r="AX1224" i="1" s="1"/>
  <c r="AZ1224" i="1"/>
  <c r="BA1224" i="1" s="1"/>
  <c r="AV954" i="1"/>
  <c r="AZ1373" i="1"/>
  <c r="BA1373" i="1" s="1"/>
  <c r="AV972" i="1"/>
  <c r="AY996" i="1"/>
  <c r="AT996" i="1"/>
  <c r="AW996" i="1" s="1"/>
  <c r="AX996" i="1" s="1"/>
  <c r="AZ1409" i="1"/>
  <c r="BA1409" i="1" s="1"/>
  <c r="AW1409" i="1"/>
  <c r="AX1409" i="1" s="1"/>
  <c r="AZ1435" i="1"/>
  <c r="BA1435" i="1" s="1"/>
  <c r="AW1435" i="1"/>
  <c r="AZ1346" i="1"/>
  <c r="BA1346" i="1" s="1"/>
  <c r="AZ1432" i="1"/>
  <c r="BA1432" i="1" s="1"/>
  <c r="AW1432" i="1"/>
  <c r="AX1432" i="1" s="1"/>
  <c r="AZ1174" i="1"/>
  <c r="BA1174" i="1" s="1"/>
  <c r="AV716" i="1"/>
  <c r="AV702" i="1"/>
  <c r="AV688" i="1"/>
  <c r="AV737" i="1"/>
  <c r="AV723" i="1"/>
  <c r="AV918" i="1"/>
  <c r="AY958" i="1"/>
  <c r="AL910" i="1"/>
  <c r="AR910" i="1"/>
  <c r="AS939" i="1"/>
  <c r="AV939" i="1"/>
  <c r="AV947" i="1"/>
  <c r="AW993" i="1"/>
  <c r="AX993" i="1" s="1"/>
  <c r="AT835" i="1"/>
  <c r="AW835" i="1" s="1"/>
  <c r="AX835" i="1" s="1"/>
  <c r="AY835" i="1"/>
  <c r="AT763" i="1"/>
  <c r="AZ763" i="1" s="1"/>
  <c r="BA763" i="1" s="1"/>
  <c r="AY763" i="1"/>
  <c r="AT982" i="1"/>
  <c r="AY982" i="1"/>
  <c r="AZ846" i="1"/>
  <c r="BA846" i="1" s="1"/>
  <c r="AW1256" i="1"/>
  <c r="AX1256" i="1" s="1"/>
  <c r="AT893" i="1"/>
  <c r="AY893" i="1"/>
  <c r="AZ893" i="1" s="1"/>
  <c r="BA893" i="1" s="1"/>
  <c r="AV955" i="1"/>
  <c r="AS955" i="1"/>
  <c r="AW1167" i="1"/>
  <c r="AX1167" i="1" s="1"/>
  <c r="AT1083" i="1"/>
  <c r="AZ1083" i="1" s="1"/>
  <c r="BA1083" i="1" s="1"/>
  <c r="AY1083" i="1"/>
  <c r="AV968" i="1"/>
  <c r="AZ1417" i="1"/>
  <c r="BA1417" i="1" s="1"/>
  <c r="AW1417" i="1"/>
  <c r="AX1417" i="1" s="1"/>
  <c r="AZ1341" i="1"/>
  <c r="BA1341" i="1" s="1"/>
  <c r="AY1116" i="1"/>
  <c r="AZ1116" i="1" s="1"/>
  <c r="BA1116" i="1" s="1"/>
  <c r="AT1116" i="1"/>
  <c r="AT1025" i="1"/>
  <c r="AY1025" i="1"/>
  <c r="AZ1307" i="1"/>
  <c r="BA1307" i="1" s="1"/>
  <c r="AT1036" i="1"/>
  <c r="AY1036" i="1"/>
  <c r="AW1225" i="1"/>
  <c r="AX1225" i="1" s="1"/>
  <c r="AZ1225" i="1"/>
  <c r="BA1225" i="1" s="1"/>
  <c r="AZ1232" i="1"/>
  <c r="BA1232" i="1" s="1"/>
  <c r="AZ1310" i="1"/>
  <c r="BA1310" i="1" s="1"/>
  <c r="AS945" i="1"/>
  <c r="AV748" i="1"/>
  <c r="AV734" i="1"/>
  <c r="AV720" i="1"/>
  <c r="AL914" i="1"/>
  <c r="AR914" i="1"/>
  <c r="AV990" i="1"/>
  <c r="AS911" i="1"/>
  <c r="AV911" i="1"/>
  <c r="AT838" i="1"/>
  <c r="AY838" i="1"/>
  <c r="AT1058" i="1"/>
  <c r="AS937" i="1"/>
  <c r="AV937" i="1"/>
  <c r="AZ1016" i="1"/>
  <c r="BA1016" i="1" s="1"/>
  <c r="AW1016" i="1"/>
  <c r="AX1016" i="1" s="1"/>
  <c r="AT827" i="1"/>
  <c r="AY827" i="1"/>
  <c r="AV989" i="1"/>
  <c r="AZ812" i="1"/>
  <c r="BA812" i="1" s="1"/>
  <c r="AW812" i="1"/>
  <c r="AX812" i="1" s="1"/>
  <c r="AT765" i="1"/>
  <c r="AY765" i="1"/>
  <c r="AS917" i="1"/>
  <c r="AV917" i="1"/>
  <c r="AZ1411" i="1"/>
  <c r="BA1411" i="1" s="1"/>
  <c r="AY1018" i="1"/>
  <c r="AT1018" i="1"/>
  <c r="AW1018" i="1" s="1"/>
  <c r="AX1018" i="1" s="1"/>
  <c r="AZ1330" i="1"/>
  <c r="BA1330" i="1" s="1"/>
  <c r="AZ1193" i="1"/>
  <c r="BA1193" i="1" s="1"/>
  <c r="AW1193" i="1"/>
  <c r="AX1193" i="1" s="1"/>
  <c r="AZ1215" i="1"/>
  <c r="BA1215" i="1" s="1"/>
  <c r="AZ1383" i="1"/>
  <c r="BA1383" i="1" s="1"/>
  <c r="AT887" i="1"/>
  <c r="AW887" i="1" s="1"/>
  <c r="AX887" i="1" s="1"/>
  <c r="AY887" i="1"/>
  <c r="AT1010" i="1"/>
  <c r="AY1010" i="1"/>
  <c r="AT1000" i="1"/>
  <c r="AW1000" i="1" s="1"/>
  <c r="AX1000" i="1" s="1"/>
  <c r="AY1000" i="1"/>
  <c r="AT1103" i="1"/>
  <c r="AY1103" i="1"/>
  <c r="AT897" i="1"/>
  <c r="AY897" i="1"/>
  <c r="AZ1179" i="1"/>
  <c r="BA1179" i="1" s="1"/>
  <c r="AW1179" i="1"/>
  <c r="AX1179" i="1" s="1"/>
  <c r="AV1058" i="1"/>
  <c r="AX998" i="1"/>
  <c r="AT793" i="1"/>
  <c r="AY793" i="1"/>
  <c r="AT1051" i="1"/>
  <c r="AZ1051" i="1" s="1"/>
  <c r="BA1051" i="1" s="1"/>
  <c r="AY1051" i="1"/>
  <c r="AT1115" i="1"/>
  <c r="AW1115" i="1" s="1"/>
  <c r="AX1115" i="1" s="1"/>
  <c r="AY1115" i="1"/>
  <c r="AZ1392" i="1"/>
  <c r="BA1392" i="1" s="1"/>
  <c r="AW1392" i="1"/>
  <c r="AX1392" i="1" s="1"/>
  <c r="AZ1439" i="1"/>
  <c r="BA1439" i="1" s="1"/>
  <c r="AW1439" i="1"/>
  <c r="AX1439" i="1" s="1"/>
  <c r="AZ1362" i="1"/>
  <c r="BA1362" i="1" s="1"/>
  <c r="AW1362" i="1"/>
  <c r="AX1362" i="1" s="1"/>
  <c r="AZ1190" i="1"/>
  <c r="BA1190" i="1" s="1"/>
  <c r="AW1190" i="1"/>
  <c r="AX1190" i="1" s="1"/>
  <c r="AS698" i="1"/>
  <c r="AV698" i="1"/>
  <c r="AT852" i="1"/>
  <c r="AW852" i="1" s="1"/>
  <c r="AX852" i="1" s="1"/>
  <c r="AY852" i="1"/>
  <c r="AW898" i="1"/>
  <c r="AX898" i="1" s="1"/>
  <c r="AT771" i="1"/>
  <c r="AZ771" i="1" s="1"/>
  <c r="BA771" i="1" s="1"/>
  <c r="AY771" i="1"/>
  <c r="AW1009" i="1"/>
  <c r="AX1009" i="1" s="1"/>
  <c r="AZ1009" i="1"/>
  <c r="BA1009" i="1" s="1"/>
  <c r="AT1037" i="1"/>
  <c r="AY1037" i="1"/>
  <c r="AS928" i="1"/>
  <c r="AV928" i="1"/>
  <c r="AT880" i="1"/>
  <c r="AZ880" i="1" s="1"/>
  <c r="BA880" i="1" s="1"/>
  <c r="AY880" i="1"/>
  <c r="AS1048" i="1"/>
  <c r="AV1048" i="1"/>
  <c r="AT767" i="1"/>
  <c r="AY767" i="1"/>
  <c r="AZ805" i="1"/>
  <c r="BA805" i="1" s="1"/>
  <c r="AW805" i="1"/>
  <c r="AT938" i="1"/>
  <c r="AY938" i="1"/>
  <c r="AW1267" i="1"/>
  <c r="AX1267" i="1" s="1"/>
  <c r="AZ1267" i="1"/>
  <c r="BA1267" i="1" s="1"/>
  <c r="AW1356" i="1"/>
  <c r="AX1356" i="1" s="1"/>
  <c r="AT762" i="1"/>
  <c r="AZ762" i="1" s="1"/>
  <c r="BA762" i="1" s="1"/>
  <c r="AY762" i="1"/>
  <c r="AZ1173" i="1"/>
  <c r="BA1173" i="1" s="1"/>
  <c r="AW1173" i="1"/>
  <c r="AX1173" i="1" s="1"/>
  <c r="AS1039" i="1"/>
  <c r="AV1039" i="1"/>
  <c r="AT839" i="1"/>
  <c r="AZ839" i="1" s="1"/>
  <c r="BA839" i="1" s="1"/>
  <c r="AY839" i="1"/>
  <c r="AT795" i="1"/>
  <c r="AY795" i="1"/>
  <c r="AT779" i="1"/>
  <c r="AW779" i="1" s="1"/>
  <c r="AX779" i="1" s="1"/>
  <c r="AY779" i="1"/>
  <c r="AZ779" i="1" s="1"/>
  <c r="BA779" i="1" s="1"/>
  <c r="AW1246" i="1"/>
  <c r="AX1246" i="1" s="1"/>
  <c r="AZ1368" i="1"/>
  <c r="BA1368" i="1" s="1"/>
  <c r="AW1368" i="1"/>
  <c r="AX1368" i="1" s="1"/>
  <c r="AT906" i="1"/>
  <c r="AZ906" i="1" s="1"/>
  <c r="BA906" i="1" s="1"/>
  <c r="AY906" i="1"/>
  <c r="AZ1157" i="1"/>
  <c r="BA1157" i="1" s="1"/>
  <c r="AW1290" i="1"/>
  <c r="AX1290" i="1" s="1"/>
  <c r="AZ1169" i="1"/>
  <c r="BA1169" i="1" s="1"/>
  <c r="AW1169" i="1"/>
  <c r="AX1169" i="1" s="1"/>
  <c r="AT1108" i="1"/>
  <c r="AZ1108" i="1" s="1"/>
  <c r="BA1108" i="1" s="1"/>
  <c r="AY1108" i="1"/>
  <c r="AT875" i="1"/>
  <c r="AW875" i="1" s="1"/>
  <c r="AX875" i="1" s="1"/>
  <c r="AY875" i="1"/>
  <c r="AW1104" i="1"/>
  <c r="AX1104" i="1" s="1"/>
  <c r="AZ1104" i="1"/>
  <c r="BA1104" i="1" s="1"/>
  <c r="AW884" i="1"/>
  <c r="AX884" i="1" s="1"/>
  <c r="AW817" i="1"/>
  <c r="AX817" i="1" s="1"/>
  <c r="AT1021" i="1"/>
  <c r="AZ1021" i="1" s="1"/>
  <c r="BA1021" i="1" s="1"/>
  <c r="AZ1284" i="1"/>
  <c r="BA1284" i="1" s="1"/>
  <c r="AW1284" i="1"/>
  <c r="AX1284" i="1" s="1"/>
  <c r="AZ1144" i="1"/>
  <c r="BA1144" i="1" s="1"/>
  <c r="AZ1332" i="1"/>
  <c r="BA1332" i="1" s="1"/>
  <c r="AT871" i="1"/>
  <c r="AW871" i="1" s="1"/>
  <c r="AX871" i="1" s="1"/>
  <c r="AY871" i="1"/>
  <c r="AZ1023" i="1"/>
  <c r="BA1023" i="1" s="1"/>
  <c r="AW1023" i="1"/>
  <c r="AX1023" i="1" s="1"/>
  <c r="AT819" i="1"/>
  <c r="AY819" i="1"/>
  <c r="AT842" i="1"/>
  <c r="AY842" i="1"/>
  <c r="AT794" i="1"/>
  <c r="AW794" i="1" s="1"/>
  <c r="AX794" i="1" s="1"/>
  <c r="AY794" i="1"/>
  <c r="AZ794" i="1" s="1"/>
  <c r="BA794" i="1" s="1"/>
  <c r="AS979" i="1"/>
  <c r="AV979" i="1"/>
  <c r="AZ1300" i="1"/>
  <c r="BA1300" i="1" s="1"/>
  <c r="AZ1153" i="1"/>
  <c r="BA1153" i="1" s="1"/>
  <c r="AL1056" i="1"/>
  <c r="AR1056" i="1"/>
  <c r="AZ1150" i="1"/>
  <c r="BA1150" i="1" s="1"/>
  <c r="AZ1155" i="1"/>
  <c r="BA1155" i="1" s="1"/>
  <c r="AZ1366" i="1"/>
  <c r="BA1366" i="1" s="1"/>
  <c r="AZ1436" i="1"/>
  <c r="BA1436" i="1" s="1"/>
  <c r="AW1436" i="1"/>
  <c r="AX1436" i="1" s="1"/>
  <c r="AZ1348" i="1"/>
  <c r="BA1348" i="1" s="1"/>
  <c r="AW1348" i="1"/>
  <c r="AX1348" i="1" s="1"/>
  <c r="AT1089" i="1"/>
  <c r="AY1089" i="1"/>
  <c r="AX807" i="1"/>
  <c r="AX1105" i="1"/>
  <c r="AT902" i="1"/>
  <c r="AZ902" i="1" s="1"/>
  <c r="BA902" i="1" s="1"/>
  <c r="AY902" i="1"/>
  <c r="AZ1405" i="1"/>
  <c r="BA1405" i="1" s="1"/>
  <c r="AZ1223" i="1"/>
  <c r="BA1223" i="1" s="1"/>
  <c r="AW1223" i="1"/>
  <c r="AX1223" i="1" s="1"/>
  <c r="AZ1387" i="1"/>
  <c r="BA1387" i="1" s="1"/>
  <c r="AW1387" i="1"/>
  <c r="AX1387" i="1" s="1"/>
  <c r="AT1003" i="1"/>
  <c r="AZ1003" i="1" s="1"/>
  <c r="BA1003" i="1" s="1"/>
  <c r="AY1003" i="1"/>
  <c r="AT877" i="1"/>
  <c r="AY877" i="1"/>
  <c r="AZ999" i="1"/>
  <c r="BA999" i="1" s="1"/>
  <c r="AW999" i="1"/>
  <c r="AX999" i="1" s="1"/>
  <c r="AZ1004" i="1"/>
  <c r="BA1004" i="1" s="1"/>
  <c r="AW1004" i="1"/>
  <c r="AX1004" i="1" s="1"/>
  <c r="AT900" i="1"/>
  <c r="AW900" i="1" s="1"/>
  <c r="AX900" i="1" s="1"/>
  <c r="AY900" i="1"/>
  <c r="AS1040" i="1"/>
  <c r="AV1040" i="1"/>
  <c r="AV1070" i="1"/>
  <c r="AW874" i="1"/>
  <c r="AX874" i="1" s="1"/>
  <c r="AW1003" i="1"/>
  <c r="AX1003" i="1" s="1"/>
  <c r="AV913" i="1"/>
  <c r="AW1197" i="1"/>
  <c r="AX1197" i="1" s="1"/>
  <c r="AT1020" i="1"/>
  <c r="AW1020" i="1" s="1"/>
  <c r="AX1020" i="1" s="1"/>
  <c r="AY1020" i="1"/>
  <c r="AT895" i="1"/>
  <c r="AY895" i="1"/>
  <c r="AY994" i="1"/>
  <c r="AT994" i="1"/>
  <c r="AW1278" i="1"/>
  <c r="AX1278" i="1" s="1"/>
  <c r="AZ1278" i="1"/>
  <c r="BA1278" i="1" s="1"/>
  <c r="AY1105" i="1"/>
  <c r="AT1105" i="1"/>
  <c r="AZ1105" i="1" s="1"/>
  <c r="BA1105" i="1" s="1"/>
  <c r="AZ1241" i="1"/>
  <c r="BA1241" i="1" s="1"/>
  <c r="AW1241" i="1"/>
  <c r="AX1241" i="1" s="1"/>
  <c r="AZ1389" i="1"/>
  <c r="BA1389" i="1" s="1"/>
  <c r="AZ1222" i="1"/>
  <c r="BA1222" i="1" s="1"/>
  <c r="AW1222" i="1"/>
  <c r="AX1222" i="1" s="1"/>
  <c r="AW1283" i="1"/>
  <c r="AX1283" i="1" s="1"/>
  <c r="AZ1283" i="1"/>
  <c r="BA1283" i="1" s="1"/>
  <c r="AW862" i="1"/>
  <c r="AX862" i="1" s="1"/>
  <c r="AT883" i="1"/>
  <c r="AY883" i="1"/>
  <c r="AS941" i="1"/>
  <c r="AV941" i="1"/>
  <c r="AZ1033" i="1"/>
  <c r="BA1033" i="1" s="1"/>
  <c r="AW1033" i="1"/>
  <c r="AX1033" i="1" s="1"/>
  <c r="AT935" i="1"/>
  <c r="AY935" i="1"/>
  <c r="AT1096" i="1"/>
  <c r="AW1096" i="1" s="1"/>
  <c r="AX1096" i="1" s="1"/>
  <c r="AY1096" i="1"/>
  <c r="AT873" i="1"/>
  <c r="AY873" i="1"/>
  <c r="AT849" i="1"/>
  <c r="AW849" i="1" s="1"/>
  <c r="AX849" i="1" s="1"/>
  <c r="AY849" i="1"/>
  <c r="AT1004" i="1"/>
  <c r="AY1004" i="1"/>
  <c r="AT1060" i="1"/>
  <c r="AY1060" i="1"/>
  <c r="AT869" i="1"/>
  <c r="AW869" i="1" s="1"/>
  <c r="AX869" i="1" s="1"/>
  <c r="AY869" i="1"/>
  <c r="AZ869" i="1" s="1"/>
  <c r="BA869" i="1" s="1"/>
  <c r="AZ1404" i="1"/>
  <c r="BA1404" i="1" s="1"/>
  <c r="AW1404" i="1"/>
  <c r="AX1404" i="1" s="1"/>
  <c r="AU770" i="1"/>
  <c r="AV770" i="1"/>
  <c r="AS1063" i="1"/>
  <c r="AV1063" i="1"/>
  <c r="AL940" i="1"/>
  <c r="AR940" i="1"/>
  <c r="AT824" i="1"/>
  <c r="AZ824" i="1" s="1"/>
  <c r="BA824" i="1" s="1"/>
  <c r="AY824" i="1"/>
  <c r="AT867" i="1"/>
  <c r="AY867" i="1"/>
  <c r="AZ867" i="1" s="1"/>
  <c r="BA867" i="1" s="1"/>
  <c r="AZ1079" i="1"/>
  <c r="BA1079" i="1" s="1"/>
  <c r="AW1079" i="1"/>
  <c r="AX1079" i="1" s="1"/>
  <c r="AZ852" i="1"/>
  <c r="BA852" i="1" s="1"/>
  <c r="AV961" i="1"/>
  <c r="AT796" i="1"/>
  <c r="AY796" i="1"/>
  <c r="AZ1176" i="1"/>
  <c r="BA1176" i="1" s="1"/>
  <c r="AS747" i="1"/>
  <c r="AV1076" i="1"/>
  <c r="AT923" i="1"/>
  <c r="AY923" i="1"/>
  <c r="AT1054" i="1"/>
  <c r="AY1054" i="1"/>
  <c r="AZ1425" i="1"/>
  <c r="BA1425" i="1" s="1"/>
  <c r="AW1425" i="1"/>
  <c r="AX1425" i="1" s="1"/>
  <c r="AS711" i="1"/>
  <c r="AV711" i="1"/>
  <c r="AS746" i="1"/>
  <c r="AT825" i="1"/>
  <c r="AY825" i="1"/>
  <c r="AZ825" i="1" s="1"/>
  <c r="BA825" i="1" s="1"/>
  <c r="AL951" i="1"/>
  <c r="AR951" i="1"/>
  <c r="AW1415" i="1"/>
  <c r="AX1415" i="1" s="1"/>
  <c r="AZ1271" i="1"/>
  <c r="BA1271" i="1" s="1"/>
  <c r="AT874" i="1"/>
  <c r="AY874" i="1"/>
  <c r="AZ874" i="1" s="1"/>
  <c r="BA874" i="1" s="1"/>
  <c r="AV1053" i="1"/>
  <c r="AZ826" i="1"/>
  <c r="BA826" i="1" s="1"/>
  <c r="AW826" i="1"/>
  <c r="AX826" i="1" s="1"/>
  <c r="AV925" i="1"/>
  <c r="AZ806" i="1"/>
  <c r="BA806" i="1" s="1"/>
  <c r="AW806" i="1"/>
  <c r="AX806" i="1" s="1"/>
  <c r="AT761" i="1"/>
  <c r="AW761" i="1" s="1"/>
  <c r="AX761" i="1" s="1"/>
  <c r="AY761" i="1"/>
  <c r="AZ761" i="1" s="1"/>
  <c r="BA761" i="1" s="1"/>
  <c r="AT804" i="1"/>
  <c r="AY804" i="1"/>
  <c r="AY1007" i="1"/>
  <c r="AT1007" i="1"/>
  <c r="AW1007" i="1" s="1"/>
  <c r="AX1007" i="1" s="1"/>
  <c r="AW1161" i="1"/>
  <c r="AX1161" i="1" s="1"/>
  <c r="AZ1272" i="1"/>
  <c r="BA1272" i="1" s="1"/>
  <c r="AW1272" i="1"/>
  <c r="AX1272" i="1" s="1"/>
  <c r="AZ1188" i="1"/>
  <c r="BA1188" i="1" s="1"/>
  <c r="AW1188" i="1"/>
  <c r="AX1188" i="1" s="1"/>
  <c r="AR1041" i="1"/>
  <c r="AU1041" i="1"/>
  <c r="AZ1374" i="1"/>
  <c r="BA1374" i="1" s="1"/>
  <c r="AZ1143" i="1"/>
  <c r="BA1143" i="1" s="1"/>
  <c r="AY1117" i="1"/>
  <c r="AT1117" i="1"/>
  <c r="AW1117" i="1" s="1"/>
  <c r="AX1117" i="1" s="1"/>
  <c r="AV783" i="1"/>
  <c r="AW1337" i="1"/>
  <c r="AX1337" i="1" s="1"/>
  <c r="AZ1337" i="1"/>
  <c r="BA1337" i="1" s="1"/>
  <c r="AW1317" i="1"/>
  <c r="AX1317" i="1" s="1"/>
  <c r="AZ1095" i="1"/>
  <c r="BA1095" i="1" s="1"/>
  <c r="AW1095" i="1"/>
  <c r="AX1095" i="1" s="1"/>
  <c r="AW1149" i="1"/>
  <c r="AX1149" i="1" s="1"/>
  <c r="AZ1149" i="1"/>
  <c r="BA1149" i="1" s="1"/>
  <c r="AZ1160" i="1"/>
  <c r="BA1160" i="1" s="1"/>
  <c r="AW1160" i="1"/>
  <c r="AX1160" i="1" s="1"/>
  <c r="AT1029" i="1"/>
  <c r="AW1029" i="1" s="1"/>
  <c r="AX1029" i="1" s="1"/>
  <c r="AY1029" i="1"/>
  <c r="AZ1029" i="1" s="1"/>
  <c r="BA1029" i="1" s="1"/>
  <c r="AT904" i="1"/>
  <c r="AY904" i="1"/>
  <c r="AX805" i="1"/>
  <c r="AT851" i="1"/>
  <c r="AY851" i="1"/>
  <c r="AW1263" i="1"/>
  <c r="AX1263" i="1" s="1"/>
  <c r="AS712" i="1"/>
  <c r="AV712" i="1"/>
  <c r="AS733" i="1"/>
  <c r="AV733" i="1"/>
  <c r="AT969" i="1"/>
  <c r="AY969" i="1"/>
  <c r="AT828" i="1"/>
  <c r="AZ828" i="1" s="1"/>
  <c r="BA828" i="1" s="1"/>
  <c r="AY828" i="1"/>
  <c r="AT836" i="1"/>
  <c r="AY836" i="1"/>
  <c r="AT847" i="1"/>
  <c r="AY847" i="1"/>
  <c r="AZ847" i="1" s="1"/>
  <c r="BA847" i="1" s="1"/>
  <c r="AT813" i="1"/>
  <c r="AW813" i="1" s="1"/>
  <c r="AX813" i="1" s="1"/>
  <c r="AY813" i="1"/>
  <c r="AT1082" i="1"/>
  <c r="AZ1082" i="1" s="1"/>
  <c r="BA1082" i="1" s="1"/>
  <c r="AY1082" i="1"/>
  <c r="AZ1285" i="1"/>
  <c r="BA1285" i="1" s="1"/>
  <c r="AW1285" i="1"/>
  <c r="AX1285" i="1" s="1"/>
  <c r="AS1046" i="1"/>
  <c r="AV1046" i="1"/>
  <c r="AZ1165" i="1"/>
  <c r="BA1165" i="1" s="1"/>
  <c r="AW1165" i="1"/>
  <c r="AX1165" i="1" s="1"/>
  <c r="AT892" i="1"/>
  <c r="AY892" i="1"/>
  <c r="AZ1154" i="1"/>
  <c r="BA1154" i="1" s="1"/>
  <c r="AW1154" i="1"/>
  <c r="AX1154" i="1" s="1"/>
  <c r="AX1028" i="1"/>
  <c r="AT1071" i="1"/>
  <c r="AY1071" i="1"/>
  <c r="AS697" i="1"/>
  <c r="AV697" i="1"/>
  <c r="AS732" i="1"/>
  <c r="AV732" i="1"/>
  <c r="AT972" i="1"/>
  <c r="AY972" i="1"/>
  <c r="AS1077" i="1"/>
  <c r="AV1077" i="1"/>
  <c r="AS920" i="1"/>
  <c r="AT855" i="1"/>
  <c r="AZ855" i="1" s="1"/>
  <c r="BA855" i="1" s="1"/>
  <c r="AY855" i="1"/>
  <c r="AT1005" i="1"/>
  <c r="AY1005" i="1"/>
  <c r="AZ1005" i="1" s="1"/>
  <c r="BA1005" i="1" s="1"/>
  <c r="AZ1251" i="1"/>
  <c r="BA1251" i="1" s="1"/>
  <c r="AW1321" i="1"/>
  <c r="AX1321" i="1" s="1"/>
  <c r="AZ1181" i="1"/>
  <c r="BA1181" i="1" s="1"/>
  <c r="AW1181" i="1"/>
  <c r="AX1181" i="1" s="1"/>
  <c r="AT872" i="1"/>
  <c r="AY872" i="1"/>
  <c r="AR947" i="1"/>
  <c r="AZ995" i="1"/>
  <c r="BA995" i="1" s="1"/>
  <c r="AW995" i="1"/>
  <c r="AX995" i="1" s="1"/>
  <c r="AY1110" i="1"/>
  <c r="AT1110" i="1"/>
  <c r="AW1110" i="1" s="1"/>
  <c r="AX1110" i="1" s="1"/>
  <c r="AT862" i="1"/>
  <c r="AY862" i="1"/>
  <c r="AZ862" i="1" s="1"/>
  <c r="BA862" i="1" s="1"/>
  <c r="AZ1386" i="1"/>
  <c r="BA1386" i="1" s="1"/>
  <c r="AT1019" i="1"/>
  <c r="AY1019" i="1"/>
  <c r="AT834" i="1"/>
  <c r="AW834" i="1" s="1"/>
  <c r="AX834" i="1" s="1"/>
  <c r="AY834" i="1"/>
  <c r="AZ1214" i="1"/>
  <c r="BA1214" i="1" s="1"/>
  <c r="AT898" i="1"/>
  <c r="AY898" i="1"/>
  <c r="AS931" i="1"/>
  <c r="AV931" i="1"/>
  <c r="AT837" i="1"/>
  <c r="AY837" i="1"/>
  <c r="AV706" i="1"/>
  <c r="AV692" i="1"/>
  <c r="AV727" i="1"/>
  <c r="AV933" i="1"/>
  <c r="AT919" i="1"/>
  <c r="AY919" i="1"/>
  <c r="AS963" i="1"/>
  <c r="AV963" i="1"/>
  <c r="AS944" i="1"/>
  <c r="AV944" i="1"/>
  <c r="AV967" i="1"/>
  <c r="AL1073" i="1"/>
  <c r="AR1073" i="1"/>
  <c r="AS921" i="1"/>
  <c r="AV921" i="1"/>
  <c r="AV986" i="1"/>
  <c r="AT800" i="1"/>
  <c r="AW800" i="1" s="1"/>
  <c r="AX800" i="1" s="1"/>
  <c r="AY800" i="1"/>
  <c r="AV940" i="1"/>
  <c r="AZ1000" i="1"/>
  <c r="BA1000" i="1" s="1"/>
  <c r="AV719" i="1"/>
  <c r="AV705" i="1"/>
  <c r="AV691" i="1"/>
  <c r="AV740" i="1"/>
  <c r="AV726" i="1"/>
  <c r="AV991" i="1"/>
  <c r="AV781" i="1"/>
  <c r="AV964" i="1"/>
  <c r="AS968" i="1"/>
  <c r="AZ816" i="1"/>
  <c r="BA816" i="1" s="1"/>
  <c r="AW816" i="1"/>
  <c r="AX816" i="1" s="1"/>
  <c r="AZ1091" i="1"/>
  <c r="BA1091" i="1" s="1"/>
  <c r="AW1091" i="1"/>
  <c r="AX1091" i="1" s="1"/>
  <c r="AZ1429" i="1"/>
  <c r="BA1429" i="1" s="1"/>
  <c r="AW1429" i="1"/>
  <c r="AX1429" i="1" s="1"/>
  <c r="AV976" i="1"/>
  <c r="AZ1413" i="1"/>
  <c r="BA1413" i="1" s="1"/>
  <c r="AT993" i="1"/>
  <c r="AY993" i="1"/>
  <c r="AZ993" i="1" s="1"/>
  <c r="BA993" i="1" s="1"/>
  <c r="AW1351" i="1"/>
  <c r="AX1351" i="1" s="1"/>
  <c r="AY1008" i="1"/>
  <c r="AT1008" i="1"/>
  <c r="AW1008" i="1" s="1"/>
  <c r="AX1008" i="1" s="1"/>
  <c r="AT820" i="1"/>
  <c r="AW820" i="1" s="1"/>
  <c r="AX820" i="1" s="1"/>
  <c r="AY820" i="1"/>
  <c r="AZ1286" i="1"/>
  <c r="BA1286" i="1" s="1"/>
  <c r="AZ1273" i="1"/>
  <c r="BA1273" i="1" s="1"/>
  <c r="AW1273" i="1"/>
  <c r="AX1273" i="1" s="1"/>
  <c r="AZ1252" i="1"/>
  <c r="BA1252" i="1" s="1"/>
  <c r="AW1261" i="1"/>
  <c r="AX1261" i="1" s="1"/>
  <c r="AW1218" i="1"/>
  <c r="AX1218" i="1" s="1"/>
  <c r="AT777" i="1"/>
  <c r="AW777" i="1" s="1"/>
  <c r="AX777" i="1" s="1"/>
  <c r="AY777" i="1"/>
  <c r="AZ777" i="1" s="1"/>
  <c r="BA777" i="1" s="1"/>
  <c r="AW1116" i="1"/>
  <c r="AX1116" i="1" s="1"/>
  <c r="AT814" i="1"/>
  <c r="AW814" i="1" s="1"/>
  <c r="AX814" i="1" s="1"/>
  <c r="AY814" i="1"/>
  <c r="AT850" i="1"/>
  <c r="AW850" i="1" s="1"/>
  <c r="AX850" i="1" s="1"/>
  <c r="AY850" i="1"/>
  <c r="AZ850" i="1" s="1"/>
  <c r="BA850" i="1" s="1"/>
  <c r="AW861" i="1"/>
  <c r="AX861" i="1" s="1"/>
  <c r="AT832" i="1"/>
  <c r="AW832" i="1" s="1"/>
  <c r="AX832" i="1" s="1"/>
  <c r="AY832" i="1"/>
  <c r="AT1006" i="1"/>
  <c r="AY1006" i="1"/>
  <c r="AZ1006" i="1" s="1"/>
  <c r="BA1006" i="1" s="1"/>
  <c r="AV969" i="1"/>
  <c r="AT848" i="1"/>
  <c r="AZ848" i="1" s="1"/>
  <c r="BA848" i="1" s="1"/>
  <c r="AY848" i="1"/>
  <c r="AT1079" i="1"/>
  <c r="AY1079" i="1"/>
  <c r="AT890" i="1"/>
  <c r="AY890" i="1"/>
  <c r="AT1088" i="1"/>
  <c r="AW1088" i="1" s="1"/>
  <c r="AX1088" i="1" s="1"/>
  <c r="AY1088" i="1"/>
  <c r="AT1101" i="1"/>
  <c r="AZ1101" i="1" s="1"/>
  <c r="BA1101" i="1" s="1"/>
  <c r="AY1101" i="1"/>
  <c r="AT870" i="1"/>
  <c r="AY870" i="1"/>
  <c r="AT1094" i="1"/>
  <c r="AY1094" i="1"/>
  <c r="AW1183" i="1"/>
  <c r="AX1183" i="1" s="1"/>
  <c r="AZ1423" i="1"/>
  <c r="BA1423" i="1" s="1"/>
  <c r="AW1423" i="1"/>
  <c r="AX1423" i="1" s="1"/>
  <c r="AV718" i="1"/>
  <c r="AV704" i="1"/>
  <c r="AV690" i="1"/>
  <c r="AV739" i="1"/>
  <c r="AV725" i="1"/>
  <c r="AV922" i="1"/>
  <c r="AV909" i="1"/>
  <c r="AV966" i="1"/>
  <c r="AW1103" i="1"/>
  <c r="AX1103" i="1" s="1"/>
  <c r="AV960" i="1"/>
  <c r="AT815" i="1"/>
  <c r="AW815" i="1" s="1"/>
  <c r="AX815" i="1" s="1"/>
  <c r="AY815" i="1"/>
  <c r="AZ815" i="1" s="1"/>
  <c r="BA815" i="1" s="1"/>
  <c r="AV924" i="1"/>
  <c r="AT782" i="1"/>
  <c r="AW782" i="1" s="1"/>
  <c r="AX782" i="1" s="1"/>
  <c r="AY782" i="1"/>
  <c r="AT1032" i="1"/>
  <c r="AW1032" i="1" s="1"/>
  <c r="AX1032" i="1" s="1"/>
  <c r="AY1032" i="1"/>
  <c r="AT829" i="1"/>
  <c r="AY829" i="1"/>
  <c r="AS1067" i="1"/>
  <c r="AV1067" i="1"/>
  <c r="AW866" i="1"/>
  <c r="AX866" i="1" s="1"/>
  <c r="AT853" i="1"/>
  <c r="AZ853" i="1" s="1"/>
  <c r="BA853" i="1" s="1"/>
  <c r="AY853" i="1"/>
  <c r="AS910" i="1"/>
  <c r="AV910" i="1"/>
  <c r="AV927" i="1"/>
  <c r="AS954" i="1"/>
  <c r="AT817" i="1"/>
  <c r="AY817" i="1"/>
  <c r="AZ768" i="1"/>
  <c r="BA768" i="1" s="1"/>
  <c r="AW768" i="1"/>
  <c r="AX768" i="1" s="1"/>
  <c r="AT1092" i="1"/>
  <c r="AZ1092" i="1" s="1"/>
  <c r="BA1092" i="1" s="1"/>
  <c r="AT841" i="1"/>
  <c r="AY841" i="1"/>
  <c r="AS1072" i="1"/>
  <c r="AV1072" i="1"/>
  <c r="AT863" i="1"/>
  <c r="AZ863" i="1" s="1"/>
  <c r="BA863" i="1" s="1"/>
  <c r="AY863" i="1"/>
  <c r="AZ873" i="1"/>
  <c r="BA873" i="1" s="1"/>
  <c r="AW873" i="1"/>
  <c r="AX873" i="1" s="1"/>
  <c r="AZ1026" i="1"/>
  <c r="BA1026" i="1" s="1"/>
  <c r="AW1026" i="1"/>
  <c r="AX1026" i="1" s="1"/>
  <c r="AV983" i="1"/>
  <c r="AT1118" i="1"/>
  <c r="AW1118" i="1" s="1"/>
  <c r="AX1118" i="1" s="1"/>
  <c r="AY1118" i="1"/>
  <c r="AT901" i="1"/>
  <c r="AW901" i="1" s="1"/>
  <c r="AX901" i="1" s="1"/>
  <c r="AY901" i="1"/>
  <c r="AZ901" i="1" s="1"/>
  <c r="BA901" i="1" s="1"/>
  <c r="AT811" i="1"/>
  <c r="AY811" i="1"/>
  <c r="AT878" i="1"/>
  <c r="AW878" i="1" s="1"/>
  <c r="AX878" i="1" s="1"/>
  <c r="AY878" i="1"/>
  <c r="AT776" i="1"/>
  <c r="AY776" i="1"/>
  <c r="AZ776" i="1" s="1"/>
  <c r="BA776" i="1" s="1"/>
  <c r="AT1027" i="1"/>
  <c r="AZ1027" i="1" s="1"/>
  <c r="BA1027" i="1" s="1"/>
  <c r="AY1027" i="1"/>
  <c r="AT885" i="1"/>
  <c r="AY885" i="1"/>
  <c r="AZ1433" i="1"/>
  <c r="BA1433" i="1" s="1"/>
  <c r="AW1433" i="1"/>
  <c r="AX1433" i="1" s="1"/>
  <c r="AT889" i="1"/>
  <c r="AW889" i="1" s="1"/>
  <c r="AX889" i="1" s="1"/>
  <c r="AY889" i="1"/>
  <c r="AZ889" i="1" s="1"/>
  <c r="BA889" i="1" s="1"/>
  <c r="AT1043" i="1"/>
  <c r="AY1043" i="1"/>
  <c r="AT891" i="1"/>
  <c r="AW891" i="1" s="1"/>
  <c r="AX891" i="1" s="1"/>
  <c r="AY891" i="1"/>
  <c r="AT903" i="1"/>
  <c r="AW903" i="1" s="1"/>
  <c r="AX903" i="1" s="1"/>
  <c r="AY903" i="1"/>
  <c r="AZ903" i="1" s="1"/>
  <c r="BA903" i="1" s="1"/>
  <c r="AT1057" i="1"/>
  <c r="AY1057" i="1"/>
  <c r="AT905" i="1"/>
  <c r="AW905" i="1" s="1"/>
  <c r="AX905" i="1" s="1"/>
  <c r="AY905" i="1"/>
  <c r="AV715" i="1"/>
  <c r="AV701" i="1"/>
  <c r="AV687" i="1"/>
  <c r="AV736" i="1"/>
  <c r="AV722" i="1"/>
  <c r="AV932" i="1"/>
  <c r="AU780" i="1"/>
  <c r="AW1027" i="1"/>
  <c r="AX1027" i="1" s="1"/>
  <c r="AT797" i="1"/>
  <c r="AY797" i="1"/>
  <c r="AZ797" i="1" s="1"/>
  <c r="BA797" i="1" s="1"/>
  <c r="AW897" i="1"/>
  <c r="AX897" i="1" s="1"/>
  <c r="AS949" i="1"/>
  <c r="AZ1110" i="1"/>
  <c r="BA1110" i="1" s="1"/>
  <c r="AZ1031" i="1"/>
  <c r="BA1031" i="1" s="1"/>
  <c r="AW1031" i="1"/>
  <c r="AX1031" i="1" s="1"/>
  <c r="AT784" i="1"/>
  <c r="AZ784" i="1" s="1"/>
  <c r="BA784" i="1" s="1"/>
  <c r="AY784" i="1"/>
  <c r="AT844" i="1"/>
  <c r="AY844" i="1"/>
  <c r="AZ792" i="1"/>
  <c r="BA792" i="1" s="1"/>
  <c r="AW792" i="1"/>
  <c r="AX792" i="1" s="1"/>
  <c r="AW994" i="1"/>
  <c r="AX994" i="1" s="1"/>
  <c r="AV975" i="1"/>
  <c r="AT775" i="1"/>
  <c r="AY775" i="1"/>
  <c r="AW844" i="1"/>
  <c r="AX844" i="1" s="1"/>
  <c r="AT1059" i="1"/>
  <c r="AY1059" i="1"/>
  <c r="AT812" i="1"/>
  <c r="AY812" i="1"/>
  <c r="AT823" i="1"/>
  <c r="AY823" i="1"/>
  <c r="AZ1012" i="1"/>
  <c r="BA1012" i="1" s="1"/>
  <c r="AW1012" i="1"/>
  <c r="AX1012" i="1" s="1"/>
  <c r="AW775" i="1"/>
  <c r="AX775" i="1" s="1"/>
  <c r="AZ775" i="1"/>
  <c r="BA775" i="1" s="1"/>
  <c r="AW877" i="1"/>
  <c r="AX877" i="1" s="1"/>
  <c r="AZ877" i="1"/>
  <c r="BA877" i="1" s="1"/>
  <c r="AW797" i="1"/>
  <c r="AX797" i="1" s="1"/>
  <c r="AT785" i="1"/>
  <c r="AW785" i="1" s="1"/>
  <c r="AX785" i="1" s="1"/>
  <c r="AY785" i="1"/>
  <c r="AW872" i="1"/>
  <c r="AX872" i="1" s="1"/>
  <c r="AT1099" i="1"/>
  <c r="AY1099" i="1"/>
  <c r="AT879" i="1"/>
  <c r="AY879" i="1"/>
  <c r="AT866" i="1"/>
  <c r="AZ866" i="1" s="1"/>
  <c r="BA866" i="1" s="1"/>
  <c r="AY866" i="1"/>
  <c r="AT881" i="1"/>
  <c r="AW881" i="1" s="1"/>
  <c r="AX881" i="1" s="1"/>
  <c r="AY881" i="1"/>
  <c r="AZ881" i="1" s="1"/>
  <c r="BA881" i="1" s="1"/>
  <c r="AZ1426" i="1"/>
  <c r="BA1426" i="1" s="1"/>
  <c r="AW1426" i="1"/>
  <c r="AX1426" i="1" s="1"/>
  <c r="AT899" i="1"/>
  <c r="AZ899" i="1" s="1"/>
  <c r="BA899" i="1" s="1"/>
  <c r="AY899" i="1"/>
  <c r="AT888" i="1"/>
  <c r="AW888" i="1" s="1"/>
  <c r="AX888" i="1" s="1"/>
  <c r="AY888" i="1"/>
  <c r="AZ888" i="1" s="1"/>
  <c r="BA888" i="1" s="1"/>
  <c r="AW1437" i="1"/>
  <c r="AX1437" i="1" s="1"/>
  <c r="AZ1437" i="1"/>
  <c r="BA1437" i="1" s="1"/>
  <c r="AT1081" i="1"/>
  <c r="AY1081" i="1"/>
  <c r="AT786" i="1"/>
  <c r="AY786" i="1"/>
  <c r="AT846" i="1"/>
  <c r="AW846" i="1" s="1"/>
  <c r="AX846" i="1" s="1"/>
  <c r="AY846" i="1"/>
  <c r="AT833" i="1"/>
  <c r="AY833" i="1"/>
  <c r="AZ900" i="1"/>
  <c r="BA900" i="1" s="1"/>
  <c r="AT764" i="1"/>
  <c r="AY764" i="1"/>
  <c r="AT830" i="1"/>
  <c r="AW830" i="1" s="1"/>
  <c r="AX830" i="1" s="1"/>
  <c r="AY830" i="1"/>
  <c r="AT859" i="1"/>
  <c r="AZ859" i="1" s="1"/>
  <c r="BA859" i="1" s="1"/>
  <c r="AY859" i="1"/>
  <c r="AT865" i="1"/>
  <c r="AW865" i="1" s="1"/>
  <c r="AX865" i="1" s="1"/>
  <c r="AY865" i="1"/>
  <c r="AT894" i="1"/>
  <c r="AY894" i="1"/>
  <c r="AV1074" i="1"/>
  <c r="AT868" i="1"/>
  <c r="AZ868" i="1" s="1"/>
  <c r="BA868" i="1" s="1"/>
  <c r="AY868" i="1"/>
  <c r="AT1024" i="1"/>
  <c r="AY1024" i="1"/>
  <c r="AT1065" i="1"/>
  <c r="AY1065" i="1"/>
  <c r="AT1002" i="1"/>
  <c r="AW1002" i="1" s="1"/>
  <c r="AX1002" i="1" s="1"/>
  <c r="AY1002" i="1"/>
  <c r="AW1411" i="1"/>
  <c r="AX1411" i="1" s="1"/>
  <c r="AV710" i="1"/>
  <c r="AV731" i="1"/>
  <c r="AV985" i="1"/>
  <c r="AV915" i="1"/>
  <c r="AS974" i="1"/>
  <c r="AS983" i="1"/>
  <c r="AV1049" i="1"/>
  <c r="AW776" i="1"/>
  <c r="AT861" i="1"/>
  <c r="AY861" i="1"/>
  <c r="AZ861" i="1" s="1"/>
  <c r="BA861" i="1" s="1"/>
  <c r="AV1041" i="1"/>
  <c r="AZ1032" i="1"/>
  <c r="BA1032" i="1" s="1"/>
  <c r="AZ1100" i="1"/>
  <c r="BA1100" i="1" s="1"/>
  <c r="AW1100" i="1"/>
  <c r="AX1100" i="1" s="1"/>
  <c r="AZ786" i="1"/>
  <c r="BA786" i="1" s="1"/>
  <c r="AW786" i="1"/>
  <c r="AX786" i="1" s="1"/>
  <c r="AZ905" i="1"/>
  <c r="BA905" i="1" s="1"/>
  <c r="AZ1319" i="1"/>
  <c r="BA1319" i="1" s="1"/>
  <c r="AT809" i="1"/>
  <c r="AW809" i="1" s="1"/>
  <c r="AX809" i="1" s="1"/>
  <c r="AY809" i="1"/>
  <c r="AV958" i="1"/>
  <c r="AZ1434" i="1"/>
  <c r="BA1434" i="1" s="1"/>
  <c r="AW1434" i="1"/>
  <c r="AX1434" i="1" s="1"/>
  <c r="AT886" i="1"/>
  <c r="AY886" i="1"/>
  <c r="AW1144" i="1"/>
  <c r="AX1144" i="1" s="1"/>
  <c r="AV709" i="1"/>
  <c r="AV929" i="1"/>
  <c r="AV953" i="1"/>
  <c r="AS1038" i="1"/>
  <c r="AV1038" i="1"/>
  <c r="AW893" i="1"/>
  <c r="AX893" i="1" s="1"/>
  <c r="AT766" i="1"/>
  <c r="AY766" i="1"/>
  <c r="AZ1017" i="1"/>
  <c r="BA1017" i="1" s="1"/>
  <c r="AW1017" i="1"/>
  <c r="AX1017" i="1" s="1"/>
  <c r="AT884" i="1"/>
  <c r="AZ884" i="1" s="1"/>
  <c r="BA884" i="1" s="1"/>
  <c r="AY884" i="1"/>
  <c r="AZ854" i="1"/>
  <c r="BA854" i="1" s="1"/>
  <c r="AW854" i="1"/>
  <c r="AX854" i="1" s="1"/>
  <c r="AZ842" i="1"/>
  <c r="BA842" i="1" s="1"/>
  <c r="AW842" i="1"/>
  <c r="AX842" i="1" s="1"/>
  <c r="AT768" i="1"/>
  <c r="AY768" i="1"/>
  <c r="AS970" i="1"/>
  <c r="AV970" i="1"/>
  <c r="AT774" i="1"/>
  <c r="AY774" i="1"/>
  <c r="AW906" i="1"/>
  <c r="AX906" i="1" s="1"/>
  <c r="AW1428" i="1"/>
  <c r="AX1428" i="1" s="1"/>
  <c r="AZ1428" i="1"/>
  <c r="BA1428" i="1" s="1"/>
  <c r="AW1306" i="1"/>
  <c r="AX1306" i="1" s="1"/>
  <c r="AT896" i="1"/>
  <c r="AW896" i="1" s="1"/>
  <c r="AX896" i="1" s="1"/>
  <c r="AY896" i="1"/>
  <c r="AZ896" i="1" s="1"/>
  <c r="BA896" i="1" s="1"/>
  <c r="AT808" i="1"/>
  <c r="AZ808" i="1" s="1"/>
  <c r="BA808" i="1" s="1"/>
  <c r="AY808" i="1"/>
  <c r="AW1384" i="1"/>
  <c r="AX1384" i="1" s="1"/>
  <c r="AZ1198" i="1"/>
  <c r="BA1198" i="1" s="1"/>
  <c r="AW1304" i="1"/>
  <c r="AX1304" i="1" s="1"/>
  <c r="AW1200" i="1"/>
  <c r="AX1200" i="1" s="1"/>
  <c r="AV708" i="1"/>
  <c r="AV694" i="1"/>
  <c r="AV729" i="1"/>
  <c r="AV973" i="1"/>
  <c r="AS943" i="1"/>
  <c r="AV943" i="1"/>
  <c r="AT1050" i="1"/>
  <c r="AY1050" i="1"/>
  <c r="AS981" i="1"/>
  <c r="AV981" i="1"/>
  <c r="AS916" i="1"/>
  <c r="AV916" i="1"/>
  <c r="AV1052" i="1"/>
  <c r="AT780" i="1"/>
  <c r="AY780" i="1"/>
  <c r="AT799" i="1"/>
  <c r="AZ799" i="1" s="1"/>
  <c r="BA799" i="1" s="1"/>
  <c r="AY799" i="1"/>
  <c r="AV1075" i="1"/>
  <c r="AT769" i="1"/>
  <c r="AY769" i="1"/>
  <c r="AT856" i="1"/>
  <c r="AW856" i="1" s="1"/>
  <c r="AX856" i="1" s="1"/>
  <c r="AY856" i="1"/>
  <c r="AZ938" i="1"/>
  <c r="BA938" i="1" s="1"/>
  <c r="AT791" i="1"/>
  <c r="AZ791" i="1" s="1"/>
  <c r="BA791" i="1" s="1"/>
  <c r="AT1022" i="1"/>
  <c r="AW1022" i="1" s="1"/>
  <c r="AX1022" i="1" s="1"/>
  <c r="AY1022" i="1"/>
  <c r="AZ1022" i="1" s="1"/>
  <c r="BA1022" i="1" s="1"/>
  <c r="AW1001" i="1"/>
  <c r="AX1001" i="1" s="1"/>
  <c r="AZ1097" i="1"/>
  <c r="BA1097" i="1" s="1"/>
  <c r="AV1069" i="1"/>
  <c r="AZ765" i="1"/>
  <c r="BA765" i="1" s="1"/>
  <c r="AW765" i="1"/>
  <c r="AX765" i="1" s="1"/>
  <c r="AZ1114" i="1"/>
  <c r="BA1114" i="1" s="1"/>
  <c r="AR943" i="1"/>
  <c r="AW847" i="1"/>
  <c r="AX847" i="1" s="1"/>
  <c r="AW1006" i="1"/>
  <c r="AX1006" i="1" s="1"/>
  <c r="AZ1087" i="1"/>
  <c r="BA1087" i="1" s="1"/>
  <c r="AW1087" i="1"/>
  <c r="AX1087" i="1" s="1"/>
  <c r="AS1074" i="1"/>
  <c r="AV1044" i="1"/>
  <c r="AW1216" i="1"/>
  <c r="AX1216" i="1" s="1"/>
  <c r="AW1232" i="1"/>
  <c r="AX1232" i="1" s="1"/>
  <c r="AW1383" i="1"/>
  <c r="AX1383" i="1" s="1"/>
  <c r="AW1251" i="1"/>
  <c r="AX1251" i="1" s="1"/>
  <c r="AW1373" i="1"/>
  <c r="AX1373" i="1" s="1"/>
  <c r="AW1372" i="1"/>
  <c r="AX1372" i="1" s="1"/>
  <c r="AW1280" i="1"/>
  <c r="AX1280" i="1" s="1"/>
  <c r="AT1015" i="1"/>
  <c r="AY1015" i="1"/>
  <c r="AZ1323" i="1"/>
  <c r="BA1323" i="1" s="1"/>
  <c r="AT1011" i="1"/>
  <c r="AW1011" i="1" s="1"/>
  <c r="AX1011" i="1" s="1"/>
  <c r="AY1011" i="1"/>
  <c r="AW1382" i="1"/>
  <c r="AX1382" i="1" s="1"/>
  <c r="AZ1202" i="1"/>
  <c r="BA1202" i="1" s="1"/>
  <c r="AZ1309" i="1"/>
  <c r="BA1309" i="1" s="1"/>
  <c r="AT1102" i="1"/>
  <c r="AZ1102" i="1" s="1"/>
  <c r="BA1102" i="1" s="1"/>
  <c r="AY1102" i="1"/>
  <c r="AT997" i="1"/>
  <c r="AW997" i="1" s="1"/>
  <c r="AX997" i="1" s="1"/>
  <c r="AY997" i="1"/>
  <c r="AW1377" i="1"/>
  <c r="AX1377" i="1" s="1"/>
  <c r="AT1119" i="1"/>
  <c r="AW1119" i="1" s="1"/>
  <c r="AX1119" i="1" s="1"/>
  <c r="AY1119" i="1"/>
  <c r="AW1315" i="1"/>
  <c r="AX1315" i="1" s="1"/>
  <c r="AZ1291" i="1"/>
  <c r="BA1291" i="1" s="1"/>
  <c r="AV956" i="1"/>
  <c r="AZ1422" i="1"/>
  <c r="BA1422" i="1" s="1"/>
  <c r="AW1397" i="1"/>
  <c r="AX1397" i="1" s="1"/>
  <c r="AT773" i="1"/>
  <c r="AW773" i="1" s="1"/>
  <c r="AX773" i="1" s="1"/>
  <c r="AY773" i="1"/>
  <c r="AZ1113" i="1"/>
  <c r="BA1113" i="1" s="1"/>
  <c r="AS956" i="1"/>
  <c r="AV1073" i="1"/>
  <c r="AT818" i="1"/>
  <c r="AW818" i="1" s="1"/>
  <c r="AX818" i="1" s="1"/>
  <c r="AY818" i="1"/>
  <c r="AT1113" i="1"/>
  <c r="AW1113" i="1" s="1"/>
  <c r="AX1113" i="1" s="1"/>
  <c r="AY1113" i="1"/>
  <c r="AT1084" i="1"/>
  <c r="AY1084" i="1"/>
  <c r="AV982" i="1"/>
  <c r="AT1109" i="1"/>
  <c r="AY1109" i="1"/>
  <c r="AV696" i="1"/>
  <c r="AV1047" i="1"/>
  <c r="AS1062" i="1"/>
  <c r="AV1062" i="1"/>
  <c r="AT840" i="1"/>
  <c r="AZ840" i="1" s="1"/>
  <c r="BA840" i="1" s="1"/>
  <c r="AY840" i="1"/>
  <c r="AS1056" i="1"/>
  <c r="AV1056" i="1"/>
  <c r="AT787" i="1"/>
  <c r="AY787" i="1"/>
  <c r="AZ787" i="1" s="1"/>
  <c r="BA787" i="1" s="1"/>
  <c r="AZ858" i="1"/>
  <c r="BA858" i="1" s="1"/>
  <c r="AS912" i="1"/>
  <c r="AV912" i="1"/>
  <c r="AV934" i="1"/>
  <c r="AT1085" i="1"/>
  <c r="AW1085" i="1" s="1"/>
  <c r="AX1085" i="1" s="1"/>
  <c r="AY1085" i="1"/>
  <c r="AW838" i="1"/>
  <c r="AX838" i="1" s="1"/>
  <c r="AT845" i="1"/>
  <c r="AZ845" i="1" s="1"/>
  <c r="BA845" i="1" s="1"/>
  <c r="AY845" i="1"/>
  <c r="AT789" i="1"/>
  <c r="AY789" i="1"/>
  <c r="AZ1440" i="1"/>
  <c r="BA1440" i="1" s="1"/>
  <c r="AW1440" i="1"/>
  <c r="AX1440" i="1" s="1"/>
  <c r="AT772" i="1"/>
  <c r="AW772" i="1" s="1"/>
  <c r="AX772" i="1" s="1"/>
  <c r="AY772" i="1"/>
  <c r="AZ1025" i="1"/>
  <c r="BA1025" i="1" s="1"/>
  <c r="AW1025" i="1"/>
  <c r="AX1025" i="1" s="1"/>
  <c r="AY778" i="1"/>
  <c r="AZ807" i="1"/>
  <c r="BA807" i="1" s="1"/>
  <c r="AW807" i="1"/>
  <c r="AZ1430" i="1"/>
  <c r="BA1430" i="1" s="1"/>
  <c r="AW1430" i="1"/>
  <c r="AX1430" i="1" s="1"/>
  <c r="AW1327" i="1"/>
  <c r="AX1327" i="1" s="1"/>
  <c r="AT1001" i="1"/>
  <c r="AY1001" i="1"/>
  <c r="AZ1001" i="1" s="1"/>
  <c r="BA1001" i="1" s="1"/>
  <c r="AV695" i="1"/>
  <c r="AV758" i="1"/>
  <c r="AV730" i="1"/>
  <c r="AS959" i="1"/>
  <c r="AV959" i="1"/>
  <c r="AT802" i="1"/>
  <c r="AY802" i="1"/>
  <c r="AT770" i="1"/>
  <c r="AY770" i="1"/>
  <c r="AT798" i="1"/>
  <c r="AZ798" i="1" s="1"/>
  <c r="BA798" i="1" s="1"/>
  <c r="AY798" i="1"/>
  <c r="AS926" i="1"/>
  <c r="AV926" i="1"/>
  <c r="AZ790" i="1"/>
  <c r="BA790" i="1" s="1"/>
  <c r="AW790" i="1"/>
  <c r="AX790" i="1" s="1"/>
  <c r="AT1111" i="1"/>
  <c r="AZ1111" i="1" s="1"/>
  <c r="BA1111" i="1" s="1"/>
  <c r="AS1055" i="1"/>
  <c r="AV1055" i="1"/>
  <c r="AS1042" i="1"/>
  <c r="AV1042" i="1"/>
  <c r="AT1098" i="1"/>
  <c r="AW1098" i="1" s="1"/>
  <c r="AX1098" i="1" s="1"/>
  <c r="AY1098" i="1"/>
  <c r="AV938" i="1"/>
  <c r="AW938" i="1" s="1"/>
  <c r="AT1093" i="1"/>
  <c r="AW1093" i="1" s="1"/>
  <c r="AX1093" i="1" s="1"/>
  <c r="AY1093" i="1"/>
  <c r="AV957" i="1"/>
  <c r="AZ1438" i="1"/>
  <c r="BA1438" i="1" s="1"/>
  <c r="AW1438" i="1"/>
  <c r="AX1438" i="1" s="1"/>
  <c r="AV707" i="1"/>
  <c r="AV693" i="1"/>
  <c r="AV728" i="1"/>
  <c r="AV987" i="1"/>
  <c r="AV984" i="1"/>
  <c r="AV977" i="1"/>
  <c r="AU767" i="1"/>
  <c r="AV930" i="1"/>
  <c r="AZ1089" i="1"/>
  <c r="BA1089" i="1" s="1"/>
  <c r="AW1089" i="1"/>
  <c r="AX1089" i="1" s="1"/>
  <c r="AV1066" i="1"/>
  <c r="AZ865" i="1"/>
  <c r="BA865" i="1" s="1"/>
  <c r="AV971" i="1"/>
  <c r="AZ1080" i="1"/>
  <c r="BA1080" i="1" s="1"/>
  <c r="AW1080" i="1"/>
  <c r="AX1080" i="1" s="1"/>
  <c r="AW825" i="1"/>
  <c r="AX825" i="1" s="1"/>
  <c r="AT858" i="1"/>
  <c r="AW858" i="1" s="1"/>
  <c r="AX858" i="1" s="1"/>
  <c r="AY858" i="1"/>
  <c r="AT860" i="1"/>
  <c r="AY860" i="1"/>
  <c r="AS1061" i="1"/>
  <c r="AV1061" i="1"/>
  <c r="AZ1107" i="1"/>
  <c r="BA1107" i="1" s="1"/>
  <c r="AW1107" i="1"/>
  <c r="AX1107" i="1" s="1"/>
  <c r="AT1034" i="1"/>
  <c r="AW1034" i="1" s="1"/>
  <c r="AX1034" i="1" s="1"/>
  <c r="AW784" i="1"/>
  <c r="AX784" i="1" s="1"/>
  <c r="AT810" i="1"/>
  <c r="AY810" i="1"/>
  <c r="AT1097" i="1"/>
  <c r="AW1097" i="1" s="1"/>
  <c r="AX1097" i="1" s="1"/>
  <c r="AY1097" i="1"/>
  <c r="AZ1106" i="1"/>
  <c r="BA1106" i="1" s="1"/>
  <c r="AW1106" i="1"/>
  <c r="AX1106" i="1" s="1"/>
  <c r="AZ1002" i="1"/>
  <c r="BA1002" i="1" s="1"/>
  <c r="AT857" i="1"/>
  <c r="AZ857" i="1" s="1"/>
  <c r="BA857" i="1" s="1"/>
  <c r="AY857" i="1"/>
  <c r="AW787" i="1"/>
  <c r="AX787" i="1" s="1"/>
  <c r="AZ814" i="1"/>
  <c r="BA814" i="1" s="1"/>
  <c r="AZ998" i="1"/>
  <c r="BA998" i="1" s="1"/>
  <c r="AW998" i="1"/>
  <c r="AW791" i="1"/>
  <c r="AX791" i="1" s="1"/>
  <c r="AT882" i="1"/>
  <c r="AZ882" i="1" s="1"/>
  <c r="BA882" i="1" s="1"/>
  <c r="AY882" i="1"/>
  <c r="AT1086" i="1"/>
  <c r="AW1086" i="1" s="1"/>
  <c r="AX1086" i="1" s="1"/>
  <c r="AY1086" i="1"/>
  <c r="AT1112" i="1"/>
  <c r="AY1112" i="1"/>
  <c r="AT876" i="1"/>
  <c r="AW876" i="1" s="1"/>
  <c r="AX876" i="1" s="1"/>
  <c r="AY876" i="1"/>
  <c r="AV942" i="1"/>
  <c r="AT1087" i="1"/>
  <c r="AY1087" i="1"/>
  <c r="AX776" i="1"/>
  <c r="AU708" i="1"/>
  <c r="AR708" i="1"/>
  <c r="AR725" i="1"/>
  <c r="AU725" i="1"/>
  <c r="AU988" i="1"/>
  <c r="AR988" i="1"/>
  <c r="AR1046" i="1"/>
  <c r="AU1046" i="1"/>
  <c r="AR984" i="1"/>
  <c r="AU984" i="1"/>
  <c r="AU981" i="1"/>
  <c r="AR981" i="1"/>
  <c r="AR751" i="1"/>
  <c r="AS1049" i="1"/>
  <c r="AU719" i="1"/>
  <c r="AR719" i="1"/>
  <c r="AS694" i="1"/>
  <c r="AU718" i="1"/>
  <c r="AR718" i="1"/>
  <c r="AR721" i="1"/>
  <c r="AU721" i="1"/>
  <c r="AS1041" i="1"/>
  <c r="AR748" i="1"/>
  <c r="AS930" i="1"/>
  <c r="AS1052" i="1"/>
  <c r="AR1052" i="1"/>
  <c r="AS755" i="1"/>
  <c r="AU715" i="1"/>
  <c r="AR715" i="1"/>
  <c r="AS964" i="1"/>
  <c r="AS701" i="1"/>
  <c r="AR711" i="1"/>
  <c r="AU711" i="1"/>
  <c r="AU697" i="1"/>
  <c r="AR697" i="1"/>
  <c r="AS750" i="1"/>
  <c r="AY750" i="1" s="1"/>
  <c r="AS736" i="1"/>
  <c r="AS722" i="1"/>
  <c r="AR756" i="1"/>
  <c r="AR742" i="1"/>
  <c r="AR728" i="1"/>
  <c r="AU728" i="1"/>
  <c r="AS932" i="1"/>
  <c r="AR1039" i="1"/>
  <c r="AU1039" i="1"/>
  <c r="AR1076" i="1"/>
  <c r="AU1076" i="1"/>
  <c r="AU1050" i="1"/>
  <c r="AR1050" i="1"/>
  <c r="AS940" i="1"/>
  <c r="AS934" i="1"/>
  <c r="AR934" i="1"/>
  <c r="AR936" i="1"/>
  <c r="AR949" i="1"/>
  <c r="AR1070" i="1"/>
  <c r="AU1070" i="1"/>
  <c r="AR944" i="1"/>
  <c r="AR928" i="1"/>
  <c r="AR991" i="1"/>
  <c r="AR693" i="1"/>
  <c r="AU693" i="1"/>
  <c r="AR738" i="1"/>
  <c r="AU738" i="1"/>
  <c r="AS975" i="1"/>
  <c r="AS759" i="1"/>
  <c r="AY759" i="1" s="1"/>
  <c r="AR965" i="1"/>
  <c r="AU965" i="1"/>
  <c r="AS989" i="1"/>
  <c r="AS743" i="1"/>
  <c r="AR749" i="1"/>
  <c r="AR987" i="1"/>
  <c r="AU987" i="1"/>
  <c r="AR717" i="1"/>
  <c r="AU717" i="1"/>
  <c r="AU957" i="1"/>
  <c r="AR957" i="1"/>
  <c r="AR688" i="1"/>
  <c r="AU688" i="1"/>
  <c r="AR982" i="1"/>
  <c r="AU982" i="1"/>
  <c r="AS1066" i="1"/>
  <c r="AU1071" i="1"/>
  <c r="AR1071" i="1"/>
  <c r="AR917" i="1"/>
  <c r="AS687" i="1"/>
  <c r="AS700" i="1"/>
  <c r="AU696" i="1"/>
  <c r="AR696" i="1"/>
  <c r="AS735" i="1"/>
  <c r="AR755" i="1"/>
  <c r="AR741" i="1"/>
  <c r="AU727" i="1"/>
  <c r="AR727" i="1"/>
  <c r="AS946" i="1"/>
  <c r="AU962" i="1"/>
  <c r="AR962" i="1"/>
  <c r="AS948" i="1"/>
  <c r="AU1037" i="1"/>
  <c r="AR1037" i="1"/>
  <c r="AU974" i="1"/>
  <c r="AR974" i="1"/>
  <c r="AU952" i="1"/>
  <c r="AR952" i="1"/>
  <c r="AU1049" i="1"/>
  <c r="AR1049" i="1"/>
  <c r="AR1048" i="1"/>
  <c r="AR918" i="1"/>
  <c r="AT783" i="1"/>
  <c r="AW783" i="1" s="1"/>
  <c r="AX783" i="1" s="1"/>
  <c r="AR911" i="1"/>
  <c r="AR919" i="1"/>
  <c r="AR967" i="1"/>
  <c r="AU967" i="1"/>
  <c r="AR948" i="1"/>
  <c r="AR694" i="1"/>
  <c r="AU694" i="1"/>
  <c r="AR1038" i="1"/>
  <c r="AU1038" i="1"/>
  <c r="AU707" i="1"/>
  <c r="AR707" i="1"/>
  <c r="AR752" i="1"/>
  <c r="AU977" i="1"/>
  <c r="AR977" i="1"/>
  <c r="AU1057" i="1"/>
  <c r="AR1057" i="1"/>
  <c r="AS710" i="1"/>
  <c r="AU737" i="1"/>
  <c r="AR737" i="1"/>
  <c r="AU1054" i="1"/>
  <c r="AR1054" i="1"/>
  <c r="AS1076" i="1"/>
  <c r="AU953" i="1"/>
  <c r="AR953" i="1"/>
  <c r="AS744" i="1"/>
  <c r="AY744" i="1" s="1"/>
  <c r="AU722" i="1"/>
  <c r="AR722" i="1"/>
  <c r="AS976" i="1"/>
  <c r="AS757" i="1"/>
  <c r="AR1058" i="1"/>
  <c r="AU1058" i="1"/>
  <c r="AS707" i="1"/>
  <c r="AR689" i="1"/>
  <c r="AU689" i="1"/>
  <c r="AS692" i="1"/>
  <c r="AS727" i="1"/>
  <c r="AS925" i="1"/>
  <c r="AS705" i="1"/>
  <c r="AS715" i="1"/>
  <c r="AS714" i="1"/>
  <c r="AS686" i="1"/>
  <c r="AU710" i="1"/>
  <c r="AR710" i="1"/>
  <c r="AS749" i="1"/>
  <c r="AS721" i="1"/>
  <c r="AS713" i="1"/>
  <c r="AS699" i="1"/>
  <c r="AR709" i="1"/>
  <c r="AU709" i="1"/>
  <c r="AU695" i="1"/>
  <c r="AR695" i="1"/>
  <c r="AS748" i="1"/>
  <c r="AS734" i="1"/>
  <c r="AS720" i="1"/>
  <c r="AR754" i="1"/>
  <c r="AR740" i="1"/>
  <c r="AU740" i="1"/>
  <c r="AU726" i="1"/>
  <c r="AR726" i="1"/>
  <c r="AR1043" i="1"/>
  <c r="AU1043" i="1"/>
  <c r="AU960" i="1"/>
  <c r="AR960" i="1"/>
  <c r="AU970" i="1"/>
  <c r="AR970" i="1"/>
  <c r="AR985" i="1"/>
  <c r="AU985" i="1"/>
  <c r="AU968" i="1"/>
  <c r="AR968" i="1"/>
  <c r="AS990" i="1"/>
  <c r="AR1064" i="1"/>
  <c r="AU1064" i="1"/>
  <c r="AR983" i="1"/>
  <c r="AU983" i="1"/>
  <c r="AS1045" i="1"/>
  <c r="AR924" i="1"/>
  <c r="AS1075" i="1"/>
  <c r="AS947" i="1"/>
  <c r="AR915" i="1"/>
  <c r="AR1055" i="1"/>
  <c r="AR1051" i="1"/>
  <c r="AU980" i="1"/>
  <c r="AR980" i="1"/>
  <c r="AS745" i="1"/>
  <c r="AU969" i="1"/>
  <c r="AR969" i="1"/>
  <c r="AS961" i="1"/>
  <c r="AS953" i="1"/>
  <c r="AU1074" i="1"/>
  <c r="AR1074" i="1"/>
  <c r="AR964" i="1"/>
  <c r="AU964" i="1"/>
  <c r="AS708" i="1"/>
  <c r="AU963" i="1"/>
  <c r="AR963" i="1"/>
  <c r="AS742" i="1"/>
  <c r="AR720" i="1"/>
  <c r="AU720" i="1"/>
  <c r="AU986" i="1"/>
  <c r="AR986" i="1"/>
  <c r="AU973" i="1"/>
  <c r="AR973" i="1"/>
  <c r="AR1044" i="1"/>
  <c r="AS691" i="1"/>
  <c r="AS754" i="1"/>
  <c r="AS966" i="1"/>
  <c r="AR1059" i="1"/>
  <c r="AU1059" i="1"/>
  <c r="AS986" i="1"/>
  <c r="AS971" i="1"/>
  <c r="AR1075" i="1"/>
  <c r="AU1075" i="1"/>
  <c r="AS927" i="1"/>
  <c r="AR927" i="1"/>
  <c r="AR908" i="1"/>
  <c r="AR935" i="1"/>
  <c r="AT778" i="1"/>
  <c r="AR945" i="1"/>
  <c r="AR753" i="1"/>
  <c r="AR739" i="1"/>
  <c r="AU739" i="1"/>
  <c r="AR956" i="1"/>
  <c r="AU956" i="1"/>
  <c r="AU724" i="1"/>
  <c r="AR724" i="1"/>
  <c r="AU1068" i="1"/>
  <c r="AR1068" i="1"/>
  <c r="AR929" i="1"/>
  <c r="AR931" i="1"/>
  <c r="AS696" i="1"/>
  <c r="AR706" i="1"/>
  <c r="AU706" i="1"/>
  <c r="AS731" i="1"/>
  <c r="AU723" i="1"/>
  <c r="AR723" i="1"/>
  <c r="AS985" i="1"/>
  <c r="AS1047" i="1"/>
  <c r="AU966" i="1"/>
  <c r="AR966" i="1"/>
  <c r="AS978" i="1"/>
  <c r="AR971" i="1"/>
  <c r="AU971" i="1"/>
  <c r="AS709" i="1"/>
  <c r="AR705" i="1"/>
  <c r="AU705" i="1"/>
  <c r="AR691" i="1"/>
  <c r="AU691" i="1"/>
  <c r="AS758" i="1"/>
  <c r="AY758" i="1" s="1"/>
  <c r="AS730" i="1"/>
  <c r="AR750" i="1"/>
  <c r="AR736" i="1"/>
  <c r="AU736" i="1"/>
  <c r="AR1040" i="1"/>
  <c r="AU1040" i="1"/>
  <c r="AR961" i="1"/>
  <c r="AU961" i="1"/>
  <c r="AS929" i="1"/>
  <c r="AU955" i="1"/>
  <c r="AR955" i="1"/>
  <c r="AR990" i="1"/>
  <c r="AS1073" i="1"/>
  <c r="AR704" i="1"/>
  <c r="AU704" i="1"/>
  <c r="AS729" i="1"/>
  <c r="AR735" i="1"/>
  <c r="AU735" i="1"/>
  <c r="AS973" i="1"/>
  <c r="AU1053" i="1"/>
  <c r="AR1053" i="1"/>
  <c r="AR975" i="1"/>
  <c r="AU975" i="1"/>
  <c r="AR1066" i="1"/>
  <c r="AU1066" i="1"/>
  <c r="AS693" i="1"/>
  <c r="AU703" i="1"/>
  <c r="AR703" i="1"/>
  <c r="AS756" i="1"/>
  <c r="AS728" i="1"/>
  <c r="AU734" i="1"/>
  <c r="AR734" i="1"/>
  <c r="AS987" i="1"/>
  <c r="AS977" i="1"/>
  <c r="AR1060" i="1"/>
  <c r="AU1060" i="1"/>
  <c r="AU958" i="1"/>
  <c r="AR958" i="1"/>
  <c r="AS914" i="1"/>
  <c r="AR938" i="1"/>
  <c r="AS706" i="1"/>
  <c r="AU716" i="1"/>
  <c r="AR716" i="1"/>
  <c r="AR702" i="1"/>
  <c r="AU702" i="1"/>
  <c r="AS741" i="1"/>
  <c r="AR747" i="1"/>
  <c r="AS933" i="1"/>
  <c r="AS967" i="1"/>
  <c r="AS962" i="1"/>
  <c r="AU972" i="1"/>
  <c r="AR972" i="1"/>
  <c r="AS1070" i="1"/>
  <c r="AR909" i="1"/>
  <c r="AR913" i="1"/>
  <c r="AR912" i="1"/>
  <c r="AS719" i="1"/>
  <c r="AR701" i="1"/>
  <c r="AU701" i="1"/>
  <c r="AS740" i="1"/>
  <c r="AS726" i="1"/>
  <c r="AR746" i="1"/>
  <c r="AR732" i="1"/>
  <c r="AU732" i="1"/>
  <c r="AS991" i="1"/>
  <c r="AS952" i="1"/>
  <c r="AR921" i="1"/>
  <c r="AR916" i="1"/>
  <c r="AR1069" i="1"/>
  <c r="AS718" i="1"/>
  <c r="AS704" i="1"/>
  <c r="AS690" i="1"/>
  <c r="AR714" i="1"/>
  <c r="AU714" i="1"/>
  <c r="AU700" i="1"/>
  <c r="AR700" i="1"/>
  <c r="AR686" i="1"/>
  <c r="AU686" i="1"/>
  <c r="AS753" i="1"/>
  <c r="AS739" i="1"/>
  <c r="AS725" i="1"/>
  <c r="AR759" i="1"/>
  <c r="AR745" i="1"/>
  <c r="AR731" i="1"/>
  <c r="AU731" i="1"/>
  <c r="AS922" i="1"/>
  <c r="AR978" i="1"/>
  <c r="AU978" i="1"/>
  <c r="AS909" i="1"/>
  <c r="AS717" i="1"/>
  <c r="AS703" i="1"/>
  <c r="AS689" i="1"/>
  <c r="AR713" i="1"/>
  <c r="AU713" i="1"/>
  <c r="AU699" i="1"/>
  <c r="AR699" i="1"/>
  <c r="AS752" i="1"/>
  <c r="AS738" i="1"/>
  <c r="AS724" i="1"/>
  <c r="AR758" i="1"/>
  <c r="AR744" i="1"/>
  <c r="AR730" i="1"/>
  <c r="AU730" i="1"/>
  <c r="AS936" i="1"/>
  <c r="AR1067" i="1"/>
  <c r="AU1067" i="1"/>
  <c r="AU954" i="1"/>
  <c r="AR954" i="1"/>
  <c r="AS980" i="1"/>
  <c r="AU1045" i="1"/>
  <c r="AR1045" i="1"/>
  <c r="AS951" i="1"/>
  <c r="AS960" i="1"/>
  <c r="AT781" i="1"/>
  <c r="AU1047" i="1"/>
  <c r="AR1047" i="1"/>
  <c r="AR920" i="1"/>
  <c r="AR937" i="1"/>
  <c r="AR930" i="1"/>
  <c r="AR959" i="1"/>
  <c r="AU959" i="1"/>
  <c r="AU989" i="1"/>
  <c r="AR989" i="1"/>
  <c r="AU692" i="1"/>
  <c r="AR692" i="1"/>
  <c r="AS915" i="1"/>
  <c r="AS1053" i="1"/>
  <c r="AS695" i="1"/>
  <c r="AR690" i="1"/>
  <c r="AU690" i="1"/>
  <c r="AR1065" i="1"/>
  <c r="AU1065" i="1"/>
  <c r="AR942" i="1"/>
  <c r="AS984" i="1"/>
  <c r="AU733" i="1"/>
  <c r="AR733" i="1"/>
  <c r="AS965" i="1"/>
  <c r="AS1069" i="1"/>
  <c r="AR687" i="1"/>
  <c r="AU687" i="1"/>
  <c r="AS716" i="1"/>
  <c r="AS702" i="1"/>
  <c r="AS688" i="1"/>
  <c r="AR712" i="1"/>
  <c r="AU712" i="1"/>
  <c r="AR698" i="1"/>
  <c r="AU698" i="1"/>
  <c r="AS751" i="1"/>
  <c r="AS737" i="1"/>
  <c r="AS723" i="1"/>
  <c r="AR757" i="1"/>
  <c r="AR743" i="1"/>
  <c r="AR729" i="1"/>
  <c r="AU729" i="1"/>
  <c r="AS908" i="1"/>
  <c r="AS918" i="1"/>
  <c r="AR976" i="1"/>
  <c r="AU976" i="1"/>
  <c r="AU1063" i="1"/>
  <c r="AR1063" i="1"/>
  <c r="AU1061" i="1"/>
  <c r="AR1061" i="1"/>
  <c r="AU1036" i="1"/>
  <c r="AR1036" i="1"/>
  <c r="AR1062" i="1"/>
  <c r="AU1062" i="1"/>
  <c r="AS988" i="1"/>
  <c r="AS924" i="1"/>
  <c r="AR922" i="1"/>
  <c r="AR941" i="1"/>
  <c r="AS913" i="1"/>
  <c r="AR1077" i="1"/>
  <c r="AP745" i="1"/>
  <c r="AV745" i="1" s="1"/>
  <c r="AQ745" i="1"/>
  <c r="AP744" i="1"/>
  <c r="AQ744" i="1"/>
  <c r="AP756" i="1"/>
  <c r="AQ756" i="1"/>
  <c r="AP742" i="1"/>
  <c r="AV742" i="1" s="1"/>
  <c r="AQ742" i="1"/>
  <c r="AP757" i="1"/>
  <c r="AV757" i="1" s="1"/>
  <c r="AQ757" i="1"/>
  <c r="AP743" i="1"/>
  <c r="AQ743" i="1"/>
  <c r="AP755" i="1"/>
  <c r="AQ755" i="1"/>
  <c r="AQ741" i="1"/>
  <c r="AP741" i="1"/>
  <c r="AP758" i="1"/>
  <c r="AQ758" i="1"/>
  <c r="AP753" i="1"/>
  <c r="AQ753" i="1"/>
  <c r="AP751" i="1"/>
  <c r="AV751" i="1" s="1"/>
  <c r="AQ751" i="1"/>
  <c r="AP750" i="1"/>
  <c r="AU750" i="1" s="1"/>
  <c r="AQ750" i="1"/>
  <c r="AP746" i="1"/>
  <c r="AT746" i="1" s="1"/>
  <c r="AQ746" i="1"/>
  <c r="AP754" i="1"/>
  <c r="AV754" i="1" s="1"/>
  <c r="AQ754" i="1"/>
  <c r="AP752" i="1"/>
  <c r="AQ752" i="1"/>
  <c r="AP749" i="1"/>
  <c r="AQ749" i="1"/>
  <c r="AP747" i="1"/>
  <c r="AQ747" i="1"/>
  <c r="AP759" i="1"/>
  <c r="AV759" i="1" s="1"/>
  <c r="AQ759" i="1"/>
  <c r="AP748" i="1"/>
  <c r="AQ748" i="1"/>
  <c r="AP676" i="1"/>
  <c r="AM685" i="1"/>
  <c r="AP685" i="1" s="1"/>
  <c r="AJ685" i="1"/>
  <c r="AA685" i="1"/>
  <c r="S685" i="1"/>
  <c r="O685" i="1"/>
  <c r="K685" i="1"/>
  <c r="AM684" i="1"/>
  <c r="AQ684" i="1" s="1"/>
  <c r="AJ684" i="1"/>
  <c r="AA684" i="1"/>
  <c r="S684" i="1"/>
  <c r="O684" i="1"/>
  <c r="K684" i="1"/>
  <c r="AM683" i="1"/>
  <c r="AP683" i="1" s="1"/>
  <c r="AJ683" i="1"/>
  <c r="AA683" i="1"/>
  <c r="S683" i="1"/>
  <c r="O683" i="1"/>
  <c r="K683" i="1"/>
  <c r="AM682" i="1"/>
  <c r="AQ682" i="1" s="1"/>
  <c r="AJ682" i="1"/>
  <c r="AA682" i="1"/>
  <c r="S682" i="1"/>
  <c r="O682" i="1"/>
  <c r="K682" i="1"/>
  <c r="AM681" i="1"/>
  <c r="AQ681" i="1" s="1"/>
  <c r="AJ681" i="1"/>
  <c r="AA681" i="1"/>
  <c r="S681" i="1"/>
  <c r="O681" i="1"/>
  <c r="K681" i="1"/>
  <c r="AM680" i="1"/>
  <c r="AP680" i="1" s="1"/>
  <c r="AJ680" i="1"/>
  <c r="AA680" i="1"/>
  <c r="S680" i="1"/>
  <c r="O680" i="1"/>
  <c r="K680" i="1"/>
  <c r="AM679" i="1"/>
  <c r="AQ679" i="1" s="1"/>
  <c r="AJ679" i="1"/>
  <c r="AA679" i="1"/>
  <c r="S679" i="1"/>
  <c r="O679" i="1"/>
  <c r="K679" i="1"/>
  <c r="AM678" i="1"/>
  <c r="AP678" i="1" s="1"/>
  <c r="AJ678" i="1"/>
  <c r="AA678" i="1"/>
  <c r="S678" i="1"/>
  <c r="O678" i="1"/>
  <c r="K678" i="1"/>
  <c r="AM677" i="1"/>
  <c r="AP677" i="1" s="1"/>
  <c r="AJ677" i="1"/>
  <c r="AA677" i="1"/>
  <c r="S677" i="1"/>
  <c r="O677" i="1"/>
  <c r="K677" i="1"/>
  <c r="AM676" i="1"/>
  <c r="AQ676" i="1" s="1"/>
  <c r="AJ676" i="1"/>
  <c r="AA676" i="1"/>
  <c r="S676" i="1"/>
  <c r="O676" i="1"/>
  <c r="K676" i="1"/>
  <c r="AM675" i="1"/>
  <c r="AP675" i="1" s="1"/>
  <c r="AJ675" i="1"/>
  <c r="AA675" i="1"/>
  <c r="S675" i="1"/>
  <c r="O675" i="1"/>
  <c r="K675" i="1"/>
  <c r="AM674" i="1"/>
  <c r="AP674" i="1" s="1"/>
  <c r="AJ674" i="1"/>
  <c r="AA674" i="1"/>
  <c r="S674" i="1"/>
  <c r="O674" i="1"/>
  <c r="K674" i="1"/>
  <c r="AV674" i="1" s="1"/>
  <c r="AM673" i="1"/>
  <c r="AP673" i="1" s="1"/>
  <c r="AJ673" i="1"/>
  <c r="AA673" i="1"/>
  <c r="S673" i="1"/>
  <c r="O673" i="1"/>
  <c r="K673" i="1"/>
  <c r="AM672" i="1"/>
  <c r="AP672" i="1" s="1"/>
  <c r="AJ672" i="1"/>
  <c r="AA672" i="1"/>
  <c r="S672" i="1"/>
  <c r="O672" i="1"/>
  <c r="K672" i="1"/>
  <c r="AM671" i="1"/>
  <c r="AP671" i="1" s="1"/>
  <c r="AJ671" i="1"/>
  <c r="AA671" i="1"/>
  <c r="S671" i="1"/>
  <c r="O671" i="1"/>
  <c r="K671" i="1"/>
  <c r="AM670" i="1"/>
  <c r="AQ670" i="1" s="1"/>
  <c r="AJ670" i="1"/>
  <c r="AA670" i="1"/>
  <c r="S670" i="1"/>
  <c r="O670" i="1"/>
  <c r="K670" i="1"/>
  <c r="AM669" i="1"/>
  <c r="AQ669" i="1" s="1"/>
  <c r="AJ669" i="1"/>
  <c r="AA669" i="1"/>
  <c r="S669" i="1"/>
  <c r="O669" i="1"/>
  <c r="K669" i="1"/>
  <c r="AM668" i="1"/>
  <c r="AQ668" i="1" s="1"/>
  <c r="AJ668" i="1"/>
  <c r="AA668" i="1"/>
  <c r="S668" i="1"/>
  <c r="O668" i="1"/>
  <c r="K668" i="1"/>
  <c r="AM667" i="1"/>
  <c r="AQ667" i="1" s="1"/>
  <c r="AJ667" i="1"/>
  <c r="AA667" i="1"/>
  <c r="S667" i="1"/>
  <c r="O667" i="1"/>
  <c r="K667" i="1"/>
  <c r="AM666" i="1"/>
  <c r="AQ666" i="1" s="1"/>
  <c r="AJ666" i="1"/>
  <c r="AA666" i="1"/>
  <c r="S666" i="1"/>
  <c r="O666" i="1"/>
  <c r="K666" i="1"/>
  <c r="AM665" i="1"/>
  <c r="AQ665" i="1" s="1"/>
  <c r="AJ665" i="1"/>
  <c r="AA665" i="1"/>
  <c r="S665" i="1"/>
  <c r="O665" i="1"/>
  <c r="K665" i="1"/>
  <c r="AM664" i="1"/>
  <c r="AQ664" i="1" s="1"/>
  <c r="AJ664" i="1"/>
  <c r="AA664" i="1"/>
  <c r="S664" i="1"/>
  <c r="O664" i="1"/>
  <c r="K664" i="1"/>
  <c r="AM663" i="1"/>
  <c r="AP663" i="1" s="1"/>
  <c r="AJ663" i="1"/>
  <c r="AA663" i="1"/>
  <c r="S663" i="1"/>
  <c r="O663" i="1"/>
  <c r="K663" i="1"/>
  <c r="AM662" i="1"/>
  <c r="AQ662" i="1" s="1"/>
  <c r="AJ662" i="1"/>
  <c r="AA662" i="1"/>
  <c r="S662" i="1"/>
  <c r="O662" i="1"/>
  <c r="K662" i="1"/>
  <c r="AM661" i="1"/>
  <c r="AP661" i="1" s="1"/>
  <c r="AJ661" i="1"/>
  <c r="AA661" i="1"/>
  <c r="S661" i="1"/>
  <c r="O661" i="1"/>
  <c r="K661" i="1"/>
  <c r="AM660" i="1"/>
  <c r="AP660" i="1" s="1"/>
  <c r="AJ660" i="1"/>
  <c r="AA660" i="1"/>
  <c r="S660" i="1"/>
  <c r="O660" i="1"/>
  <c r="K660" i="1"/>
  <c r="AV660" i="1" s="1"/>
  <c r="AM659" i="1"/>
  <c r="AP659" i="1" s="1"/>
  <c r="AJ659" i="1"/>
  <c r="AA659" i="1"/>
  <c r="S659" i="1"/>
  <c r="O659" i="1"/>
  <c r="K659" i="1"/>
  <c r="AM658" i="1"/>
  <c r="AP658" i="1" s="1"/>
  <c r="AJ658" i="1"/>
  <c r="AA658" i="1"/>
  <c r="S658" i="1"/>
  <c r="O658" i="1"/>
  <c r="K658" i="1"/>
  <c r="AM657" i="1"/>
  <c r="AP657" i="1" s="1"/>
  <c r="AJ657" i="1"/>
  <c r="AA657" i="1"/>
  <c r="S657" i="1"/>
  <c r="O657" i="1"/>
  <c r="K657" i="1"/>
  <c r="AM656" i="1"/>
  <c r="AQ656" i="1" s="1"/>
  <c r="AJ656" i="1"/>
  <c r="AA656" i="1"/>
  <c r="S656" i="1"/>
  <c r="O656" i="1"/>
  <c r="K656" i="1"/>
  <c r="AM655" i="1"/>
  <c r="AQ655" i="1" s="1"/>
  <c r="AJ655" i="1"/>
  <c r="AA655" i="1"/>
  <c r="S655" i="1"/>
  <c r="O655" i="1"/>
  <c r="K655" i="1"/>
  <c r="AM654" i="1"/>
  <c r="AQ654" i="1" s="1"/>
  <c r="AJ654" i="1"/>
  <c r="AA654" i="1"/>
  <c r="S654" i="1"/>
  <c r="O654" i="1"/>
  <c r="K654" i="1"/>
  <c r="AM653" i="1"/>
  <c r="AQ653" i="1" s="1"/>
  <c r="AJ653" i="1"/>
  <c r="AA653" i="1"/>
  <c r="S653" i="1"/>
  <c r="O653" i="1"/>
  <c r="K653" i="1"/>
  <c r="AM652" i="1"/>
  <c r="AP652" i="1" s="1"/>
  <c r="AJ652" i="1"/>
  <c r="AA652" i="1"/>
  <c r="S652" i="1"/>
  <c r="O652" i="1"/>
  <c r="K652" i="1"/>
  <c r="AM651" i="1"/>
  <c r="AQ651" i="1" s="1"/>
  <c r="AJ651" i="1"/>
  <c r="AA651" i="1"/>
  <c r="S651" i="1"/>
  <c r="O651" i="1"/>
  <c r="K651" i="1"/>
  <c r="AM650" i="1"/>
  <c r="AQ650" i="1" s="1"/>
  <c r="AJ650" i="1"/>
  <c r="AA650" i="1"/>
  <c r="S650" i="1"/>
  <c r="O650" i="1"/>
  <c r="K650" i="1"/>
  <c r="AZ819" i="1" l="1"/>
  <c r="BA819" i="1" s="1"/>
  <c r="AZ769" i="1"/>
  <c r="BA769" i="1" s="1"/>
  <c r="AZ894" i="1"/>
  <c r="BA894" i="1" s="1"/>
  <c r="AW1014" i="1"/>
  <c r="AX1014" i="1" s="1"/>
  <c r="AV750" i="1"/>
  <c r="AZ841" i="1"/>
  <c r="BA841" i="1" s="1"/>
  <c r="AZ1094" i="1"/>
  <c r="BA1094" i="1" s="1"/>
  <c r="AZ1096" i="1"/>
  <c r="BA1096" i="1" s="1"/>
  <c r="AZ1117" i="1"/>
  <c r="BA1117" i="1" s="1"/>
  <c r="AZ804" i="1"/>
  <c r="BA804" i="1" s="1"/>
  <c r="AZ935" i="1"/>
  <c r="BA935" i="1" s="1"/>
  <c r="AT1044" i="1"/>
  <c r="AZ1044" i="1" s="1"/>
  <c r="BA1044" i="1" s="1"/>
  <c r="AZ783" i="1"/>
  <c r="BA783" i="1" s="1"/>
  <c r="AZ1010" i="1"/>
  <c r="BA1010" i="1" s="1"/>
  <c r="AW840" i="1"/>
  <c r="AX840" i="1" s="1"/>
  <c r="AW1102" i="1"/>
  <c r="AX1102" i="1" s="1"/>
  <c r="AW902" i="1"/>
  <c r="AX902" i="1" s="1"/>
  <c r="AZ1112" i="1"/>
  <c r="BA1112" i="1" s="1"/>
  <c r="AZ789" i="1"/>
  <c r="BA789" i="1" s="1"/>
  <c r="AZ886" i="1"/>
  <c r="BA886" i="1" s="1"/>
  <c r="AW882" i="1"/>
  <c r="AX882" i="1" s="1"/>
  <c r="AY748" i="1"/>
  <c r="AZ1084" i="1"/>
  <c r="BA1084" i="1" s="1"/>
  <c r="AW843" i="1"/>
  <c r="AX843" i="1" s="1"/>
  <c r="AW808" i="1"/>
  <c r="AX808" i="1" s="1"/>
  <c r="AZ870" i="1"/>
  <c r="BA870" i="1" s="1"/>
  <c r="AZ832" i="1"/>
  <c r="BA832" i="1" s="1"/>
  <c r="AX781" i="1"/>
  <c r="AZ793" i="1"/>
  <c r="BA793" i="1" s="1"/>
  <c r="AZ1120" i="1"/>
  <c r="BA1120" i="1" s="1"/>
  <c r="AZ811" i="1"/>
  <c r="BA811" i="1" s="1"/>
  <c r="AZ837" i="1"/>
  <c r="BA837" i="1" s="1"/>
  <c r="AZ879" i="1"/>
  <c r="BA879" i="1" s="1"/>
  <c r="AZ885" i="1"/>
  <c r="BA885" i="1" s="1"/>
  <c r="AZ813" i="1"/>
  <c r="BA813" i="1" s="1"/>
  <c r="AZ860" i="1"/>
  <c r="BA860" i="1" s="1"/>
  <c r="AZ802" i="1"/>
  <c r="BA802" i="1" s="1"/>
  <c r="AY942" i="1"/>
  <c r="AW859" i="1"/>
  <c r="AX859" i="1" s="1"/>
  <c r="AW886" i="1"/>
  <c r="AX886" i="1" s="1"/>
  <c r="AZ898" i="1"/>
  <c r="BA898" i="1" s="1"/>
  <c r="AZ856" i="1"/>
  <c r="BA856" i="1" s="1"/>
  <c r="AZ1090" i="1"/>
  <c r="BA1090" i="1" s="1"/>
  <c r="AZ1119" i="1"/>
  <c r="BA1119" i="1" s="1"/>
  <c r="AZ994" i="1"/>
  <c r="BA994" i="1" s="1"/>
  <c r="AZ1118" i="1"/>
  <c r="BA1118" i="1" s="1"/>
  <c r="AZ795" i="1"/>
  <c r="BA795" i="1" s="1"/>
  <c r="AZ827" i="1"/>
  <c r="BA827" i="1" s="1"/>
  <c r="AZ833" i="1"/>
  <c r="BA833" i="1" s="1"/>
  <c r="AY754" i="1"/>
  <c r="AZ1015" i="1"/>
  <c r="BA1015" i="1" s="1"/>
  <c r="AZ823" i="1"/>
  <c r="BA823" i="1" s="1"/>
  <c r="AW853" i="1"/>
  <c r="AX853" i="1" s="1"/>
  <c r="AY957" i="1"/>
  <c r="AZ957" i="1" s="1"/>
  <c r="BA957" i="1" s="1"/>
  <c r="AZ1007" i="1"/>
  <c r="BA1007" i="1" s="1"/>
  <c r="AZ764" i="1"/>
  <c r="BA764" i="1" s="1"/>
  <c r="AZ890" i="1"/>
  <c r="BA890" i="1" s="1"/>
  <c r="AY1068" i="1"/>
  <c r="AZ1085" i="1"/>
  <c r="BA1085" i="1" s="1"/>
  <c r="AZ818" i="1"/>
  <c r="BA818" i="1" s="1"/>
  <c r="AW1030" i="1"/>
  <c r="AX1030" i="1" s="1"/>
  <c r="AZ897" i="1"/>
  <c r="BA897" i="1" s="1"/>
  <c r="AW789" i="1"/>
  <c r="AX789" i="1" s="1"/>
  <c r="AZ801" i="1"/>
  <c r="BA801" i="1" s="1"/>
  <c r="AZ919" i="1"/>
  <c r="BA919" i="1" s="1"/>
  <c r="AW848" i="1"/>
  <c r="AX848" i="1" s="1"/>
  <c r="AZ1020" i="1"/>
  <c r="BA1020" i="1" s="1"/>
  <c r="AW1021" i="1"/>
  <c r="AX1021" i="1" s="1"/>
  <c r="AZ923" i="1"/>
  <c r="BA923" i="1" s="1"/>
  <c r="AW831" i="1"/>
  <c r="AX831" i="1" s="1"/>
  <c r="AZ817" i="1"/>
  <c r="BA817" i="1" s="1"/>
  <c r="AW857" i="1"/>
  <c r="AX857" i="1" s="1"/>
  <c r="AU757" i="1"/>
  <c r="AZ766" i="1"/>
  <c r="BA766" i="1" s="1"/>
  <c r="AZ883" i="1"/>
  <c r="BA883" i="1" s="1"/>
  <c r="AW1051" i="1"/>
  <c r="AX1051" i="1" s="1"/>
  <c r="AY751" i="1"/>
  <c r="AW1101" i="1"/>
  <c r="AX1101" i="1" s="1"/>
  <c r="AZ1024" i="1"/>
  <c r="BA1024" i="1" s="1"/>
  <c r="AW868" i="1"/>
  <c r="AX868" i="1" s="1"/>
  <c r="AZ844" i="1"/>
  <c r="BA844" i="1" s="1"/>
  <c r="AW819" i="1"/>
  <c r="AX819" i="1" s="1"/>
  <c r="AZ782" i="1"/>
  <c r="BA782" i="1" s="1"/>
  <c r="AZ820" i="1"/>
  <c r="BA820" i="1" s="1"/>
  <c r="AW1108" i="1"/>
  <c r="AX1108" i="1" s="1"/>
  <c r="AZ872" i="1"/>
  <c r="BA872" i="1" s="1"/>
  <c r="AZ892" i="1"/>
  <c r="BA892" i="1" s="1"/>
  <c r="AZ836" i="1"/>
  <c r="BA836" i="1" s="1"/>
  <c r="AZ796" i="1"/>
  <c r="BA796" i="1" s="1"/>
  <c r="AZ895" i="1"/>
  <c r="BA895" i="1" s="1"/>
  <c r="AZ1034" i="1"/>
  <c r="BA1034" i="1" s="1"/>
  <c r="AZ871" i="1"/>
  <c r="BA871" i="1" s="1"/>
  <c r="AZ835" i="1"/>
  <c r="BA835" i="1" s="1"/>
  <c r="AZ1008" i="1"/>
  <c r="BA1008" i="1" s="1"/>
  <c r="AZ1115" i="1"/>
  <c r="BA1115" i="1" s="1"/>
  <c r="AZ1109" i="1"/>
  <c r="BA1109" i="1" s="1"/>
  <c r="AZ1019" i="1"/>
  <c r="BA1019" i="1" s="1"/>
  <c r="AZ1081" i="1"/>
  <c r="BA1081" i="1" s="1"/>
  <c r="AZ829" i="1"/>
  <c r="BA829" i="1" s="1"/>
  <c r="AZ838" i="1"/>
  <c r="BA838" i="1" s="1"/>
  <c r="AW774" i="1"/>
  <c r="AX774" i="1" s="1"/>
  <c r="AZ851" i="1"/>
  <c r="BA851" i="1" s="1"/>
  <c r="AZ875" i="1"/>
  <c r="BA875" i="1" s="1"/>
  <c r="AZ800" i="1"/>
  <c r="BA800" i="1" s="1"/>
  <c r="AZ809" i="1"/>
  <c r="BA809" i="1" s="1"/>
  <c r="AW802" i="1"/>
  <c r="AX802" i="1" s="1"/>
  <c r="AW1010" i="1"/>
  <c r="AX1010" i="1" s="1"/>
  <c r="AZ810" i="1"/>
  <c r="BA810" i="1" s="1"/>
  <c r="AZ904" i="1"/>
  <c r="BA904" i="1" s="1"/>
  <c r="AZ1011" i="1"/>
  <c r="BA1011" i="1" s="1"/>
  <c r="AZ1103" i="1"/>
  <c r="BA1103" i="1" s="1"/>
  <c r="AW827" i="1"/>
  <c r="AX827" i="1" s="1"/>
  <c r="AZ1045" i="1"/>
  <c r="BA1045" i="1" s="1"/>
  <c r="AW1045" i="1"/>
  <c r="AX1045" i="1" s="1"/>
  <c r="AT715" i="1"/>
  <c r="AY715" i="1"/>
  <c r="AW984" i="1"/>
  <c r="AX984" i="1" s="1"/>
  <c r="AT1062" i="1"/>
  <c r="AY1062" i="1"/>
  <c r="AS673" i="1"/>
  <c r="AV673" i="1"/>
  <c r="AU756" i="1"/>
  <c r="AT966" i="1"/>
  <c r="AW966" i="1" s="1"/>
  <c r="AX966" i="1" s="1"/>
  <c r="AY966" i="1"/>
  <c r="AT934" i="1"/>
  <c r="AY934" i="1"/>
  <c r="AW935" i="1"/>
  <c r="AX935" i="1" s="1"/>
  <c r="AZ707" i="1"/>
  <c r="BA707" i="1" s="1"/>
  <c r="AW707" i="1"/>
  <c r="AX707" i="1" s="1"/>
  <c r="AW1049" i="1"/>
  <c r="AX1049" i="1" s="1"/>
  <c r="AT940" i="1"/>
  <c r="AY940" i="1"/>
  <c r="AW1111" i="1"/>
  <c r="AX1111" i="1" s="1"/>
  <c r="AT959" i="1"/>
  <c r="AY959" i="1"/>
  <c r="AT912" i="1"/>
  <c r="AY912" i="1"/>
  <c r="AT974" i="1"/>
  <c r="AY974" i="1"/>
  <c r="AW795" i="1"/>
  <c r="AX795" i="1" s="1"/>
  <c r="AZ834" i="1"/>
  <c r="BA834" i="1" s="1"/>
  <c r="AW1120" i="1"/>
  <c r="AX1120" i="1" s="1"/>
  <c r="AZ878" i="1"/>
  <c r="BA878" i="1" s="1"/>
  <c r="AZ996" i="1"/>
  <c r="BA996" i="1" s="1"/>
  <c r="AS650" i="1"/>
  <c r="AS657" i="1"/>
  <c r="AV657" i="1"/>
  <c r="AS664" i="1"/>
  <c r="AS671" i="1"/>
  <c r="AV671" i="1"/>
  <c r="AS678" i="1"/>
  <c r="AV678" i="1"/>
  <c r="AS685" i="1"/>
  <c r="AV685" i="1"/>
  <c r="AU758" i="1"/>
  <c r="AU744" i="1"/>
  <c r="AT737" i="1"/>
  <c r="AY737" i="1"/>
  <c r="AW959" i="1"/>
  <c r="AX959" i="1" s="1"/>
  <c r="AZ954" i="1"/>
  <c r="BA954" i="1" s="1"/>
  <c r="AT739" i="1"/>
  <c r="AW739" i="1" s="1"/>
  <c r="AX739" i="1" s="1"/>
  <c r="AY739" i="1"/>
  <c r="AT952" i="1"/>
  <c r="AY952" i="1"/>
  <c r="AT914" i="1"/>
  <c r="AY914" i="1"/>
  <c r="AW706" i="1"/>
  <c r="AX706" i="1" s="1"/>
  <c r="AT691" i="1"/>
  <c r="AY691" i="1"/>
  <c r="AT1075" i="1"/>
  <c r="AY1075" i="1"/>
  <c r="AZ695" i="1"/>
  <c r="BA695" i="1" s="1"/>
  <c r="AW695" i="1"/>
  <c r="AX695" i="1" s="1"/>
  <c r="AT727" i="1"/>
  <c r="AY727" i="1"/>
  <c r="AT1076" i="1"/>
  <c r="AY1076" i="1"/>
  <c r="AT735" i="1"/>
  <c r="AZ735" i="1" s="1"/>
  <c r="BA735" i="1" s="1"/>
  <c r="AY735" i="1"/>
  <c r="AW957" i="1"/>
  <c r="AX957" i="1" s="1"/>
  <c r="AT1042" i="1"/>
  <c r="AY1042" i="1"/>
  <c r="AZ849" i="1"/>
  <c r="BA849" i="1" s="1"/>
  <c r="AW860" i="1"/>
  <c r="AX860" i="1" s="1"/>
  <c r="AT910" i="1"/>
  <c r="AY910" i="1"/>
  <c r="AT733" i="1"/>
  <c r="AY733" i="1"/>
  <c r="AW851" i="1"/>
  <c r="AX851" i="1" s="1"/>
  <c r="AT1040" i="1"/>
  <c r="AY1040" i="1"/>
  <c r="AW801" i="1"/>
  <c r="AX801" i="1" s="1"/>
  <c r="AZ891" i="1"/>
  <c r="BA891" i="1" s="1"/>
  <c r="AU741" i="1"/>
  <c r="AT984" i="1"/>
  <c r="AZ984" i="1" s="1"/>
  <c r="BA984" i="1" s="1"/>
  <c r="AY984" i="1"/>
  <c r="AT689" i="1"/>
  <c r="AW689" i="1" s="1"/>
  <c r="AX689" i="1" s="1"/>
  <c r="AY689" i="1"/>
  <c r="AY753" i="1"/>
  <c r="AT991" i="1"/>
  <c r="AY991" i="1"/>
  <c r="AZ972" i="1"/>
  <c r="BA972" i="1" s="1"/>
  <c r="AW972" i="1"/>
  <c r="AX972" i="1" s="1"/>
  <c r="AZ955" i="1"/>
  <c r="BA955" i="1" s="1"/>
  <c r="AW955" i="1"/>
  <c r="AX955" i="1" s="1"/>
  <c r="AT692" i="1"/>
  <c r="AY692" i="1"/>
  <c r="AZ952" i="1"/>
  <c r="BA952" i="1" s="1"/>
  <c r="AW952" i="1"/>
  <c r="AX952" i="1" s="1"/>
  <c r="AZ717" i="1"/>
  <c r="BA717" i="1" s="1"/>
  <c r="AW717" i="1"/>
  <c r="AX717" i="1" s="1"/>
  <c r="AZ1050" i="1"/>
  <c r="BA1050" i="1" s="1"/>
  <c r="AW1050" i="1"/>
  <c r="AX1050" i="1" s="1"/>
  <c r="AT926" i="1"/>
  <c r="AY926" i="1"/>
  <c r="AW1092" i="1"/>
  <c r="AX1092" i="1" s="1"/>
  <c r="AT943" i="1"/>
  <c r="AY943" i="1"/>
  <c r="AV744" i="1"/>
  <c r="AW804" i="1"/>
  <c r="AX804" i="1" s="1"/>
  <c r="AW823" i="1"/>
  <c r="AX823" i="1" s="1"/>
  <c r="AW793" i="1"/>
  <c r="AX793" i="1" s="1"/>
  <c r="AT1046" i="1"/>
  <c r="AW1046" i="1" s="1"/>
  <c r="AX1046" i="1" s="1"/>
  <c r="AY1046" i="1"/>
  <c r="AW885" i="1"/>
  <c r="AX885" i="1" s="1"/>
  <c r="AW904" i="1"/>
  <c r="AX904" i="1" s="1"/>
  <c r="AW1019" i="1"/>
  <c r="AX1019" i="1" s="1"/>
  <c r="AW828" i="1"/>
  <c r="AX828" i="1" s="1"/>
  <c r="AZ770" i="1"/>
  <c r="BA770" i="1" s="1"/>
  <c r="AW770" i="1"/>
  <c r="AX770" i="1" s="1"/>
  <c r="AT941" i="1"/>
  <c r="AY941" i="1"/>
  <c r="AT1048" i="1"/>
  <c r="AY1048" i="1"/>
  <c r="AZ785" i="1"/>
  <c r="BA785" i="1" s="1"/>
  <c r="AS655" i="1"/>
  <c r="AT655" i="1" s="1"/>
  <c r="AS662" i="1"/>
  <c r="AS669" i="1"/>
  <c r="AY669" i="1" s="1"/>
  <c r="AS676" i="1"/>
  <c r="AY676" i="1" s="1"/>
  <c r="AV676" i="1"/>
  <c r="AS683" i="1"/>
  <c r="AV683" i="1"/>
  <c r="AT703" i="1"/>
  <c r="AY703" i="1"/>
  <c r="AT962" i="1"/>
  <c r="AW962" i="1" s="1"/>
  <c r="AX962" i="1" s="1"/>
  <c r="AY962" i="1"/>
  <c r="AZ958" i="1"/>
  <c r="BA958" i="1" s="1"/>
  <c r="AW958" i="1"/>
  <c r="AX958" i="1" s="1"/>
  <c r="AT929" i="1"/>
  <c r="AY929" i="1"/>
  <c r="AT696" i="1"/>
  <c r="AW696" i="1" s="1"/>
  <c r="AX696" i="1" s="1"/>
  <c r="AY696" i="1"/>
  <c r="AT953" i="1"/>
  <c r="AY953" i="1"/>
  <c r="AZ953" i="1" s="1"/>
  <c r="BA953" i="1" s="1"/>
  <c r="AT1045" i="1"/>
  <c r="AY1045" i="1"/>
  <c r="AZ1043" i="1"/>
  <c r="BA1043" i="1" s="1"/>
  <c r="AW1043" i="1"/>
  <c r="AX1043" i="1" s="1"/>
  <c r="AZ1054" i="1"/>
  <c r="BA1054" i="1" s="1"/>
  <c r="AW1054" i="1"/>
  <c r="AX1054" i="1" s="1"/>
  <c r="AW1076" i="1"/>
  <c r="AX1076" i="1" s="1"/>
  <c r="AZ711" i="1"/>
  <c r="BA711" i="1" s="1"/>
  <c r="AT970" i="1"/>
  <c r="AY970" i="1"/>
  <c r="AW892" i="1"/>
  <c r="AX892" i="1" s="1"/>
  <c r="AT920" i="1"/>
  <c r="AY920" i="1"/>
  <c r="AT697" i="1"/>
  <c r="AZ697" i="1" s="1"/>
  <c r="BA697" i="1" s="1"/>
  <c r="AY697" i="1"/>
  <c r="AW762" i="1"/>
  <c r="AX762" i="1" s="1"/>
  <c r="AZ727" i="1"/>
  <c r="BA727" i="1" s="1"/>
  <c r="AW727" i="1"/>
  <c r="AX727" i="1" s="1"/>
  <c r="AX942" i="1"/>
  <c r="AT981" i="1"/>
  <c r="AW981" i="1" s="1"/>
  <c r="AX981" i="1" s="1"/>
  <c r="AY981" i="1"/>
  <c r="AS652" i="1"/>
  <c r="AV652" i="1"/>
  <c r="AS680" i="1"/>
  <c r="AV680" i="1"/>
  <c r="AU753" i="1"/>
  <c r="AT965" i="1"/>
  <c r="AW965" i="1" s="1"/>
  <c r="AX965" i="1" s="1"/>
  <c r="AY965" i="1"/>
  <c r="AZ965" i="1" s="1"/>
  <c r="BA965" i="1" s="1"/>
  <c r="AT705" i="1"/>
  <c r="AY705" i="1"/>
  <c r="AT736" i="1"/>
  <c r="AZ736" i="1" s="1"/>
  <c r="BA736" i="1" s="1"/>
  <c r="AY736" i="1"/>
  <c r="AV756" i="1"/>
  <c r="AT983" i="1"/>
  <c r="AW983" i="1" s="1"/>
  <c r="AX983" i="1" s="1"/>
  <c r="AY983" i="1"/>
  <c r="AT732" i="1"/>
  <c r="AW732" i="1" s="1"/>
  <c r="AX732" i="1" s="1"/>
  <c r="AY732" i="1"/>
  <c r="AT725" i="1"/>
  <c r="AW725" i="1" s="1"/>
  <c r="AX725" i="1" s="1"/>
  <c r="AY725" i="1"/>
  <c r="AT693" i="1"/>
  <c r="AY693" i="1"/>
  <c r="AT731" i="1"/>
  <c r="AW731" i="1" s="1"/>
  <c r="AX731" i="1" s="1"/>
  <c r="AY731" i="1"/>
  <c r="AT925" i="1"/>
  <c r="AY925" i="1"/>
  <c r="AT1041" i="1"/>
  <c r="AZ1041" i="1" s="1"/>
  <c r="BA1041" i="1" s="1"/>
  <c r="AY1041" i="1"/>
  <c r="AZ1065" i="1"/>
  <c r="BA1065" i="1" s="1"/>
  <c r="AW1065" i="1"/>
  <c r="AX1065" i="1" s="1"/>
  <c r="AZ1060" i="1"/>
  <c r="BA1060" i="1" s="1"/>
  <c r="AW1060" i="1"/>
  <c r="AX1060" i="1" s="1"/>
  <c r="AT709" i="1"/>
  <c r="AW709" i="1" s="1"/>
  <c r="AX709" i="1" s="1"/>
  <c r="AY709" i="1"/>
  <c r="AT961" i="1"/>
  <c r="AY961" i="1"/>
  <c r="AT954" i="1"/>
  <c r="AW954" i="1" s="1"/>
  <c r="AX954" i="1" s="1"/>
  <c r="AY954" i="1"/>
  <c r="AV653" i="1"/>
  <c r="AU755" i="1"/>
  <c r="AT909" i="1"/>
  <c r="AY909" i="1"/>
  <c r="AT707" i="1"/>
  <c r="AY707" i="1"/>
  <c r="AT701" i="1"/>
  <c r="AY701" i="1"/>
  <c r="AZ701" i="1" s="1"/>
  <c r="BA701" i="1" s="1"/>
  <c r="AZ1088" i="1"/>
  <c r="BA1088" i="1" s="1"/>
  <c r="AT1074" i="1"/>
  <c r="AY1074" i="1"/>
  <c r="AT931" i="1"/>
  <c r="AY931" i="1"/>
  <c r="AT928" i="1"/>
  <c r="AY928" i="1"/>
  <c r="AT918" i="1"/>
  <c r="AY918" i="1"/>
  <c r="AU747" i="1"/>
  <c r="AT927" i="1"/>
  <c r="AY927" i="1"/>
  <c r="AZ1058" i="1"/>
  <c r="BA1058" i="1" s="1"/>
  <c r="AW1058" i="1"/>
  <c r="AX1058" i="1" s="1"/>
  <c r="AZ1037" i="1"/>
  <c r="BA1037" i="1" s="1"/>
  <c r="AW1037" i="1"/>
  <c r="AX1037" i="1" s="1"/>
  <c r="AZ830" i="1"/>
  <c r="BA830" i="1" s="1"/>
  <c r="AT702" i="1"/>
  <c r="AY702" i="1"/>
  <c r="AW701" i="1"/>
  <c r="AX701" i="1" s="1"/>
  <c r="AT990" i="1"/>
  <c r="AY990" i="1"/>
  <c r="AZ1057" i="1"/>
  <c r="BA1057" i="1" s="1"/>
  <c r="AW1057" i="1"/>
  <c r="AX1057" i="1" s="1"/>
  <c r="AZ1071" i="1"/>
  <c r="BA1071" i="1" s="1"/>
  <c r="AW1071" i="1"/>
  <c r="AX1071" i="1" s="1"/>
  <c r="AT743" i="1"/>
  <c r="AY743" i="1"/>
  <c r="AZ715" i="1"/>
  <c r="BA715" i="1" s="1"/>
  <c r="AW715" i="1"/>
  <c r="AX715" i="1" s="1"/>
  <c r="AT1049" i="1"/>
  <c r="AY1049" i="1"/>
  <c r="AW863" i="1"/>
  <c r="AX863" i="1" s="1"/>
  <c r="AW837" i="1"/>
  <c r="AX837" i="1" s="1"/>
  <c r="AT1056" i="1"/>
  <c r="AY1056" i="1"/>
  <c r="AZ1086" i="1"/>
  <c r="BA1086" i="1" s="1"/>
  <c r="AW899" i="1"/>
  <c r="AX899" i="1" s="1"/>
  <c r="AZ1018" i="1"/>
  <c r="BA1018" i="1" s="1"/>
  <c r="AW895" i="1"/>
  <c r="AX895" i="1" s="1"/>
  <c r="AZ942" i="1"/>
  <c r="BA942" i="1" s="1"/>
  <c r="AW855" i="1"/>
  <c r="AX855" i="1" s="1"/>
  <c r="AV741" i="1"/>
  <c r="AW796" i="1"/>
  <c r="AX796" i="1" s="1"/>
  <c r="AW879" i="1"/>
  <c r="AX879" i="1" s="1"/>
  <c r="AW1024" i="1"/>
  <c r="AX1024" i="1" s="1"/>
  <c r="AV746" i="1"/>
  <c r="AY747" i="1"/>
  <c r="AW766" i="1"/>
  <c r="AX766" i="1" s="1"/>
  <c r="AW836" i="1"/>
  <c r="AX836" i="1" s="1"/>
  <c r="AW764" i="1"/>
  <c r="AX764" i="1" s="1"/>
  <c r="AZ774" i="1"/>
  <c r="BA774" i="1" s="1"/>
  <c r="AZ772" i="1"/>
  <c r="BA772" i="1" s="1"/>
  <c r="AZ997" i="1"/>
  <c r="BA997" i="1" s="1"/>
  <c r="AT939" i="1"/>
  <c r="AY939" i="1"/>
  <c r="AW1112" i="1"/>
  <c r="AX1112" i="1" s="1"/>
  <c r="AW923" i="1"/>
  <c r="AX923" i="1" s="1"/>
  <c r="AV663" i="1"/>
  <c r="AV677" i="1"/>
  <c r="AU748" i="1"/>
  <c r="AT988" i="1"/>
  <c r="AZ988" i="1" s="1"/>
  <c r="BA988" i="1" s="1"/>
  <c r="AY988" i="1"/>
  <c r="AT716" i="1"/>
  <c r="AZ716" i="1" s="1"/>
  <c r="BA716" i="1" s="1"/>
  <c r="AY716" i="1"/>
  <c r="AT1053" i="1"/>
  <c r="AZ1053" i="1" s="1"/>
  <c r="BA1053" i="1" s="1"/>
  <c r="AY1053" i="1"/>
  <c r="AT960" i="1"/>
  <c r="AW960" i="1" s="1"/>
  <c r="AX960" i="1" s="1"/>
  <c r="AY960" i="1"/>
  <c r="AT724" i="1"/>
  <c r="AW724" i="1" s="1"/>
  <c r="AX724" i="1" s="1"/>
  <c r="AY724" i="1"/>
  <c r="AT690" i="1"/>
  <c r="AY690" i="1"/>
  <c r="AT971" i="1"/>
  <c r="AW971" i="1" s="1"/>
  <c r="AX971" i="1" s="1"/>
  <c r="AY971" i="1"/>
  <c r="AY742" i="1"/>
  <c r="AZ980" i="1"/>
  <c r="BA980" i="1" s="1"/>
  <c r="AW980" i="1"/>
  <c r="AX980" i="1" s="1"/>
  <c r="AT976" i="1"/>
  <c r="AZ976" i="1" s="1"/>
  <c r="BA976" i="1" s="1"/>
  <c r="AY976" i="1"/>
  <c r="AT1066" i="1"/>
  <c r="AZ1066" i="1" s="1"/>
  <c r="BA1066" i="1" s="1"/>
  <c r="AY1066" i="1"/>
  <c r="AT989" i="1"/>
  <c r="AZ989" i="1" s="1"/>
  <c r="BA989" i="1" s="1"/>
  <c r="AY989" i="1"/>
  <c r="AY755" i="1"/>
  <c r="AW833" i="1"/>
  <c r="AX833" i="1" s="1"/>
  <c r="AW1084" i="1"/>
  <c r="AX1084" i="1" s="1"/>
  <c r="AW845" i="1"/>
  <c r="AX845" i="1" s="1"/>
  <c r="AW1081" i="1"/>
  <c r="AX1081" i="1" s="1"/>
  <c r="AW839" i="1"/>
  <c r="AX839" i="1" s="1"/>
  <c r="AV755" i="1"/>
  <c r="AY746" i="1"/>
  <c r="AW870" i="1"/>
  <c r="AX870" i="1" s="1"/>
  <c r="AW1109" i="1"/>
  <c r="AX1109" i="1" s="1"/>
  <c r="AT698" i="1"/>
  <c r="AW698" i="1" s="1"/>
  <c r="AX698" i="1" s="1"/>
  <c r="AY698" i="1"/>
  <c r="AT730" i="1"/>
  <c r="AY730" i="1"/>
  <c r="AT708" i="1"/>
  <c r="AY708" i="1"/>
  <c r="AZ688" i="1"/>
  <c r="BA688" i="1" s="1"/>
  <c r="AW688" i="1"/>
  <c r="AX688" i="1" s="1"/>
  <c r="AT930" i="1"/>
  <c r="AY930" i="1"/>
  <c r="AS659" i="1"/>
  <c r="AV659" i="1"/>
  <c r="AT706" i="1"/>
  <c r="AY706" i="1"/>
  <c r="AT975" i="1"/>
  <c r="AY975" i="1"/>
  <c r="AT723" i="1"/>
  <c r="AY723" i="1"/>
  <c r="AT1070" i="1"/>
  <c r="AW1070" i="1" s="1"/>
  <c r="AX1070" i="1" s="1"/>
  <c r="AY1070" i="1"/>
  <c r="AW953" i="1"/>
  <c r="AX953" i="1" s="1"/>
  <c r="AT936" i="1"/>
  <c r="AY936" i="1"/>
  <c r="AT699" i="1"/>
  <c r="AW699" i="1" s="1"/>
  <c r="AX699" i="1" s="1"/>
  <c r="AY699" i="1"/>
  <c r="AW974" i="1"/>
  <c r="AX974" i="1" s="1"/>
  <c r="AT747" i="1"/>
  <c r="AW829" i="1"/>
  <c r="AX829" i="1" s="1"/>
  <c r="AW810" i="1"/>
  <c r="AX810" i="1" s="1"/>
  <c r="AZ780" i="1"/>
  <c r="BA780" i="1" s="1"/>
  <c r="AW780" i="1"/>
  <c r="AX780" i="1" s="1"/>
  <c r="AT921" i="1"/>
  <c r="AY921" i="1"/>
  <c r="AW769" i="1"/>
  <c r="AX769" i="1" s="1"/>
  <c r="AT913" i="1"/>
  <c r="AY913" i="1"/>
  <c r="AZ1039" i="1"/>
  <c r="BA1039" i="1" s="1"/>
  <c r="AW1039" i="1"/>
  <c r="AX1039" i="1" s="1"/>
  <c r="AZ1098" i="1"/>
  <c r="BA1098" i="1" s="1"/>
  <c r="AW841" i="1"/>
  <c r="AX841" i="1" s="1"/>
  <c r="AT726" i="1"/>
  <c r="AZ726" i="1" s="1"/>
  <c r="BA726" i="1" s="1"/>
  <c r="AY726" i="1"/>
  <c r="AZ1040" i="1"/>
  <c r="BA1040" i="1" s="1"/>
  <c r="AW1040" i="1"/>
  <c r="AX1040" i="1" s="1"/>
  <c r="AZ969" i="1"/>
  <c r="BA969" i="1" s="1"/>
  <c r="AW969" i="1"/>
  <c r="AX969" i="1" s="1"/>
  <c r="AT964" i="1"/>
  <c r="AY964" i="1"/>
  <c r="AZ876" i="1"/>
  <c r="BA876" i="1" s="1"/>
  <c r="AW894" i="1"/>
  <c r="AX894" i="1" s="1"/>
  <c r="AV658" i="1"/>
  <c r="AT908" i="1"/>
  <c r="AY908" i="1"/>
  <c r="AT973" i="1"/>
  <c r="AY973" i="1"/>
  <c r="AT978" i="1"/>
  <c r="AW978" i="1" s="1"/>
  <c r="AX978" i="1" s="1"/>
  <c r="AY978" i="1"/>
  <c r="AT749" i="1"/>
  <c r="AY749" i="1"/>
  <c r="AT948" i="1"/>
  <c r="AY948" i="1"/>
  <c r="AU749" i="1"/>
  <c r="AT932" i="1"/>
  <c r="AY932" i="1"/>
  <c r="AV743" i="1"/>
  <c r="AT1067" i="1"/>
  <c r="AY1067" i="1"/>
  <c r="AV753" i="1"/>
  <c r="AT1077" i="1"/>
  <c r="AY1077" i="1"/>
  <c r="AV747" i="1"/>
  <c r="AT757" i="1"/>
  <c r="AW757" i="1" s="1"/>
  <c r="AX757" i="1" s="1"/>
  <c r="AY757" i="1"/>
  <c r="AT738" i="1"/>
  <c r="AY738" i="1"/>
  <c r="AT719" i="1"/>
  <c r="AW719" i="1" s="1"/>
  <c r="AX719" i="1" s="1"/>
  <c r="AY719" i="1"/>
  <c r="AT728" i="1"/>
  <c r="AY728" i="1"/>
  <c r="AT1047" i="1"/>
  <c r="AY1047" i="1"/>
  <c r="AT986" i="1"/>
  <c r="AY986" i="1"/>
  <c r="AT686" i="1"/>
  <c r="AY686" i="1"/>
  <c r="AZ982" i="1"/>
  <c r="BA982" i="1" s="1"/>
  <c r="AW982" i="1"/>
  <c r="AX982" i="1" s="1"/>
  <c r="AT1072" i="1"/>
  <c r="AY1072" i="1"/>
  <c r="AW1082" i="1"/>
  <c r="AX1082" i="1" s="1"/>
  <c r="AW883" i="1"/>
  <c r="AX883" i="1" s="1"/>
  <c r="AT1069" i="1"/>
  <c r="AY1069" i="1"/>
  <c r="AT734" i="1"/>
  <c r="AY734" i="1"/>
  <c r="AT722" i="1"/>
  <c r="AZ722" i="1" s="1"/>
  <c r="BA722" i="1" s="1"/>
  <c r="AY722" i="1"/>
  <c r="AT956" i="1"/>
  <c r="AW956" i="1" s="1"/>
  <c r="AX956" i="1" s="1"/>
  <c r="AY956" i="1"/>
  <c r="AS666" i="1"/>
  <c r="AZ1036" i="1"/>
  <c r="BA1036" i="1" s="1"/>
  <c r="AW1036" i="1"/>
  <c r="AX1036" i="1" s="1"/>
  <c r="AT980" i="1"/>
  <c r="AY980" i="1"/>
  <c r="AT1073" i="1"/>
  <c r="AY1073" i="1"/>
  <c r="AT963" i="1"/>
  <c r="AW963" i="1" s="1"/>
  <c r="AX963" i="1" s="1"/>
  <c r="AY963" i="1"/>
  <c r="AT947" i="1"/>
  <c r="AY947" i="1"/>
  <c r="AT717" i="1"/>
  <c r="AY717" i="1"/>
  <c r="AT967" i="1"/>
  <c r="AW967" i="1" s="1"/>
  <c r="AX967" i="1" s="1"/>
  <c r="AY967" i="1"/>
  <c r="AZ961" i="1"/>
  <c r="BA961" i="1" s="1"/>
  <c r="AW961" i="1"/>
  <c r="AX961" i="1" s="1"/>
  <c r="AZ973" i="1"/>
  <c r="BA973" i="1" s="1"/>
  <c r="AW973" i="1"/>
  <c r="AX973" i="1" s="1"/>
  <c r="AZ983" i="1"/>
  <c r="BA983" i="1" s="1"/>
  <c r="AT700" i="1"/>
  <c r="AY700" i="1"/>
  <c r="AZ778" i="1"/>
  <c r="BA778" i="1" s="1"/>
  <c r="AW778" i="1"/>
  <c r="AX778" i="1" s="1"/>
  <c r="AV667" i="1"/>
  <c r="AT933" i="1"/>
  <c r="AY933" i="1"/>
  <c r="AT713" i="1"/>
  <c r="AW713" i="1" s="1"/>
  <c r="AX713" i="1" s="1"/>
  <c r="AY713" i="1"/>
  <c r="AZ737" i="1"/>
  <c r="BA737" i="1" s="1"/>
  <c r="AW737" i="1"/>
  <c r="AX737" i="1" s="1"/>
  <c r="AT687" i="1"/>
  <c r="AW687" i="1" s="1"/>
  <c r="AX687" i="1" s="1"/>
  <c r="AY687" i="1"/>
  <c r="AT694" i="1"/>
  <c r="AY694" i="1"/>
  <c r="AW771" i="1"/>
  <c r="AX771" i="1" s="1"/>
  <c r="AZ767" i="1"/>
  <c r="BA767" i="1" s="1"/>
  <c r="AW767" i="1"/>
  <c r="AX767" i="1" s="1"/>
  <c r="AW1083" i="1"/>
  <c r="AX1083" i="1" s="1"/>
  <c r="AT949" i="1"/>
  <c r="AY949" i="1"/>
  <c r="AT712" i="1"/>
  <c r="AY712" i="1"/>
  <c r="AT917" i="1"/>
  <c r="AY917" i="1"/>
  <c r="AZ700" i="1"/>
  <c r="BA700" i="1" s="1"/>
  <c r="AW700" i="1"/>
  <c r="AX700" i="1" s="1"/>
  <c r="AT977" i="1"/>
  <c r="AW977" i="1" s="1"/>
  <c r="AX977" i="1" s="1"/>
  <c r="AY977" i="1"/>
  <c r="AZ986" i="1"/>
  <c r="BA986" i="1" s="1"/>
  <c r="AW986" i="1"/>
  <c r="AX986" i="1" s="1"/>
  <c r="AW1064" i="1"/>
  <c r="AX1064" i="1" s="1"/>
  <c r="AZ1064" i="1"/>
  <c r="BA1064" i="1" s="1"/>
  <c r="AT721" i="1"/>
  <c r="AZ721" i="1" s="1"/>
  <c r="BA721" i="1" s="1"/>
  <c r="AY721" i="1"/>
  <c r="AT710" i="1"/>
  <c r="AW710" i="1" s="1"/>
  <c r="AX710" i="1" s="1"/>
  <c r="AY710" i="1"/>
  <c r="AT1039" i="1"/>
  <c r="AY1039" i="1"/>
  <c r="AT955" i="1"/>
  <c r="AY955" i="1"/>
  <c r="AV672" i="1"/>
  <c r="AU746" i="1"/>
  <c r="AT688" i="1"/>
  <c r="AY688" i="1"/>
  <c r="AT740" i="1"/>
  <c r="AW740" i="1" s="1"/>
  <c r="AX740" i="1" s="1"/>
  <c r="AY740" i="1"/>
  <c r="AT987" i="1"/>
  <c r="AY987" i="1"/>
  <c r="AZ1068" i="1"/>
  <c r="BA1068" i="1" s="1"/>
  <c r="AW1068" i="1"/>
  <c r="AX1068" i="1" s="1"/>
  <c r="AT745" i="1"/>
  <c r="AY745" i="1"/>
  <c r="AV749" i="1"/>
  <c r="AT924" i="1"/>
  <c r="AY924" i="1"/>
  <c r="AT695" i="1"/>
  <c r="AY695" i="1"/>
  <c r="AT922" i="1"/>
  <c r="AY922" i="1"/>
  <c r="AT741" i="1"/>
  <c r="AY741" i="1"/>
  <c r="AU743" i="1"/>
  <c r="AT915" i="1"/>
  <c r="AY915" i="1"/>
  <c r="AT951" i="1"/>
  <c r="AY951" i="1"/>
  <c r="AT704" i="1"/>
  <c r="AY704" i="1"/>
  <c r="AT729" i="1"/>
  <c r="AW729" i="1" s="1"/>
  <c r="AX729" i="1" s="1"/>
  <c r="AY729" i="1"/>
  <c r="AZ750" i="1"/>
  <c r="BA750" i="1" s="1"/>
  <c r="AW750" i="1"/>
  <c r="AX750" i="1" s="1"/>
  <c r="AZ956" i="1"/>
  <c r="BA956" i="1" s="1"/>
  <c r="AU754" i="1"/>
  <c r="AT946" i="1"/>
  <c r="AY946" i="1"/>
  <c r="AZ773" i="1"/>
  <c r="BA773" i="1" s="1"/>
  <c r="AW1094" i="1"/>
  <c r="AX1094" i="1" s="1"/>
  <c r="AT916" i="1"/>
  <c r="AY916" i="1"/>
  <c r="AW919" i="1"/>
  <c r="AX919" i="1" s="1"/>
  <c r="AW890" i="1"/>
  <c r="AX890" i="1" s="1"/>
  <c r="AT968" i="1"/>
  <c r="AY968" i="1"/>
  <c r="AW824" i="1"/>
  <c r="AX824" i="1" s="1"/>
  <c r="AT1063" i="1"/>
  <c r="AW1063" i="1" s="1"/>
  <c r="AX1063" i="1" s="1"/>
  <c r="AY1063" i="1"/>
  <c r="AW811" i="1"/>
  <c r="AX811" i="1" s="1"/>
  <c r="AW880" i="1"/>
  <c r="AX880" i="1" s="1"/>
  <c r="AW763" i="1"/>
  <c r="AX763" i="1" s="1"/>
  <c r="AT979" i="1"/>
  <c r="AY979" i="1"/>
  <c r="AW1015" i="1"/>
  <c r="AX1015" i="1" s="1"/>
  <c r="AW798" i="1"/>
  <c r="AX798" i="1" s="1"/>
  <c r="AT937" i="1"/>
  <c r="AY937" i="1"/>
  <c r="AV752" i="1"/>
  <c r="AW799" i="1"/>
  <c r="AX799" i="1" s="1"/>
  <c r="AS654" i="1"/>
  <c r="AS661" i="1"/>
  <c r="AV661" i="1"/>
  <c r="AS668" i="1"/>
  <c r="AS675" i="1"/>
  <c r="AV675" i="1"/>
  <c r="AS682" i="1"/>
  <c r="AU759" i="1"/>
  <c r="AU751" i="1"/>
  <c r="AU742" i="1"/>
  <c r="AT752" i="1"/>
  <c r="AY752" i="1"/>
  <c r="AU745" i="1"/>
  <c r="AT718" i="1"/>
  <c r="AW718" i="1" s="1"/>
  <c r="AX718" i="1" s="1"/>
  <c r="AY718" i="1"/>
  <c r="AY756" i="1"/>
  <c r="AT985" i="1"/>
  <c r="AY985" i="1"/>
  <c r="AZ1059" i="1"/>
  <c r="BA1059" i="1" s="1"/>
  <c r="AW1059" i="1"/>
  <c r="AX1059" i="1" s="1"/>
  <c r="AZ985" i="1"/>
  <c r="BA985" i="1" s="1"/>
  <c r="AW985" i="1"/>
  <c r="AX985" i="1" s="1"/>
  <c r="AT720" i="1"/>
  <c r="AZ720" i="1" s="1"/>
  <c r="BA720" i="1" s="1"/>
  <c r="AY720" i="1"/>
  <c r="AT714" i="1"/>
  <c r="AY714" i="1"/>
  <c r="AW722" i="1"/>
  <c r="AX722" i="1" s="1"/>
  <c r="AU752" i="1"/>
  <c r="AT1052" i="1"/>
  <c r="AY1052" i="1"/>
  <c r="AT1061" i="1"/>
  <c r="AY1061" i="1"/>
  <c r="AX938" i="1"/>
  <c r="AT1055" i="1"/>
  <c r="AY1055" i="1"/>
  <c r="AT1038" i="1"/>
  <c r="AW1038" i="1" s="1"/>
  <c r="AX1038" i="1" s="1"/>
  <c r="AY1038" i="1"/>
  <c r="AT944" i="1"/>
  <c r="AY944" i="1"/>
  <c r="AW1041" i="1"/>
  <c r="AX1041" i="1" s="1"/>
  <c r="AT711" i="1"/>
  <c r="AW711" i="1" s="1"/>
  <c r="AX711" i="1" s="1"/>
  <c r="AY711" i="1"/>
  <c r="AT911" i="1"/>
  <c r="AY911" i="1"/>
  <c r="AT945" i="1"/>
  <c r="AY945" i="1"/>
  <c r="AR672" i="1"/>
  <c r="AU672" i="1"/>
  <c r="AR654" i="1"/>
  <c r="AR668" i="1"/>
  <c r="AS651" i="1"/>
  <c r="AR655" i="1"/>
  <c r="AS665" i="1"/>
  <c r="AR669" i="1"/>
  <c r="AS679" i="1"/>
  <c r="AR658" i="1"/>
  <c r="AU658" i="1"/>
  <c r="AR663" i="1"/>
  <c r="AU663" i="1"/>
  <c r="AR677" i="1"/>
  <c r="AU677" i="1"/>
  <c r="AT742" i="1"/>
  <c r="AT664" i="1"/>
  <c r="AR682" i="1"/>
  <c r="AU682" i="1"/>
  <c r="AS658" i="1"/>
  <c r="AR662" i="1"/>
  <c r="AS672" i="1"/>
  <c r="AU676" i="1"/>
  <c r="AR676" i="1"/>
  <c r="AR683" i="1"/>
  <c r="AU683" i="1"/>
  <c r="AR653" i="1"/>
  <c r="AS656" i="1"/>
  <c r="AU660" i="1"/>
  <c r="AR660" i="1"/>
  <c r="AS663" i="1"/>
  <c r="AR667" i="1"/>
  <c r="AU667" i="1"/>
  <c r="AS670" i="1"/>
  <c r="AR674" i="1"/>
  <c r="AU674" i="1"/>
  <c r="AS677" i="1"/>
  <c r="AR681" i="1"/>
  <c r="AS684" i="1"/>
  <c r="AT750" i="1"/>
  <c r="AR684" i="1"/>
  <c r="AR680" i="1"/>
  <c r="AU680" i="1"/>
  <c r="AT748" i="1"/>
  <c r="AT755" i="1"/>
  <c r="AR651" i="1"/>
  <c r="AR670" i="1"/>
  <c r="AR661" i="1"/>
  <c r="AU661" i="1"/>
  <c r="AR675" i="1"/>
  <c r="AU675" i="1"/>
  <c r="AT756" i="1"/>
  <c r="AT751" i="1"/>
  <c r="AU652" i="1"/>
  <c r="AR652" i="1"/>
  <c r="AR666" i="1"/>
  <c r="AR657" i="1"/>
  <c r="AU657" i="1"/>
  <c r="AT753" i="1"/>
  <c r="AT759" i="1"/>
  <c r="AR665" i="1"/>
  <c r="AR679" i="1"/>
  <c r="AR656" i="1"/>
  <c r="AR659" i="1"/>
  <c r="AU659" i="1"/>
  <c r="AU673" i="1"/>
  <c r="AR673" i="1"/>
  <c r="AT676" i="1"/>
  <c r="AT758" i="1"/>
  <c r="AT744" i="1"/>
  <c r="AR650" i="1"/>
  <c r="AS653" i="1"/>
  <c r="AS660" i="1"/>
  <c r="AR664" i="1"/>
  <c r="AS667" i="1"/>
  <c r="AY667" i="1" s="1"/>
  <c r="AU671" i="1"/>
  <c r="AR671" i="1"/>
  <c r="AS674" i="1"/>
  <c r="AR678" i="1"/>
  <c r="AU678" i="1"/>
  <c r="AS681" i="1"/>
  <c r="AR685" i="1"/>
  <c r="AU685" i="1"/>
  <c r="AT754" i="1"/>
  <c r="AQ671" i="1"/>
  <c r="AQ659" i="1"/>
  <c r="AQ657" i="1"/>
  <c r="AP669" i="1"/>
  <c r="AP668" i="1"/>
  <c r="AV668" i="1" s="1"/>
  <c r="AP666" i="1"/>
  <c r="AV666" i="1" s="1"/>
  <c r="AP664" i="1"/>
  <c r="AQ652" i="1"/>
  <c r="AP662" i="1"/>
  <c r="AP655" i="1"/>
  <c r="AV655" i="1" s="1"/>
  <c r="AQ685" i="1"/>
  <c r="AP667" i="1"/>
  <c r="AP653" i="1"/>
  <c r="AQ683" i="1"/>
  <c r="AQ680" i="1"/>
  <c r="AQ678" i="1"/>
  <c r="AQ674" i="1"/>
  <c r="AQ675" i="1"/>
  <c r="AQ673" i="1"/>
  <c r="AP650" i="1"/>
  <c r="AU650" i="1" s="1"/>
  <c r="AP654" i="1"/>
  <c r="AP682" i="1"/>
  <c r="AQ661" i="1"/>
  <c r="AP681" i="1"/>
  <c r="AV681" i="1" s="1"/>
  <c r="AQ660" i="1"/>
  <c r="AP665" i="1"/>
  <c r="AV665" i="1" s="1"/>
  <c r="AP684" i="1"/>
  <c r="AV684" i="1" s="1"/>
  <c r="AP670" i="1"/>
  <c r="AV670" i="1" s="1"/>
  <c r="AP656" i="1"/>
  <c r="AQ677" i="1"/>
  <c r="AQ663" i="1"/>
  <c r="AP679" i="1"/>
  <c r="AQ658" i="1"/>
  <c r="AQ672" i="1"/>
  <c r="AP651" i="1"/>
  <c r="AZ705" i="1" l="1"/>
  <c r="BA705" i="1" s="1"/>
  <c r="AZ689" i="1"/>
  <c r="BA689" i="1" s="1"/>
  <c r="AZ691" i="1"/>
  <c r="BA691" i="1" s="1"/>
  <c r="AW1053" i="1"/>
  <c r="AX1053" i="1" s="1"/>
  <c r="AZ1063" i="1"/>
  <c r="BA1063" i="1" s="1"/>
  <c r="AZ1047" i="1"/>
  <c r="BA1047" i="1" s="1"/>
  <c r="AZ710" i="1"/>
  <c r="BA710" i="1" s="1"/>
  <c r="AZ714" i="1"/>
  <c r="BA714" i="1" s="1"/>
  <c r="AZ1070" i="1"/>
  <c r="BA1070" i="1" s="1"/>
  <c r="AZ728" i="1"/>
  <c r="BA728" i="1" s="1"/>
  <c r="AU668" i="1"/>
  <c r="AW721" i="1"/>
  <c r="AX721" i="1" s="1"/>
  <c r="AZ708" i="1"/>
  <c r="BA708" i="1" s="1"/>
  <c r="AU666" i="1"/>
  <c r="AZ666" i="1" s="1"/>
  <c r="BA666" i="1" s="1"/>
  <c r="AZ704" i="1"/>
  <c r="BA704" i="1" s="1"/>
  <c r="AZ692" i="1"/>
  <c r="BA692" i="1" s="1"/>
  <c r="AZ738" i="1"/>
  <c r="BA738" i="1" s="1"/>
  <c r="AZ703" i="1"/>
  <c r="BA703" i="1" s="1"/>
  <c r="AZ963" i="1"/>
  <c r="BA963" i="1" s="1"/>
  <c r="AZ706" i="1"/>
  <c r="BA706" i="1" s="1"/>
  <c r="AZ690" i="1"/>
  <c r="BA690" i="1" s="1"/>
  <c r="AY666" i="1"/>
  <c r="AZ1061" i="1"/>
  <c r="BA1061" i="1" s="1"/>
  <c r="AZ718" i="1"/>
  <c r="BA718" i="1" s="1"/>
  <c r="AZ964" i="1"/>
  <c r="BA964" i="1" s="1"/>
  <c r="AW976" i="1"/>
  <c r="AX976" i="1" s="1"/>
  <c r="AZ970" i="1"/>
  <c r="BA970" i="1" s="1"/>
  <c r="AZ694" i="1"/>
  <c r="BA694" i="1" s="1"/>
  <c r="AZ713" i="1"/>
  <c r="BA713" i="1" s="1"/>
  <c r="AZ686" i="1"/>
  <c r="BA686" i="1" s="1"/>
  <c r="AW720" i="1"/>
  <c r="AX720" i="1" s="1"/>
  <c r="AZ967" i="1"/>
  <c r="BA967" i="1" s="1"/>
  <c r="AW988" i="1"/>
  <c r="AX988" i="1" s="1"/>
  <c r="AW697" i="1"/>
  <c r="AX697" i="1" s="1"/>
  <c r="AZ733" i="1"/>
  <c r="BA733" i="1" s="1"/>
  <c r="AZ1076" i="1"/>
  <c r="BA1076" i="1" s="1"/>
  <c r="AZ987" i="1"/>
  <c r="BA987" i="1" s="1"/>
  <c r="AZ734" i="1"/>
  <c r="BA734" i="1" s="1"/>
  <c r="AV650" i="1"/>
  <c r="AZ1067" i="1"/>
  <c r="BA1067" i="1" s="1"/>
  <c r="AZ702" i="1"/>
  <c r="BA702" i="1" s="1"/>
  <c r="AY650" i="1"/>
  <c r="AZ968" i="1"/>
  <c r="BA968" i="1" s="1"/>
  <c r="AZ712" i="1"/>
  <c r="BA712" i="1" s="1"/>
  <c r="AZ693" i="1"/>
  <c r="BA693" i="1" s="1"/>
  <c r="AY656" i="1"/>
  <c r="AZ730" i="1"/>
  <c r="BA730" i="1" s="1"/>
  <c r="AZ1074" i="1"/>
  <c r="BA1074" i="1" s="1"/>
  <c r="AW716" i="1"/>
  <c r="AX716" i="1" s="1"/>
  <c r="AW726" i="1"/>
  <c r="AX726" i="1" s="1"/>
  <c r="AZ757" i="1"/>
  <c r="BA757" i="1" s="1"/>
  <c r="AZ974" i="1"/>
  <c r="BA974" i="1" s="1"/>
  <c r="AY684" i="1"/>
  <c r="AY668" i="1"/>
  <c r="AW736" i="1"/>
  <c r="AX736" i="1" s="1"/>
  <c r="AW989" i="1"/>
  <c r="AX989" i="1" s="1"/>
  <c r="AZ1049" i="1"/>
  <c r="BA1049" i="1" s="1"/>
  <c r="AW735" i="1"/>
  <c r="AX735" i="1" s="1"/>
  <c r="AZ959" i="1"/>
  <c r="BA959" i="1" s="1"/>
  <c r="AZ1062" i="1"/>
  <c r="BA1062" i="1" s="1"/>
  <c r="AZ723" i="1"/>
  <c r="BA723" i="1" s="1"/>
  <c r="AZ1075" i="1"/>
  <c r="BA1075" i="1" s="1"/>
  <c r="AZ975" i="1"/>
  <c r="BA975" i="1" s="1"/>
  <c r="AZ729" i="1"/>
  <c r="BA729" i="1" s="1"/>
  <c r="AW1044" i="1"/>
  <c r="AX1044" i="1" s="1"/>
  <c r="AZ978" i="1"/>
  <c r="BA978" i="1" s="1"/>
  <c r="AX741" i="1"/>
  <c r="AX755" i="1"/>
  <c r="AZ912" i="1"/>
  <c r="BA912" i="1" s="1"/>
  <c r="AW912" i="1"/>
  <c r="AX912" i="1" s="1"/>
  <c r="AU655" i="1"/>
  <c r="AZ979" i="1"/>
  <c r="BA979" i="1" s="1"/>
  <c r="AW979" i="1"/>
  <c r="AX979" i="1" s="1"/>
  <c r="AZ920" i="1"/>
  <c r="BA920" i="1" s="1"/>
  <c r="AW920" i="1"/>
  <c r="AX920" i="1" s="1"/>
  <c r="AZ696" i="1"/>
  <c r="BA696" i="1" s="1"/>
  <c r="AZ744" i="1"/>
  <c r="BA744" i="1" s="1"/>
  <c r="AW744" i="1"/>
  <c r="AX744" i="1" s="1"/>
  <c r="AT662" i="1"/>
  <c r="AT651" i="1"/>
  <c r="AY651" i="1"/>
  <c r="AZ948" i="1"/>
  <c r="BA948" i="1" s="1"/>
  <c r="AW948" i="1"/>
  <c r="AX948" i="1" s="1"/>
  <c r="AZ908" i="1"/>
  <c r="BA908" i="1" s="1"/>
  <c r="AW908" i="1"/>
  <c r="AX908" i="1" s="1"/>
  <c r="AZ755" i="1"/>
  <c r="BA755" i="1" s="1"/>
  <c r="AW755" i="1"/>
  <c r="AW694" i="1"/>
  <c r="AX694" i="1" s="1"/>
  <c r="AT657" i="1"/>
  <c r="AY657" i="1"/>
  <c r="AT682" i="1"/>
  <c r="AZ682" i="1" s="1"/>
  <c r="BA682" i="1" s="1"/>
  <c r="AZ930" i="1"/>
  <c r="BA930" i="1" s="1"/>
  <c r="AW930" i="1"/>
  <c r="AX930" i="1" s="1"/>
  <c r="AW964" i="1"/>
  <c r="AX964" i="1" s="1"/>
  <c r="AZ698" i="1"/>
  <c r="BA698" i="1" s="1"/>
  <c r="AW668" i="1"/>
  <c r="AX668" i="1" s="1"/>
  <c r="AZ731" i="1"/>
  <c r="BA731" i="1" s="1"/>
  <c r="AW975" i="1"/>
  <c r="AX975" i="1" s="1"/>
  <c r="AW943" i="1"/>
  <c r="AX943" i="1" s="1"/>
  <c r="AZ943" i="1"/>
  <c r="BA943" i="1" s="1"/>
  <c r="AW723" i="1"/>
  <c r="AX723" i="1" s="1"/>
  <c r="AW703" i="1"/>
  <c r="AX703" i="1" s="1"/>
  <c r="AZ931" i="1"/>
  <c r="BA931" i="1" s="1"/>
  <c r="AW931" i="1"/>
  <c r="AX931" i="1" s="1"/>
  <c r="AY662" i="1"/>
  <c r="AT661" i="1"/>
  <c r="AY661" i="1"/>
  <c r="AT675" i="1"/>
  <c r="AZ675" i="1" s="1"/>
  <c r="BA675" i="1" s="1"/>
  <c r="AY675" i="1"/>
  <c r="AV662" i="1"/>
  <c r="AZ916" i="1"/>
  <c r="BA916" i="1" s="1"/>
  <c r="AW916" i="1"/>
  <c r="AX916" i="1" s="1"/>
  <c r="AT663" i="1"/>
  <c r="AY663" i="1"/>
  <c r="AZ741" i="1"/>
  <c r="BA741" i="1" s="1"/>
  <c r="AW741" i="1"/>
  <c r="AZ934" i="1"/>
  <c r="BA934" i="1" s="1"/>
  <c r="AW934" i="1"/>
  <c r="AX934" i="1" s="1"/>
  <c r="AW990" i="1"/>
  <c r="AX990" i="1" s="1"/>
  <c r="AZ990" i="1"/>
  <c r="BA990" i="1" s="1"/>
  <c r="AW944" i="1"/>
  <c r="AX944" i="1" s="1"/>
  <c r="AZ944" i="1"/>
  <c r="BA944" i="1" s="1"/>
  <c r="AZ917" i="1"/>
  <c r="BA917" i="1" s="1"/>
  <c r="AW917" i="1"/>
  <c r="AX917" i="1" s="1"/>
  <c r="AZ1077" i="1"/>
  <c r="BA1077" i="1" s="1"/>
  <c r="AW1077" i="1"/>
  <c r="AX1077" i="1" s="1"/>
  <c r="AZ758" i="1"/>
  <c r="BA758" i="1" s="1"/>
  <c r="AW758" i="1"/>
  <c r="AX758" i="1" s="1"/>
  <c r="AU654" i="1"/>
  <c r="AZ981" i="1"/>
  <c r="BA981" i="1" s="1"/>
  <c r="AW970" i="1"/>
  <c r="AX970" i="1" s="1"/>
  <c r="AW728" i="1"/>
  <c r="AX728" i="1" s="1"/>
  <c r="AW991" i="1"/>
  <c r="AX991" i="1" s="1"/>
  <c r="AZ991" i="1"/>
  <c r="BA991" i="1" s="1"/>
  <c r="AT650" i="1"/>
  <c r="AZ683" i="1"/>
  <c r="BA683" i="1" s="1"/>
  <c r="AW1052" i="1"/>
  <c r="AX1052" i="1" s="1"/>
  <c r="AZ1052" i="1"/>
  <c r="BA1052" i="1" s="1"/>
  <c r="AW1047" i="1"/>
  <c r="AX1047" i="1" s="1"/>
  <c r="AZ748" i="1"/>
  <c r="BA748" i="1" s="1"/>
  <c r="AW748" i="1"/>
  <c r="AX748" i="1" s="1"/>
  <c r="AZ739" i="1"/>
  <c r="BA739" i="1" s="1"/>
  <c r="AZ709" i="1"/>
  <c r="BA709" i="1" s="1"/>
  <c r="AT685" i="1"/>
  <c r="AY685" i="1"/>
  <c r="AW658" i="1"/>
  <c r="AX658" i="1" s="1"/>
  <c r="AZ977" i="1"/>
  <c r="BA977" i="1" s="1"/>
  <c r="AZ719" i="1"/>
  <c r="BA719" i="1" s="1"/>
  <c r="AZ971" i="1"/>
  <c r="BA971" i="1" s="1"/>
  <c r="AZ687" i="1"/>
  <c r="BA687" i="1" s="1"/>
  <c r="AZ966" i="1"/>
  <c r="BA966" i="1" s="1"/>
  <c r="AZ725" i="1"/>
  <c r="BA725" i="1" s="1"/>
  <c r="AZ960" i="1"/>
  <c r="BA960" i="1" s="1"/>
  <c r="AZ1038" i="1"/>
  <c r="BA1038" i="1" s="1"/>
  <c r="AZ1046" i="1"/>
  <c r="BA1046" i="1" s="1"/>
  <c r="AU670" i="1"/>
  <c r="AW937" i="1"/>
  <c r="AX937" i="1" s="1"/>
  <c r="AZ937" i="1"/>
  <c r="BA937" i="1" s="1"/>
  <c r="AW915" i="1"/>
  <c r="AX915" i="1" s="1"/>
  <c r="AZ915" i="1"/>
  <c r="BA915" i="1" s="1"/>
  <c r="AW690" i="1"/>
  <c r="AX690" i="1" s="1"/>
  <c r="AZ962" i="1"/>
  <c r="BA962" i="1" s="1"/>
  <c r="AW909" i="1"/>
  <c r="AX909" i="1" s="1"/>
  <c r="AZ909" i="1"/>
  <c r="BA909" i="1" s="1"/>
  <c r="AT683" i="1"/>
  <c r="AW683" i="1" s="1"/>
  <c r="AX683" i="1" s="1"/>
  <c r="AY683" i="1"/>
  <c r="AW1048" i="1"/>
  <c r="AX1048" i="1" s="1"/>
  <c r="AZ1048" i="1"/>
  <c r="BA1048" i="1" s="1"/>
  <c r="AW1074" i="1"/>
  <c r="AX1074" i="1" s="1"/>
  <c r="AZ685" i="1"/>
  <c r="BA685" i="1" s="1"/>
  <c r="AW685" i="1"/>
  <c r="AX685" i="1" s="1"/>
  <c r="AW968" i="1"/>
  <c r="AX968" i="1" s="1"/>
  <c r="AZ740" i="1"/>
  <c r="BA740" i="1" s="1"/>
  <c r="AW692" i="1"/>
  <c r="AX692" i="1" s="1"/>
  <c r="AW712" i="1"/>
  <c r="AX712" i="1" s="1"/>
  <c r="AW686" i="1"/>
  <c r="AX686" i="1" s="1"/>
  <c r="AZ914" i="1"/>
  <c r="BA914" i="1" s="1"/>
  <c r="AW914" i="1"/>
  <c r="AX914" i="1" s="1"/>
  <c r="AW1061" i="1"/>
  <c r="AX1061" i="1" s="1"/>
  <c r="AT671" i="1"/>
  <c r="AY671" i="1"/>
  <c r="AZ940" i="1"/>
  <c r="BA940" i="1" s="1"/>
  <c r="AW940" i="1"/>
  <c r="AX940" i="1" s="1"/>
  <c r="AU681" i="1"/>
  <c r="AZ947" i="1"/>
  <c r="BA947" i="1" s="1"/>
  <c r="AW947" i="1"/>
  <c r="AX947" i="1" s="1"/>
  <c r="AW1042" i="1"/>
  <c r="AX1042" i="1" s="1"/>
  <c r="AZ1042" i="1"/>
  <c r="BA1042" i="1" s="1"/>
  <c r="AT674" i="1"/>
  <c r="AW674" i="1" s="1"/>
  <c r="AX674" i="1" s="1"/>
  <c r="AY674" i="1"/>
  <c r="AZ939" i="1"/>
  <c r="BA939" i="1" s="1"/>
  <c r="AW939" i="1"/>
  <c r="AX939" i="1" s="1"/>
  <c r="AZ929" i="1"/>
  <c r="BA929" i="1" s="1"/>
  <c r="AW929" i="1"/>
  <c r="AX929" i="1" s="1"/>
  <c r="AU651" i="1"/>
  <c r="AZ742" i="1"/>
  <c r="BA742" i="1" s="1"/>
  <c r="AW742" i="1"/>
  <c r="AX742" i="1" s="1"/>
  <c r="AV654" i="1"/>
  <c r="AZ1072" i="1"/>
  <c r="BA1072" i="1" s="1"/>
  <c r="AW1072" i="1"/>
  <c r="AX1072" i="1" s="1"/>
  <c r="AU679" i="1"/>
  <c r="AU664" i="1"/>
  <c r="AW1075" i="1"/>
  <c r="AX1075" i="1" s="1"/>
  <c r="AZ926" i="1"/>
  <c r="BA926" i="1" s="1"/>
  <c r="AW926" i="1"/>
  <c r="AX926" i="1" s="1"/>
  <c r="AW733" i="1"/>
  <c r="AX733" i="1" s="1"/>
  <c r="AW691" i="1"/>
  <c r="AX691" i="1" s="1"/>
  <c r="AZ751" i="1"/>
  <c r="BA751" i="1" s="1"/>
  <c r="AW751" i="1"/>
  <c r="AX751" i="1" s="1"/>
  <c r="AV651" i="1"/>
  <c r="AZ724" i="1"/>
  <c r="BA724" i="1" s="1"/>
  <c r="AZ756" i="1"/>
  <c r="BA756" i="1" s="1"/>
  <c r="AW756" i="1"/>
  <c r="AX756" i="1" s="1"/>
  <c r="AZ949" i="1"/>
  <c r="BA949" i="1" s="1"/>
  <c r="AW949" i="1"/>
  <c r="AX949" i="1" s="1"/>
  <c r="AW708" i="1"/>
  <c r="AX708" i="1" s="1"/>
  <c r="AZ699" i="1"/>
  <c r="BA699" i="1" s="1"/>
  <c r="AZ732" i="1"/>
  <c r="BA732" i="1" s="1"/>
  <c r="AW1067" i="1"/>
  <c r="AX1067" i="1" s="1"/>
  <c r="AY679" i="1"/>
  <c r="AW1073" i="1"/>
  <c r="AX1073" i="1" s="1"/>
  <c r="AZ1073" i="1"/>
  <c r="BA1073" i="1" s="1"/>
  <c r="AW734" i="1"/>
  <c r="AX734" i="1" s="1"/>
  <c r="AW918" i="1"/>
  <c r="AX918" i="1" s="1"/>
  <c r="AZ918" i="1"/>
  <c r="BA918" i="1" s="1"/>
  <c r="AU684" i="1"/>
  <c r="AZ743" i="1"/>
  <c r="BA743" i="1" s="1"/>
  <c r="AW743" i="1"/>
  <c r="AX743" i="1" s="1"/>
  <c r="AW987" i="1"/>
  <c r="AX987" i="1" s="1"/>
  <c r="AU665" i="1"/>
  <c r="AY670" i="1"/>
  <c r="AT665" i="1"/>
  <c r="AY665" i="1"/>
  <c r="AY682" i="1"/>
  <c r="AW1062" i="1"/>
  <c r="AX1062" i="1" s="1"/>
  <c r="AZ746" i="1"/>
  <c r="BA746" i="1" s="1"/>
  <c r="AW746" i="1"/>
  <c r="AX746" i="1" s="1"/>
  <c r="AW730" i="1"/>
  <c r="AX730" i="1" s="1"/>
  <c r="AW1069" i="1"/>
  <c r="AX1069" i="1" s="1"/>
  <c r="AZ1069" i="1"/>
  <c r="BA1069" i="1" s="1"/>
  <c r="AW932" i="1"/>
  <c r="AX932" i="1" s="1"/>
  <c r="AZ932" i="1"/>
  <c r="BA932" i="1" s="1"/>
  <c r="AW714" i="1"/>
  <c r="AX714" i="1" s="1"/>
  <c r="AW702" i="1"/>
  <c r="AX702" i="1" s="1"/>
  <c r="AT652" i="1"/>
  <c r="AY652" i="1"/>
  <c r="AZ941" i="1"/>
  <c r="BA941" i="1" s="1"/>
  <c r="AW941" i="1"/>
  <c r="AX941" i="1" s="1"/>
  <c r="AW693" i="1"/>
  <c r="AX693" i="1" s="1"/>
  <c r="AW705" i="1"/>
  <c r="AX705" i="1" s="1"/>
  <c r="AV664" i="1"/>
  <c r="AW738" i="1"/>
  <c r="AX738" i="1" s="1"/>
  <c r="AT673" i="1"/>
  <c r="AY673" i="1"/>
  <c r="AW678" i="1"/>
  <c r="AX678" i="1" s="1"/>
  <c r="AY655" i="1"/>
  <c r="AT668" i="1"/>
  <c r="AZ913" i="1"/>
  <c r="BA913" i="1" s="1"/>
  <c r="AW913" i="1"/>
  <c r="AX913" i="1" s="1"/>
  <c r="AZ927" i="1"/>
  <c r="BA927" i="1" s="1"/>
  <c r="AW927" i="1"/>
  <c r="AX927" i="1" s="1"/>
  <c r="AT669" i="1"/>
  <c r="AY654" i="1"/>
  <c r="AZ936" i="1"/>
  <c r="BA936" i="1" s="1"/>
  <c r="AW936" i="1"/>
  <c r="AX936" i="1" s="1"/>
  <c r="AZ747" i="1"/>
  <c r="BA747" i="1" s="1"/>
  <c r="AW747" i="1"/>
  <c r="AX747" i="1" s="1"/>
  <c r="AZ910" i="1"/>
  <c r="BA910" i="1" s="1"/>
  <c r="AW910" i="1"/>
  <c r="AX910" i="1" s="1"/>
  <c r="AT666" i="1"/>
  <c r="AZ752" i="1"/>
  <c r="BA752" i="1" s="1"/>
  <c r="AW752" i="1"/>
  <c r="AX752" i="1" s="1"/>
  <c r="AW946" i="1"/>
  <c r="AX946" i="1" s="1"/>
  <c r="AZ946" i="1"/>
  <c r="BA946" i="1" s="1"/>
  <c r="AT660" i="1"/>
  <c r="AW660" i="1" s="1"/>
  <c r="AX660" i="1" s="1"/>
  <c r="AY660" i="1"/>
  <c r="AZ660" i="1" s="1"/>
  <c r="BA660" i="1" s="1"/>
  <c r="AW704" i="1"/>
  <c r="AX704" i="1" s="1"/>
  <c r="AZ951" i="1"/>
  <c r="BA951" i="1" s="1"/>
  <c r="AW951" i="1"/>
  <c r="AX951" i="1" s="1"/>
  <c r="AZ921" i="1"/>
  <c r="BA921" i="1" s="1"/>
  <c r="AW921" i="1"/>
  <c r="AX921" i="1" s="1"/>
  <c r="AZ753" i="1"/>
  <c r="BA753" i="1" s="1"/>
  <c r="AW753" i="1"/>
  <c r="AX753" i="1" s="1"/>
  <c r="AW1066" i="1"/>
  <c r="AX1066" i="1" s="1"/>
  <c r="AU656" i="1"/>
  <c r="AT653" i="1"/>
  <c r="AY653" i="1"/>
  <c r="AT677" i="1"/>
  <c r="AY677" i="1"/>
  <c r="AW676" i="1"/>
  <c r="AX676" i="1" s="1"/>
  <c r="AZ676" i="1"/>
  <c r="BA676" i="1" s="1"/>
  <c r="AZ945" i="1"/>
  <c r="BA945" i="1" s="1"/>
  <c r="AW945" i="1"/>
  <c r="AX945" i="1" s="1"/>
  <c r="AZ922" i="1"/>
  <c r="BA922" i="1" s="1"/>
  <c r="AW922" i="1"/>
  <c r="AX922" i="1" s="1"/>
  <c r="AT678" i="1"/>
  <c r="AZ678" i="1" s="1"/>
  <c r="BA678" i="1" s="1"/>
  <c r="AY678" i="1"/>
  <c r="AT672" i="1"/>
  <c r="AZ672" i="1" s="1"/>
  <c r="BA672" i="1" s="1"/>
  <c r="AY672" i="1"/>
  <c r="AW759" i="1"/>
  <c r="AX759" i="1" s="1"/>
  <c r="AZ759" i="1"/>
  <c r="BA759" i="1" s="1"/>
  <c r="AZ754" i="1"/>
  <c r="BA754" i="1" s="1"/>
  <c r="AW754" i="1"/>
  <c r="AX754" i="1" s="1"/>
  <c r="AW1056" i="1"/>
  <c r="AX1056" i="1" s="1"/>
  <c r="AZ1056" i="1"/>
  <c r="BA1056" i="1" s="1"/>
  <c r="AT680" i="1"/>
  <c r="AY680" i="1"/>
  <c r="AU653" i="1"/>
  <c r="AT654" i="1"/>
  <c r="AU662" i="1"/>
  <c r="AZ911" i="1"/>
  <c r="BA911" i="1" s="1"/>
  <c r="AW911" i="1"/>
  <c r="AX911" i="1" s="1"/>
  <c r="AV682" i="1"/>
  <c r="AZ933" i="1"/>
  <c r="BA933" i="1" s="1"/>
  <c r="AW933" i="1"/>
  <c r="AX933" i="1" s="1"/>
  <c r="AV656" i="1"/>
  <c r="AT681" i="1"/>
  <c r="AY681" i="1"/>
  <c r="AZ667" i="1"/>
  <c r="BA667" i="1" s="1"/>
  <c r="AT658" i="1"/>
  <c r="AZ658" i="1" s="1"/>
  <c r="BA658" i="1" s="1"/>
  <c r="AY658" i="1"/>
  <c r="AZ1055" i="1"/>
  <c r="BA1055" i="1" s="1"/>
  <c r="AW1055" i="1"/>
  <c r="AX1055" i="1" s="1"/>
  <c r="AZ745" i="1"/>
  <c r="BA745" i="1" s="1"/>
  <c r="AW745" i="1"/>
  <c r="AX745" i="1" s="1"/>
  <c r="AZ924" i="1"/>
  <c r="BA924" i="1" s="1"/>
  <c r="AW924" i="1"/>
  <c r="AX924" i="1" s="1"/>
  <c r="AV679" i="1"/>
  <c r="AZ749" i="1"/>
  <c r="BA749" i="1" s="1"/>
  <c r="AW749" i="1"/>
  <c r="AX749" i="1" s="1"/>
  <c r="AT659" i="1"/>
  <c r="AY659" i="1"/>
  <c r="AW928" i="1"/>
  <c r="AX928" i="1" s="1"/>
  <c r="AZ928" i="1"/>
  <c r="BA928" i="1" s="1"/>
  <c r="AZ925" i="1"/>
  <c r="BA925" i="1" s="1"/>
  <c r="AW925" i="1"/>
  <c r="AX925" i="1" s="1"/>
  <c r="AV669" i="1"/>
  <c r="AY664" i="1"/>
  <c r="AT679" i="1"/>
  <c r="AT670" i="1"/>
  <c r="AT656" i="1"/>
  <c r="AU669" i="1"/>
  <c r="AT684" i="1"/>
  <c r="AT667" i="1"/>
  <c r="AW667" i="1" s="1"/>
  <c r="AX667" i="1" s="1"/>
  <c r="AM615" i="1"/>
  <c r="AP615" i="1" s="1"/>
  <c r="AM616" i="1"/>
  <c r="AP616" i="1" s="1"/>
  <c r="AM617" i="1"/>
  <c r="AP617" i="1" s="1"/>
  <c r="AM618" i="1"/>
  <c r="AP618" i="1" s="1"/>
  <c r="AM619" i="1"/>
  <c r="AP619" i="1" s="1"/>
  <c r="AM620" i="1"/>
  <c r="AP620" i="1" s="1"/>
  <c r="AM621" i="1"/>
  <c r="AP621" i="1" s="1"/>
  <c r="AM622" i="1"/>
  <c r="AP622" i="1" s="1"/>
  <c r="AM623" i="1"/>
  <c r="AP623" i="1" s="1"/>
  <c r="AM624" i="1"/>
  <c r="AP624" i="1" s="1"/>
  <c r="AM625" i="1"/>
  <c r="AP625" i="1" s="1"/>
  <c r="AM626" i="1"/>
  <c r="AP626" i="1" s="1"/>
  <c r="AM627" i="1"/>
  <c r="AP627" i="1" s="1"/>
  <c r="AM628" i="1"/>
  <c r="AP628" i="1" s="1"/>
  <c r="AM629" i="1"/>
  <c r="AP629" i="1" s="1"/>
  <c r="AM630" i="1"/>
  <c r="AP630" i="1" s="1"/>
  <c r="AM631" i="1"/>
  <c r="AP631" i="1" s="1"/>
  <c r="AM632" i="1"/>
  <c r="AP632" i="1" s="1"/>
  <c r="AM633" i="1"/>
  <c r="AP633" i="1" s="1"/>
  <c r="AM634" i="1"/>
  <c r="AP634" i="1" s="1"/>
  <c r="AM635" i="1"/>
  <c r="AP635" i="1" s="1"/>
  <c r="AM636" i="1"/>
  <c r="AP636" i="1" s="1"/>
  <c r="AM637" i="1"/>
  <c r="AP637" i="1" s="1"/>
  <c r="AM638" i="1"/>
  <c r="AP638" i="1" s="1"/>
  <c r="AM639" i="1"/>
  <c r="AP639" i="1" s="1"/>
  <c r="AM640" i="1"/>
  <c r="AP640" i="1" s="1"/>
  <c r="AM641" i="1"/>
  <c r="AP641" i="1" s="1"/>
  <c r="AM642" i="1"/>
  <c r="AP642" i="1" s="1"/>
  <c r="AM643" i="1"/>
  <c r="AP643" i="1" s="1"/>
  <c r="AM644" i="1"/>
  <c r="AP644" i="1" s="1"/>
  <c r="AM645" i="1"/>
  <c r="AP645" i="1" s="1"/>
  <c r="AM646" i="1"/>
  <c r="AP646" i="1" s="1"/>
  <c r="AM647" i="1"/>
  <c r="AP647" i="1" s="1"/>
  <c r="AM648" i="1"/>
  <c r="AP648" i="1" s="1"/>
  <c r="AM649" i="1"/>
  <c r="AP649" i="1" s="1"/>
  <c r="AM614" i="1"/>
  <c r="AP614" i="1" s="1"/>
  <c r="AJ614" i="1"/>
  <c r="AJ615" i="1"/>
  <c r="AJ616" i="1"/>
  <c r="AJ617" i="1"/>
  <c r="AJ618" i="1"/>
  <c r="AJ619" i="1"/>
  <c r="AJ620" i="1"/>
  <c r="AJ621" i="1"/>
  <c r="AJ622" i="1"/>
  <c r="AJ623" i="1"/>
  <c r="AJ624" i="1"/>
  <c r="AJ625" i="1"/>
  <c r="AJ626" i="1"/>
  <c r="AJ627" i="1"/>
  <c r="AJ628" i="1"/>
  <c r="AJ629" i="1"/>
  <c r="AJ630" i="1"/>
  <c r="AJ631" i="1"/>
  <c r="AJ632" i="1"/>
  <c r="AJ633" i="1"/>
  <c r="AJ634" i="1"/>
  <c r="AJ635" i="1"/>
  <c r="AJ636" i="1"/>
  <c r="AJ637" i="1"/>
  <c r="AJ638" i="1"/>
  <c r="AJ639" i="1"/>
  <c r="AJ640" i="1"/>
  <c r="AJ641" i="1"/>
  <c r="AJ642" i="1"/>
  <c r="AJ643" i="1"/>
  <c r="AJ644" i="1"/>
  <c r="AJ645" i="1"/>
  <c r="AJ646" i="1"/>
  <c r="AJ647" i="1"/>
  <c r="AJ648" i="1"/>
  <c r="AJ649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45" i="1"/>
  <c r="AA646" i="1"/>
  <c r="AA647" i="1"/>
  <c r="AA648" i="1"/>
  <c r="AA649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14" i="1"/>
  <c r="AW666" i="1" l="1"/>
  <c r="AX666" i="1" s="1"/>
  <c r="AZ659" i="1"/>
  <c r="BA659" i="1" s="1"/>
  <c r="AZ661" i="1"/>
  <c r="BA661" i="1" s="1"/>
  <c r="AZ680" i="1"/>
  <c r="BA680" i="1" s="1"/>
  <c r="AW675" i="1"/>
  <c r="AX675" i="1" s="1"/>
  <c r="AZ674" i="1"/>
  <c r="BA674" i="1" s="1"/>
  <c r="AV645" i="1"/>
  <c r="AV617" i="1"/>
  <c r="AZ671" i="1"/>
  <c r="BA671" i="1" s="1"/>
  <c r="AZ652" i="1"/>
  <c r="BA652" i="1" s="1"/>
  <c r="AZ650" i="1"/>
  <c r="BA650" i="1" s="1"/>
  <c r="AV631" i="1"/>
  <c r="AZ677" i="1"/>
  <c r="BA677" i="1" s="1"/>
  <c r="AZ663" i="1"/>
  <c r="BA663" i="1" s="1"/>
  <c r="AZ668" i="1"/>
  <c r="BA668" i="1" s="1"/>
  <c r="AZ673" i="1"/>
  <c r="BA673" i="1" s="1"/>
  <c r="AZ657" i="1"/>
  <c r="BA657" i="1" s="1"/>
  <c r="AW661" i="1"/>
  <c r="AX661" i="1" s="1"/>
  <c r="AW659" i="1"/>
  <c r="AX659" i="1" s="1"/>
  <c r="AZ664" i="1"/>
  <c r="BA664" i="1" s="1"/>
  <c r="AW664" i="1"/>
  <c r="AX664" i="1" s="1"/>
  <c r="AV616" i="1"/>
  <c r="AZ681" i="1"/>
  <c r="BA681" i="1" s="1"/>
  <c r="AW681" i="1"/>
  <c r="AX681" i="1" s="1"/>
  <c r="AV629" i="1"/>
  <c r="AS646" i="1"/>
  <c r="AY646" i="1" s="1"/>
  <c r="AV646" i="1"/>
  <c r="AS632" i="1"/>
  <c r="AY632" i="1" s="1"/>
  <c r="AV632" i="1"/>
  <c r="AS618" i="1"/>
  <c r="AY618" i="1" s="1"/>
  <c r="AV618" i="1"/>
  <c r="AZ684" i="1"/>
  <c r="BA684" i="1" s="1"/>
  <c r="AW684" i="1"/>
  <c r="AX684" i="1" s="1"/>
  <c r="AV644" i="1"/>
  <c r="AV630" i="1"/>
  <c r="AV643" i="1"/>
  <c r="AV615" i="1"/>
  <c r="AZ679" i="1"/>
  <c r="BA679" i="1" s="1"/>
  <c r="AW679" i="1"/>
  <c r="AX679" i="1" s="1"/>
  <c r="AZ651" i="1"/>
  <c r="BA651" i="1" s="1"/>
  <c r="AW651" i="1"/>
  <c r="AX651" i="1" s="1"/>
  <c r="AV642" i="1"/>
  <c r="AV628" i="1"/>
  <c r="AZ669" i="1"/>
  <c r="BA669" i="1" s="1"/>
  <c r="AW669" i="1"/>
  <c r="AX669" i="1" s="1"/>
  <c r="AV641" i="1"/>
  <c r="AV627" i="1"/>
  <c r="AV640" i="1"/>
  <c r="AV626" i="1"/>
  <c r="AZ670" i="1"/>
  <c r="BA670" i="1" s="1"/>
  <c r="AW670" i="1"/>
  <c r="AX670" i="1" s="1"/>
  <c r="AW682" i="1"/>
  <c r="AX682" i="1" s="1"/>
  <c r="AW650" i="1"/>
  <c r="AX650" i="1" s="1"/>
  <c r="AV639" i="1"/>
  <c r="AV625" i="1"/>
  <c r="AW663" i="1"/>
  <c r="AX663" i="1" s="1"/>
  <c r="AW652" i="1"/>
  <c r="AX652" i="1" s="1"/>
  <c r="AZ654" i="1"/>
  <c r="BA654" i="1" s="1"/>
  <c r="AW654" i="1"/>
  <c r="AX654" i="1" s="1"/>
  <c r="AS638" i="1"/>
  <c r="AV638" i="1"/>
  <c r="AS624" i="1"/>
  <c r="AV624" i="1"/>
  <c r="AZ665" i="1"/>
  <c r="BA665" i="1" s="1"/>
  <c r="AW665" i="1"/>
  <c r="AX665" i="1" s="1"/>
  <c r="AW671" i="1"/>
  <c r="AX671" i="1" s="1"/>
  <c r="AW680" i="1"/>
  <c r="AX680" i="1" s="1"/>
  <c r="AZ655" i="1"/>
  <c r="BA655" i="1" s="1"/>
  <c r="AW655" i="1"/>
  <c r="AX655" i="1" s="1"/>
  <c r="AS637" i="1"/>
  <c r="AV637" i="1"/>
  <c r="AS623" i="1"/>
  <c r="AV623" i="1"/>
  <c r="AZ662" i="1"/>
  <c r="BA662" i="1" s="1"/>
  <c r="AW662" i="1"/>
  <c r="AX662" i="1" s="1"/>
  <c r="AW657" i="1"/>
  <c r="AX657" i="1" s="1"/>
  <c r="AV614" i="1"/>
  <c r="AV636" i="1"/>
  <c r="AV622" i="1"/>
  <c r="AW673" i="1"/>
  <c r="AX673" i="1" s="1"/>
  <c r="AS649" i="1"/>
  <c r="AV649" i="1"/>
  <c r="AS635" i="1"/>
  <c r="AV635" i="1"/>
  <c r="AS621" i="1"/>
  <c r="AV621" i="1"/>
  <c r="AW677" i="1"/>
  <c r="AX677" i="1" s="1"/>
  <c r="AS648" i="1"/>
  <c r="AV648" i="1"/>
  <c r="AS634" i="1"/>
  <c r="AV634" i="1"/>
  <c r="AS620" i="1"/>
  <c r="AV620" i="1"/>
  <c r="AZ656" i="1"/>
  <c r="BA656" i="1" s="1"/>
  <c r="AW656" i="1"/>
  <c r="AX656" i="1" s="1"/>
  <c r="AW672" i="1"/>
  <c r="AX672" i="1" s="1"/>
  <c r="AV647" i="1"/>
  <c r="AV633" i="1"/>
  <c r="AV619" i="1"/>
  <c r="AW653" i="1"/>
  <c r="AX653" i="1" s="1"/>
  <c r="AZ653" i="1"/>
  <c r="BA653" i="1" s="1"/>
  <c r="AU641" i="1"/>
  <c r="AR641" i="1"/>
  <c r="AR627" i="1"/>
  <c r="AU627" i="1"/>
  <c r="AU640" i="1"/>
  <c r="AR640" i="1"/>
  <c r="AU626" i="1"/>
  <c r="AR626" i="1"/>
  <c r="AS614" i="1"/>
  <c r="AS636" i="1"/>
  <c r="AS622" i="1"/>
  <c r="AR639" i="1"/>
  <c r="AU639" i="1"/>
  <c r="AR625" i="1"/>
  <c r="AU625" i="1"/>
  <c r="AR638" i="1"/>
  <c r="AU638" i="1"/>
  <c r="AU637" i="1"/>
  <c r="AR637" i="1"/>
  <c r="AS619" i="1"/>
  <c r="AU636" i="1"/>
  <c r="AR636" i="1"/>
  <c r="AT618" i="1"/>
  <c r="AU649" i="1"/>
  <c r="AR649" i="1"/>
  <c r="AR635" i="1"/>
  <c r="AU635" i="1"/>
  <c r="AS617" i="1"/>
  <c r="AR648" i="1"/>
  <c r="AU648" i="1"/>
  <c r="AS616" i="1"/>
  <c r="AR647" i="1"/>
  <c r="AU647" i="1"/>
  <c r="AS629" i="1"/>
  <c r="AR632" i="1"/>
  <c r="AU632" i="1"/>
  <c r="AU618" i="1"/>
  <c r="AR618" i="1"/>
  <c r="AS642" i="1"/>
  <c r="AS628" i="1"/>
  <c r="AR645" i="1"/>
  <c r="AU645" i="1"/>
  <c r="AR631" i="1"/>
  <c r="AU631" i="1"/>
  <c r="AR617" i="1"/>
  <c r="AU617" i="1"/>
  <c r="AS647" i="1"/>
  <c r="AU634" i="1"/>
  <c r="AR634" i="1"/>
  <c r="AR620" i="1"/>
  <c r="AU620" i="1"/>
  <c r="AS630" i="1"/>
  <c r="AU619" i="1"/>
  <c r="AR619" i="1"/>
  <c r="AS615" i="1"/>
  <c r="AS641" i="1"/>
  <c r="AS627" i="1"/>
  <c r="AR644" i="1"/>
  <c r="AU644" i="1"/>
  <c r="AR630" i="1"/>
  <c r="AU630" i="1"/>
  <c r="AR616" i="1"/>
  <c r="AU616" i="1"/>
  <c r="AR624" i="1"/>
  <c r="AU624" i="1"/>
  <c r="AU623" i="1"/>
  <c r="AR623" i="1"/>
  <c r="AS633" i="1"/>
  <c r="AR621" i="1"/>
  <c r="AU621" i="1"/>
  <c r="AS631" i="1"/>
  <c r="AS643" i="1"/>
  <c r="AS626" i="1"/>
  <c r="AR643" i="1"/>
  <c r="AU643" i="1"/>
  <c r="AR629" i="1"/>
  <c r="AU629" i="1"/>
  <c r="AR615" i="1"/>
  <c r="AU615" i="1"/>
  <c r="AU622" i="1"/>
  <c r="AR622" i="1"/>
  <c r="AS645" i="1"/>
  <c r="AS644" i="1"/>
  <c r="AU633" i="1"/>
  <c r="AR633" i="1"/>
  <c r="AR646" i="1"/>
  <c r="AU646" i="1"/>
  <c r="AS640" i="1"/>
  <c r="AS639" i="1"/>
  <c r="AS625" i="1"/>
  <c r="AR642" i="1"/>
  <c r="AU642" i="1"/>
  <c r="AR628" i="1"/>
  <c r="AU628" i="1"/>
  <c r="AR614" i="1"/>
  <c r="AU614" i="1"/>
  <c r="AM580" i="1"/>
  <c r="AM581" i="1"/>
  <c r="AM582" i="1"/>
  <c r="AM583" i="1"/>
  <c r="AM584" i="1"/>
  <c r="AM585" i="1"/>
  <c r="AM586" i="1"/>
  <c r="AM587" i="1"/>
  <c r="AM588" i="1"/>
  <c r="AM589" i="1"/>
  <c r="AM590" i="1"/>
  <c r="AM591" i="1"/>
  <c r="AM592" i="1"/>
  <c r="AM593" i="1"/>
  <c r="AM594" i="1"/>
  <c r="AM602" i="1"/>
  <c r="AM603" i="1"/>
  <c r="AM604" i="1"/>
  <c r="AM605" i="1"/>
  <c r="AM606" i="1"/>
  <c r="AM607" i="1"/>
  <c r="AM608" i="1"/>
  <c r="AM609" i="1"/>
  <c r="AM610" i="1"/>
  <c r="AM611" i="1"/>
  <c r="AM612" i="1"/>
  <c r="AM613" i="1"/>
  <c r="AM579" i="1"/>
  <c r="AJ603" i="1"/>
  <c r="AJ604" i="1"/>
  <c r="AJ605" i="1"/>
  <c r="AJ606" i="1"/>
  <c r="AJ607" i="1"/>
  <c r="AJ608" i="1"/>
  <c r="AJ609" i="1"/>
  <c r="AJ610" i="1"/>
  <c r="AJ611" i="1"/>
  <c r="AJ612" i="1"/>
  <c r="AJ613" i="1"/>
  <c r="AJ602" i="1"/>
  <c r="AJ580" i="1"/>
  <c r="AJ581" i="1"/>
  <c r="AJ582" i="1"/>
  <c r="AJ583" i="1"/>
  <c r="AJ584" i="1"/>
  <c r="AJ585" i="1"/>
  <c r="AJ586" i="1"/>
  <c r="AJ587" i="1"/>
  <c r="AJ588" i="1"/>
  <c r="AJ589" i="1"/>
  <c r="AJ590" i="1"/>
  <c r="AJ591" i="1"/>
  <c r="AJ592" i="1"/>
  <c r="AJ593" i="1"/>
  <c r="AJ594" i="1"/>
  <c r="AJ579" i="1"/>
  <c r="AA603" i="1"/>
  <c r="AA604" i="1"/>
  <c r="AA605" i="1"/>
  <c r="AA606" i="1"/>
  <c r="AA607" i="1"/>
  <c r="AA608" i="1"/>
  <c r="AA609" i="1"/>
  <c r="AA610" i="1"/>
  <c r="AA611" i="1"/>
  <c r="AA612" i="1"/>
  <c r="AA613" i="1"/>
  <c r="AA602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79" i="1"/>
  <c r="S613" i="1"/>
  <c r="S612" i="1"/>
  <c r="S611" i="1"/>
  <c r="S610" i="1"/>
  <c r="S609" i="1"/>
  <c r="S608" i="1"/>
  <c r="S607" i="1"/>
  <c r="S606" i="1"/>
  <c r="S605" i="1"/>
  <c r="S604" i="1"/>
  <c r="S603" i="1"/>
  <c r="S602" i="1"/>
  <c r="S594" i="1"/>
  <c r="S593" i="1"/>
  <c r="S592" i="1"/>
  <c r="S591" i="1"/>
  <c r="S590" i="1"/>
  <c r="S589" i="1"/>
  <c r="S588" i="1"/>
  <c r="S587" i="1"/>
  <c r="S586" i="1"/>
  <c r="S585" i="1"/>
  <c r="S584" i="1"/>
  <c r="S583" i="1"/>
  <c r="S582" i="1"/>
  <c r="S581" i="1"/>
  <c r="S580" i="1"/>
  <c r="S579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K613" i="1"/>
  <c r="K612" i="1"/>
  <c r="K611" i="1"/>
  <c r="K610" i="1"/>
  <c r="K609" i="1"/>
  <c r="K608" i="1"/>
  <c r="AS608" i="1" s="1"/>
  <c r="K607" i="1"/>
  <c r="AS607" i="1" s="1"/>
  <c r="K606" i="1"/>
  <c r="AS606" i="1" s="1"/>
  <c r="K605" i="1"/>
  <c r="AS605" i="1" s="1"/>
  <c r="K604" i="1"/>
  <c r="K603" i="1"/>
  <c r="AS603" i="1" s="1"/>
  <c r="K602" i="1"/>
  <c r="AS602" i="1" s="1"/>
  <c r="K594" i="1"/>
  <c r="AS594" i="1" s="1"/>
  <c r="K593" i="1"/>
  <c r="K592" i="1"/>
  <c r="K591" i="1"/>
  <c r="K590" i="1"/>
  <c r="K589" i="1"/>
  <c r="K588" i="1"/>
  <c r="K587" i="1"/>
  <c r="AS587" i="1" s="1"/>
  <c r="K586" i="1"/>
  <c r="AS586" i="1" s="1"/>
  <c r="K585" i="1"/>
  <c r="AS585" i="1" s="1"/>
  <c r="K584" i="1"/>
  <c r="K583" i="1"/>
  <c r="K582" i="1"/>
  <c r="AS582" i="1" s="1"/>
  <c r="K581" i="1"/>
  <c r="K580" i="1"/>
  <c r="AS580" i="1" s="1"/>
  <c r="K579" i="1"/>
  <c r="AS579" i="1" s="1"/>
  <c r="AM577" i="1"/>
  <c r="AP577" i="1" s="1"/>
  <c r="AM576" i="1"/>
  <c r="AP576" i="1" s="1"/>
  <c r="AM575" i="1"/>
  <c r="AP575" i="1" s="1"/>
  <c r="AM574" i="1"/>
  <c r="AQ574" i="1" s="1"/>
  <c r="AM573" i="1"/>
  <c r="AQ573" i="1" s="1"/>
  <c r="AM570" i="1"/>
  <c r="AP570" i="1" s="1"/>
  <c r="AM569" i="1"/>
  <c r="AP569" i="1" s="1"/>
  <c r="AM568" i="1"/>
  <c r="AP568" i="1" s="1"/>
  <c r="AM567" i="1"/>
  <c r="AP567" i="1" s="1"/>
  <c r="AM566" i="1"/>
  <c r="AP566" i="1" s="1"/>
  <c r="AM565" i="1"/>
  <c r="AQ565" i="1" s="1"/>
  <c r="AM564" i="1"/>
  <c r="AP564" i="1" s="1"/>
  <c r="AM563" i="1"/>
  <c r="AQ563" i="1" s="1"/>
  <c r="AM562" i="1"/>
  <c r="AQ562" i="1" s="1"/>
  <c r="AM561" i="1"/>
  <c r="AP561" i="1" s="1"/>
  <c r="AM560" i="1"/>
  <c r="AP560" i="1" s="1"/>
  <c r="AM559" i="1"/>
  <c r="AP559" i="1" s="1"/>
  <c r="AM558" i="1"/>
  <c r="AQ558" i="1" s="1"/>
  <c r="AM557" i="1"/>
  <c r="AQ557" i="1" s="1"/>
  <c r="AM556" i="1"/>
  <c r="AP556" i="1" s="1"/>
  <c r="AM552" i="1"/>
  <c r="AQ552" i="1" s="1"/>
  <c r="AM551" i="1"/>
  <c r="AP551" i="1" s="1"/>
  <c r="AM550" i="1"/>
  <c r="AP550" i="1" s="1"/>
  <c r="AM549" i="1"/>
  <c r="AP549" i="1" s="1"/>
  <c r="AM548" i="1"/>
  <c r="AQ548" i="1" s="1"/>
  <c r="AM547" i="1"/>
  <c r="AP547" i="1" s="1"/>
  <c r="AM546" i="1"/>
  <c r="AQ546" i="1" s="1"/>
  <c r="AM545" i="1"/>
  <c r="AQ545" i="1" s="1"/>
  <c r="AM544" i="1"/>
  <c r="AP544" i="1" s="1"/>
  <c r="AM543" i="1"/>
  <c r="AP543" i="1" s="1"/>
  <c r="AM542" i="1"/>
  <c r="AP542" i="1" s="1"/>
  <c r="AM541" i="1"/>
  <c r="AQ541" i="1" s="1"/>
  <c r="AM537" i="1"/>
  <c r="AQ537" i="1" s="1"/>
  <c r="AM536" i="1"/>
  <c r="AP536" i="1" s="1"/>
  <c r="AJ537" i="1"/>
  <c r="AJ541" i="1"/>
  <c r="AJ542" i="1"/>
  <c r="AJ543" i="1"/>
  <c r="AJ544" i="1"/>
  <c r="AJ545" i="1"/>
  <c r="AJ546" i="1"/>
  <c r="AJ547" i="1"/>
  <c r="AJ548" i="1"/>
  <c r="AJ549" i="1"/>
  <c r="AJ550" i="1"/>
  <c r="AJ551" i="1"/>
  <c r="AJ552" i="1"/>
  <c r="AJ556" i="1"/>
  <c r="AJ557" i="1"/>
  <c r="AJ558" i="1"/>
  <c r="AJ559" i="1"/>
  <c r="AJ560" i="1"/>
  <c r="AJ561" i="1"/>
  <c r="AJ562" i="1"/>
  <c r="AJ563" i="1"/>
  <c r="AJ564" i="1"/>
  <c r="AJ565" i="1"/>
  <c r="AJ566" i="1"/>
  <c r="AJ567" i="1"/>
  <c r="AJ568" i="1"/>
  <c r="AJ569" i="1"/>
  <c r="AJ570" i="1"/>
  <c r="AJ573" i="1"/>
  <c r="AJ574" i="1"/>
  <c r="AJ575" i="1"/>
  <c r="AJ576" i="1"/>
  <c r="AJ577" i="1"/>
  <c r="AJ536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3" i="1"/>
  <c r="AA574" i="1"/>
  <c r="AA575" i="1"/>
  <c r="AA576" i="1"/>
  <c r="AA577" i="1"/>
  <c r="AA537" i="1"/>
  <c r="AA536" i="1"/>
  <c r="S537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3" i="1"/>
  <c r="S574" i="1"/>
  <c r="S575" i="1"/>
  <c r="S576" i="1"/>
  <c r="S577" i="1"/>
  <c r="S536" i="1"/>
  <c r="O537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3" i="1"/>
  <c r="O574" i="1"/>
  <c r="O575" i="1"/>
  <c r="O576" i="1"/>
  <c r="O577" i="1"/>
  <c r="O536" i="1"/>
  <c r="K536" i="1"/>
  <c r="K537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3" i="1"/>
  <c r="K574" i="1"/>
  <c r="K575" i="1"/>
  <c r="K576" i="1"/>
  <c r="K577" i="1"/>
  <c r="AJ533" i="1"/>
  <c r="AA533" i="1"/>
  <c r="S533" i="1"/>
  <c r="O533" i="1"/>
  <c r="K533" i="1"/>
  <c r="AJ532" i="1"/>
  <c r="AA532" i="1"/>
  <c r="S532" i="1"/>
  <c r="O532" i="1"/>
  <c r="K532" i="1"/>
  <c r="AJ531" i="1"/>
  <c r="AA531" i="1"/>
  <c r="S531" i="1"/>
  <c r="O531" i="1"/>
  <c r="K531" i="1"/>
  <c r="AJ530" i="1"/>
  <c r="AA530" i="1"/>
  <c r="S530" i="1"/>
  <c r="O530" i="1"/>
  <c r="K530" i="1"/>
  <c r="AJ529" i="1"/>
  <c r="AA529" i="1"/>
  <c r="S529" i="1"/>
  <c r="O529" i="1"/>
  <c r="K529" i="1"/>
  <c r="AJ528" i="1"/>
  <c r="AA528" i="1"/>
  <c r="S528" i="1"/>
  <c r="O528" i="1"/>
  <c r="K528" i="1"/>
  <c r="AJ527" i="1"/>
  <c r="AA527" i="1"/>
  <c r="S527" i="1"/>
  <c r="O527" i="1"/>
  <c r="K527" i="1"/>
  <c r="AJ526" i="1"/>
  <c r="AA526" i="1"/>
  <c r="S526" i="1"/>
  <c r="O526" i="1"/>
  <c r="K526" i="1"/>
  <c r="AJ525" i="1"/>
  <c r="AA525" i="1"/>
  <c r="S525" i="1"/>
  <c r="O525" i="1"/>
  <c r="K525" i="1"/>
  <c r="AJ524" i="1"/>
  <c r="AA524" i="1"/>
  <c r="S524" i="1"/>
  <c r="O524" i="1"/>
  <c r="K524" i="1"/>
  <c r="AJ523" i="1"/>
  <c r="AA523" i="1"/>
  <c r="S523" i="1"/>
  <c r="O523" i="1"/>
  <c r="K523" i="1"/>
  <c r="AJ522" i="1"/>
  <c r="AA522" i="1"/>
  <c r="S522" i="1"/>
  <c r="O522" i="1"/>
  <c r="K522" i="1"/>
  <c r="AJ521" i="1"/>
  <c r="AA521" i="1"/>
  <c r="S521" i="1"/>
  <c r="O521" i="1"/>
  <c r="K521" i="1"/>
  <c r="AJ520" i="1"/>
  <c r="AA520" i="1"/>
  <c r="S520" i="1"/>
  <c r="O520" i="1"/>
  <c r="K520" i="1"/>
  <c r="AJ519" i="1"/>
  <c r="AA519" i="1"/>
  <c r="S519" i="1"/>
  <c r="O519" i="1"/>
  <c r="K519" i="1"/>
  <c r="AJ518" i="1"/>
  <c r="AA518" i="1"/>
  <c r="S518" i="1"/>
  <c r="O518" i="1"/>
  <c r="K518" i="1"/>
  <c r="AJ516" i="1"/>
  <c r="AA516" i="1"/>
  <c r="S516" i="1"/>
  <c r="O516" i="1"/>
  <c r="K516" i="1"/>
  <c r="AJ515" i="1"/>
  <c r="AA515" i="1"/>
  <c r="S515" i="1"/>
  <c r="O515" i="1"/>
  <c r="K515" i="1"/>
  <c r="AJ514" i="1"/>
  <c r="AA514" i="1"/>
  <c r="S514" i="1"/>
  <c r="O514" i="1"/>
  <c r="K514" i="1"/>
  <c r="AJ513" i="1"/>
  <c r="AA513" i="1"/>
  <c r="S513" i="1"/>
  <c r="O513" i="1"/>
  <c r="K513" i="1"/>
  <c r="AJ512" i="1"/>
  <c r="AA512" i="1"/>
  <c r="S512" i="1"/>
  <c r="O512" i="1"/>
  <c r="K512" i="1"/>
  <c r="AJ511" i="1"/>
  <c r="AA511" i="1"/>
  <c r="S511" i="1"/>
  <c r="O511" i="1"/>
  <c r="K511" i="1"/>
  <c r="AJ510" i="1"/>
  <c r="AA510" i="1"/>
  <c r="S510" i="1"/>
  <c r="O510" i="1"/>
  <c r="K510" i="1"/>
  <c r="AJ509" i="1"/>
  <c r="AA509" i="1"/>
  <c r="S509" i="1"/>
  <c r="O509" i="1"/>
  <c r="K509" i="1"/>
  <c r="AJ508" i="1"/>
  <c r="AA508" i="1"/>
  <c r="S508" i="1"/>
  <c r="O508" i="1"/>
  <c r="K508" i="1"/>
  <c r="AJ504" i="1"/>
  <c r="AA504" i="1"/>
  <c r="S504" i="1"/>
  <c r="O504" i="1"/>
  <c r="K504" i="1"/>
  <c r="AJ503" i="1"/>
  <c r="AA503" i="1"/>
  <c r="S503" i="1"/>
  <c r="O503" i="1"/>
  <c r="K503" i="1"/>
  <c r="AJ502" i="1"/>
  <c r="AA502" i="1"/>
  <c r="S502" i="1"/>
  <c r="O502" i="1"/>
  <c r="K502" i="1"/>
  <c r="AJ501" i="1"/>
  <c r="AA501" i="1"/>
  <c r="S501" i="1"/>
  <c r="O501" i="1"/>
  <c r="K501" i="1"/>
  <c r="AJ500" i="1"/>
  <c r="AA500" i="1"/>
  <c r="S500" i="1"/>
  <c r="O500" i="1"/>
  <c r="K500" i="1"/>
  <c r="AJ499" i="1"/>
  <c r="AA499" i="1"/>
  <c r="S499" i="1"/>
  <c r="O499" i="1"/>
  <c r="K499" i="1"/>
  <c r="AJ498" i="1"/>
  <c r="AA498" i="1"/>
  <c r="S498" i="1"/>
  <c r="O498" i="1"/>
  <c r="K498" i="1"/>
  <c r="AJ497" i="1"/>
  <c r="AA497" i="1"/>
  <c r="S497" i="1"/>
  <c r="O497" i="1"/>
  <c r="K497" i="1"/>
  <c r="AJ496" i="1"/>
  <c r="AA496" i="1"/>
  <c r="S496" i="1"/>
  <c r="O496" i="1"/>
  <c r="K496" i="1"/>
  <c r="AJ495" i="1"/>
  <c r="AA495" i="1"/>
  <c r="S495" i="1"/>
  <c r="O495" i="1"/>
  <c r="K495" i="1"/>
  <c r="AJ494" i="1"/>
  <c r="AA494" i="1"/>
  <c r="S494" i="1"/>
  <c r="O494" i="1"/>
  <c r="K494" i="1"/>
  <c r="AJ493" i="1"/>
  <c r="AA493" i="1"/>
  <c r="S493" i="1"/>
  <c r="O493" i="1"/>
  <c r="K493" i="1"/>
  <c r="AJ492" i="1"/>
  <c r="AA492" i="1"/>
  <c r="S492" i="1"/>
  <c r="O492" i="1"/>
  <c r="K492" i="1"/>
  <c r="AJ491" i="1"/>
  <c r="AA491" i="1"/>
  <c r="S491" i="1"/>
  <c r="O491" i="1"/>
  <c r="K491" i="1"/>
  <c r="AJ489" i="1"/>
  <c r="AA489" i="1"/>
  <c r="S489" i="1"/>
  <c r="O489" i="1"/>
  <c r="K489" i="1"/>
  <c r="AJ488" i="1"/>
  <c r="AA488" i="1"/>
  <c r="S488" i="1"/>
  <c r="O488" i="1"/>
  <c r="K488" i="1"/>
  <c r="AJ487" i="1"/>
  <c r="AA487" i="1"/>
  <c r="S487" i="1"/>
  <c r="O487" i="1"/>
  <c r="K487" i="1"/>
  <c r="AJ486" i="1"/>
  <c r="AA486" i="1"/>
  <c r="S486" i="1"/>
  <c r="O486" i="1"/>
  <c r="K486" i="1"/>
  <c r="AJ485" i="1"/>
  <c r="AA485" i="1"/>
  <c r="S485" i="1"/>
  <c r="O485" i="1"/>
  <c r="K485" i="1"/>
  <c r="AJ484" i="1"/>
  <c r="AA484" i="1"/>
  <c r="S484" i="1"/>
  <c r="O484" i="1"/>
  <c r="K484" i="1"/>
  <c r="AJ483" i="1"/>
  <c r="AA483" i="1"/>
  <c r="S483" i="1"/>
  <c r="O483" i="1"/>
  <c r="K483" i="1"/>
  <c r="AJ482" i="1"/>
  <c r="AA482" i="1"/>
  <c r="S482" i="1"/>
  <c r="O482" i="1"/>
  <c r="K482" i="1"/>
  <c r="AJ481" i="1"/>
  <c r="AA481" i="1"/>
  <c r="S481" i="1"/>
  <c r="O481" i="1"/>
  <c r="K481" i="1"/>
  <c r="AJ480" i="1"/>
  <c r="AA480" i="1"/>
  <c r="S480" i="1"/>
  <c r="O480" i="1"/>
  <c r="K480" i="1"/>
  <c r="AJ479" i="1"/>
  <c r="AA479" i="1"/>
  <c r="S479" i="1"/>
  <c r="O479" i="1"/>
  <c r="K479" i="1"/>
  <c r="AJ478" i="1"/>
  <c r="AA478" i="1"/>
  <c r="S478" i="1"/>
  <c r="O478" i="1"/>
  <c r="K478" i="1"/>
  <c r="AJ477" i="1"/>
  <c r="AA477" i="1"/>
  <c r="S477" i="1"/>
  <c r="O477" i="1"/>
  <c r="K477" i="1"/>
  <c r="AJ476" i="1"/>
  <c r="AA476" i="1"/>
  <c r="S476" i="1"/>
  <c r="O476" i="1"/>
  <c r="K476" i="1"/>
  <c r="AJ475" i="1"/>
  <c r="AA475" i="1"/>
  <c r="S475" i="1"/>
  <c r="O475" i="1"/>
  <c r="K475" i="1"/>
  <c r="AJ474" i="1"/>
  <c r="AA474" i="1"/>
  <c r="S474" i="1"/>
  <c r="O474" i="1"/>
  <c r="K474" i="1"/>
  <c r="AJ472" i="1"/>
  <c r="AA472" i="1"/>
  <c r="S472" i="1"/>
  <c r="O472" i="1"/>
  <c r="K472" i="1"/>
  <c r="AJ471" i="1"/>
  <c r="AA471" i="1"/>
  <c r="S471" i="1"/>
  <c r="O471" i="1"/>
  <c r="K471" i="1"/>
  <c r="AJ470" i="1"/>
  <c r="AA470" i="1"/>
  <c r="S470" i="1"/>
  <c r="O470" i="1"/>
  <c r="K470" i="1"/>
  <c r="AJ469" i="1"/>
  <c r="AA469" i="1"/>
  <c r="S469" i="1"/>
  <c r="O469" i="1"/>
  <c r="K469" i="1"/>
  <c r="AJ468" i="1"/>
  <c r="AA468" i="1"/>
  <c r="S468" i="1"/>
  <c r="O468" i="1"/>
  <c r="K468" i="1"/>
  <c r="AJ467" i="1"/>
  <c r="AA467" i="1"/>
  <c r="S467" i="1"/>
  <c r="O467" i="1"/>
  <c r="K467" i="1"/>
  <c r="AJ466" i="1"/>
  <c r="AA466" i="1"/>
  <c r="S466" i="1"/>
  <c r="O466" i="1"/>
  <c r="K466" i="1"/>
  <c r="AJ465" i="1"/>
  <c r="AA465" i="1"/>
  <c r="S465" i="1"/>
  <c r="O465" i="1"/>
  <c r="K465" i="1"/>
  <c r="AJ464" i="1"/>
  <c r="AA464" i="1"/>
  <c r="S464" i="1"/>
  <c r="O464" i="1"/>
  <c r="K464" i="1"/>
  <c r="AJ460" i="1"/>
  <c r="AA460" i="1"/>
  <c r="S460" i="1"/>
  <c r="O460" i="1"/>
  <c r="K460" i="1"/>
  <c r="AJ459" i="1"/>
  <c r="AA459" i="1"/>
  <c r="S459" i="1"/>
  <c r="O459" i="1"/>
  <c r="K459" i="1"/>
  <c r="AJ458" i="1"/>
  <c r="AA458" i="1"/>
  <c r="S458" i="1"/>
  <c r="O458" i="1"/>
  <c r="K458" i="1"/>
  <c r="AJ457" i="1"/>
  <c r="AA457" i="1"/>
  <c r="S457" i="1"/>
  <c r="O457" i="1"/>
  <c r="K457" i="1"/>
  <c r="AJ456" i="1"/>
  <c r="AA456" i="1"/>
  <c r="S456" i="1"/>
  <c r="O456" i="1"/>
  <c r="K456" i="1"/>
  <c r="AJ455" i="1"/>
  <c r="AA455" i="1"/>
  <c r="S455" i="1"/>
  <c r="O455" i="1"/>
  <c r="K455" i="1"/>
  <c r="AJ454" i="1"/>
  <c r="AA454" i="1"/>
  <c r="S454" i="1"/>
  <c r="O454" i="1"/>
  <c r="K454" i="1"/>
  <c r="AJ453" i="1"/>
  <c r="AA453" i="1"/>
  <c r="S453" i="1"/>
  <c r="O453" i="1"/>
  <c r="K453" i="1"/>
  <c r="AJ452" i="1"/>
  <c r="AA452" i="1"/>
  <c r="S452" i="1"/>
  <c r="O452" i="1"/>
  <c r="K452" i="1"/>
  <c r="AJ451" i="1"/>
  <c r="AA451" i="1"/>
  <c r="S451" i="1"/>
  <c r="O451" i="1"/>
  <c r="K451" i="1"/>
  <c r="AJ450" i="1"/>
  <c r="AA450" i="1"/>
  <c r="S450" i="1"/>
  <c r="O450" i="1"/>
  <c r="K450" i="1"/>
  <c r="AJ449" i="1"/>
  <c r="AA449" i="1"/>
  <c r="S449" i="1"/>
  <c r="O449" i="1"/>
  <c r="K449" i="1"/>
  <c r="AJ448" i="1"/>
  <c r="AA448" i="1"/>
  <c r="S448" i="1"/>
  <c r="O448" i="1"/>
  <c r="K448" i="1"/>
  <c r="AJ447" i="1"/>
  <c r="AA447" i="1"/>
  <c r="S447" i="1"/>
  <c r="O447" i="1"/>
  <c r="K447" i="1"/>
  <c r="AM404" i="1"/>
  <c r="AP404" i="1" s="1"/>
  <c r="AM405" i="1"/>
  <c r="AP405" i="1" s="1"/>
  <c r="AM406" i="1"/>
  <c r="AP406" i="1" s="1"/>
  <c r="AM407" i="1"/>
  <c r="AP407" i="1" s="1"/>
  <c r="AM408" i="1"/>
  <c r="AP408" i="1" s="1"/>
  <c r="AM409" i="1"/>
  <c r="AP409" i="1" s="1"/>
  <c r="AM410" i="1"/>
  <c r="AP410" i="1" s="1"/>
  <c r="AM411" i="1"/>
  <c r="AP411" i="1" s="1"/>
  <c r="AM412" i="1"/>
  <c r="AP412" i="1" s="1"/>
  <c r="AM413" i="1"/>
  <c r="AP413" i="1" s="1"/>
  <c r="AM414" i="1"/>
  <c r="AP414" i="1" s="1"/>
  <c r="AM415" i="1"/>
  <c r="AP415" i="1" s="1"/>
  <c r="AM416" i="1"/>
  <c r="AP416" i="1" s="1"/>
  <c r="AM420" i="1"/>
  <c r="AP420" i="1" s="1"/>
  <c r="AM421" i="1"/>
  <c r="AP421" i="1" s="1"/>
  <c r="AM422" i="1"/>
  <c r="AP422" i="1" s="1"/>
  <c r="AM423" i="1"/>
  <c r="AP423" i="1" s="1"/>
  <c r="AM424" i="1"/>
  <c r="AP424" i="1" s="1"/>
  <c r="AM425" i="1"/>
  <c r="AP425" i="1" s="1"/>
  <c r="AM426" i="1"/>
  <c r="AP426" i="1" s="1"/>
  <c r="AM427" i="1"/>
  <c r="AP427" i="1" s="1"/>
  <c r="AM428" i="1"/>
  <c r="AP428" i="1" s="1"/>
  <c r="AM430" i="1"/>
  <c r="AP430" i="1" s="1"/>
  <c r="AM431" i="1"/>
  <c r="AP431" i="1" s="1"/>
  <c r="AM432" i="1"/>
  <c r="AP432" i="1" s="1"/>
  <c r="AM433" i="1"/>
  <c r="AP433" i="1" s="1"/>
  <c r="AM434" i="1"/>
  <c r="AP434" i="1" s="1"/>
  <c r="AM435" i="1"/>
  <c r="AQ435" i="1" s="1"/>
  <c r="AM436" i="1"/>
  <c r="AQ436" i="1" s="1"/>
  <c r="AM437" i="1"/>
  <c r="AP437" i="1" s="1"/>
  <c r="AM438" i="1"/>
  <c r="AQ438" i="1" s="1"/>
  <c r="AM439" i="1"/>
  <c r="AP439" i="1" s="1"/>
  <c r="AM440" i="1"/>
  <c r="AQ440" i="1" s="1"/>
  <c r="AM441" i="1"/>
  <c r="AQ441" i="1" s="1"/>
  <c r="AM442" i="1"/>
  <c r="AQ442" i="1" s="1"/>
  <c r="AM443" i="1"/>
  <c r="AQ443" i="1" s="1"/>
  <c r="AM444" i="1"/>
  <c r="AQ444" i="1" s="1"/>
  <c r="AM445" i="1"/>
  <c r="AQ445" i="1" s="1"/>
  <c r="AM447" i="1"/>
  <c r="AP447" i="1" s="1"/>
  <c r="AM448" i="1"/>
  <c r="AP448" i="1" s="1"/>
  <c r="AM449" i="1"/>
  <c r="AP449" i="1" s="1"/>
  <c r="AM450" i="1"/>
  <c r="AP450" i="1" s="1"/>
  <c r="AM451" i="1"/>
  <c r="AP451" i="1" s="1"/>
  <c r="AM452" i="1"/>
  <c r="AP452" i="1" s="1"/>
  <c r="AM453" i="1"/>
  <c r="AP453" i="1" s="1"/>
  <c r="AM454" i="1"/>
  <c r="AP454" i="1" s="1"/>
  <c r="AM455" i="1"/>
  <c r="AP455" i="1" s="1"/>
  <c r="AM456" i="1"/>
  <c r="AP456" i="1" s="1"/>
  <c r="AM457" i="1"/>
  <c r="AP457" i="1" s="1"/>
  <c r="AM458" i="1"/>
  <c r="AP458" i="1" s="1"/>
  <c r="AM459" i="1"/>
  <c r="AP459" i="1" s="1"/>
  <c r="AM460" i="1"/>
  <c r="AP460" i="1" s="1"/>
  <c r="AM464" i="1"/>
  <c r="AP464" i="1" s="1"/>
  <c r="AM465" i="1"/>
  <c r="AP465" i="1" s="1"/>
  <c r="AM466" i="1"/>
  <c r="AP466" i="1" s="1"/>
  <c r="AM467" i="1"/>
  <c r="AP467" i="1" s="1"/>
  <c r="AM468" i="1"/>
  <c r="AP468" i="1" s="1"/>
  <c r="AM469" i="1"/>
  <c r="AP469" i="1" s="1"/>
  <c r="AM470" i="1"/>
  <c r="AP470" i="1" s="1"/>
  <c r="AM471" i="1"/>
  <c r="AP471" i="1" s="1"/>
  <c r="AM472" i="1"/>
  <c r="AP472" i="1" s="1"/>
  <c r="AM474" i="1"/>
  <c r="AP474" i="1" s="1"/>
  <c r="AM475" i="1"/>
  <c r="AP475" i="1" s="1"/>
  <c r="AM476" i="1"/>
  <c r="AP476" i="1" s="1"/>
  <c r="AM477" i="1"/>
  <c r="AQ477" i="1" s="1"/>
  <c r="AM478" i="1"/>
  <c r="AP478" i="1" s="1"/>
  <c r="AM479" i="1"/>
  <c r="AP479" i="1" s="1"/>
  <c r="AM480" i="1"/>
  <c r="AP480" i="1" s="1"/>
  <c r="AM481" i="1"/>
  <c r="AP481" i="1" s="1"/>
  <c r="AM482" i="1"/>
  <c r="AP482" i="1" s="1"/>
  <c r="AM483" i="1"/>
  <c r="AP483" i="1" s="1"/>
  <c r="AM484" i="1"/>
  <c r="AQ484" i="1" s="1"/>
  <c r="AM485" i="1"/>
  <c r="AP485" i="1" s="1"/>
  <c r="AM486" i="1"/>
  <c r="AQ486" i="1" s="1"/>
  <c r="AM487" i="1"/>
  <c r="AQ487" i="1" s="1"/>
  <c r="AM488" i="1"/>
  <c r="AQ488" i="1" s="1"/>
  <c r="AM489" i="1"/>
  <c r="AQ489" i="1" s="1"/>
  <c r="AM491" i="1"/>
  <c r="AP491" i="1" s="1"/>
  <c r="AM492" i="1"/>
  <c r="AP492" i="1" s="1"/>
  <c r="AM493" i="1"/>
  <c r="AP493" i="1" s="1"/>
  <c r="AM494" i="1"/>
  <c r="AP494" i="1" s="1"/>
  <c r="AM495" i="1"/>
  <c r="AP495" i="1" s="1"/>
  <c r="AM496" i="1"/>
  <c r="AP496" i="1" s="1"/>
  <c r="AM497" i="1"/>
  <c r="AP497" i="1" s="1"/>
  <c r="AM498" i="1"/>
  <c r="AP498" i="1" s="1"/>
  <c r="AM499" i="1"/>
  <c r="AP499" i="1" s="1"/>
  <c r="AM500" i="1"/>
  <c r="AP500" i="1" s="1"/>
  <c r="AM501" i="1"/>
  <c r="AP501" i="1" s="1"/>
  <c r="AM502" i="1"/>
  <c r="AP502" i="1" s="1"/>
  <c r="AM503" i="1"/>
  <c r="AP503" i="1" s="1"/>
  <c r="AM504" i="1"/>
  <c r="AP504" i="1" s="1"/>
  <c r="AM508" i="1"/>
  <c r="AP508" i="1" s="1"/>
  <c r="AM509" i="1"/>
  <c r="AP509" i="1" s="1"/>
  <c r="AM510" i="1"/>
  <c r="AP510" i="1" s="1"/>
  <c r="AM511" i="1"/>
  <c r="AP511" i="1" s="1"/>
  <c r="AM512" i="1"/>
  <c r="AP512" i="1" s="1"/>
  <c r="AM513" i="1"/>
  <c r="AP513" i="1" s="1"/>
  <c r="AM514" i="1"/>
  <c r="AP514" i="1" s="1"/>
  <c r="AM515" i="1"/>
  <c r="AP515" i="1" s="1"/>
  <c r="AM516" i="1"/>
  <c r="AP516" i="1" s="1"/>
  <c r="AM518" i="1"/>
  <c r="AP518" i="1" s="1"/>
  <c r="AM519" i="1"/>
  <c r="AP519" i="1" s="1"/>
  <c r="AM520" i="1"/>
  <c r="AP520" i="1" s="1"/>
  <c r="AM521" i="1"/>
  <c r="AQ521" i="1" s="1"/>
  <c r="AM522" i="1"/>
  <c r="AQ522" i="1" s="1"/>
  <c r="AM523" i="1"/>
  <c r="AQ523" i="1" s="1"/>
  <c r="AM524" i="1"/>
  <c r="AP524" i="1" s="1"/>
  <c r="AM525" i="1"/>
  <c r="AQ525" i="1" s="1"/>
  <c r="AM526" i="1"/>
  <c r="AP526" i="1" s="1"/>
  <c r="AM527" i="1"/>
  <c r="AP527" i="1" s="1"/>
  <c r="AM528" i="1"/>
  <c r="AQ528" i="1" s="1"/>
  <c r="AM529" i="1"/>
  <c r="AQ529" i="1" s="1"/>
  <c r="AM530" i="1"/>
  <c r="AQ530" i="1" s="1"/>
  <c r="AM531" i="1"/>
  <c r="AP531" i="1" s="1"/>
  <c r="AM532" i="1"/>
  <c r="AP532" i="1" s="1"/>
  <c r="AM533" i="1"/>
  <c r="AQ533" i="1" s="1"/>
  <c r="AM403" i="1"/>
  <c r="AP403" i="1" s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20" i="1"/>
  <c r="AJ421" i="1"/>
  <c r="AJ422" i="1"/>
  <c r="AJ423" i="1"/>
  <c r="AJ424" i="1"/>
  <c r="AJ425" i="1"/>
  <c r="AJ426" i="1"/>
  <c r="AJ427" i="1"/>
  <c r="AJ428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20" i="1"/>
  <c r="AA421" i="1"/>
  <c r="AA422" i="1"/>
  <c r="AA423" i="1"/>
  <c r="AA424" i="1"/>
  <c r="AA425" i="1"/>
  <c r="AA426" i="1"/>
  <c r="AA427" i="1"/>
  <c r="AA428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20" i="1"/>
  <c r="S421" i="1"/>
  <c r="S422" i="1"/>
  <c r="S423" i="1"/>
  <c r="S424" i="1"/>
  <c r="S425" i="1"/>
  <c r="S426" i="1"/>
  <c r="S427" i="1"/>
  <c r="S428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20" i="1"/>
  <c r="O421" i="1"/>
  <c r="O422" i="1"/>
  <c r="O423" i="1"/>
  <c r="O424" i="1"/>
  <c r="O425" i="1"/>
  <c r="O426" i="1"/>
  <c r="O427" i="1"/>
  <c r="O428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20" i="1"/>
  <c r="K421" i="1"/>
  <c r="K422" i="1"/>
  <c r="K423" i="1"/>
  <c r="K424" i="1"/>
  <c r="K425" i="1"/>
  <c r="K426" i="1"/>
  <c r="K427" i="1"/>
  <c r="K428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AV428" i="1" l="1"/>
  <c r="AV434" i="1"/>
  <c r="AV454" i="1"/>
  <c r="AV471" i="1"/>
  <c r="AV501" i="1"/>
  <c r="AV519" i="1"/>
  <c r="AV566" i="1"/>
  <c r="AV549" i="1"/>
  <c r="AT646" i="1"/>
  <c r="AT632" i="1"/>
  <c r="AV411" i="1"/>
  <c r="AV416" i="1"/>
  <c r="AX618" i="1"/>
  <c r="AX635" i="1"/>
  <c r="AV576" i="1"/>
  <c r="AV426" i="1"/>
  <c r="AS511" i="1"/>
  <c r="AV511" i="1"/>
  <c r="AV575" i="1"/>
  <c r="AT640" i="1"/>
  <c r="AW640" i="1" s="1"/>
  <c r="AX640" i="1" s="1"/>
  <c r="AY640" i="1"/>
  <c r="AZ640" i="1" s="1"/>
  <c r="BA640" i="1" s="1"/>
  <c r="AV425" i="1"/>
  <c r="AV408" i="1"/>
  <c r="AS450" i="1"/>
  <c r="AY450" i="1" s="1"/>
  <c r="AV450" i="1"/>
  <c r="AS467" i="1"/>
  <c r="AY467" i="1" s="1"/>
  <c r="AV467" i="1"/>
  <c r="AS482" i="1"/>
  <c r="AY482" i="1" s="1"/>
  <c r="AV482" i="1"/>
  <c r="AS497" i="1"/>
  <c r="AY497" i="1" s="1"/>
  <c r="AV497" i="1"/>
  <c r="AS514" i="1"/>
  <c r="AY514" i="1" s="1"/>
  <c r="AV514" i="1"/>
  <c r="AS529" i="1"/>
  <c r="AZ646" i="1"/>
  <c r="BA646" i="1" s="1"/>
  <c r="AW646" i="1"/>
  <c r="AX646" i="1" s="1"/>
  <c r="AT647" i="1"/>
  <c r="AW647" i="1" s="1"/>
  <c r="AX647" i="1" s="1"/>
  <c r="AY647" i="1"/>
  <c r="AZ647" i="1"/>
  <c r="BA647" i="1" s="1"/>
  <c r="AT634" i="1"/>
  <c r="AZ634" i="1" s="1"/>
  <c r="BA634" i="1" s="1"/>
  <c r="AY634" i="1"/>
  <c r="AV439" i="1"/>
  <c r="AV424" i="1"/>
  <c r="AV407" i="1"/>
  <c r="AS453" i="1"/>
  <c r="AY453" i="1" s="1"/>
  <c r="AV453" i="1"/>
  <c r="AS470" i="1"/>
  <c r="AY470" i="1" s="1"/>
  <c r="AV470" i="1"/>
  <c r="AS485" i="1"/>
  <c r="AY485" i="1" s="1"/>
  <c r="AV485" i="1"/>
  <c r="AS500" i="1"/>
  <c r="AY500" i="1" s="1"/>
  <c r="AV500" i="1"/>
  <c r="AS518" i="1"/>
  <c r="AY518" i="1" s="1"/>
  <c r="AV518" i="1"/>
  <c r="AS532" i="1"/>
  <c r="AY532" i="1" s="1"/>
  <c r="AV532" i="1"/>
  <c r="AT626" i="1"/>
  <c r="AY626" i="1"/>
  <c r="AZ626" i="1" s="1"/>
  <c r="BA626" i="1" s="1"/>
  <c r="AW617" i="1"/>
  <c r="AX617" i="1" s="1"/>
  <c r="AT649" i="1"/>
  <c r="AW649" i="1" s="1"/>
  <c r="AX649" i="1" s="1"/>
  <c r="AY649" i="1"/>
  <c r="AS444" i="1"/>
  <c r="AT444" i="1" s="1"/>
  <c r="AS412" i="1"/>
  <c r="AV412" i="1"/>
  <c r="AS452" i="1"/>
  <c r="AV452" i="1"/>
  <c r="AS469" i="1"/>
  <c r="AV469" i="1"/>
  <c r="AS484" i="1"/>
  <c r="AS516" i="1"/>
  <c r="AV516" i="1"/>
  <c r="AT637" i="1"/>
  <c r="AW637" i="1" s="1"/>
  <c r="AX637" i="1" s="1"/>
  <c r="AY637" i="1"/>
  <c r="AZ637" i="1" s="1"/>
  <c r="BA637" i="1" s="1"/>
  <c r="AT624" i="1"/>
  <c r="AZ624" i="1" s="1"/>
  <c r="BA624" i="1" s="1"/>
  <c r="AY624" i="1"/>
  <c r="AS455" i="1"/>
  <c r="AY455" i="1" s="1"/>
  <c r="AV455" i="1"/>
  <c r="AS487" i="1"/>
  <c r="AS502" i="1"/>
  <c r="AY502" i="1" s="1"/>
  <c r="AV502" i="1"/>
  <c r="AV577" i="1"/>
  <c r="AV544" i="1"/>
  <c r="AT625" i="1"/>
  <c r="AY625" i="1"/>
  <c r="AZ632" i="1"/>
  <c r="BA632" i="1" s="1"/>
  <c r="AW632" i="1"/>
  <c r="AX632" i="1" s="1"/>
  <c r="AV410" i="1"/>
  <c r="AS458" i="1"/>
  <c r="AV458" i="1"/>
  <c r="AS491" i="1"/>
  <c r="AV491" i="1"/>
  <c r="AV560" i="1"/>
  <c r="AT639" i="1"/>
  <c r="AY639" i="1"/>
  <c r="AZ639" i="1" s="1"/>
  <c r="BA639" i="1" s="1"/>
  <c r="AT620" i="1"/>
  <c r="AZ620" i="1" s="1"/>
  <c r="BA620" i="1" s="1"/>
  <c r="AY620" i="1"/>
  <c r="AS464" i="1"/>
  <c r="AV464" i="1"/>
  <c r="AS494" i="1"/>
  <c r="AV494" i="1"/>
  <c r="AV559" i="1"/>
  <c r="AT629" i="1"/>
  <c r="AZ629" i="1" s="1"/>
  <c r="BA629" i="1" s="1"/>
  <c r="AY629" i="1"/>
  <c r="AT635" i="1"/>
  <c r="AY635" i="1"/>
  <c r="AV423" i="1"/>
  <c r="AV456" i="1"/>
  <c r="AV474" i="1"/>
  <c r="AV503" i="1"/>
  <c r="AV556" i="1"/>
  <c r="AT643" i="1"/>
  <c r="AY643" i="1"/>
  <c r="AT616" i="1"/>
  <c r="AW616" i="1" s="1"/>
  <c r="AX616" i="1" s="1"/>
  <c r="AY616" i="1"/>
  <c r="AZ616" i="1" s="1"/>
  <c r="BA616" i="1" s="1"/>
  <c r="AT648" i="1"/>
  <c r="AW648" i="1" s="1"/>
  <c r="AX648" i="1" s="1"/>
  <c r="AY648" i="1"/>
  <c r="AV437" i="1"/>
  <c r="AV405" i="1"/>
  <c r="AV492" i="1"/>
  <c r="AV509" i="1"/>
  <c r="AV569" i="1"/>
  <c r="AW633" i="1"/>
  <c r="AX633" i="1" s="1"/>
  <c r="AZ633" i="1"/>
  <c r="BA633" i="1" s="1"/>
  <c r="AW631" i="1"/>
  <c r="AX631" i="1" s="1"/>
  <c r="AV421" i="1"/>
  <c r="AV404" i="1"/>
  <c r="AV448" i="1"/>
  <c r="AV465" i="1"/>
  <c r="AV480" i="1"/>
  <c r="AV495" i="1"/>
  <c r="AV512" i="1"/>
  <c r="AV527" i="1"/>
  <c r="AV568" i="1"/>
  <c r="AV551" i="1"/>
  <c r="AT644" i="1"/>
  <c r="AW644" i="1" s="1"/>
  <c r="AX644" i="1" s="1"/>
  <c r="AY644" i="1"/>
  <c r="AT627" i="1"/>
  <c r="AZ627" i="1" s="1"/>
  <c r="BA627" i="1" s="1"/>
  <c r="AY627" i="1"/>
  <c r="AZ625" i="1"/>
  <c r="BA625" i="1" s="1"/>
  <c r="AW625" i="1"/>
  <c r="AX625" i="1" s="1"/>
  <c r="AS430" i="1"/>
  <c r="AV430" i="1"/>
  <c r="AS531" i="1"/>
  <c r="AV531" i="1"/>
  <c r="AS584" i="1"/>
  <c r="AW620" i="1"/>
  <c r="AX620" i="1" s="1"/>
  <c r="AZ618" i="1"/>
  <c r="BA618" i="1" s="1"/>
  <c r="AW618" i="1"/>
  <c r="AT614" i="1"/>
  <c r="AY614" i="1"/>
  <c r="AS472" i="1"/>
  <c r="AY472" i="1" s="1"/>
  <c r="AV472" i="1"/>
  <c r="AS520" i="1"/>
  <c r="AY520" i="1" s="1"/>
  <c r="AV520" i="1"/>
  <c r="AV561" i="1"/>
  <c r="AT621" i="1"/>
  <c r="AY621" i="1"/>
  <c r="AV427" i="1"/>
  <c r="AS476" i="1"/>
  <c r="AV476" i="1"/>
  <c r="AS508" i="1"/>
  <c r="AV508" i="1"/>
  <c r="AS523" i="1"/>
  <c r="AY523" i="1" s="1"/>
  <c r="AV543" i="1"/>
  <c r="AW626" i="1"/>
  <c r="AX626" i="1" s="1"/>
  <c r="AT638" i="1"/>
  <c r="AZ638" i="1" s="1"/>
  <c r="BA638" i="1" s="1"/>
  <c r="AY638" i="1"/>
  <c r="AV409" i="1"/>
  <c r="AS447" i="1"/>
  <c r="AV447" i="1"/>
  <c r="AS479" i="1"/>
  <c r="AV479" i="1"/>
  <c r="AS526" i="1"/>
  <c r="AV526" i="1"/>
  <c r="AV542" i="1"/>
  <c r="AZ643" i="1"/>
  <c r="BA643" i="1" s="1"/>
  <c r="AW643" i="1"/>
  <c r="AX643" i="1" s="1"/>
  <c r="AT619" i="1"/>
  <c r="AW619" i="1" s="1"/>
  <c r="AX619" i="1" s="1"/>
  <c r="AY619" i="1"/>
  <c r="AV406" i="1"/>
  <c r="AV570" i="1"/>
  <c r="AV536" i="1"/>
  <c r="AV422" i="1"/>
  <c r="AV459" i="1"/>
  <c r="AV524" i="1"/>
  <c r="AT631" i="1"/>
  <c r="AY631" i="1"/>
  <c r="AV435" i="1"/>
  <c r="AV420" i="1"/>
  <c r="AV403" i="1"/>
  <c r="AV451" i="1"/>
  <c r="AV468" i="1"/>
  <c r="AV483" i="1"/>
  <c r="AV498" i="1"/>
  <c r="AV515" i="1"/>
  <c r="AV567" i="1"/>
  <c r="AV550" i="1"/>
  <c r="AS593" i="1"/>
  <c r="AW614" i="1"/>
  <c r="AX614" i="1" s="1"/>
  <c r="AT645" i="1"/>
  <c r="AY645" i="1"/>
  <c r="AT641" i="1"/>
  <c r="AW641" i="1" s="1"/>
  <c r="AX641" i="1" s="1"/>
  <c r="AY641" i="1"/>
  <c r="AT617" i="1"/>
  <c r="AY617" i="1"/>
  <c r="AZ617" i="1" s="1"/>
  <c r="BA617" i="1" s="1"/>
  <c r="AW635" i="1"/>
  <c r="AS499" i="1"/>
  <c r="AV499" i="1"/>
  <c r="AT615" i="1"/>
  <c r="AZ615" i="1" s="1"/>
  <c r="BA615" i="1" s="1"/>
  <c r="AY615" i="1"/>
  <c r="AW639" i="1"/>
  <c r="AX639" i="1" s="1"/>
  <c r="AV433" i="1"/>
  <c r="AV415" i="1"/>
  <c r="AV457" i="1"/>
  <c r="AV475" i="1"/>
  <c r="AV504" i="1"/>
  <c r="AT633" i="1"/>
  <c r="AY633" i="1"/>
  <c r="AT628" i="1"/>
  <c r="AW628" i="1" s="1"/>
  <c r="AX628" i="1" s="1"/>
  <c r="AY628" i="1"/>
  <c r="AZ628" i="1" s="1"/>
  <c r="BA628" i="1" s="1"/>
  <c r="AS432" i="1"/>
  <c r="AV432" i="1"/>
  <c r="AS414" i="1"/>
  <c r="AV414" i="1"/>
  <c r="AS460" i="1"/>
  <c r="AV460" i="1"/>
  <c r="AS478" i="1"/>
  <c r="AV478" i="1"/>
  <c r="AS493" i="1"/>
  <c r="AV493" i="1"/>
  <c r="AS510" i="1"/>
  <c r="AV510" i="1"/>
  <c r="AS525" i="1"/>
  <c r="AS564" i="1"/>
  <c r="AV564" i="1"/>
  <c r="AS547" i="1"/>
  <c r="AV547" i="1"/>
  <c r="AZ622" i="1"/>
  <c r="BA622" i="1" s="1"/>
  <c r="AW622" i="1"/>
  <c r="AX622" i="1" s="1"/>
  <c r="AZ619" i="1"/>
  <c r="BA619" i="1" s="1"/>
  <c r="AT642" i="1"/>
  <c r="AY642" i="1"/>
  <c r="AT622" i="1"/>
  <c r="AY622" i="1"/>
  <c r="AT623" i="1"/>
  <c r="AW623" i="1" s="1"/>
  <c r="AX623" i="1" s="1"/>
  <c r="AY623" i="1"/>
  <c r="AS445" i="1"/>
  <c r="AV445" i="1"/>
  <c r="AS431" i="1"/>
  <c r="AV431" i="1"/>
  <c r="AS413" i="1"/>
  <c r="AV413" i="1"/>
  <c r="AS449" i="1"/>
  <c r="AV449" i="1"/>
  <c r="AS466" i="1"/>
  <c r="AV466" i="1"/>
  <c r="AS481" i="1"/>
  <c r="AV481" i="1"/>
  <c r="AS496" i="1"/>
  <c r="AV496" i="1"/>
  <c r="AS513" i="1"/>
  <c r="AV513" i="1"/>
  <c r="AS528" i="1"/>
  <c r="AV563" i="1"/>
  <c r="AV546" i="1"/>
  <c r="AS583" i="1"/>
  <c r="AS604" i="1"/>
  <c r="AT630" i="1"/>
  <c r="AZ630" i="1" s="1"/>
  <c r="BA630" i="1" s="1"/>
  <c r="AY630" i="1"/>
  <c r="AT636" i="1"/>
  <c r="AY636" i="1"/>
  <c r="AR465" i="1"/>
  <c r="AU465" i="1"/>
  <c r="AR480" i="1"/>
  <c r="AU480" i="1"/>
  <c r="AR592" i="1"/>
  <c r="AT445" i="1"/>
  <c r="AR498" i="1"/>
  <c r="AU498" i="1"/>
  <c r="AU515" i="1"/>
  <c r="AR515" i="1"/>
  <c r="AR530" i="1"/>
  <c r="AR486" i="1"/>
  <c r="AU501" i="1"/>
  <c r="AR501" i="1"/>
  <c r="AR590" i="1"/>
  <c r="AS443" i="1"/>
  <c r="AR413" i="1"/>
  <c r="AU413" i="1"/>
  <c r="AU504" i="1"/>
  <c r="AR504" i="1"/>
  <c r="AR522" i="1"/>
  <c r="AS561" i="1"/>
  <c r="AR574" i="1"/>
  <c r="AR558" i="1"/>
  <c r="AR541" i="1"/>
  <c r="AS576" i="1"/>
  <c r="AR573" i="1"/>
  <c r="AR557" i="1"/>
  <c r="AR537" i="1"/>
  <c r="AR588" i="1"/>
  <c r="AR449" i="1"/>
  <c r="AU449" i="1"/>
  <c r="AS575" i="1"/>
  <c r="AR587" i="1"/>
  <c r="AS425" i="1"/>
  <c r="AU427" i="1"/>
  <c r="AR427" i="1"/>
  <c r="AT497" i="1"/>
  <c r="AU531" i="1"/>
  <c r="AR531" i="1"/>
  <c r="AR586" i="1"/>
  <c r="AS435" i="1"/>
  <c r="AS403" i="1"/>
  <c r="AR422" i="1"/>
  <c r="AU422" i="1"/>
  <c r="AS451" i="1"/>
  <c r="AR470" i="1"/>
  <c r="AU470" i="1"/>
  <c r="AR485" i="1"/>
  <c r="AU485" i="1"/>
  <c r="AS498" i="1"/>
  <c r="AR500" i="1"/>
  <c r="AU500" i="1"/>
  <c r="AR518" i="1"/>
  <c r="AU518" i="1"/>
  <c r="AS530" i="1"/>
  <c r="AS567" i="1"/>
  <c r="AR564" i="1"/>
  <c r="AU564" i="1"/>
  <c r="AR547" i="1"/>
  <c r="AU547" i="1"/>
  <c r="AR579" i="1"/>
  <c r="AR581" i="1"/>
  <c r="AS434" i="1"/>
  <c r="AS416" i="1"/>
  <c r="AR436" i="1"/>
  <c r="AU421" i="1"/>
  <c r="AR421" i="1"/>
  <c r="AU404" i="1"/>
  <c r="AR404" i="1"/>
  <c r="AS454" i="1"/>
  <c r="AR456" i="1"/>
  <c r="AU456" i="1"/>
  <c r="AS471" i="1"/>
  <c r="AR474" i="1"/>
  <c r="AU474" i="1"/>
  <c r="AS486" i="1"/>
  <c r="AR488" i="1"/>
  <c r="AS501" i="1"/>
  <c r="AR503" i="1"/>
  <c r="AU503" i="1"/>
  <c r="AS519" i="1"/>
  <c r="AR521" i="1"/>
  <c r="AS533" i="1"/>
  <c r="AS566" i="1"/>
  <c r="AS549" i="1"/>
  <c r="AR563" i="1"/>
  <c r="AU563" i="1"/>
  <c r="AR546" i="1"/>
  <c r="AR594" i="1"/>
  <c r="AR580" i="1"/>
  <c r="AR495" i="1"/>
  <c r="AU495" i="1"/>
  <c r="AU577" i="1"/>
  <c r="AR577" i="1"/>
  <c r="AU561" i="1"/>
  <c r="AR561" i="1"/>
  <c r="AU544" i="1"/>
  <c r="AR544" i="1"/>
  <c r="AS563" i="1"/>
  <c r="AR591" i="1"/>
  <c r="AR432" i="1"/>
  <c r="AU432" i="1"/>
  <c r="AR519" i="1"/>
  <c r="AU519" i="1"/>
  <c r="AR533" i="1"/>
  <c r="AS428" i="1"/>
  <c r="AR431" i="1"/>
  <c r="AU431" i="1"/>
  <c r="AS442" i="1"/>
  <c r="AR412" i="1"/>
  <c r="AU412" i="1"/>
  <c r="AR478" i="1"/>
  <c r="AU478" i="1"/>
  <c r="AR493" i="1"/>
  <c r="AU493" i="1"/>
  <c r="AU510" i="1"/>
  <c r="AR510" i="1"/>
  <c r="AR525" i="1"/>
  <c r="AS441" i="1"/>
  <c r="AR428" i="1"/>
  <c r="AU428" i="1"/>
  <c r="AR466" i="1"/>
  <c r="AU466" i="1"/>
  <c r="AS542" i="1"/>
  <c r="AR556" i="1"/>
  <c r="AU556" i="1"/>
  <c r="AS420" i="1"/>
  <c r="AR437" i="1"/>
  <c r="AU437" i="1"/>
  <c r="AU405" i="1"/>
  <c r="AR405" i="1"/>
  <c r="AR453" i="1"/>
  <c r="AU453" i="1"/>
  <c r="AS468" i="1"/>
  <c r="AS483" i="1"/>
  <c r="AS515" i="1"/>
  <c r="AR532" i="1"/>
  <c r="AU532" i="1"/>
  <c r="AS550" i="1"/>
  <c r="AS433" i="1"/>
  <c r="AS415" i="1"/>
  <c r="AR435" i="1"/>
  <c r="AU420" i="1"/>
  <c r="AR420" i="1"/>
  <c r="AR403" i="1"/>
  <c r="AU403" i="1"/>
  <c r="AS457" i="1"/>
  <c r="AU459" i="1"/>
  <c r="AR459" i="1"/>
  <c r="AS475" i="1"/>
  <c r="AR477" i="1"/>
  <c r="AS489" i="1"/>
  <c r="AR492" i="1"/>
  <c r="AU492" i="1"/>
  <c r="AS504" i="1"/>
  <c r="AR509" i="1"/>
  <c r="AU509" i="1"/>
  <c r="AS522" i="1"/>
  <c r="AU524" i="1"/>
  <c r="AR524" i="1"/>
  <c r="AS565" i="1"/>
  <c r="AS548" i="1"/>
  <c r="AR536" i="1"/>
  <c r="AU536" i="1"/>
  <c r="AR562" i="1"/>
  <c r="AR545" i="1"/>
  <c r="AS581" i="1"/>
  <c r="AR593" i="1"/>
  <c r="AR602" i="1"/>
  <c r="AU434" i="1"/>
  <c r="AR434" i="1"/>
  <c r="AR512" i="1"/>
  <c r="AU512" i="1"/>
  <c r="AU527" i="1"/>
  <c r="AR527" i="1"/>
  <c r="AR613" i="1"/>
  <c r="AR451" i="1"/>
  <c r="AU451" i="1"/>
  <c r="AU576" i="1"/>
  <c r="AR576" i="1"/>
  <c r="AR612" i="1"/>
  <c r="AR454" i="1"/>
  <c r="AU454" i="1"/>
  <c r="AR471" i="1"/>
  <c r="AU471" i="1"/>
  <c r="AS562" i="1"/>
  <c r="AR575" i="1"/>
  <c r="AU575" i="1"/>
  <c r="AR559" i="1"/>
  <c r="AU559" i="1"/>
  <c r="AU542" i="1"/>
  <c r="AR542" i="1"/>
  <c r="AT455" i="1"/>
  <c r="AS427" i="1"/>
  <c r="AR444" i="1"/>
  <c r="AS409" i="1"/>
  <c r="AS440" i="1"/>
  <c r="AR410" i="1"/>
  <c r="AU410" i="1"/>
  <c r="AS558" i="1"/>
  <c r="AR552" i="1"/>
  <c r="AS424" i="1"/>
  <c r="AT470" i="1"/>
  <c r="AR502" i="1"/>
  <c r="AU502" i="1"/>
  <c r="AT532" i="1"/>
  <c r="AS537" i="1"/>
  <c r="AR568" i="1"/>
  <c r="AU568" i="1"/>
  <c r="AS610" i="1"/>
  <c r="AR606" i="1"/>
  <c r="AS438" i="1"/>
  <c r="AS423" i="1"/>
  <c r="AS406" i="1"/>
  <c r="AR440" i="1"/>
  <c r="AU440" i="1"/>
  <c r="AR425" i="1"/>
  <c r="AU425" i="1"/>
  <c r="AU408" i="1"/>
  <c r="AR408" i="1"/>
  <c r="AS456" i="1"/>
  <c r="AU458" i="1"/>
  <c r="AR458" i="1"/>
  <c r="AS474" i="1"/>
  <c r="AR476" i="1"/>
  <c r="AU476" i="1"/>
  <c r="AS488" i="1"/>
  <c r="AR491" i="1"/>
  <c r="AU491" i="1"/>
  <c r="AS503" i="1"/>
  <c r="AU508" i="1"/>
  <c r="AR508" i="1"/>
  <c r="AS521" i="1"/>
  <c r="AR523" i="1"/>
  <c r="AS570" i="1"/>
  <c r="AS556" i="1"/>
  <c r="AS536" i="1"/>
  <c r="AR567" i="1"/>
  <c r="AU567" i="1"/>
  <c r="AU550" i="1"/>
  <c r="AR550" i="1"/>
  <c r="AS590" i="1"/>
  <c r="AS611" i="1"/>
  <c r="AR584" i="1"/>
  <c r="AR605" i="1"/>
  <c r="AR433" i="1"/>
  <c r="AU433" i="1"/>
  <c r="AU468" i="1"/>
  <c r="AR468" i="1"/>
  <c r="AS546" i="1"/>
  <c r="AR560" i="1"/>
  <c r="AU560" i="1"/>
  <c r="AR543" i="1"/>
  <c r="AU543" i="1"/>
  <c r="AS545" i="1"/>
  <c r="AR611" i="1"/>
  <c r="AR445" i="1"/>
  <c r="AU445" i="1"/>
  <c r="AR457" i="1"/>
  <c r="AU457" i="1"/>
  <c r="AU475" i="1"/>
  <c r="AR475" i="1"/>
  <c r="AR489" i="1"/>
  <c r="AS544" i="1"/>
  <c r="AR589" i="1"/>
  <c r="AS543" i="1"/>
  <c r="AR609" i="1"/>
  <c r="AS426" i="1"/>
  <c r="AR443" i="1"/>
  <c r="AR411" i="1"/>
  <c r="AU411" i="1"/>
  <c r="AS408" i="1"/>
  <c r="AR452" i="1"/>
  <c r="AU452" i="1"/>
  <c r="AR469" i="1"/>
  <c r="AU469" i="1"/>
  <c r="AR484" i="1"/>
  <c r="AU484" i="1"/>
  <c r="AU499" i="1"/>
  <c r="AR499" i="1"/>
  <c r="AS574" i="1"/>
  <c r="AU569" i="1"/>
  <c r="AR569" i="1"/>
  <c r="AS609" i="1"/>
  <c r="AR607" i="1"/>
  <c r="AS439" i="1"/>
  <c r="AR426" i="1"/>
  <c r="AU426" i="1"/>
  <c r="AR455" i="1"/>
  <c r="AU455" i="1"/>
  <c r="AR487" i="1"/>
  <c r="AU520" i="1"/>
  <c r="AR520" i="1"/>
  <c r="AS573" i="1"/>
  <c r="AR551" i="1"/>
  <c r="AU551" i="1"/>
  <c r="AR585" i="1"/>
  <c r="AS437" i="1"/>
  <c r="AS422" i="1"/>
  <c r="AS405" i="1"/>
  <c r="AR439" i="1"/>
  <c r="AU439" i="1"/>
  <c r="AR424" i="1"/>
  <c r="AU424" i="1"/>
  <c r="AU407" i="1"/>
  <c r="AR407" i="1"/>
  <c r="AU447" i="1"/>
  <c r="AR447" i="1"/>
  <c r="AS459" i="1"/>
  <c r="AU464" i="1"/>
  <c r="AR464" i="1"/>
  <c r="AS477" i="1"/>
  <c r="AU479" i="1"/>
  <c r="AR479" i="1"/>
  <c r="AS492" i="1"/>
  <c r="AU494" i="1"/>
  <c r="AR494" i="1"/>
  <c r="AS509" i="1"/>
  <c r="AR511" i="1"/>
  <c r="AU511" i="1"/>
  <c r="AS524" i="1"/>
  <c r="AR526" i="1"/>
  <c r="AU526" i="1"/>
  <c r="AS569" i="1"/>
  <c r="AS552" i="1"/>
  <c r="AU566" i="1"/>
  <c r="AR566" i="1"/>
  <c r="AR549" i="1"/>
  <c r="AU549" i="1"/>
  <c r="AS591" i="1"/>
  <c r="AS612" i="1"/>
  <c r="AR583" i="1"/>
  <c r="AR604" i="1"/>
  <c r="AR416" i="1"/>
  <c r="AU416" i="1"/>
  <c r="AR448" i="1"/>
  <c r="AU448" i="1"/>
  <c r="AR415" i="1"/>
  <c r="AU415" i="1"/>
  <c r="AR483" i="1"/>
  <c r="AU483" i="1"/>
  <c r="AU414" i="1"/>
  <c r="AR414" i="1"/>
  <c r="AS411" i="1"/>
  <c r="AS577" i="1"/>
  <c r="AR610" i="1"/>
  <c r="AS410" i="1"/>
  <c r="AU430" i="1"/>
  <c r="AR430" i="1"/>
  <c r="AR460" i="1"/>
  <c r="AU460" i="1"/>
  <c r="AS560" i="1"/>
  <c r="AR481" i="1"/>
  <c r="AU481" i="1"/>
  <c r="AU496" i="1"/>
  <c r="AR496" i="1"/>
  <c r="AR513" i="1"/>
  <c r="AU513" i="1"/>
  <c r="AR528" i="1"/>
  <c r="AU528" i="1"/>
  <c r="AS559" i="1"/>
  <c r="AU570" i="1"/>
  <c r="AR570" i="1"/>
  <c r="AR608" i="1"/>
  <c r="AR442" i="1"/>
  <c r="AT482" i="1"/>
  <c r="AU516" i="1"/>
  <c r="AR516" i="1"/>
  <c r="AS541" i="1"/>
  <c r="AS588" i="1"/>
  <c r="AS407" i="1"/>
  <c r="AR441" i="1"/>
  <c r="AR409" i="1"/>
  <c r="AU409" i="1"/>
  <c r="AT453" i="1"/>
  <c r="AR472" i="1"/>
  <c r="AU472" i="1"/>
  <c r="AT518" i="1"/>
  <c r="AS557" i="1"/>
  <c r="AS589" i="1"/>
  <c r="AS436" i="1"/>
  <c r="AS421" i="1"/>
  <c r="AS404" i="1"/>
  <c r="AR438" i="1"/>
  <c r="AR423" i="1"/>
  <c r="AU423" i="1"/>
  <c r="AU406" i="1"/>
  <c r="AR406" i="1"/>
  <c r="AS448" i="1"/>
  <c r="AR450" i="1"/>
  <c r="AU450" i="1"/>
  <c r="AS465" i="1"/>
  <c r="AR467" i="1"/>
  <c r="AU467" i="1"/>
  <c r="AS480" i="1"/>
  <c r="AU482" i="1"/>
  <c r="AR482" i="1"/>
  <c r="AS495" i="1"/>
  <c r="AR497" i="1"/>
  <c r="AU497" i="1"/>
  <c r="AS512" i="1"/>
  <c r="AU514" i="1"/>
  <c r="AR514" i="1"/>
  <c r="AS527" i="1"/>
  <c r="AR529" i="1"/>
  <c r="AS568" i="1"/>
  <c r="AS551" i="1"/>
  <c r="AR565" i="1"/>
  <c r="AR548" i="1"/>
  <c r="AS592" i="1"/>
  <c r="AS613" i="1"/>
  <c r="AR582" i="1"/>
  <c r="AR603" i="1"/>
  <c r="AP574" i="1"/>
  <c r="AV574" i="1" s="1"/>
  <c r="AP573" i="1"/>
  <c r="AQ570" i="1"/>
  <c r="AP565" i="1"/>
  <c r="AU565" i="1" s="1"/>
  <c r="AQ556" i="1"/>
  <c r="AP488" i="1"/>
  <c r="AV488" i="1" s="1"/>
  <c r="AP487" i="1"/>
  <c r="AV487" i="1" s="1"/>
  <c r="AQ524" i="1"/>
  <c r="AQ476" i="1"/>
  <c r="AQ475" i="1"/>
  <c r="AP562" i="1"/>
  <c r="AV562" i="1" s="1"/>
  <c r="AP525" i="1"/>
  <c r="AP523" i="1"/>
  <c r="AP445" i="1"/>
  <c r="AP552" i="1"/>
  <c r="AU552" i="1" s="1"/>
  <c r="AP521" i="1"/>
  <c r="AU521" i="1" s="1"/>
  <c r="AP444" i="1"/>
  <c r="AP548" i="1"/>
  <c r="AV548" i="1" s="1"/>
  <c r="AP440" i="1"/>
  <c r="AV440" i="1" s="1"/>
  <c r="AP545" i="1"/>
  <c r="AQ569" i="1"/>
  <c r="AQ527" i="1"/>
  <c r="AQ536" i="1"/>
  <c r="AQ479" i="1"/>
  <c r="AQ577" i="1"/>
  <c r="AP558" i="1"/>
  <c r="AQ483" i="1"/>
  <c r="AQ560" i="1"/>
  <c r="AQ478" i="1"/>
  <c r="AQ576" i="1"/>
  <c r="AP557" i="1"/>
  <c r="AQ551" i="1"/>
  <c r="AQ550" i="1"/>
  <c r="AP443" i="1"/>
  <c r="AQ568" i="1"/>
  <c r="AP477" i="1"/>
  <c r="AP441" i="1"/>
  <c r="AQ567" i="1"/>
  <c r="AQ544" i="1"/>
  <c r="AP530" i="1"/>
  <c r="AV530" i="1" s="1"/>
  <c r="AQ543" i="1"/>
  <c r="AP436" i="1"/>
  <c r="AV436" i="1" s="1"/>
  <c r="AP541" i="1"/>
  <c r="AU541" i="1" s="1"/>
  <c r="AQ561" i="1"/>
  <c r="AP537" i="1"/>
  <c r="AQ482" i="1"/>
  <c r="AQ526" i="1"/>
  <c r="AQ481" i="1"/>
  <c r="AP563" i="1"/>
  <c r="AP546" i="1"/>
  <c r="AP522" i="1"/>
  <c r="AV522" i="1" s="1"/>
  <c r="AP489" i="1"/>
  <c r="AP442" i="1"/>
  <c r="AQ439" i="1"/>
  <c r="AQ480" i="1"/>
  <c r="AQ437" i="1"/>
  <c r="AP533" i="1"/>
  <c r="AV533" i="1" s="1"/>
  <c r="AP486" i="1"/>
  <c r="AV486" i="1" s="1"/>
  <c r="AQ575" i="1"/>
  <c r="AQ566" i="1"/>
  <c r="AQ559" i="1"/>
  <c r="AQ549" i="1"/>
  <c r="AQ542" i="1"/>
  <c r="AP438" i="1"/>
  <c r="AQ434" i="1"/>
  <c r="AP529" i="1"/>
  <c r="AP435" i="1"/>
  <c r="AQ433" i="1"/>
  <c r="AQ532" i="1"/>
  <c r="AP528" i="1"/>
  <c r="AV528" i="1" s="1"/>
  <c r="AQ531" i="1"/>
  <c r="AP484" i="1"/>
  <c r="AV484" i="1" s="1"/>
  <c r="AQ485" i="1"/>
  <c r="AQ564" i="1"/>
  <c r="AQ547" i="1"/>
  <c r="AM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R107" i="1" s="1"/>
  <c r="AM108" i="1"/>
  <c r="AM109" i="1"/>
  <c r="AR109" i="1" s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125" i="1"/>
  <c r="AM126" i="1"/>
  <c r="AM127" i="1"/>
  <c r="AM128" i="1"/>
  <c r="AM129" i="1"/>
  <c r="AM130" i="1"/>
  <c r="AM131" i="1"/>
  <c r="AM132" i="1"/>
  <c r="AR132" i="1" s="1"/>
  <c r="AM133" i="1"/>
  <c r="AM134" i="1"/>
  <c r="AM135" i="1"/>
  <c r="AM136" i="1"/>
  <c r="AM137" i="1"/>
  <c r="AM138" i="1"/>
  <c r="AM139" i="1"/>
  <c r="AM140" i="1"/>
  <c r="AM141" i="1"/>
  <c r="AM142" i="1"/>
  <c r="AM143" i="1"/>
  <c r="AM144" i="1"/>
  <c r="AM145" i="1"/>
  <c r="AM146" i="1"/>
  <c r="AM147" i="1"/>
  <c r="AM148" i="1"/>
  <c r="AM149" i="1"/>
  <c r="AM150" i="1"/>
  <c r="AM151" i="1"/>
  <c r="AM152" i="1"/>
  <c r="AM153" i="1"/>
  <c r="AM154" i="1"/>
  <c r="AM155" i="1"/>
  <c r="AM156" i="1"/>
  <c r="AM157" i="1"/>
  <c r="AM158" i="1"/>
  <c r="AM159" i="1"/>
  <c r="AM160" i="1"/>
  <c r="AM161" i="1"/>
  <c r="AM162" i="1"/>
  <c r="AM163" i="1"/>
  <c r="AM164" i="1"/>
  <c r="AM165" i="1"/>
  <c r="AM166" i="1"/>
  <c r="AM167" i="1"/>
  <c r="AM168" i="1"/>
  <c r="AM169" i="1"/>
  <c r="AM170" i="1"/>
  <c r="AM171" i="1"/>
  <c r="AM172" i="1"/>
  <c r="AM173" i="1"/>
  <c r="AM174" i="1"/>
  <c r="AM175" i="1"/>
  <c r="AM176" i="1"/>
  <c r="AM177" i="1"/>
  <c r="AM178" i="1"/>
  <c r="AM179" i="1"/>
  <c r="AM180" i="1"/>
  <c r="AM181" i="1"/>
  <c r="AM182" i="1"/>
  <c r="AM183" i="1"/>
  <c r="AM184" i="1"/>
  <c r="AM185" i="1"/>
  <c r="AM186" i="1"/>
  <c r="AM187" i="1"/>
  <c r="AM188" i="1"/>
  <c r="AM189" i="1"/>
  <c r="AM190" i="1"/>
  <c r="AM191" i="1"/>
  <c r="AM192" i="1"/>
  <c r="AM193" i="1"/>
  <c r="AM194" i="1"/>
  <c r="AM195" i="1"/>
  <c r="AM196" i="1"/>
  <c r="AM197" i="1"/>
  <c r="AM198" i="1"/>
  <c r="AM199" i="1"/>
  <c r="AM200" i="1"/>
  <c r="AM201" i="1"/>
  <c r="AM202" i="1"/>
  <c r="AM203" i="1"/>
  <c r="AM204" i="1"/>
  <c r="AM205" i="1"/>
  <c r="AM206" i="1"/>
  <c r="AM207" i="1"/>
  <c r="AM208" i="1"/>
  <c r="AM209" i="1"/>
  <c r="AM210" i="1"/>
  <c r="AM211" i="1"/>
  <c r="AM212" i="1"/>
  <c r="AM213" i="1"/>
  <c r="AM214" i="1"/>
  <c r="AM215" i="1"/>
  <c r="AM216" i="1"/>
  <c r="AM217" i="1"/>
  <c r="AM218" i="1"/>
  <c r="AM219" i="1"/>
  <c r="AM220" i="1"/>
  <c r="AM221" i="1"/>
  <c r="AM222" i="1"/>
  <c r="AM223" i="1"/>
  <c r="AM224" i="1"/>
  <c r="AM225" i="1"/>
  <c r="AM226" i="1"/>
  <c r="AM227" i="1"/>
  <c r="AM228" i="1"/>
  <c r="AM229" i="1"/>
  <c r="AM230" i="1"/>
  <c r="AM231" i="1"/>
  <c r="AM232" i="1"/>
  <c r="AM233" i="1"/>
  <c r="AM234" i="1"/>
  <c r="AM235" i="1"/>
  <c r="AM236" i="1"/>
  <c r="AM237" i="1"/>
  <c r="AM238" i="1"/>
  <c r="AM239" i="1"/>
  <c r="AM240" i="1"/>
  <c r="AM241" i="1"/>
  <c r="AM242" i="1"/>
  <c r="AM243" i="1"/>
  <c r="AM244" i="1"/>
  <c r="AM245" i="1"/>
  <c r="AM246" i="1"/>
  <c r="AM247" i="1"/>
  <c r="AM248" i="1"/>
  <c r="AM249" i="1"/>
  <c r="AM250" i="1"/>
  <c r="AM251" i="1"/>
  <c r="AM252" i="1"/>
  <c r="AM253" i="1"/>
  <c r="AM254" i="1"/>
  <c r="AM255" i="1"/>
  <c r="AM256" i="1"/>
  <c r="AP256" i="1" s="1"/>
  <c r="AM257" i="1"/>
  <c r="AP257" i="1" s="1"/>
  <c r="AM258" i="1"/>
  <c r="AP258" i="1" s="1"/>
  <c r="AM259" i="1"/>
  <c r="AP259" i="1" s="1"/>
  <c r="AM260" i="1"/>
  <c r="AP260" i="1" s="1"/>
  <c r="AM261" i="1"/>
  <c r="AP261" i="1" s="1"/>
  <c r="AM262" i="1"/>
  <c r="AP262" i="1" s="1"/>
  <c r="AM263" i="1"/>
  <c r="AP263" i="1" s="1"/>
  <c r="AM264" i="1"/>
  <c r="AP264" i="1" s="1"/>
  <c r="AM265" i="1"/>
  <c r="AP265" i="1" s="1"/>
  <c r="AM266" i="1"/>
  <c r="AP266" i="1" s="1"/>
  <c r="AM267" i="1"/>
  <c r="AP267" i="1" s="1"/>
  <c r="AM268" i="1"/>
  <c r="AP268" i="1" s="1"/>
  <c r="AM269" i="1"/>
  <c r="AP269" i="1" s="1"/>
  <c r="AM270" i="1"/>
  <c r="AP270" i="1" s="1"/>
  <c r="AM271" i="1"/>
  <c r="AQ271" i="1" s="1"/>
  <c r="AM272" i="1"/>
  <c r="AP272" i="1" s="1"/>
  <c r="AM273" i="1"/>
  <c r="AQ273" i="1" s="1"/>
  <c r="AM274" i="1"/>
  <c r="AP274" i="1" s="1"/>
  <c r="AM275" i="1"/>
  <c r="AP275" i="1" s="1"/>
  <c r="AM276" i="1"/>
  <c r="AQ276" i="1" s="1"/>
  <c r="AM277" i="1"/>
  <c r="AQ277" i="1" s="1"/>
  <c r="AM278" i="1"/>
  <c r="AQ278" i="1" s="1"/>
  <c r="AM279" i="1"/>
  <c r="AQ279" i="1" s="1"/>
  <c r="AM280" i="1"/>
  <c r="AQ280" i="1" s="1"/>
  <c r="AM281" i="1"/>
  <c r="AQ281" i="1" s="1"/>
  <c r="AM282" i="1"/>
  <c r="AP282" i="1" s="1"/>
  <c r="AM283" i="1"/>
  <c r="AQ283" i="1" s="1"/>
  <c r="AM284" i="1"/>
  <c r="AQ284" i="1" s="1"/>
  <c r="AM285" i="1"/>
  <c r="AQ285" i="1" s="1"/>
  <c r="AM286" i="1"/>
  <c r="AQ286" i="1" s="1"/>
  <c r="AM287" i="1"/>
  <c r="AP287" i="1" s="1"/>
  <c r="AM288" i="1"/>
  <c r="AP288" i="1" s="1"/>
  <c r="AM289" i="1"/>
  <c r="AQ289" i="1" s="1"/>
  <c r="AM290" i="1"/>
  <c r="AM291" i="1"/>
  <c r="AP291" i="1" s="1"/>
  <c r="AM292" i="1"/>
  <c r="AP292" i="1" s="1"/>
  <c r="AM293" i="1"/>
  <c r="AP293" i="1" s="1"/>
  <c r="AM294" i="1"/>
  <c r="AP294" i="1" s="1"/>
  <c r="AM295" i="1"/>
  <c r="AP295" i="1" s="1"/>
  <c r="AM296" i="1"/>
  <c r="AP296" i="1" s="1"/>
  <c r="AM297" i="1"/>
  <c r="AP297" i="1" s="1"/>
  <c r="AM298" i="1"/>
  <c r="AP298" i="1" s="1"/>
  <c r="AM299" i="1"/>
  <c r="AP299" i="1" s="1"/>
  <c r="AM300" i="1"/>
  <c r="AP300" i="1" s="1"/>
  <c r="AM301" i="1"/>
  <c r="AP301" i="1" s="1"/>
  <c r="AM302" i="1"/>
  <c r="AP302" i="1" s="1"/>
  <c r="AM303" i="1"/>
  <c r="AP303" i="1" s="1"/>
  <c r="AM304" i="1"/>
  <c r="AP304" i="1" s="1"/>
  <c r="AM305" i="1"/>
  <c r="AP305" i="1" s="1"/>
  <c r="AM306" i="1"/>
  <c r="AP306" i="1" s="1"/>
  <c r="AM307" i="1"/>
  <c r="AP307" i="1" s="1"/>
  <c r="AM308" i="1"/>
  <c r="AP308" i="1" s="1"/>
  <c r="AM309" i="1"/>
  <c r="AP309" i="1" s="1"/>
  <c r="AM310" i="1"/>
  <c r="AP310" i="1" s="1"/>
  <c r="AM311" i="1"/>
  <c r="AP311" i="1" s="1"/>
  <c r="AM312" i="1"/>
  <c r="AP312" i="1" s="1"/>
  <c r="AM313" i="1"/>
  <c r="AP313" i="1" s="1"/>
  <c r="AM314" i="1"/>
  <c r="AP314" i="1" s="1"/>
  <c r="AM315" i="1"/>
  <c r="AP315" i="1" s="1"/>
  <c r="AM316" i="1"/>
  <c r="AP316" i="1" s="1"/>
  <c r="AM317" i="1"/>
  <c r="AP317" i="1" s="1"/>
  <c r="AM318" i="1"/>
  <c r="AP318" i="1" s="1"/>
  <c r="AM319" i="1"/>
  <c r="AP319" i="1" s="1"/>
  <c r="AM320" i="1"/>
  <c r="AP320" i="1" s="1"/>
  <c r="AM321" i="1"/>
  <c r="AP321" i="1" s="1"/>
  <c r="AM322" i="1"/>
  <c r="AP322" i="1" s="1"/>
  <c r="AM323" i="1"/>
  <c r="AP323" i="1" s="1"/>
  <c r="AM324" i="1"/>
  <c r="AM325" i="1"/>
  <c r="AP325" i="1" s="1"/>
  <c r="AM326" i="1"/>
  <c r="AP326" i="1" s="1"/>
  <c r="AM327" i="1"/>
  <c r="AP327" i="1" s="1"/>
  <c r="AM328" i="1"/>
  <c r="AP328" i="1" s="1"/>
  <c r="AM329" i="1"/>
  <c r="AP329" i="1" s="1"/>
  <c r="AM330" i="1"/>
  <c r="AP330" i="1" s="1"/>
  <c r="AM331" i="1"/>
  <c r="AP331" i="1" s="1"/>
  <c r="AM332" i="1"/>
  <c r="AP332" i="1" s="1"/>
  <c r="AM333" i="1"/>
  <c r="AP333" i="1" s="1"/>
  <c r="AM334" i="1"/>
  <c r="AP334" i="1" s="1"/>
  <c r="AM335" i="1"/>
  <c r="AP335" i="1" s="1"/>
  <c r="AM336" i="1"/>
  <c r="AP336" i="1" s="1"/>
  <c r="AM337" i="1"/>
  <c r="AP337" i="1" s="1"/>
  <c r="AM338" i="1"/>
  <c r="AP338" i="1" s="1"/>
  <c r="AM339" i="1"/>
  <c r="AP339" i="1" s="1"/>
  <c r="AM340" i="1"/>
  <c r="AP340" i="1" s="1"/>
  <c r="AM341" i="1"/>
  <c r="AP341" i="1" s="1"/>
  <c r="AM342" i="1"/>
  <c r="AP342" i="1" s="1"/>
  <c r="AM343" i="1"/>
  <c r="AP343" i="1" s="1"/>
  <c r="AM344" i="1"/>
  <c r="AP344" i="1" s="1"/>
  <c r="AM345" i="1"/>
  <c r="AP345" i="1" s="1"/>
  <c r="AM346" i="1"/>
  <c r="AP346" i="1" s="1"/>
  <c r="AM347" i="1"/>
  <c r="AP347" i="1" s="1"/>
  <c r="AM348" i="1"/>
  <c r="AP348" i="1" s="1"/>
  <c r="AM349" i="1"/>
  <c r="AP349" i="1" s="1"/>
  <c r="AM350" i="1"/>
  <c r="AP350" i="1" s="1"/>
  <c r="AM351" i="1"/>
  <c r="AP351" i="1" s="1"/>
  <c r="AM352" i="1"/>
  <c r="AP352" i="1" s="1"/>
  <c r="AM353" i="1"/>
  <c r="AP353" i="1" s="1"/>
  <c r="AM354" i="1"/>
  <c r="AP354" i="1" s="1"/>
  <c r="AM355" i="1"/>
  <c r="AP355" i="1" s="1"/>
  <c r="AM356" i="1"/>
  <c r="AP356" i="1" s="1"/>
  <c r="AM357" i="1"/>
  <c r="AP357" i="1" s="1"/>
  <c r="AM358" i="1"/>
  <c r="AP358" i="1" s="1"/>
  <c r="AM359" i="1"/>
  <c r="AP359" i="1" s="1"/>
  <c r="AM360" i="1"/>
  <c r="AP360" i="1" s="1"/>
  <c r="AM361" i="1"/>
  <c r="AP361" i="1" s="1"/>
  <c r="AM362" i="1"/>
  <c r="AP362" i="1" s="1"/>
  <c r="AM363" i="1"/>
  <c r="AP363" i="1" s="1"/>
  <c r="AM364" i="1"/>
  <c r="AP364" i="1" s="1"/>
  <c r="AM365" i="1"/>
  <c r="AP365" i="1" s="1"/>
  <c r="AM366" i="1"/>
  <c r="AP366" i="1" s="1"/>
  <c r="AM367" i="1"/>
  <c r="AP367" i="1" s="1"/>
  <c r="AM368" i="1"/>
  <c r="AP368" i="1" s="1"/>
  <c r="AM369" i="1"/>
  <c r="AP369" i="1" s="1"/>
  <c r="AM370" i="1"/>
  <c r="AP370" i="1" s="1"/>
  <c r="AM371" i="1"/>
  <c r="AP371" i="1" s="1"/>
  <c r="AM372" i="1"/>
  <c r="AP372" i="1" s="1"/>
  <c r="AM373" i="1"/>
  <c r="AP373" i="1" s="1"/>
  <c r="AM374" i="1"/>
  <c r="AP374" i="1" s="1"/>
  <c r="AM375" i="1"/>
  <c r="AP375" i="1" s="1"/>
  <c r="AM376" i="1"/>
  <c r="AP376" i="1" s="1"/>
  <c r="AM377" i="1"/>
  <c r="AP377" i="1" s="1"/>
  <c r="AM378" i="1"/>
  <c r="AP378" i="1" s="1"/>
  <c r="AM379" i="1"/>
  <c r="AP379" i="1" s="1"/>
  <c r="AM380" i="1"/>
  <c r="AP380" i="1" s="1"/>
  <c r="AM381" i="1"/>
  <c r="AP381" i="1" s="1"/>
  <c r="AM382" i="1"/>
  <c r="AP382" i="1" s="1"/>
  <c r="AM383" i="1"/>
  <c r="AP383" i="1" s="1"/>
  <c r="AM384" i="1"/>
  <c r="AP384" i="1" s="1"/>
  <c r="AM385" i="1"/>
  <c r="AP385" i="1" s="1"/>
  <c r="AM386" i="1"/>
  <c r="AP386" i="1" s="1"/>
  <c r="AM387" i="1"/>
  <c r="AP387" i="1" s="1"/>
  <c r="AM388" i="1"/>
  <c r="AP388" i="1" s="1"/>
  <c r="AM389" i="1"/>
  <c r="AP389" i="1" s="1"/>
  <c r="AM390" i="1"/>
  <c r="AP390" i="1" s="1"/>
  <c r="AM391" i="1"/>
  <c r="AP391" i="1" s="1"/>
  <c r="AM392" i="1"/>
  <c r="AM393" i="1"/>
  <c r="AM394" i="1"/>
  <c r="AP394" i="1" s="1"/>
  <c r="AM395" i="1"/>
  <c r="AP395" i="1" s="1"/>
  <c r="AM396" i="1"/>
  <c r="AP396" i="1" s="1"/>
  <c r="AM397" i="1"/>
  <c r="AP397" i="1" s="1"/>
  <c r="AM398" i="1"/>
  <c r="AP398" i="1" s="1"/>
  <c r="AM399" i="1"/>
  <c r="AP399" i="1" s="1"/>
  <c r="AM400" i="1"/>
  <c r="AP400" i="1" s="1"/>
  <c r="AM401" i="1"/>
  <c r="AP401" i="1" s="1"/>
  <c r="AM402" i="1"/>
  <c r="AP402" i="1" s="1"/>
  <c r="AM2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25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291" i="1"/>
  <c r="AP284" i="1"/>
  <c r="AZ645" i="1" l="1"/>
  <c r="BA645" i="1" s="1"/>
  <c r="AW624" i="1"/>
  <c r="AX624" i="1" s="1"/>
  <c r="AW627" i="1"/>
  <c r="AX627" i="1" s="1"/>
  <c r="AY521" i="1"/>
  <c r="AT520" i="1"/>
  <c r="AZ631" i="1"/>
  <c r="BA631" i="1" s="1"/>
  <c r="AZ614" i="1"/>
  <c r="BA614" i="1" s="1"/>
  <c r="AV314" i="1"/>
  <c r="AV300" i="1"/>
  <c r="AV351" i="1"/>
  <c r="AV337" i="1"/>
  <c r="AY435" i="1"/>
  <c r="AY528" i="1"/>
  <c r="AV552" i="1"/>
  <c r="AV541" i="1"/>
  <c r="AV385" i="1"/>
  <c r="AY548" i="1"/>
  <c r="AV397" i="1"/>
  <c r="AV383" i="1"/>
  <c r="AV369" i="1"/>
  <c r="AY436" i="1"/>
  <c r="AV565" i="1"/>
  <c r="AW565" i="1" s="1"/>
  <c r="AX565" i="1" s="1"/>
  <c r="AW638" i="1"/>
  <c r="AX638" i="1" s="1"/>
  <c r="AZ621" i="1"/>
  <c r="BA621" i="1" s="1"/>
  <c r="AY487" i="1"/>
  <c r="AV399" i="1"/>
  <c r="AY541" i="1"/>
  <c r="AV384" i="1"/>
  <c r="AV322" i="1"/>
  <c r="AT467" i="1"/>
  <c r="AU533" i="1"/>
  <c r="AW629" i="1"/>
  <c r="AX629" i="1" s="1"/>
  <c r="AZ641" i="1"/>
  <c r="BA641" i="1" s="1"/>
  <c r="AZ644" i="1"/>
  <c r="BA644" i="1" s="1"/>
  <c r="AV333" i="1"/>
  <c r="AV308" i="1"/>
  <c r="AY557" i="1"/>
  <c r="AY574" i="1"/>
  <c r="AY562" i="1"/>
  <c r="AU574" i="1"/>
  <c r="AZ623" i="1"/>
  <c r="BA623" i="1" s="1"/>
  <c r="AZ635" i="1"/>
  <c r="BA635" i="1" s="1"/>
  <c r="AP281" i="1"/>
  <c r="AV371" i="1"/>
  <c r="AU548" i="1"/>
  <c r="AZ636" i="1"/>
  <c r="BA636" i="1" s="1"/>
  <c r="AV361" i="1"/>
  <c r="AV347" i="1"/>
  <c r="AV398" i="1"/>
  <c r="AV370" i="1"/>
  <c r="AZ649" i="1"/>
  <c r="BA649" i="1" s="1"/>
  <c r="AV294" i="1"/>
  <c r="AZ642" i="1"/>
  <c r="BA642" i="1" s="1"/>
  <c r="AX470" i="1"/>
  <c r="AX431" i="1"/>
  <c r="AX497" i="1"/>
  <c r="AS402" i="1"/>
  <c r="AV402" i="1"/>
  <c r="AS388" i="1"/>
  <c r="AV388" i="1"/>
  <c r="AS374" i="1"/>
  <c r="AV374" i="1"/>
  <c r="AT523" i="1"/>
  <c r="AZ497" i="1"/>
  <c r="BA497" i="1" s="1"/>
  <c r="AW497" i="1"/>
  <c r="AT559" i="1"/>
  <c r="AY559" i="1"/>
  <c r="AZ559" i="1" s="1"/>
  <c r="BA559" i="1" s="1"/>
  <c r="AT410" i="1"/>
  <c r="AY410" i="1"/>
  <c r="AT544" i="1"/>
  <c r="AY544" i="1"/>
  <c r="AT536" i="1"/>
  <c r="AZ536" i="1" s="1"/>
  <c r="BA536" i="1" s="1"/>
  <c r="AY536" i="1"/>
  <c r="AW471" i="1"/>
  <c r="AX471" i="1" s="1"/>
  <c r="AW512" i="1"/>
  <c r="AX512" i="1" s="1"/>
  <c r="AT501" i="1"/>
  <c r="AY501" i="1"/>
  <c r="AZ648" i="1"/>
  <c r="BA648" i="1" s="1"/>
  <c r="AV313" i="1"/>
  <c r="AV299" i="1"/>
  <c r="AS325" i="1"/>
  <c r="AV325" i="1"/>
  <c r="AS350" i="1"/>
  <c r="AV350" i="1"/>
  <c r="AS336" i="1"/>
  <c r="AV336" i="1"/>
  <c r="AS401" i="1"/>
  <c r="AV401" i="1"/>
  <c r="AS387" i="1"/>
  <c r="AV387" i="1"/>
  <c r="AS373" i="1"/>
  <c r="AV373" i="1"/>
  <c r="AU530" i="1"/>
  <c r="AU558" i="1"/>
  <c r="AU525" i="1"/>
  <c r="AT509" i="1"/>
  <c r="AW509" i="1" s="1"/>
  <c r="AX509" i="1" s="1"/>
  <c r="AY509" i="1"/>
  <c r="AT485" i="1"/>
  <c r="AZ485" i="1" s="1"/>
  <c r="BA485" i="1" s="1"/>
  <c r="AY546" i="1"/>
  <c r="AT556" i="1"/>
  <c r="AY556" i="1"/>
  <c r="AZ556" i="1" s="1"/>
  <c r="BA556" i="1" s="1"/>
  <c r="AW458" i="1"/>
  <c r="AX458" i="1" s="1"/>
  <c r="AT440" i="1"/>
  <c r="AZ440" i="1" s="1"/>
  <c r="BA440" i="1" s="1"/>
  <c r="AY440" i="1"/>
  <c r="AT522" i="1"/>
  <c r="AY522" i="1"/>
  <c r="AT416" i="1"/>
  <c r="AZ416" i="1" s="1"/>
  <c r="BA416" i="1" s="1"/>
  <c r="AY416" i="1"/>
  <c r="AT498" i="1"/>
  <c r="AY498" i="1"/>
  <c r="AW501" i="1"/>
  <c r="AX501" i="1" s="1"/>
  <c r="AT466" i="1"/>
  <c r="AW466" i="1" s="1"/>
  <c r="AX466" i="1" s="1"/>
  <c r="AY466" i="1"/>
  <c r="AZ466" i="1" s="1"/>
  <c r="BA466" i="1" s="1"/>
  <c r="AT493" i="1"/>
  <c r="AY493" i="1"/>
  <c r="AT499" i="1"/>
  <c r="AW499" i="1" s="1"/>
  <c r="AX499" i="1" s="1"/>
  <c r="AY499" i="1"/>
  <c r="AW634" i="1"/>
  <c r="AX634" i="1" s="1"/>
  <c r="AT452" i="1"/>
  <c r="AZ452" i="1" s="1"/>
  <c r="BA452" i="1" s="1"/>
  <c r="AY452" i="1"/>
  <c r="AV558" i="1"/>
  <c r="AP283" i="1"/>
  <c r="AS312" i="1"/>
  <c r="AV312" i="1"/>
  <c r="AS298" i="1"/>
  <c r="AV298" i="1"/>
  <c r="AS363" i="1"/>
  <c r="AV363" i="1"/>
  <c r="AS349" i="1"/>
  <c r="AV349" i="1"/>
  <c r="AS335" i="1"/>
  <c r="AV335" i="1"/>
  <c r="AS400" i="1"/>
  <c r="AV400" i="1"/>
  <c r="AS386" i="1"/>
  <c r="AV386" i="1"/>
  <c r="AS372" i="1"/>
  <c r="AV372" i="1"/>
  <c r="AU435" i="1"/>
  <c r="AU562" i="1"/>
  <c r="AT495" i="1"/>
  <c r="AY495" i="1"/>
  <c r="AT407" i="1"/>
  <c r="AW407" i="1" s="1"/>
  <c r="AX407" i="1" s="1"/>
  <c r="AY407" i="1"/>
  <c r="AT577" i="1"/>
  <c r="AY577" i="1"/>
  <c r="AW455" i="1"/>
  <c r="AX455" i="1" s="1"/>
  <c r="AZ455" i="1"/>
  <c r="BA455" i="1" s="1"/>
  <c r="AT570" i="1"/>
  <c r="AZ570" i="1" s="1"/>
  <c r="BA570" i="1" s="1"/>
  <c r="AY570" i="1"/>
  <c r="AT456" i="1"/>
  <c r="AY456" i="1"/>
  <c r="AY537" i="1"/>
  <c r="AT409" i="1"/>
  <c r="AY409" i="1"/>
  <c r="AZ409" i="1" s="1"/>
  <c r="BA409" i="1" s="1"/>
  <c r="AZ493" i="1"/>
  <c r="BA493" i="1" s="1"/>
  <c r="AW493" i="1"/>
  <c r="AX493" i="1" s="1"/>
  <c r="AY486" i="1"/>
  <c r="AT434" i="1"/>
  <c r="AW434" i="1" s="1"/>
  <c r="AX434" i="1" s="1"/>
  <c r="AY434" i="1"/>
  <c r="AV523" i="1"/>
  <c r="AV442" i="1"/>
  <c r="AS311" i="1"/>
  <c r="AY311" i="1" s="1"/>
  <c r="AV311" i="1"/>
  <c r="AS297" i="1"/>
  <c r="AV297" i="1"/>
  <c r="AS362" i="1"/>
  <c r="AV362" i="1"/>
  <c r="AS334" i="1"/>
  <c r="AV334" i="1"/>
  <c r="AT529" i="1"/>
  <c r="AU489" i="1"/>
  <c r="AT404" i="1"/>
  <c r="AY404" i="1"/>
  <c r="AT449" i="1"/>
  <c r="AZ449" i="1" s="1"/>
  <c r="BA449" i="1" s="1"/>
  <c r="AY449" i="1"/>
  <c r="AT430" i="1"/>
  <c r="AY430" i="1"/>
  <c r="AS310" i="1"/>
  <c r="AV310" i="1"/>
  <c r="AU441" i="1"/>
  <c r="AT421" i="1"/>
  <c r="AY421" i="1"/>
  <c r="AZ549" i="1"/>
  <c r="BA549" i="1" s="1"/>
  <c r="AW549" i="1"/>
  <c r="AX549" i="1" s="1"/>
  <c r="AW452" i="1"/>
  <c r="AX452" i="1" s="1"/>
  <c r="AW408" i="1"/>
  <c r="AX408" i="1" s="1"/>
  <c r="AT427" i="1"/>
  <c r="AZ427" i="1" s="1"/>
  <c r="BA427" i="1" s="1"/>
  <c r="AY427" i="1"/>
  <c r="AT415" i="1"/>
  <c r="AY415" i="1"/>
  <c r="AZ470" i="1"/>
  <c r="BA470" i="1" s="1"/>
  <c r="AW470" i="1"/>
  <c r="AS323" i="1"/>
  <c r="AV323" i="1"/>
  <c r="AS295" i="1"/>
  <c r="AV295" i="1"/>
  <c r="AV360" i="1"/>
  <c r="AV332" i="1"/>
  <c r="AU438" i="1"/>
  <c r="AU546" i="1"/>
  <c r="AU477" i="1"/>
  <c r="AT480" i="1"/>
  <c r="AY480" i="1"/>
  <c r="AZ480" i="1" s="1"/>
  <c r="BA480" i="1" s="1"/>
  <c r="AT405" i="1"/>
  <c r="AY405" i="1"/>
  <c r="AW556" i="1"/>
  <c r="AX556" i="1" s="1"/>
  <c r="AZ547" i="1"/>
  <c r="BA547" i="1" s="1"/>
  <c r="AT575" i="1"/>
  <c r="AW575" i="1" s="1"/>
  <c r="AX575" i="1" s="1"/>
  <c r="AY575" i="1"/>
  <c r="AT413" i="1"/>
  <c r="AY413" i="1"/>
  <c r="AT460" i="1"/>
  <c r="AW460" i="1" s="1"/>
  <c r="AX460" i="1" s="1"/>
  <c r="AY460" i="1"/>
  <c r="AT414" i="1"/>
  <c r="AY414" i="1"/>
  <c r="AT508" i="1"/>
  <c r="AW508" i="1" s="1"/>
  <c r="AX508" i="1" s="1"/>
  <c r="AY508" i="1"/>
  <c r="AZ508" i="1" s="1"/>
  <c r="BA508" i="1" s="1"/>
  <c r="AV359" i="1"/>
  <c r="AV331" i="1"/>
  <c r="AV396" i="1"/>
  <c r="AV368" i="1"/>
  <c r="AU487" i="1"/>
  <c r="AZ467" i="1"/>
  <c r="BA467" i="1" s="1"/>
  <c r="AW467" i="1"/>
  <c r="AX467" i="1" s="1"/>
  <c r="AT422" i="1"/>
  <c r="AY422" i="1"/>
  <c r="AW445" i="1"/>
  <c r="AX445" i="1" s="1"/>
  <c r="AT550" i="1"/>
  <c r="AW550" i="1" s="1"/>
  <c r="AX550" i="1" s="1"/>
  <c r="AY550" i="1"/>
  <c r="AT549" i="1"/>
  <c r="AY549" i="1"/>
  <c r="AZ498" i="1"/>
  <c r="BA498" i="1" s="1"/>
  <c r="AW498" i="1"/>
  <c r="AX498" i="1" s="1"/>
  <c r="AT491" i="1"/>
  <c r="AW491" i="1" s="1"/>
  <c r="AX491" i="1" s="1"/>
  <c r="AY491" i="1"/>
  <c r="AZ491" i="1" s="1"/>
  <c r="BA491" i="1" s="1"/>
  <c r="AV321" i="1"/>
  <c r="AV358" i="1"/>
  <c r="AV330" i="1"/>
  <c r="AV395" i="1"/>
  <c r="AV367" i="1"/>
  <c r="AU545" i="1"/>
  <c r="AT551" i="1"/>
  <c r="AW551" i="1" s="1"/>
  <c r="AX551" i="1" s="1"/>
  <c r="AY551" i="1"/>
  <c r="AT437" i="1"/>
  <c r="AY437" i="1"/>
  <c r="AT424" i="1"/>
  <c r="AZ424" i="1" s="1"/>
  <c r="BA424" i="1" s="1"/>
  <c r="AY424" i="1"/>
  <c r="AW576" i="1"/>
  <c r="AX576" i="1" s="1"/>
  <c r="AY489" i="1"/>
  <c r="AZ532" i="1"/>
  <c r="BA532" i="1" s="1"/>
  <c r="AW532" i="1"/>
  <c r="AX532" i="1" s="1"/>
  <c r="AT542" i="1"/>
  <c r="AW542" i="1" s="1"/>
  <c r="AX542" i="1" s="1"/>
  <c r="AY542" i="1"/>
  <c r="AW422" i="1"/>
  <c r="AX422" i="1" s="1"/>
  <c r="AT431" i="1"/>
  <c r="AY431" i="1"/>
  <c r="AT547" i="1"/>
  <c r="AW547" i="1" s="1"/>
  <c r="AX547" i="1" s="1"/>
  <c r="AY547" i="1"/>
  <c r="AT432" i="1"/>
  <c r="AY432" i="1"/>
  <c r="AT476" i="1"/>
  <c r="AY476" i="1"/>
  <c r="AV545" i="1"/>
  <c r="AV320" i="1"/>
  <c r="AV306" i="1"/>
  <c r="AV292" i="1"/>
  <c r="AV357" i="1"/>
  <c r="AV343" i="1"/>
  <c r="AV329" i="1"/>
  <c r="AV394" i="1"/>
  <c r="AV380" i="1"/>
  <c r="AV366" i="1"/>
  <c r="AT568" i="1"/>
  <c r="AW568" i="1" s="1"/>
  <c r="AX568" i="1" s="1"/>
  <c r="AY568" i="1"/>
  <c r="AZ568" i="1" s="1"/>
  <c r="BA568" i="1" s="1"/>
  <c r="AT465" i="1"/>
  <c r="AY465" i="1"/>
  <c r="AT450" i="1"/>
  <c r="AT552" i="1"/>
  <c r="AY552" i="1"/>
  <c r="AZ542" i="1"/>
  <c r="BA542" i="1" s="1"/>
  <c r="AT528" i="1"/>
  <c r="AZ528" i="1" s="1"/>
  <c r="BA528" i="1" s="1"/>
  <c r="AT442" i="1"/>
  <c r="AY442" i="1"/>
  <c r="AW544" i="1"/>
  <c r="AX544" i="1" s="1"/>
  <c r="AT533" i="1"/>
  <c r="AY533" i="1"/>
  <c r="AT454" i="1"/>
  <c r="AY454" i="1"/>
  <c r="AW504" i="1"/>
  <c r="AX504" i="1" s="1"/>
  <c r="AW615" i="1"/>
  <c r="AX615" i="1" s="1"/>
  <c r="AT464" i="1"/>
  <c r="AY464" i="1"/>
  <c r="AT458" i="1"/>
  <c r="AZ458" i="1" s="1"/>
  <c r="BA458" i="1" s="1"/>
  <c r="AY458" i="1"/>
  <c r="AT511" i="1"/>
  <c r="AZ511" i="1" s="1"/>
  <c r="BA511" i="1" s="1"/>
  <c r="AY511" i="1"/>
  <c r="AV319" i="1"/>
  <c r="AV305" i="1"/>
  <c r="AV356" i="1"/>
  <c r="AV342" i="1"/>
  <c r="AV328" i="1"/>
  <c r="AV379" i="1"/>
  <c r="AV365" i="1"/>
  <c r="AZ450" i="1"/>
  <c r="BA450" i="1" s="1"/>
  <c r="AW450" i="1"/>
  <c r="AX450" i="1" s="1"/>
  <c r="AT500" i="1"/>
  <c r="AZ500" i="1" s="1"/>
  <c r="BA500" i="1" s="1"/>
  <c r="AU442" i="1"/>
  <c r="AT560" i="1"/>
  <c r="AY560" i="1"/>
  <c r="AT569" i="1"/>
  <c r="AW569" i="1" s="1"/>
  <c r="AX569" i="1" s="1"/>
  <c r="AY569" i="1"/>
  <c r="AZ551" i="1"/>
  <c r="BA551" i="1" s="1"/>
  <c r="AT545" i="1"/>
  <c r="AY545" i="1"/>
  <c r="AT406" i="1"/>
  <c r="AZ406" i="1" s="1"/>
  <c r="BA406" i="1" s="1"/>
  <c r="AY406" i="1"/>
  <c r="AW559" i="1"/>
  <c r="AX559" i="1" s="1"/>
  <c r="AW451" i="1"/>
  <c r="AX451" i="1" s="1"/>
  <c r="AT475" i="1"/>
  <c r="AW475" i="1" s="1"/>
  <c r="AX475" i="1" s="1"/>
  <c r="AY475" i="1"/>
  <c r="AT515" i="1"/>
  <c r="AY515" i="1"/>
  <c r="AT502" i="1"/>
  <c r="AT567" i="1"/>
  <c r="AW567" i="1" s="1"/>
  <c r="AX567" i="1" s="1"/>
  <c r="AY567" i="1"/>
  <c r="AT403" i="1"/>
  <c r="AW403" i="1" s="1"/>
  <c r="AX403" i="1" s="1"/>
  <c r="AY403" i="1"/>
  <c r="AT472" i="1"/>
  <c r="AZ472" i="1" s="1"/>
  <c r="BA472" i="1" s="1"/>
  <c r="AT513" i="1"/>
  <c r="AY513" i="1"/>
  <c r="AY445" i="1"/>
  <c r="AZ445" i="1" s="1"/>
  <c r="BA445" i="1" s="1"/>
  <c r="AT564" i="1"/>
  <c r="AY564" i="1"/>
  <c r="AW645" i="1"/>
  <c r="AX645" i="1" s="1"/>
  <c r="AV477" i="1"/>
  <c r="AT526" i="1"/>
  <c r="AW526" i="1" s="1"/>
  <c r="AX526" i="1" s="1"/>
  <c r="AY526" i="1"/>
  <c r="AT531" i="1"/>
  <c r="AW531" i="1" s="1"/>
  <c r="AX531" i="1" s="1"/>
  <c r="AY531" i="1"/>
  <c r="AZ531" i="1" s="1"/>
  <c r="BA531" i="1" s="1"/>
  <c r="AV441" i="1"/>
  <c r="AT516" i="1"/>
  <c r="AW516" i="1" s="1"/>
  <c r="AX516" i="1" s="1"/>
  <c r="AY516" i="1"/>
  <c r="AT425" i="1"/>
  <c r="AW425" i="1" s="1"/>
  <c r="AX425" i="1" s="1"/>
  <c r="AY425" i="1"/>
  <c r="AS291" i="1"/>
  <c r="AV291" i="1"/>
  <c r="AT492" i="1"/>
  <c r="AW492" i="1" s="1"/>
  <c r="AX492" i="1" s="1"/>
  <c r="AY492" i="1"/>
  <c r="AZ502" i="1"/>
  <c r="BA502" i="1" s="1"/>
  <c r="AW502" i="1"/>
  <c r="AX502" i="1" s="1"/>
  <c r="AY529" i="1"/>
  <c r="AV489" i="1"/>
  <c r="AT494" i="1"/>
  <c r="AZ494" i="1" s="1"/>
  <c r="BA494" i="1" s="1"/>
  <c r="AY494" i="1"/>
  <c r="AV344" i="1"/>
  <c r="AU443" i="1"/>
  <c r="AT477" i="1"/>
  <c r="AY477" i="1"/>
  <c r="AT566" i="1"/>
  <c r="AZ566" i="1" s="1"/>
  <c r="BA566" i="1" s="1"/>
  <c r="AY566" i="1"/>
  <c r="AV355" i="1"/>
  <c r="AV341" i="1"/>
  <c r="AV327" i="1"/>
  <c r="AV378" i="1"/>
  <c r="AV364" i="1"/>
  <c r="AU537" i="1"/>
  <c r="AU557" i="1"/>
  <c r="AU444" i="1"/>
  <c r="AT527" i="1"/>
  <c r="AW527" i="1" s="1"/>
  <c r="AX527" i="1" s="1"/>
  <c r="AY527" i="1"/>
  <c r="AZ527" i="1" s="1"/>
  <c r="BA527" i="1" s="1"/>
  <c r="AW448" i="1"/>
  <c r="AX448" i="1" s="1"/>
  <c r="AZ526" i="1"/>
  <c r="BA526" i="1" s="1"/>
  <c r="AT459" i="1"/>
  <c r="AY459" i="1"/>
  <c r="AZ569" i="1"/>
  <c r="BA569" i="1" s="1"/>
  <c r="AT426" i="1"/>
  <c r="AW426" i="1" s="1"/>
  <c r="AX426" i="1" s="1"/>
  <c r="AY426" i="1"/>
  <c r="AT484" i="1"/>
  <c r="AW484" i="1" s="1"/>
  <c r="AX484" i="1" s="1"/>
  <c r="AT488" i="1"/>
  <c r="AY488" i="1"/>
  <c r="AT423" i="1"/>
  <c r="AW423" i="1" s="1"/>
  <c r="AX423" i="1" s="1"/>
  <c r="AY423" i="1"/>
  <c r="AY558" i="1"/>
  <c r="AT483" i="1"/>
  <c r="AW483" i="1" s="1"/>
  <c r="AX483" i="1" s="1"/>
  <c r="AY483" i="1"/>
  <c r="AW431" i="1"/>
  <c r="AY530" i="1"/>
  <c r="AW413" i="1"/>
  <c r="AX413" i="1" s="1"/>
  <c r="AW480" i="1"/>
  <c r="AX480" i="1" s="1"/>
  <c r="AW642" i="1"/>
  <c r="AX642" i="1" s="1"/>
  <c r="AV525" i="1"/>
  <c r="AW621" i="1"/>
  <c r="AX621" i="1" s="1"/>
  <c r="AV537" i="1"/>
  <c r="AW630" i="1"/>
  <c r="AX630" i="1" s="1"/>
  <c r="AS296" i="1"/>
  <c r="AV296" i="1"/>
  <c r="AU522" i="1"/>
  <c r="AW433" i="1"/>
  <c r="AX433" i="1" s="1"/>
  <c r="AT420" i="1"/>
  <c r="AY420" i="1"/>
  <c r="AV346" i="1"/>
  <c r="AT561" i="1"/>
  <c r="AZ561" i="1" s="1"/>
  <c r="BA561" i="1" s="1"/>
  <c r="AY561" i="1"/>
  <c r="AV345" i="1"/>
  <c r="AT439" i="1"/>
  <c r="AZ439" i="1" s="1"/>
  <c r="BA439" i="1" s="1"/>
  <c r="AY439" i="1"/>
  <c r="AV318" i="1"/>
  <c r="AV303" i="1"/>
  <c r="AV340" i="1"/>
  <c r="AV391" i="1"/>
  <c r="AU486" i="1"/>
  <c r="BA521" i="1"/>
  <c r="AT448" i="1"/>
  <c r="AY448" i="1"/>
  <c r="AY573" i="1"/>
  <c r="AZ543" i="1"/>
  <c r="BA543" i="1" s="1"/>
  <c r="AY438" i="1"/>
  <c r="AT514" i="1"/>
  <c r="AW514" i="1" s="1"/>
  <c r="AX514" i="1" s="1"/>
  <c r="AT468" i="1"/>
  <c r="AW468" i="1" s="1"/>
  <c r="AX468" i="1" s="1"/>
  <c r="AY468" i="1"/>
  <c r="AT519" i="1"/>
  <c r="AY519" i="1"/>
  <c r="AZ518" i="1"/>
  <c r="BA518" i="1" s="1"/>
  <c r="AW518" i="1"/>
  <c r="AX518" i="1" s="1"/>
  <c r="AT496" i="1"/>
  <c r="AY496" i="1"/>
  <c r="AY525" i="1"/>
  <c r="AT479" i="1"/>
  <c r="AY479" i="1"/>
  <c r="AV521" i="1"/>
  <c r="AY484" i="1"/>
  <c r="AZ484" i="1" s="1"/>
  <c r="BA484" i="1" s="1"/>
  <c r="AT412" i="1"/>
  <c r="AW412" i="1" s="1"/>
  <c r="AX412" i="1" s="1"/>
  <c r="AY412" i="1"/>
  <c r="AZ412" i="1" s="1"/>
  <c r="BA412" i="1" s="1"/>
  <c r="AV557" i="1"/>
  <c r="AS348" i="1"/>
  <c r="AV348" i="1"/>
  <c r="AT478" i="1"/>
  <c r="AY478" i="1"/>
  <c r="AV529" i="1"/>
  <c r="AT504" i="1"/>
  <c r="AY504" i="1"/>
  <c r="AZ504" i="1" s="1"/>
  <c r="BA504" i="1" s="1"/>
  <c r="AT433" i="1"/>
  <c r="AZ433" i="1" s="1"/>
  <c r="BA433" i="1" s="1"/>
  <c r="AY433" i="1"/>
  <c r="AW515" i="1"/>
  <c r="AX515" i="1" s="1"/>
  <c r="AV382" i="1"/>
  <c r="AY563" i="1"/>
  <c r="AV307" i="1"/>
  <c r="AT503" i="1"/>
  <c r="AY503" i="1"/>
  <c r="AZ503" i="1" s="1"/>
  <c r="BA503" i="1" s="1"/>
  <c r="AV304" i="1"/>
  <c r="AV317" i="1"/>
  <c r="AV354" i="1"/>
  <c r="AV326" i="1"/>
  <c r="AV377" i="1"/>
  <c r="AV316" i="1"/>
  <c r="AV302" i="1"/>
  <c r="AV353" i="1"/>
  <c r="AV339" i="1"/>
  <c r="AV390" i="1"/>
  <c r="AV376" i="1"/>
  <c r="AW416" i="1"/>
  <c r="AX416" i="1" s="1"/>
  <c r="AT524" i="1"/>
  <c r="AZ524" i="1" s="1"/>
  <c r="BA524" i="1" s="1"/>
  <c r="AY524" i="1"/>
  <c r="AZ447" i="1"/>
  <c r="BA447" i="1" s="1"/>
  <c r="AT543" i="1"/>
  <c r="AW543" i="1" s="1"/>
  <c r="AX543" i="1" s="1"/>
  <c r="AY543" i="1"/>
  <c r="AZ567" i="1"/>
  <c r="BA567" i="1" s="1"/>
  <c r="AT565" i="1"/>
  <c r="AY565" i="1"/>
  <c r="AT457" i="1"/>
  <c r="AY457" i="1"/>
  <c r="AZ453" i="1"/>
  <c r="BA453" i="1" s="1"/>
  <c r="AW453" i="1"/>
  <c r="AX453" i="1" s="1"/>
  <c r="AT441" i="1"/>
  <c r="AY441" i="1"/>
  <c r="AT428" i="1"/>
  <c r="AY428" i="1"/>
  <c r="AW577" i="1"/>
  <c r="AX577" i="1" s="1"/>
  <c r="AW503" i="1"/>
  <c r="AX503" i="1" s="1"/>
  <c r="AZ421" i="1"/>
  <c r="BA421" i="1" s="1"/>
  <c r="AW421" i="1"/>
  <c r="AX421" i="1" s="1"/>
  <c r="AU573" i="1"/>
  <c r="AT443" i="1"/>
  <c r="AY443" i="1"/>
  <c r="AV438" i="1"/>
  <c r="AW636" i="1"/>
  <c r="AX636" i="1" s="1"/>
  <c r="AV443" i="1"/>
  <c r="AV444" i="1"/>
  <c r="AV573" i="1"/>
  <c r="AT411" i="1"/>
  <c r="AZ411" i="1" s="1"/>
  <c r="BA411" i="1" s="1"/>
  <c r="AY411" i="1"/>
  <c r="AW474" i="1"/>
  <c r="AX474" i="1" s="1"/>
  <c r="AZ482" i="1"/>
  <c r="BA482" i="1" s="1"/>
  <c r="AW482" i="1"/>
  <c r="AX482" i="1" s="1"/>
  <c r="AZ426" i="1"/>
  <c r="BA426" i="1" s="1"/>
  <c r="AS309" i="1"/>
  <c r="AV309" i="1"/>
  <c r="AT471" i="1"/>
  <c r="AY471" i="1"/>
  <c r="AZ471" i="1" s="1"/>
  <c r="BA471" i="1" s="1"/>
  <c r="AT408" i="1"/>
  <c r="AZ408" i="1" s="1"/>
  <c r="BA408" i="1" s="1"/>
  <c r="AY408" i="1"/>
  <c r="AT451" i="1"/>
  <c r="AY451" i="1"/>
  <c r="AV293" i="1"/>
  <c r="AV381" i="1"/>
  <c r="AU488" i="1"/>
  <c r="AV315" i="1"/>
  <c r="AV301" i="1"/>
  <c r="AV352" i="1"/>
  <c r="AV338" i="1"/>
  <c r="AV389" i="1"/>
  <c r="AV375" i="1"/>
  <c r="AT512" i="1"/>
  <c r="AZ512" i="1" s="1"/>
  <c r="BA512" i="1" s="1"/>
  <c r="AY512" i="1"/>
  <c r="AW406" i="1"/>
  <c r="AX406" i="1" s="1"/>
  <c r="AW409" i="1"/>
  <c r="AX409" i="1" s="1"/>
  <c r="AW570" i="1"/>
  <c r="AX570" i="1" s="1"/>
  <c r="AZ520" i="1"/>
  <c r="BA520" i="1" s="1"/>
  <c r="AW520" i="1"/>
  <c r="AX520" i="1" s="1"/>
  <c r="AT474" i="1"/>
  <c r="AY474" i="1"/>
  <c r="AZ474" i="1" s="1"/>
  <c r="BA474" i="1" s="1"/>
  <c r="AU436" i="1"/>
  <c r="AT576" i="1"/>
  <c r="AY576" i="1"/>
  <c r="AT481" i="1"/>
  <c r="AW481" i="1" s="1"/>
  <c r="AX481" i="1" s="1"/>
  <c r="AY481" i="1"/>
  <c r="AT510" i="1"/>
  <c r="AY510" i="1"/>
  <c r="AT447" i="1"/>
  <c r="AW447" i="1" s="1"/>
  <c r="AX447" i="1" s="1"/>
  <c r="AY447" i="1"/>
  <c r="AT469" i="1"/>
  <c r="AW469" i="1" s="1"/>
  <c r="AX469" i="1" s="1"/>
  <c r="AY469" i="1"/>
  <c r="AY444" i="1"/>
  <c r="AU317" i="1"/>
  <c r="AR317" i="1"/>
  <c r="AR375" i="1"/>
  <c r="AU375" i="1"/>
  <c r="AR316" i="1"/>
  <c r="AU316" i="1"/>
  <c r="AR374" i="1"/>
  <c r="AU374" i="1"/>
  <c r="AS361" i="1"/>
  <c r="AR363" i="1"/>
  <c r="AU363" i="1"/>
  <c r="AU335" i="1"/>
  <c r="AR335" i="1"/>
  <c r="AS308" i="1"/>
  <c r="AS346" i="1"/>
  <c r="AU362" i="1"/>
  <c r="AR362" i="1"/>
  <c r="AS384" i="1"/>
  <c r="AU372" i="1"/>
  <c r="AR372" i="1"/>
  <c r="AS293" i="1"/>
  <c r="AR313" i="1"/>
  <c r="AU313" i="1"/>
  <c r="AS369" i="1"/>
  <c r="AS306" i="1"/>
  <c r="AS330" i="1"/>
  <c r="AU360" i="1"/>
  <c r="AR360" i="1"/>
  <c r="AS382" i="1"/>
  <c r="AR398" i="1"/>
  <c r="AU398" i="1"/>
  <c r="AU384" i="1"/>
  <c r="AR384" i="1"/>
  <c r="AU370" i="1"/>
  <c r="AR370" i="1"/>
  <c r="AS305" i="1"/>
  <c r="AR297" i="1"/>
  <c r="AU297" i="1"/>
  <c r="AR331" i="1"/>
  <c r="AU331" i="1"/>
  <c r="AR294" i="1"/>
  <c r="AU294" i="1"/>
  <c r="AS326" i="1"/>
  <c r="AR342" i="1"/>
  <c r="AU342" i="1"/>
  <c r="AS378" i="1"/>
  <c r="AR394" i="1"/>
  <c r="AU394" i="1"/>
  <c r="AU366" i="1"/>
  <c r="AR366" i="1"/>
  <c r="AT487" i="1"/>
  <c r="AS315" i="1"/>
  <c r="AS301" i="1"/>
  <c r="AR321" i="1"/>
  <c r="AU321" i="1"/>
  <c r="AR307" i="1"/>
  <c r="AU307" i="1"/>
  <c r="AR293" i="1"/>
  <c r="AU293" i="1"/>
  <c r="AS353" i="1"/>
  <c r="AS339" i="1"/>
  <c r="AU355" i="1"/>
  <c r="AR355" i="1"/>
  <c r="AU341" i="1"/>
  <c r="AR341" i="1"/>
  <c r="AR327" i="1"/>
  <c r="AU327" i="1"/>
  <c r="AS391" i="1"/>
  <c r="AS377" i="1"/>
  <c r="AR393" i="1"/>
  <c r="AR379" i="1"/>
  <c r="AU379" i="1"/>
  <c r="AU365" i="1"/>
  <c r="AR365" i="1"/>
  <c r="AT557" i="1"/>
  <c r="AT574" i="1"/>
  <c r="AW574" i="1" s="1"/>
  <c r="AX574" i="1" s="1"/>
  <c r="AU523" i="1"/>
  <c r="AT537" i="1"/>
  <c r="AU304" i="1"/>
  <c r="AR304" i="1"/>
  <c r="AR352" i="1"/>
  <c r="AU352" i="1"/>
  <c r="AU390" i="1"/>
  <c r="AR390" i="1"/>
  <c r="AR351" i="1"/>
  <c r="AU351" i="1"/>
  <c r="AR350" i="1"/>
  <c r="AU350" i="1"/>
  <c r="AS347" i="1"/>
  <c r="AR349" i="1"/>
  <c r="AU349" i="1"/>
  <c r="AS294" i="1"/>
  <c r="AS332" i="1"/>
  <c r="AS370" i="1"/>
  <c r="AT525" i="1"/>
  <c r="AS307" i="1"/>
  <c r="AS331" i="1"/>
  <c r="AS383" i="1"/>
  <c r="AT558" i="1"/>
  <c r="AS358" i="1"/>
  <c r="AS368" i="1"/>
  <c r="AS343" i="1"/>
  <c r="AR345" i="1"/>
  <c r="AU345" i="1"/>
  <c r="AR397" i="1"/>
  <c r="AU397" i="1"/>
  <c r="AS316" i="1"/>
  <c r="AU322" i="1"/>
  <c r="AR322" i="1"/>
  <c r="AS340" i="1"/>
  <c r="AU356" i="1"/>
  <c r="AR356" i="1"/>
  <c r="AS392" i="1"/>
  <c r="AY392" i="1" s="1"/>
  <c r="AZ392" i="1" s="1"/>
  <c r="BA392" i="1" s="1"/>
  <c r="AP271" i="1"/>
  <c r="AS314" i="1"/>
  <c r="AS300" i="1"/>
  <c r="AR320" i="1"/>
  <c r="AU320" i="1"/>
  <c r="AR306" i="1"/>
  <c r="AU306" i="1"/>
  <c r="AR292" i="1"/>
  <c r="AU292" i="1"/>
  <c r="AS352" i="1"/>
  <c r="AS338" i="1"/>
  <c r="AR354" i="1"/>
  <c r="AU354" i="1"/>
  <c r="AU340" i="1"/>
  <c r="AR340" i="1"/>
  <c r="AR326" i="1"/>
  <c r="AU326" i="1"/>
  <c r="AS390" i="1"/>
  <c r="AS376" i="1"/>
  <c r="AR392" i="1"/>
  <c r="AR378" i="1"/>
  <c r="AU378" i="1"/>
  <c r="AU364" i="1"/>
  <c r="AR364" i="1"/>
  <c r="AU529" i="1"/>
  <c r="AT521" i="1"/>
  <c r="AZ521" i="1" s="1"/>
  <c r="AR338" i="1"/>
  <c r="AU338" i="1"/>
  <c r="AR303" i="1"/>
  <c r="AU303" i="1"/>
  <c r="AR302" i="1"/>
  <c r="AU302" i="1"/>
  <c r="AU402" i="1"/>
  <c r="AR402" i="1"/>
  <c r="AS333" i="1"/>
  <c r="AS371" i="1"/>
  <c r="AU387" i="1"/>
  <c r="AR387" i="1"/>
  <c r="AS360" i="1"/>
  <c r="AU334" i="1"/>
  <c r="AR334" i="1"/>
  <c r="AS345" i="1"/>
  <c r="AR361" i="1"/>
  <c r="AU361" i="1"/>
  <c r="AU333" i="1"/>
  <c r="AR333" i="1"/>
  <c r="AU399" i="1"/>
  <c r="AR399" i="1"/>
  <c r="AS292" i="1"/>
  <c r="AU312" i="1"/>
  <c r="AR312" i="1"/>
  <c r="AS396" i="1"/>
  <c r="AS329" i="1"/>
  <c r="AS381" i="1"/>
  <c r="AR383" i="1"/>
  <c r="AU383" i="1"/>
  <c r="AS302" i="1"/>
  <c r="AR308" i="1"/>
  <c r="AU308" i="1"/>
  <c r="AS354" i="1"/>
  <c r="AR328" i="1"/>
  <c r="AU328" i="1"/>
  <c r="AS364" i="1"/>
  <c r="AR380" i="1"/>
  <c r="AU380" i="1"/>
  <c r="AS313" i="1"/>
  <c r="AS299" i="1"/>
  <c r="AR319" i="1"/>
  <c r="AU319" i="1"/>
  <c r="AU305" i="1"/>
  <c r="AR305" i="1"/>
  <c r="AS351" i="1"/>
  <c r="AS337" i="1"/>
  <c r="AR353" i="1"/>
  <c r="AU353" i="1"/>
  <c r="AR339" i="1"/>
  <c r="AU339" i="1"/>
  <c r="AS389" i="1"/>
  <c r="AS375" i="1"/>
  <c r="AU391" i="1"/>
  <c r="AR391" i="1"/>
  <c r="AR377" i="1"/>
  <c r="AU377" i="1"/>
  <c r="AT548" i="1"/>
  <c r="AT563" i="1"/>
  <c r="AT486" i="1"/>
  <c r="AU318" i="1"/>
  <c r="AR318" i="1"/>
  <c r="AU376" i="1"/>
  <c r="AR376" i="1"/>
  <c r="AR337" i="1"/>
  <c r="AU337" i="1"/>
  <c r="AU325" i="1"/>
  <c r="AR325" i="1"/>
  <c r="AU336" i="1"/>
  <c r="AR336" i="1"/>
  <c r="AR315" i="1"/>
  <c r="AU315" i="1"/>
  <c r="AS385" i="1"/>
  <c r="AU373" i="1"/>
  <c r="AR373" i="1"/>
  <c r="AU314" i="1"/>
  <c r="AR314" i="1"/>
  <c r="AS398" i="1"/>
  <c r="AR400" i="1"/>
  <c r="AU400" i="1"/>
  <c r="AR386" i="1"/>
  <c r="AU386" i="1"/>
  <c r="AS359" i="1"/>
  <c r="AS397" i="1"/>
  <c r="AU371" i="1"/>
  <c r="AR371" i="1"/>
  <c r="AS320" i="1"/>
  <c r="AU298" i="1"/>
  <c r="AR298" i="1"/>
  <c r="AR332" i="1"/>
  <c r="AU332" i="1"/>
  <c r="AS319" i="1"/>
  <c r="AU311" i="1"/>
  <c r="AR311" i="1"/>
  <c r="AS395" i="1"/>
  <c r="AR369" i="1"/>
  <c r="AU369" i="1"/>
  <c r="AS318" i="1"/>
  <c r="AS304" i="1"/>
  <c r="AU291" i="1"/>
  <c r="AR291" i="1"/>
  <c r="AR310" i="1"/>
  <c r="AU310" i="1"/>
  <c r="AU296" i="1"/>
  <c r="AR296" i="1"/>
  <c r="AS356" i="1"/>
  <c r="AS342" i="1"/>
  <c r="AS328" i="1"/>
  <c r="AU358" i="1"/>
  <c r="AR358" i="1"/>
  <c r="AR344" i="1"/>
  <c r="AU344" i="1"/>
  <c r="AR330" i="1"/>
  <c r="AU330" i="1"/>
  <c r="AS394" i="1"/>
  <c r="AS380" i="1"/>
  <c r="AS366" i="1"/>
  <c r="AU396" i="1"/>
  <c r="AR396" i="1"/>
  <c r="AR382" i="1"/>
  <c r="AU382" i="1"/>
  <c r="AR368" i="1"/>
  <c r="AU368" i="1"/>
  <c r="AU389" i="1"/>
  <c r="AR389" i="1"/>
  <c r="AR388" i="1"/>
  <c r="AU388" i="1"/>
  <c r="AR301" i="1"/>
  <c r="AU301" i="1"/>
  <c r="AS399" i="1"/>
  <c r="AR401" i="1"/>
  <c r="AU401" i="1"/>
  <c r="AS322" i="1"/>
  <c r="AU300" i="1"/>
  <c r="AR300" i="1"/>
  <c r="AU348" i="1"/>
  <c r="AR348" i="1"/>
  <c r="AS321" i="1"/>
  <c r="AR299" i="1"/>
  <c r="AU299" i="1"/>
  <c r="AU347" i="1"/>
  <c r="AR347" i="1"/>
  <c r="AR385" i="1"/>
  <c r="AU385" i="1"/>
  <c r="AT438" i="1"/>
  <c r="AS344" i="1"/>
  <c r="AR346" i="1"/>
  <c r="AU346" i="1"/>
  <c r="AT546" i="1"/>
  <c r="AS357" i="1"/>
  <c r="AR359" i="1"/>
  <c r="AU359" i="1"/>
  <c r="AS367" i="1"/>
  <c r="AS317" i="1"/>
  <c r="AS303" i="1"/>
  <c r="AU323" i="1"/>
  <c r="AR323" i="1"/>
  <c r="AU309" i="1"/>
  <c r="AR309" i="1"/>
  <c r="AU295" i="1"/>
  <c r="AR295" i="1"/>
  <c r="AS355" i="1"/>
  <c r="AS341" i="1"/>
  <c r="AS327" i="1"/>
  <c r="AR357" i="1"/>
  <c r="AU357" i="1"/>
  <c r="AR343" i="1"/>
  <c r="AU343" i="1"/>
  <c r="AU329" i="1"/>
  <c r="AR329" i="1"/>
  <c r="AS393" i="1"/>
  <c r="AY393" i="1" s="1"/>
  <c r="AZ393" i="1" s="1"/>
  <c r="BA393" i="1" s="1"/>
  <c r="AS379" i="1"/>
  <c r="AS365" i="1"/>
  <c r="AR395" i="1"/>
  <c r="AU395" i="1"/>
  <c r="AU381" i="1"/>
  <c r="AR381" i="1"/>
  <c r="AR367" i="1"/>
  <c r="AU367" i="1"/>
  <c r="AT436" i="1"/>
  <c r="AT541" i="1"/>
  <c r="AT573" i="1"/>
  <c r="AT562" i="1"/>
  <c r="AT489" i="1"/>
  <c r="AT530" i="1"/>
  <c r="AT435" i="1"/>
  <c r="AP285" i="1"/>
  <c r="AP286" i="1"/>
  <c r="AQ270" i="1"/>
  <c r="AP289" i="1"/>
  <c r="AQ272" i="1"/>
  <c r="AQ282" i="1"/>
  <c r="AP280" i="1"/>
  <c r="AP278" i="1"/>
  <c r="AQ275" i="1"/>
  <c r="AP276" i="1"/>
  <c r="AQ288" i="1"/>
  <c r="AP277" i="1"/>
  <c r="AQ287" i="1"/>
  <c r="AP273" i="1"/>
  <c r="AQ274" i="1"/>
  <c r="AP279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56" i="1"/>
  <c r="AP216" i="1"/>
  <c r="AP217" i="1"/>
  <c r="AP218" i="1"/>
  <c r="AP219" i="1"/>
  <c r="AP220" i="1"/>
  <c r="AP221" i="1"/>
  <c r="AP222" i="1"/>
  <c r="AP223" i="1"/>
  <c r="AP224" i="1"/>
  <c r="AP225" i="1"/>
  <c r="AP226" i="1"/>
  <c r="AP227" i="1"/>
  <c r="AP228" i="1"/>
  <c r="AP229" i="1"/>
  <c r="AP230" i="1"/>
  <c r="AP231" i="1"/>
  <c r="AP232" i="1"/>
  <c r="AP233" i="1"/>
  <c r="AP234" i="1"/>
  <c r="AP235" i="1"/>
  <c r="AP236" i="1"/>
  <c r="AP237" i="1"/>
  <c r="AP238" i="1"/>
  <c r="AP239" i="1"/>
  <c r="AP240" i="1"/>
  <c r="AP241" i="1"/>
  <c r="AP242" i="1"/>
  <c r="AP243" i="1"/>
  <c r="AP244" i="1"/>
  <c r="AP245" i="1"/>
  <c r="AP246" i="1"/>
  <c r="AP247" i="1"/>
  <c r="AP248" i="1"/>
  <c r="AP249" i="1"/>
  <c r="AP250" i="1"/>
  <c r="AP251" i="1"/>
  <c r="AP252" i="1"/>
  <c r="AP253" i="1"/>
  <c r="AP254" i="1"/>
  <c r="AP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15" i="1"/>
  <c r="AA254" i="1"/>
  <c r="S254" i="1"/>
  <c r="AA253" i="1"/>
  <c r="S253" i="1"/>
  <c r="AA252" i="1"/>
  <c r="S252" i="1"/>
  <c r="AA251" i="1"/>
  <c r="S251" i="1"/>
  <c r="AA250" i="1"/>
  <c r="S250" i="1"/>
  <c r="AA249" i="1"/>
  <c r="S249" i="1"/>
  <c r="AA248" i="1"/>
  <c r="S248" i="1"/>
  <c r="AA247" i="1"/>
  <c r="S247" i="1"/>
  <c r="AA246" i="1"/>
  <c r="S246" i="1"/>
  <c r="AA245" i="1"/>
  <c r="S245" i="1"/>
  <c r="AA244" i="1"/>
  <c r="S244" i="1"/>
  <c r="AA243" i="1"/>
  <c r="S243" i="1"/>
  <c r="AA242" i="1"/>
  <c r="S242" i="1"/>
  <c r="AA241" i="1"/>
  <c r="S241" i="1"/>
  <c r="AA240" i="1"/>
  <c r="S240" i="1"/>
  <c r="AA239" i="1"/>
  <c r="S239" i="1"/>
  <c r="AA238" i="1"/>
  <c r="S238" i="1"/>
  <c r="AA237" i="1"/>
  <c r="S237" i="1"/>
  <c r="AA236" i="1"/>
  <c r="S236" i="1"/>
  <c r="AA235" i="1"/>
  <c r="S235" i="1"/>
  <c r="AA234" i="1"/>
  <c r="S234" i="1"/>
  <c r="AA233" i="1"/>
  <c r="S233" i="1"/>
  <c r="AA232" i="1"/>
  <c r="S232" i="1"/>
  <c r="AA231" i="1"/>
  <c r="S231" i="1"/>
  <c r="AA230" i="1"/>
  <c r="S230" i="1"/>
  <c r="AA229" i="1"/>
  <c r="S229" i="1"/>
  <c r="AA228" i="1"/>
  <c r="S228" i="1"/>
  <c r="AA227" i="1"/>
  <c r="S227" i="1"/>
  <c r="AA226" i="1"/>
  <c r="S226" i="1"/>
  <c r="AA225" i="1"/>
  <c r="S225" i="1"/>
  <c r="AA224" i="1"/>
  <c r="S224" i="1"/>
  <c r="AA223" i="1"/>
  <c r="S223" i="1"/>
  <c r="AA222" i="1"/>
  <c r="S222" i="1"/>
  <c r="AA221" i="1"/>
  <c r="S221" i="1"/>
  <c r="AA220" i="1"/>
  <c r="S220" i="1"/>
  <c r="AA219" i="1"/>
  <c r="S219" i="1"/>
  <c r="AA218" i="1"/>
  <c r="S218" i="1"/>
  <c r="AA217" i="1"/>
  <c r="S217" i="1"/>
  <c r="AA216" i="1"/>
  <c r="S216" i="1"/>
  <c r="AA215" i="1"/>
  <c r="S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15" i="1"/>
  <c r="AP175" i="1"/>
  <c r="AP176" i="1"/>
  <c r="AP177" i="1"/>
  <c r="AP178" i="1"/>
  <c r="AP179" i="1"/>
  <c r="AP180" i="1"/>
  <c r="AP181" i="1"/>
  <c r="AP182" i="1"/>
  <c r="AP183" i="1"/>
  <c r="AP184" i="1"/>
  <c r="AP185" i="1"/>
  <c r="AP186" i="1"/>
  <c r="AP187" i="1"/>
  <c r="AP188" i="1"/>
  <c r="AP189" i="1"/>
  <c r="AP190" i="1"/>
  <c r="AP191" i="1"/>
  <c r="AP192" i="1"/>
  <c r="AP193" i="1"/>
  <c r="AP194" i="1"/>
  <c r="AP195" i="1"/>
  <c r="AP196" i="1"/>
  <c r="AP197" i="1"/>
  <c r="AP198" i="1"/>
  <c r="AP199" i="1"/>
  <c r="AP200" i="1"/>
  <c r="AP201" i="1"/>
  <c r="AP202" i="1"/>
  <c r="AP203" i="1"/>
  <c r="AP204" i="1"/>
  <c r="AP205" i="1"/>
  <c r="AP206" i="1"/>
  <c r="AP208" i="1"/>
  <c r="AP209" i="1"/>
  <c r="AP210" i="1"/>
  <c r="AP211" i="1"/>
  <c r="AP212" i="1"/>
  <c r="AP213" i="1"/>
  <c r="AP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174" i="1"/>
  <c r="AA213" i="1"/>
  <c r="S213" i="1"/>
  <c r="O213" i="1"/>
  <c r="K213" i="1"/>
  <c r="AA212" i="1"/>
  <c r="S212" i="1"/>
  <c r="O212" i="1"/>
  <c r="K212" i="1"/>
  <c r="AA211" i="1"/>
  <c r="S211" i="1"/>
  <c r="O211" i="1"/>
  <c r="K211" i="1"/>
  <c r="AA210" i="1"/>
  <c r="S210" i="1"/>
  <c r="O210" i="1"/>
  <c r="K210" i="1"/>
  <c r="AA209" i="1"/>
  <c r="S209" i="1"/>
  <c r="O209" i="1"/>
  <c r="K209" i="1"/>
  <c r="AA208" i="1"/>
  <c r="S208" i="1"/>
  <c r="O208" i="1"/>
  <c r="K208" i="1"/>
  <c r="AA207" i="1"/>
  <c r="S207" i="1"/>
  <c r="O207" i="1"/>
  <c r="K207" i="1"/>
  <c r="AA206" i="1"/>
  <c r="S206" i="1"/>
  <c r="O206" i="1"/>
  <c r="K206" i="1"/>
  <c r="AA205" i="1"/>
  <c r="S205" i="1"/>
  <c r="O205" i="1"/>
  <c r="K205" i="1"/>
  <c r="AA204" i="1"/>
  <c r="S204" i="1"/>
  <c r="O204" i="1"/>
  <c r="K204" i="1"/>
  <c r="AA203" i="1"/>
  <c r="S203" i="1"/>
  <c r="O203" i="1"/>
  <c r="K203" i="1"/>
  <c r="AA202" i="1"/>
  <c r="S202" i="1"/>
  <c r="O202" i="1"/>
  <c r="K202" i="1"/>
  <c r="AA201" i="1"/>
  <c r="S201" i="1"/>
  <c r="O201" i="1"/>
  <c r="K201" i="1"/>
  <c r="AA200" i="1"/>
  <c r="S200" i="1"/>
  <c r="O200" i="1"/>
  <c r="K200" i="1"/>
  <c r="AA199" i="1"/>
  <c r="S199" i="1"/>
  <c r="O199" i="1"/>
  <c r="K199" i="1"/>
  <c r="AA198" i="1"/>
  <c r="S198" i="1"/>
  <c r="O198" i="1"/>
  <c r="K198" i="1"/>
  <c r="AA197" i="1"/>
  <c r="S197" i="1"/>
  <c r="O197" i="1"/>
  <c r="K197" i="1"/>
  <c r="AA196" i="1"/>
  <c r="S196" i="1"/>
  <c r="O196" i="1"/>
  <c r="K196" i="1"/>
  <c r="AA195" i="1"/>
  <c r="S195" i="1"/>
  <c r="O195" i="1"/>
  <c r="K195" i="1"/>
  <c r="AA194" i="1"/>
  <c r="S194" i="1"/>
  <c r="O194" i="1"/>
  <c r="K194" i="1"/>
  <c r="AA193" i="1"/>
  <c r="S193" i="1"/>
  <c r="O193" i="1"/>
  <c r="K193" i="1"/>
  <c r="AA192" i="1"/>
  <c r="S192" i="1"/>
  <c r="O192" i="1"/>
  <c r="K192" i="1"/>
  <c r="AA191" i="1"/>
  <c r="S191" i="1"/>
  <c r="O191" i="1"/>
  <c r="K191" i="1"/>
  <c r="AA190" i="1"/>
  <c r="S190" i="1"/>
  <c r="O190" i="1"/>
  <c r="K190" i="1"/>
  <c r="AA189" i="1"/>
  <c r="S189" i="1"/>
  <c r="O189" i="1"/>
  <c r="K189" i="1"/>
  <c r="AA188" i="1"/>
  <c r="S188" i="1"/>
  <c r="O188" i="1"/>
  <c r="K188" i="1"/>
  <c r="AA187" i="1"/>
  <c r="S187" i="1"/>
  <c r="O187" i="1"/>
  <c r="K187" i="1"/>
  <c r="AA186" i="1"/>
  <c r="S186" i="1"/>
  <c r="O186" i="1"/>
  <c r="K186" i="1"/>
  <c r="AA185" i="1"/>
  <c r="S185" i="1"/>
  <c r="O185" i="1"/>
  <c r="K185" i="1"/>
  <c r="AA184" i="1"/>
  <c r="S184" i="1"/>
  <c r="O184" i="1"/>
  <c r="K184" i="1"/>
  <c r="AA183" i="1"/>
  <c r="S183" i="1"/>
  <c r="O183" i="1"/>
  <c r="K183" i="1"/>
  <c r="AA182" i="1"/>
  <c r="S182" i="1"/>
  <c r="O182" i="1"/>
  <c r="K182" i="1"/>
  <c r="AA181" i="1"/>
  <c r="S181" i="1"/>
  <c r="O181" i="1"/>
  <c r="K181" i="1"/>
  <c r="AA180" i="1"/>
  <c r="S180" i="1"/>
  <c r="O180" i="1"/>
  <c r="K180" i="1"/>
  <c r="AA179" i="1"/>
  <c r="S179" i="1"/>
  <c r="O179" i="1"/>
  <c r="K179" i="1"/>
  <c r="AA178" i="1"/>
  <c r="S178" i="1"/>
  <c r="O178" i="1"/>
  <c r="K178" i="1"/>
  <c r="AA177" i="1"/>
  <c r="S177" i="1"/>
  <c r="O177" i="1"/>
  <c r="K177" i="1"/>
  <c r="AA176" i="1"/>
  <c r="S176" i="1"/>
  <c r="O176" i="1"/>
  <c r="K176" i="1"/>
  <c r="AA175" i="1"/>
  <c r="S175" i="1"/>
  <c r="O175" i="1"/>
  <c r="K175" i="1"/>
  <c r="AA174" i="1"/>
  <c r="S174" i="1"/>
  <c r="O174" i="1"/>
  <c r="K174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33" i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8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2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33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8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8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8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8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AP63" i="1"/>
  <c r="AP64" i="1"/>
  <c r="AP65" i="1"/>
  <c r="AP66" i="1"/>
  <c r="AP67" i="1"/>
  <c r="AP68" i="1"/>
  <c r="AP73" i="1"/>
  <c r="AP75" i="1"/>
  <c r="AP80" i="1"/>
  <c r="AP82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O56" i="1"/>
  <c r="AP56" i="1" s="1"/>
  <c r="O57" i="1"/>
  <c r="AP57" i="1" s="1"/>
  <c r="O58" i="1"/>
  <c r="AP58" i="1" s="1"/>
  <c r="O59" i="1"/>
  <c r="AP59" i="1" s="1"/>
  <c r="O60" i="1"/>
  <c r="AP60" i="1" s="1"/>
  <c r="O61" i="1"/>
  <c r="AP61" i="1" s="1"/>
  <c r="O62" i="1"/>
  <c r="AP62" i="1" s="1"/>
  <c r="O63" i="1"/>
  <c r="O64" i="1"/>
  <c r="O65" i="1"/>
  <c r="O66" i="1"/>
  <c r="O67" i="1"/>
  <c r="O68" i="1"/>
  <c r="O69" i="1"/>
  <c r="AP69" i="1" s="1"/>
  <c r="O70" i="1"/>
  <c r="AP70" i="1" s="1"/>
  <c r="O71" i="1"/>
  <c r="AP71" i="1" s="1"/>
  <c r="O72" i="1"/>
  <c r="AP72" i="1" s="1"/>
  <c r="O73" i="1"/>
  <c r="O74" i="1"/>
  <c r="AP74" i="1" s="1"/>
  <c r="O75" i="1"/>
  <c r="O76" i="1"/>
  <c r="AP76" i="1" s="1"/>
  <c r="O77" i="1"/>
  <c r="AP77" i="1" s="1"/>
  <c r="O78" i="1"/>
  <c r="AP78" i="1" s="1"/>
  <c r="O79" i="1"/>
  <c r="AP79" i="1" s="1"/>
  <c r="O80" i="1"/>
  <c r="O81" i="1"/>
  <c r="AP81" i="1" s="1"/>
  <c r="O82" i="1"/>
  <c r="O83" i="1"/>
  <c r="AP83" i="1" s="1"/>
  <c r="O84" i="1"/>
  <c r="AP84" i="1" s="1"/>
  <c r="O85" i="1"/>
  <c r="AP85" i="1" s="1"/>
  <c r="O86" i="1"/>
  <c r="AP86" i="1" s="1"/>
  <c r="O87" i="1"/>
  <c r="AP87" i="1" s="1"/>
  <c r="O88" i="1"/>
  <c r="AP88" i="1" s="1"/>
  <c r="O89" i="1"/>
  <c r="AP89" i="1" s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AP55" i="1"/>
  <c r="AP37" i="1"/>
  <c r="AP38" i="1"/>
  <c r="AP39" i="1"/>
  <c r="AP40" i="1"/>
  <c r="AP41" i="1"/>
  <c r="AP42" i="1"/>
  <c r="AP43" i="1"/>
  <c r="AP44" i="1"/>
  <c r="AP45" i="1"/>
  <c r="AP46" i="1"/>
  <c r="AP47" i="1"/>
  <c r="AP48" i="1"/>
  <c r="AP49" i="1"/>
  <c r="AP50" i="1"/>
  <c r="AP51" i="1"/>
  <c r="AP52" i="1"/>
  <c r="AP53" i="1"/>
  <c r="AP54" i="1"/>
  <c r="AP36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36" i="1"/>
  <c r="AQ12" i="1"/>
  <c r="AQ13" i="1"/>
  <c r="AQ3" i="1"/>
  <c r="AQ4" i="1"/>
  <c r="AP5" i="1"/>
  <c r="AP6" i="1"/>
  <c r="AP7" i="1"/>
  <c r="AP8" i="1"/>
  <c r="AP9" i="1"/>
  <c r="AP10" i="1"/>
  <c r="AP11" i="1"/>
  <c r="AP12" i="1"/>
  <c r="AP13" i="1"/>
  <c r="AQ14" i="1"/>
  <c r="AQ15" i="1"/>
  <c r="AQ16" i="1"/>
  <c r="AQ17" i="1"/>
  <c r="AQ21" i="1"/>
  <c r="AQ22" i="1"/>
  <c r="AQ23" i="1"/>
  <c r="AQ24" i="1"/>
  <c r="AP25" i="1"/>
  <c r="AQ26" i="1"/>
  <c r="AQ27" i="1"/>
  <c r="AQ28" i="1"/>
  <c r="AP29" i="1"/>
  <c r="AP30" i="1"/>
  <c r="AP31" i="1"/>
  <c r="AP32" i="1"/>
  <c r="AP33" i="1"/>
  <c r="AQ34" i="1"/>
  <c r="AP35" i="1"/>
  <c r="AQ2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21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2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21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2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2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2" i="1"/>
  <c r="AZ564" i="1" l="1"/>
  <c r="BA564" i="1" s="1"/>
  <c r="AW536" i="1"/>
  <c r="AX536" i="1" s="1"/>
  <c r="AZ560" i="1"/>
  <c r="BA560" i="1" s="1"/>
  <c r="AZ415" i="1"/>
  <c r="BA415" i="1" s="1"/>
  <c r="AZ430" i="1"/>
  <c r="BA430" i="1" s="1"/>
  <c r="AW424" i="1"/>
  <c r="AX424" i="1" s="1"/>
  <c r="AZ565" i="1"/>
  <c r="BA565" i="1" s="1"/>
  <c r="AW494" i="1"/>
  <c r="AX494" i="1" s="1"/>
  <c r="AZ460" i="1"/>
  <c r="BA460" i="1" s="1"/>
  <c r="AZ456" i="1"/>
  <c r="BA456" i="1" s="1"/>
  <c r="AS119" i="1"/>
  <c r="AS103" i="1"/>
  <c r="AS167" i="1"/>
  <c r="AS153" i="1"/>
  <c r="AS139" i="1"/>
  <c r="AV225" i="1"/>
  <c r="AZ475" i="1"/>
  <c r="BA475" i="1" s="1"/>
  <c r="AZ464" i="1"/>
  <c r="BA464" i="1" s="1"/>
  <c r="AZ552" i="1"/>
  <c r="BA552" i="1" s="1"/>
  <c r="AZ422" i="1"/>
  <c r="BA422" i="1" s="1"/>
  <c r="AW485" i="1"/>
  <c r="AX485" i="1" s="1"/>
  <c r="AW528" i="1"/>
  <c r="AX528" i="1" s="1"/>
  <c r="AV252" i="1"/>
  <c r="AV238" i="1"/>
  <c r="AV224" i="1"/>
  <c r="AW430" i="1"/>
  <c r="AX430" i="1" s="1"/>
  <c r="AZ413" i="1"/>
  <c r="BA413" i="1" s="1"/>
  <c r="AZ404" i="1"/>
  <c r="BA404" i="1" s="1"/>
  <c r="AZ544" i="1"/>
  <c r="BA544" i="1" s="1"/>
  <c r="AZ576" i="1"/>
  <c r="BA576" i="1" s="1"/>
  <c r="AZ483" i="1"/>
  <c r="BA483" i="1" s="1"/>
  <c r="AZ465" i="1"/>
  <c r="BA465" i="1" s="1"/>
  <c r="AZ575" i="1"/>
  <c r="BA575" i="1" s="1"/>
  <c r="AZ577" i="1"/>
  <c r="BA577" i="1" s="1"/>
  <c r="AZ432" i="1"/>
  <c r="BA432" i="1" s="1"/>
  <c r="AZ499" i="1"/>
  <c r="BA499" i="1" s="1"/>
  <c r="AV44" i="1"/>
  <c r="AV79" i="1"/>
  <c r="AV65" i="1"/>
  <c r="AV247" i="1"/>
  <c r="AV233" i="1"/>
  <c r="AV219" i="1"/>
  <c r="AV284" i="1"/>
  <c r="AV270" i="1"/>
  <c r="AT311" i="1"/>
  <c r="AW500" i="1"/>
  <c r="AX500" i="1" s="1"/>
  <c r="AZ478" i="1"/>
  <c r="BA478" i="1" s="1"/>
  <c r="AZ420" i="1"/>
  <c r="BA420" i="1" s="1"/>
  <c r="AZ533" i="1"/>
  <c r="BA533" i="1" s="1"/>
  <c r="AZ437" i="1"/>
  <c r="BA437" i="1" s="1"/>
  <c r="AZ509" i="1"/>
  <c r="BA509" i="1" s="1"/>
  <c r="AZ501" i="1"/>
  <c r="BA501" i="1" s="1"/>
  <c r="AZ574" i="1"/>
  <c r="BA574" i="1" s="1"/>
  <c r="AZ451" i="1"/>
  <c r="BA451" i="1" s="1"/>
  <c r="AZ448" i="1"/>
  <c r="BA448" i="1" s="1"/>
  <c r="AV35" i="1"/>
  <c r="AV43" i="1"/>
  <c r="AV64" i="1"/>
  <c r="AV201" i="1"/>
  <c r="AV208" i="1"/>
  <c r="AV246" i="1"/>
  <c r="AV218" i="1"/>
  <c r="AV283" i="1"/>
  <c r="AV269" i="1"/>
  <c r="AW561" i="1"/>
  <c r="AX561" i="1" s="1"/>
  <c r="AW464" i="1"/>
  <c r="AX464" i="1" s="1"/>
  <c r="AZ481" i="1"/>
  <c r="BA481" i="1" s="1"/>
  <c r="AV36" i="1"/>
  <c r="AV42" i="1"/>
  <c r="AZ459" i="1"/>
  <c r="BA459" i="1" s="1"/>
  <c r="AZ515" i="1"/>
  <c r="BA515" i="1" s="1"/>
  <c r="AZ431" i="1"/>
  <c r="BA431" i="1" s="1"/>
  <c r="AZ425" i="1"/>
  <c r="BA425" i="1" s="1"/>
  <c r="AW524" i="1"/>
  <c r="AX524" i="1" s="1"/>
  <c r="AZ563" i="1"/>
  <c r="BA563" i="1" s="1"/>
  <c r="AZ496" i="1"/>
  <c r="BA496" i="1" s="1"/>
  <c r="AV78" i="1"/>
  <c r="AV187" i="1"/>
  <c r="AV232" i="1"/>
  <c r="AZ514" i="1"/>
  <c r="BA514" i="1" s="1"/>
  <c r="AW432" i="1"/>
  <c r="AX432" i="1" s="1"/>
  <c r="AZ423" i="1"/>
  <c r="BA423" i="1" s="1"/>
  <c r="AV177" i="1"/>
  <c r="AV184" i="1"/>
  <c r="AV191" i="1"/>
  <c r="AV198" i="1"/>
  <c r="AV205" i="1"/>
  <c r="AZ541" i="1"/>
  <c r="BA541" i="1" s="1"/>
  <c r="AT345" i="1"/>
  <c r="AZ345" i="1" s="1"/>
  <c r="BA345" i="1" s="1"/>
  <c r="AY345" i="1"/>
  <c r="AT358" i="1"/>
  <c r="AY358" i="1"/>
  <c r="AT362" i="1"/>
  <c r="AZ362" i="1" s="1"/>
  <c r="BA362" i="1" s="1"/>
  <c r="AY362" i="1"/>
  <c r="AV180" i="1"/>
  <c r="AV194" i="1"/>
  <c r="AT303" i="1"/>
  <c r="AY303" i="1"/>
  <c r="AT304" i="1"/>
  <c r="AW304" i="1" s="1"/>
  <c r="AX304" i="1" s="1"/>
  <c r="AY304" i="1"/>
  <c r="AW340" i="1"/>
  <c r="AX340" i="1" s="1"/>
  <c r="AW307" i="1"/>
  <c r="AX307" i="1" s="1"/>
  <c r="AT326" i="1"/>
  <c r="AW326" i="1" s="1"/>
  <c r="AX326" i="1" s="1"/>
  <c r="AY326" i="1"/>
  <c r="AT382" i="1"/>
  <c r="AZ382" i="1" s="1"/>
  <c r="BA382" i="1" s="1"/>
  <c r="AY382" i="1"/>
  <c r="AT346" i="1"/>
  <c r="AY346" i="1"/>
  <c r="AZ573" i="1"/>
  <c r="BA573" i="1" s="1"/>
  <c r="AW573" i="1"/>
  <c r="AW405" i="1"/>
  <c r="AX405" i="1" s="1"/>
  <c r="AZ405" i="1"/>
  <c r="BA405" i="1" s="1"/>
  <c r="AZ495" i="1"/>
  <c r="BA495" i="1" s="1"/>
  <c r="AW495" i="1"/>
  <c r="AX495" i="1" s="1"/>
  <c r="AZ410" i="1"/>
  <c r="BA410" i="1" s="1"/>
  <c r="AZ519" i="1"/>
  <c r="BA519" i="1" s="1"/>
  <c r="AX441" i="1"/>
  <c r="AT363" i="1"/>
  <c r="AW363" i="1" s="1"/>
  <c r="AX363" i="1" s="1"/>
  <c r="AY363" i="1"/>
  <c r="AZ457" i="1"/>
  <c r="BA457" i="1" s="1"/>
  <c r="AW457" i="1"/>
  <c r="AX457" i="1" s="1"/>
  <c r="AZ323" i="1"/>
  <c r="BA323" i="1" s="1"/>
  <c r="AW323" i="1"/>
  <c r="AX323" i="1" s="1"/>
  <c r="AZ513" i="1"/>
  <c r="BA513" i="1" s="1"/>
  <c r="AW513" i="1"/>
  <c r="AX513" i="1" s="1"/>
  <c r="AZ414" i="1"/>
  <c r="BA414" i="1" s="1"/>
  <c r="AW414" i="1"/>
  <c r="AX414" i="1" s="1"/>
  <c r="AZ434" i="1"/>
  <c r="BA434" i="1" s="1"/>
  <c r="AW454" i="1"/>
  <c r="AX454" i="1" s="1"/>
  <c r="AZ454" i="1"/>
  <c r="BA454" i="1" s="1"/>
  <c r="AW560" i="1"/>
  <c r="AX560" i="1" s="1"/>
  <c r="AZ476" i="1"/>
  <c r="BA476" i="1" s="1"/>
  <c r="AW476" i="1"/>
  <c r="AX476" i="1" s="1"/>
  <c r="AZ428" i="1"/>
  <c r="BA428" i="1" s="1"/>
  <c r="AW428" i="1"/>
  <c r="AX428" i="1" s="1"/>
  <c r="AS9" i="1"/>
  <c r="AY9" i="1" s="1"/>
  <c r="AV9" i="1"/>
  <c r="AS28" i="1"/>
  <c r="AS50" i="1"/>
  <c r="AV50" i="1"/>
  <c r="AS85" i="1"/>
  <c r="AV85" i="1"/>
  <c r="AS71" i="1"/>
  <c r="AV71" i="1"/>
  <c r="AS57" i="1"/>
  <c r="AV57" i="1"/>
  <c r="AU2" i="1"/>
  <c r="AS253" i="1"/>
  <c r="AV253" i="1"/>
  <c r="AS239" i="1"/>
  <c r="AV239" i="1"/>
  <c r="AS256" i="1"/>
  <c r="AV256" i="1"/>
  <c r="AS276" i="1"/>
  <c r="AV276" i="1"/>
  <c r="AS262" i="1"/>
  <c r="AV262" i="1"/>
  <c r="AT355" i="1"/>
  <c r="AW355" i="1" s="1"/>
  <c r="AX355" i="1" s="1"/>
  <c r="AY355" i="1"/>
  <c r="AW346" i="1"/>
  <c r="AX346" i="1" s="1"/>
  <c r="AZ346" i="1"/>
  <c r="BA346" i="1" s="1"/>
  <c r="AZ300" i="1"/>
  <c r="BA300" i="1" s="1"/>
  <c r="AT356" i="1"/>
  <c r="AW356" i="1" s="1"/>
  <c r="AX356" i="1" s="1"/>
  <c r="AY356" i="1"/>
  <c r="AT319" i="1"/>
  <c r="AZ319" i="1" s="1"/>
  <c r="BA319" i="1" s="1"/>
  <c r="AY319" i="1"/>
  <c r="AT398" i="1"/>
  <c r="AZ398" i="1" s="1"/>
  <c r="BA398" i="1" s="1"/>
  <c r="AY398" i="1"/>
  <c r="AW328" i="1"/>
  <c r="AX328" i="1" s="1"/>
  <c r="AT294" i="1"/>
  <c r="AY294" i="1"/>
  <c r="AZ341" i="1"/>
  <c r="BA341" i="1" s="1"/>
  <c r="AT305" i="1"/>
  <c r="AW305" i="1" s="1"/>
  <c r="AX305" i="1" s="1"/>
  <c r="AY305" i="1"/>
  <c r="AZ305" i="1" s="1"/>
  <c r="BA305" i="1" s="1"/>
  <c r="AZ510" i="1"/>
  <c r="BA510" i="1" s="1"/>
  <c r="AW510" i="1"/>
  <c r="AX510" i="1" s="1"/>
  <c r="AX573" i="1"/>
  <c r="AT325" i="1"/>
  <c r="AY325" i="1"/>
  <c r="AZ479" i="1"/>
  <c r="BA479" i="1" s="1"/>
  <c r="AW479" i="1"/>
  <c r="AX479" i="1" s="1"/>
  <c r="AW379" i="1"/>
  <c r="AX379" i="1" s="1"/>
  <c r="AX309" i="1"/>
  <c r="AZ548" i="1"/>
  <c r="BA548" i="1" s="1"/>
  <c r="AW548" i="1"/>
  <c r="AX548" i="1" s="1"/>
  <c r="AT309" i="1"/>
  <c r="AZ309" i="1" s="1"/>
  <c r="BA309" i="1" s="1"/>
  <c r="AY309" i="1"/>
  <c r="AT400" i="1"/>
  <c r="AY400" i="1"/>
  <c r="AW519" i="1"/>
  <c r="AX519" i="1" s="1"/>
  <c r="AT401" i="1"/>
  <c r="AW401" i="1" s="1"/>
  <c r="AX401" i="1" s="1"/>
  <c r="AY401" i="1"/>
  <c r="AS8" i="1"/>
  <c r="AY8" i="1" s="1"/>
  <c r="AV8" i="1"/>
  <c r="AS29" i="1"/>
  <c r="AV29" i="1"/>
  <c r="AS49" i="1"/>
  <c r="AV49" i="1"/>
  <c r="AV84" i="1"/>
  <c r="AV70" i="1"/>
  <c r="AV56" i="1"/>
  <c r="AS175" i="1"/>
  <c r="AV175" i="1"/>
  <c r="AS182" i="1"/>
  <c r="AV182" i="1"/>
  <c r="AS189" i="1"/>
  <c r="AV189" i="1"/>
  <c r="AS196" i="1"/>
  <c r="AV196" i="1"/>
  <c r="AS203" i="1"/>
  <c r="AV203" i="1"/>
  <c r="AS210" i="1"/>
  <c r="AV210" i="1"/>
  <c r="AV289" i="1"/>
  <c r="AV275" i="1"/>
  <c r="AV261" i="1"/>
  <c r="AT322" i="1"/>
  <c r="AW322" i="1" s="1"/>
  <c r="AX322" i="1" s="1"/>
  <c r="AY322" i="1"/>
  <c r="AW332" i="1"/>
  <c r="AX332" i="1" s="1"/>
  <c r="AW353" i="1"/>
  <c r="AX353" i="1" s="1"/>
  <c r="AW349" i="1"/>
  <c r="AX349" i="1" s="1"/>
  <c r="AZ523" i="1"/>
  <c r="BA523" i="1" s="1"/>
  <c r="AW523" i="1"/>
  <c r="AX523" i="1" s="1"/>
  <c r="AT293" i="1"/>
  <c r="AZ293" i="1" s="1"/>
  <c r="BA293" i="1" s="1"/>
  <c r="AY293" i="1"/>
  <c r="AW404" i="1"/>
  <c r="AX404" i="1" s="1"/>
  <c r="AW472" i="1"/>
  <c r="AX472" i="1" s="1"/>
  <c r="AW564" i="1"/>
  <c r="AX564" i="1" s="1"/>
  <c r="AW427" i="1"/>
  <c r="AX427" i="1" s="1"/>
  <c r="AS7" i="1"/>
  <c r="AY7" i="1" s="1"/>
  <c r="AV7" i="1"/>
  <c r="AS30" i="1"/>
  <c r="AV30" i="1"/>
  <c r="AV48" i="1"/>
  <c r="AV83" i="1"/>
  <c r="AV69" i="1"/>
  <c r="AV251" i="1"/>
  <c r="AV237" i="1"/>
  <c r="AV223" i="1"/>
  <c r="AV288" i="1"/>
  <c r="AV274" i="1"/>
  <c r="AV260" i="1"/>
  <c r="AT344" i="1"/>
  <c r="AY344" i="1"/>
  <c r="AZ296" i="1"/>
  <c r="BA296" i="1" s="1"/>
  <c r="AW296" i="1"/>
  <c r="AX296" i="1" s="1"/>
  <c r="AT354" i="1"/>
  <c r="AY354" i="1"/>
  <c r="AT376" i="1"/>
  <c r="AW376" i="1" s="1"/>
  <c r="AX376" i="1" s="1"/>
  <c r="AY376" i="1"/>
  <c r="AW345" i="1"/>
  <c r="AX345" i="1" s="1"/>
  <c r="AW370" i="1"/>
  <c r="AX370" i="1" s="1"/>
  <c r="AW410" i="1"/>
  <c r="AX410" i="1" s="1"/>
  <c r="AZ488" i="1"/>
  <c r="BA488" i="1" s="1"/>
  <c r="AW488" i="1"/>
  <c r="AX488" i="1" s="1"/>
  <c r="AW465" i="1"/>
  <c r="AX465" i="1" s="1"/>
  <c r="AZ487" i="1"/>
  <c r="BA487" i="1" s="1"/>
  <c r="AW487" i="1"/>
  <c r="AX487" i="1" s="1"/>
  <c r="AZ546" i="1"/>
  <c r="BA546" i="1" s="1"/>
  <c r="AW546" i="1"/>
  <c r="AX546" i="1" s="1"/>
  <c r="AT335" i="1"/>
  <c r="AY335" i="1"/>
  <c r="AW530" i="1"/>
  <c r="AX530" i="1" s="1"/>
  <c r="AZ530" i="1"/>
  <c r="BA530" i="1" s="1"/>
  <c r="AT336" i="1"/>
  <c r="AW336" i="1" s="1"/>
  <c r="AX336" i="1" s="1"/>
  <c r="AY336" i="1"/>
  <c r="AZ336" i="1" s="1"/>
  <c r="BA336" i="1" s="1"/>
  <c r="AW533" i="1"/>
  <c r="AX533" i="1" s="1"/>
  <c r="AS6" i="1"/>
  <c r="AY6" i="1" s="1"/>
  <c r="AV6" i="1"/>
  <c r="AV68" i="1"/>
  <c r="AS186" i="1"/>
  <c r="AY186" i="1" s="1"/>
  <c r="AV186" i="1"/>
  <c r="AS193" i="1"/>
  <c r="AV193" i="1"/>
  <c r="AS200" i="1"/>
  <c r="AY200" i="1" s="1"/>
  <c r="AV200" i="1"/>
  <c r="AV236" i="1"/>
  <c r="AV287" i="1"/>
  <c r="AV259" i="1"/>
  <c r="AT365" i="1"/>
  <c r="AZ365" i="1" s="1"/>
  <c r="BA365" i="1" s="1"/>
  <c r="AY365" i="1"/>
  <c r="AT366" i="1"/>
  <c r="AY366" i="1"/>
  <c r="AT337" i="1"/>
  <c r="AW337" i="1" s="1"/>
  <c r="AX337" i="1" s="1"/>
  <c r="AY337" i="1"/>
  <c r="AT339" i="1"/>
  <c r="AW339" i="1" s="1"/>
  <c r="AX339" i="1" s="1"/>
  <c r="AY339" i="1"/>
  <c r="AV32" i="1"/>
  <c r="AV46" i="1"/>
  <c r="AV81" i="1"/>
  <c r="AV286" i="1"/>
  <c r="AV258" i="1"/>
  <c r="AT379" i="1"/>
  <c r="AY379" i="1"/>
  <c r="AW309" i="1"/>
  <c r="AT399" i="1"/>
  <c r="AY399" i="1"/>
  <c r="AT380" i="1"/>
  <c r="AZ380" i="1" s="1"/>
  <c r="BA380" i="1" s="1"/>
  <c r="AY380" i="1"/>
  <c r="AT351" i="1"/>
  <c r="AZ351" i="1" s="1"/>
  <c r="BA351" i="1" s="1"/>
  <c r="AY351" i="1"/>
  <c r="AT300" i="1"/>
  <c r="AW300" i="1" s="1"/>
  <c r="AX300" i="1" s="1"/>
  <c r="AY300" i="1"/>
  <c r="AT343" i="1"/>
  <c r="AW343" i="1" s="1"/>
  <c r="AX343" i="1" s="1"/>
  <c r="AY343" i="1"/>
  <c r="AZ343" i="1" s="1"/>
  <c r="BA343" i="1" s="1"/>
  <c r="AT353" i="1"/>
  <c r="AZ353" i="1" s="1"/>
  <c r="BA353" i="1" s="1"/>
  <c r="AY353" i="1"/>
  <c r="AT378" i="1"/>
  <c r="AW378" i="1" s="1"/>
  <c r="AX378" i="1" s="1"/>
  <c r="AY378" i="1"/>
  <c r="AT384" i="1"/>
  <c r="AW384" i="1" s="1"/>
  <c r="AX384" i="1" s="1"/>
  <c r="AY384" i="1"/>
  <c r="AZ550" i="1"/>
  <c r="BA550" i="1" s="1"/>
  <c r="AW456" i="1"/>
  <c r="AX456" i="1" s="1"/>
  <c r="AW552" i="1"/>
  <c r="AX552" i="1" s="1"/>
  <c r="AT310" i="1"/>
  <c r="AZ310" i="1" s="1"/>
  <c r="BA310" i="1" s="1"/>
  <c r="AY310" i="1"/>
  <c r="AT334" i="1"/>
  <c r="AY334" i="1"/>
  <c r="AT349" i="1"/>
  <c r="AY349" i="1"/>
  <c r="AT350" i="1"/>
  <c r="AZ350" i="1" s="1"/>
  <c r="BA350" i="1" s="1"/>
  <c r="AY350" i="1"/>
  <c r="AZ407" i="1"/>
  <c r="BA407" i="1" s="1"/>
  <c r="AT296" i="1"/>
  <c r="AY296" i="1"/>
  <c r="AZ441" i="1"/>
  <c r="BA441" i="1" s="1"/>
  <c r="AW441" i="1"/>
  <c r="AZ435" i="1"/>
  <c r="BA435" i="1" s="1"/>
  <c r="AW435" i="1"/>
  <c r="AX435" i="1" s="1"/>
  <c r="AS31" i="1"/>
  <c r="AV31" i="1"/>
  <c r="AV47" i="1"/>
  <c r="AV82" i="1"/>
  <c r="AS179" i="1"/>
  <c r="AV179" i="1"/>
  <c r="AS207" i="1"/>
  <c r="AV250" i="1"/>
  <c r="AV222" i="1"/>
  <c r="AV273" i="1"/>
  <c r="AW308" i="1"/>
  <c r="AX308" i="1" s="1"/>
  <c r="AT390" i="1"/>
  <c r="AW390" i="1" s="1"/>
  <c r="AX390" i="1" s="1"/>
  <c r="AY390" i="1"/>
  <c r="AT347" i="1"/>
  <c r="AW347" i="1" s="1"/>
  <c r="AX347" i="1" s="1"/>
  <c r="AY347" i="1"/>
  <c r="AZ347" i="1" s="1"/>
  <c r="BA347" i="1" s="1"/>
  <c r="AZ372" i="1"/>
  <c r="BA372" i="1" s="1"/>
  <c r="AW372" i="1"/>
  <c r="AX372" i="1" s="1"/>
  <c r="AW486" i="1"/>
  <c r="AX486" i="1" s="1"/>
  <c r="AZ486" i="1"/>
  <c r="BA486" i="1" s="1"/>
  <c r="AV5" i="1"/>
  <c r="AV67" i="1"/>
  <c r="AV249" i="1"/>
  <c r="AV235" i="1"/>
  <c r="AV221" i="1"/>
  <c r="AV272" i="1"/>
  <c r="AZ303" i="1"/>
  <c r="BA303" i="1" s="1"/>
  <c r="AW303" i="1"/>
  <c r="AX303" i="1" s="1"/>
  <c r="AV2" i="1"/>
  <c r="AV33" i="1"/>
  <c r="AV45" i="1"/>
  <c r="AV80" i="1"/>
  <c r="AV66" i="1"/>
  <c r="AS176" i="1"/>
  <c r="AY176" i="1" s="1"/>
  <c r="AV176" i="1"/>
  <c r="AS183" i="1"/>
  <c r="AY183" i="1" s="1"/>
  <c r="AV183" i="1"/>
  <c r="AS190" i="1"/>
  <c r="AY190" i="1" s="1"/>
  <c r="AV190" i="1"/>
  <c r="AS197" i="1"/>
  <c r="AY197" i="1" s="1"/>
  <c r="AV197" i="1"/>
  <c r="AS204" i="1"/>
  <c r="AY204" i="1" s="1"/>
  <c r="AV204" i="1"/>
  <c r="AS211" i="1"/>
  <c r="AY211" i="1" s="1"/>
  <c r="AV211" i="1"/>
  <c r="AV248" i="1"/>
  <c r="AV234" i="1"/>
  <c r="AV220" i="1"/>
  <c r="AV285" i="1"/>
  <c r="AV271" i="1"/>
  <c r="AV257" i="1"/>
  <c r="AT394" i="1"/>
  <c r="AW394" i="1" s="1"/>
  <c r="AX394" i="1" s="1"/>
  <c r="AY394" i="1"/>
  <c r="AZ394" i="1" s="1"/>
  <c r="BA394" i="1" s="1"/>
  <c r="AT320" i="1"/>
  <c r="AZ320" i="1" s="1"/>
  <c r="BA320" i="1" s="1"/>
  <c r="AY320" i="1"/>
  <c r="AT385" i="1"/>
  <c r="AW385" i="1" s="1"/>
  <c r="AX385" i="1" s="1"/>
  <c r="AY385" i="1"/>
  <c r="AZ385" i="1" s="1"/>
  <c r="BA385" i="1" s="1"/>
  <c r="AT302" i="1"/>
  <c r="AY302" i="1"/>
  <c r="AT314" i="1"/>
  <c r="AZ314" i="1" s="1"/>
  <c r="BA314" i="1" s="1"/>
  <c r="AY314" i="1"/>
  <c r="AT368" i="1"/>
  <c r="AW368" i="1" s="1"/>
  <c r="AX368" i="1" s="1"/>
  <c r="AY368" i="1"/>
  <c r="AZ438" i="1"/>
  <c r="BA438" i="1" s="1"/>
  <c r="AW438" i="1"/>
  <c r="AX438" i="1" s="1"/>
  <c r="AT295" i="1"/>
  <c r="AZ295" i="1" s="1"/>
  <c r="BA295" i="1" s="1"/>
  <c r="AY295" i="1"/>
  <c r="AW489" i="1"/>
  <c r="AX489" i="1" s="1"/>
  <c r="AZ489" i="1"/>
  <c r="BA489" i="1" s="1"/>
  <c r="AZ344" i="1"/>
  <c r="BA344" i="1" s="1"/>
  <c r="AW344" i="1"/>
  <c r="AX344" i="1" s="1"/>
  <c r="AZ545" i="1"/>
  <c r="BA545" i="1" s="1"/>
  <c r="AW545" i="1"/>
  <c r="AX545" i="1" s="1"/>
  <c r="AT360" i="1"/>
  <c r="AW360" i="1" s="1"/>
  <c r="AX360" i="1" s="1"/>
  <c r="AY360" i="1"/>
  <c r="AV54" i="1"/>
  <c r="AV75" i="1"/>
  <c r="AS243" i="1"/>
  <c r="AY243" i="1" s="1"/>
  <c r="AV243" i="1"/>
  <c r="AS229" i="1"/>
  <c r="AY229" i="1" s="1"/>
  <c r="AV229" i="1"/>
  <c r="AV280" i="1"/>
  <c r="AV266" i="1"/>
  <c r="AT321" i="1"/>
  <c r="AZ321" i="1" s="1"/>
  <c r="BA321" i="1" s="1"/>
  <c r="AY321" i="1"/>
  <c r="AW386" i="1"/>
  <c r="AX386" i="1" s="1"/>
  <c r="AT313" i="1"/>
  <c r="AY313" i="1"/>
  <c r="AZ313" i="1" s="1"/>
  <c r="BA313" i="1" s="1"/>
  <c r="AT396" i="1"/>
  <c r="AY396" i="1"/>
  <c r="AW529" i="1"/>
  <c r="AX529" i="1" s="1"/>
  <c r="AZ529" i="1"/>
  <c r="BA529" i="1" s="1"/>
  <c r="AT338" i="1"/>
  <c r="AY338" i="1"/>
  <c r="AT340" i="1"/>
  <c r="AY340" i="1"/>
  <c r="AZ340" i="1" s="1"/>
  <c r="BA340" i="1" s="1"/>
  <c r="AT307" i="1"/>
  <c r="AY307" i="1"/>
  <c r="AZ307" i="1" s="1"/>
  <c r="BA307" i="1" s="1"/>
  <c r="AT391" i="1"/>
  <c r="AW391" i="1" s="1"/>
  <c r="AX391" i="1" s="1"/>
  <c r="AY391" i="1"/>
  <c r="AZ391" i="1" s="1"/>
  <c r="BA391" i="1" s="1"/>
  <c r="AT330" i="1"/>
  <c r="AW330" i="1" s="1"/>
  <c r="AX330" i="1" s="1"/>
  <c r="AY330" i="1"/>
  <c r="AW459" i="1"/>
  <c r="AX459" i="1" s="1"/>
  <c r="AZ522" i="1"/>
  <c r="BA522" i="1" s="1"/>
  <c r="AW522" i="1"/>
  <c r="AX522" i="1" s="1"/>
  <c r="AZ557" i="1"/>
  <c r="BA557" i="1" s="1"/>
  <c r="AW557" i="1"/>
  <c r="AX557" i="1" s="1"/>
  <c r="AT291" i="1"/>
  <c r="AZ291" i="1" s="1"/>
  <c r="BA291" i="1" s="1"/>
  <c r="AY291" i="1"/>
  <c r="AW415" i="1"/>
  <c r="AX415" i="1" s="1"/>
  <c r="AW449" i="1"/>
  <c r="AX449" i="1" s="1"/>
  <c r="AZ516" i="1"/>
  <c r="BA516" i="1" s="1"/>
  <c r="AW563" i="1"/>
  <c r="AX563" i="1" s="1"/>
  <c r="AZ468" i="1"/>
  <c r="BA468" i="1" s="1"/>
  <c r="AW437" i="1"/>
  <c r="AX437" i="1" s="1"/>
  <c r="AT372" i="1"/>
  <c r="AY372" i="1"/>
  <c r="AT312" i="1"/>
  <c r="AY312" i="1"/>
  <c r="AZ525" i="1"/>
  <c r="BA525" i="1" s="1"/>
  <c r="AW525" i="1"/>
  <c r="AX525" i="1" s="1"/>
  <c r="AT373" i="1"/>
  <c r="AZ373" i="1" s="1"/>
  <c r="BA373" i="1" s="1"/>
  <c r="AY373" i="1"/>
  <c r="AT388" i="1"/>
  <c r="AW388" i="1" s="1"/>
  <c r="AX388" i="1" s="1"/>
  <c r="AY388" i="1"/>
  <c r="AT323" i="1"/>
  <c r="AY323" i="1"/>
  <c r="AT397" i="1"/>
  <c r="AY397" i="1"/>
  <c r="AT383" i="1"/>
  <c r="AZ383" i="1" s="1"/>
  <c r="BA383" i="1" s="1"/>
  <c r="AY383" i="1"/>
  <c r="AV216" i="1"/>
  <c r="AT299" i="1"/>
  <c r="AZ299" i="1" s="1"/>
  <c r="BA299" i="1" s="1"/>
  <c r="AY299" i="1"/>
  <c r="AV61" i="1"/>
  <c r="AV174" i="1"/>
  <c r="AV202" i="1"/>
  <c r="AV242" i="1"/>
  <c r="AV279" i="1"/>
  <c r="AV265" i="1"/>
  <c r="AW367" i="1"/>
  <c r="AX367" i="1" s="1"/>
  <c r="AZ368" i="1"/>
  <c r="BA368" i="1" s="1"/>
  <c r="AW358" i="1"/>
  <c r="AX358" i="1" s="1"/>
  <c r="AT395" i="1"/>
  <c r="AW395" i="1" s="1"/>
  <c r="AX395" i="1" s="1"/>
  <c r="AY395" i="1"/>
  <c r="AW325" i="1"/>
  <c r="AX325" i="1" s="1"/>
  <c r="AT375" i="1"/>
  <c r="AZ375" i="1" s="1"/>
  <c r="BA375" i="1" s="1"/>
  <c r="AY375" i="1"/>
  <c r="AW380" i="1"/>
  <c r="AX380" i="1" s="1"/>
  <c r="AT352" i="1"/>
  <c r="AY352" i="1"/>
  <c r="AT301" i="1"/>
  <c r="AW301" i="1" s="1"/>
  <c r="AX301" i="1" s="1"/>
  <c r="AY301" i="1"/>
  <c r="AT306" i="1"/>
  <c r="AY306" i="1"/>
  <c r="AW496" i="1"/>
  <c r="AX496" i="1" s="1"/>
  <c r="AW439" i="1"/>
  <c r="AX439" i="1" s="1"/>
  <c r="AZ469" i="1"/>
  <c r="BA469" i="1" s="1"/>
  <c r="AV77" i="1"/>
  <c r="AV231" i="1"/>
  <c r="AV268" i="1"/>
  <c r="AV281" i="1"/>
  <c r="AZ562" i="1"/>
  <c r="BA562" i="1" s="1"/>
  <c r="AW562" i="1"/>
  <c r="AX562" i="1" s="1"/>
  <c r="AV241" i="1"/>
  <c r="AV278" i="1"/>
  <c r="AV264" i="1"/>
  <c r="AT327" i="1"/>
  <c r="AW327" i="1" s="1"/>
  <c r="AX327" i="1" s="1"/>
  <c r="AY327" i="1"/>
  <c r="AZ327" i="1" s="1"/>
  <c r="BA327" i="1" s="1"/>
  <c r="AT357" i="1"/>
  <c r="AW357" i="1" s="1"/>
  <c r="AX357" i="1" s="1"/>
  <c r="AY357" i="1"/>
  <c r="AT328" i="1"/>
  <c r="AY328" i="1"/>
  <c r="AZ400" i="1"/>
  <c r="BA400" i="1" s="1"/>
  <c r="AW400" i="1"/>
  <c r="AX400" i="1" s="1"/>
  <c r="AT389" i="1"/>
  <c r="AY389" i="1"/>
  <c r="AW312" i="1"/>
  <c r="AX312" i="1" s="1"/>
  <c r="AT371" i="1"/>
  <c r="AY371" i="1"/>
  <c r="AZ364" i="1"/>
  <c r="BA364" i="1" s="1"/>
  <c r="AT370" i="1"/>
  <c r="AY370" i="1"/>
  <c r="AT315" i="1"/>
  <c r="AW315" i="1" s="1"/>
  <c r="AX315" i="1" s="1"/>
  <c r="AY315" i="1"/>
  <c r="AT369" i="1"/>
  <c r="AW369" i="1" s="1"/>
  <c r="AX369" i="1" s="1"/>
  <c r="AY369" i="1"/>
  <c r="AZ369" i="1" s="1"/>
  <c r="BA369" i="1" s="1"/>
  <c r="AZ403" i="1"/>
  <c r="BA403" i="1" s="1"/>
  <c r="AW511" i="1"/>
  <c r="AX511" i="1" s="1"/>
  <c r="AW411" i="1"/>
  <c r="AX411" i="1" s="1"/>
  <c r="AW566" i="1"/>
  <c r="AX566" i="1" s="1"/>
  <c r="AZ492" i="1"/>
  <c r="BA492" i="1" s="1"/>
  <c r="AW440" i="1"/>
  <c r="AX440" i="1" s="1"/>
  <c r="AW478" i="1"/>
  <c r="AX478" i="1" s="1"/>
  <c r="AW420" i="1"/>
  <c r="AX420" i="1" s="1"/>
  <c r="AT386" i="1"/>
  <c r="AZ386" i="1" s="1"/>
  <c r="BA386" i="1" s="1"/>
  <c r="AY386" i="1"/>
  <c r="AT387" i="1"/>
  <c r="AZ387" i="1" s="1"/>
  <c r="BA387" i="1" s="1"/>
  <c r="AY387" i="1"/>
  <c r="AW541" i="1"/>
  <c r="AX541" i="1" s="1"/>
  <c r="AT402" i="1"/>
  <c r="AZ402" i="1" s="1"/>
  <c r="BA402" i="1" s="1"/>
  <c r="AY402" i="1"/>
  <c r="AW521" i="1"/>
  <c r="AX521" i="1" s="1"/>
  <c r="AT348" i="1"/>
  <c r="AZ348" i="1" s="1"/>
  <c r="BA348" i="1" s="1"/>
  <c r="AY348" i="1"/>
  <c r="AZ444" i="1"/>
  <c r="BA444" i="1" s="1"/>
  <c r="AW444" i="1"/>
  <c r="AX444" i="1" s="1"/>
  <c r="AZ442" i="1"/>
  <c r="BA442" i="1" s="1"/>
  <c r="AW442" i="1"/>
  <c r="AX442" i="1" s="1"/>
  <c r="AV63" i="1"/>
  <c r="AV245" i="1"/>
  <c r="AV217" i="1"/>
  <c r="AV282" i="1"/>
  <c r="AT317" i="1"/>
  <c r="AY317" i="1"/>
  <c r="AT318" i="1"/>
  <c r="AY318" i="1"/>
  <c r="AT381" i="1"/>
  <c r="AY381" i="1"/>
  <c r="AT308" i="1"/>
  <c r="AY308" i="1"/>
  <c r="AT297" i="1"/>
  <c r="AW297" i="1" s="1"/>
  <c r="AX297" i="1" s="1"/>
  <c r="AY297" i="1"/>
  <c r="AT298" i="1"/>
  <c r="AY298" i="1"/>
  <c r="AT374" i="1"/>
  <c r="AZ374" i="1" s="1"/>
  <c r="BA374" i="1" s="1"/>
  <c r="AY374" i="1"/>
  <c r="AV23" i="1"/>
  <c r="AV55" i="1"/>
  <c r="AV41" i="1"/>
  <c r="AV76" i="1"/>
  <c r="AV62" i="1"/>
  <c r="AV212" i="1"/>
  <c r="AV244" i="1"/>
  <c r="AV230" i="1"/>
  <c r="AV267" i="1"/>
  <c r="AT367" i="1"/>
  <c r="AZ367" i="1" s="1"/>
  <c r="BA367" i="1" s="1"/>
  <c r="AY367" i="1"/>
  <c r="AT359" i="1"/>
  <c r="AZ359" i="1" s="1"/>
  <c r="BA359" i="1" s="1"/>
  <c r="AY359" i="1"/>
  <c r="AT329" i="1"/>
  <c r="AY329" i="1"/>
  <c r="AT331" i="1"/>
  <c r="AW331" i="1" s="1"/>
  <c r="AX331" i="1" s="1"/>
  <c r="AY331" i="1"/>
  <c r="AZ331" i="1" s="1"/>
  <c r="BA331" i="1" s="1"/>
  <c r="AT377" i="1"/>
  <c r="AW377" i="1" s="1"/>
  <c r="AX377" i="1" s="1"/>
  <c r="AY377" i="1"/>
  <c r="AZ360" i="1"/>
  <c r="BA360" i="1" s="1"/>
  <c r="AZ436" i="1"/>
  <c r="BA436" i="1" s="1"/>
  <c r="AW436" i="1"/>
  <c r="AX436" i="1" s="1"/>
  <c r="AV13" i="1"/>
  <c r="AV40" i="1"/>
  <c r="AV89" i="1"/>
  <c r="AV12" i="1"/>
  <c r="AV25" i="1"/>
  <c r="AV53" i="1"/>
  <c r="AV39" i="1"/>
  <c r="AV88" i="1"/>
  <c r="AV74" i="1"/>
  <c r="AV60" i="1"/>
  <c r="AV181" i="1"/>
  <c r="AV188" i="1"/>
  <c r="AV195" i="1"/>
  <c r="AV209" i="1"/>
  <c r="AV228" i="1"/>
  <c r="AV11" i="1"/>
  <c r="AV52" i="1"/>
  <c r="AV38" i="1"/>
  <c r="AV87" i="1"/>
  <c r="AV73" i="1"/>
  <c r="AV59" i="1"/>
  <c r="AV215" i="1"/>
  <c r="AV227" i="1"/>
  <c r="AS10" i="1"/>
  <c r="AV10" i="1"/>
  <c r="AS27" i="1"/>
  <c r="AS51" i="1"/>
  <c r="AV51" i="1"/>
  <c r="AS37" i="1"/>
  <c r="AV37" i="1"/>
  <c r="AS86" i="1"/>
  <c r="AV86" i="1"/>
  <c r="AS72" i="1"/>
  <c r="AV72" i="1"/>
  <c r="AS58" i="1"/>
  <c r="AV58" i="1"/>
  <c r="AS120" i="1"/>
  <c r="AS104" i="1"/>
  <c r="AS90" i="1"/>
  <c r="AS168" i="1"/>
  <c r="AS154" i="1"/>
  <c r="AS140" i="1"/>
  <c r="AS178" i="1"/>
  <c r="AV178" i="1"/>
  <c r="AS185" i="1"/>
  <c r="AV185" i="1"/>
  <c r="AS192" i="1"/>
  <c r="AV192" i="1"/>
  <c r="AS199" i="1"/>
  <c r="AV199" i="1"/>
  <c r="AS206" i="1"/>
  <c r="AV206" i="1"/>
  <c r="AS213" i="1"/>
  <c r="AV213" i="1"/>
  <c r="AS254" i="1"/>
  <c r="AV254" i="1"/>
  <c r="AS240" i="1"/>
  <c r="AV240" i="1"/>
  <c r="AS226" i="1"/>
  <c r="AV226" i="1"/>
  <c r="AS277" i="1"/>
  <c r="AV277" i="1"/>
  <c r="AS263" i="1"/>
  <c r="AV263" i="1"/>
  <c r="AT341" i="1"/>
  <c r="AW341" i="1" s="1"/>
  <c r="AX341" i="1" s="1"/>
  <c r="AY341" i="1"/>
  <c r="AT342" i="1"/>
  <c r="AY342" i="1"/>
  <c r="AZ311" i="1"/>
  <c r="BA311" i="1" s="1"/>
  <c r="AW311" i="1"/>
  <c r="AX311" i="1" s="1"/>
  <c r="AZ339" i="1"/>
  <c r="BA339" i="1" s="1"/>
  <c r="AT364" i="1"/>
  <c r="AW364" i="1" s="1"/>
  <c r="AX364" i="1" s="1"/>
  <c r="AY364" i="1"/>
  <c r="AT292" i="1"/>
  <c r="AY292" i="1"/>
  <c r="AT333" i="1"/>
  <c r="AZ333" i="1" s="1"/>
  <c r="BA333" i="1" s="1"/>
  <c r="AY333" i="1"/>
  <c r="AT316" i="1"/>
  <c r="AY316" i="1"/>
  <c r="AT332" i="1"/>
  <c r="AY332" i="1"/>
  <c r="AW313" i="1"/>
  <c r="AX313" i="1" s="1"/>
  <c r="AT361" i="1"/>
  <c r="AW361" i="1" s="1"/>
  <c r="AX361" i="1" s="1"/>
  <c r="AY361" i="1"/>
  <c r="AZ537" i="1"/>
  <c r="BA537" i="1" s="1"/>
  <c r="AW537" i="1"/>
  <c r="AX537" i="1" s="1"/>
  <c r="AZ443" i="1"/>
  <c r="BA443" i="1" s="1"/>
  <c r="AW443" i="1"/>
  <c r="AX443" i="1" s="1"/>
  <c r="AZ477" i="1"/>
  <c r="BA477" i="1" s="1"/>
  <c r="AW477" i="1"/>
  <c r="AX477" i="1" s="1"/>
  <c r="AZ558" i="1"/>
  <c r="BA558" i="1" s="1"/>
  <c r="AW558" i="1"/>
  <c r="AX558" i="1" s="1"/>
  <c r="AU61" i="1"/>
  <c r="AR61" i="1"/>
  <c r="AU176" i="1"/>
  <c r="AR176" i="1"/>
  <c r="AU232" i="1"/>
  <c r="AR232" i="1"/>
  <c r="AR259" i="1"/>
  <c r="AU259" i="1"/>
  <c r="AU46" i="1"/>
  <c r="AR46" i="1"/>
  <c r="AR217" i="1"/>
  <c r="AU217" i="1"/>
  <c r="AR216" i="1"/>
  <c r="AU216" i="1"/>
  <c r="AS137" i="1"/>
  <c r="AU58" i="1"/>
  <c r="AR58" i="1"/>
  <c r="AS68" i="1"/>
  <c r="AR141" i="1"/>
  <c r="AU33" i="1"/>
  <c r="AR33" i="1"/>
  <c r="AR158" i="1"/>
  <c r="AR175" i="1"/>
  <c r="AU175" i="1"/>
  <c r="AR258" i="1"/>
  <c r="AU258" i="1"/>
  <c r="AS70" i="1"/>
  <c r="AU73" i="1"/>
  <c r="AR73" i="1"/>
  <c r="AS224" i="1"/>
  <c r="AR156" i="1"/>
  <c r="AS100" i="1"/>
  <c r="AR129" i="1"/>
  <c r="AR169" i="1"/>
  <c r="AS236" i="1"/>
  <c r="AS287" i="1"/>
  <c r="AS24" i="1"/>
  <c r="AS54" i="1"/>
  <c r="AS75" i="1"/>
  <c r="AS108" i="1"/>
  <c r="AS171" i="1"/>
  <c r="AS143" i="1"/>
  <c r="AR122" i="1"/>
  <c r="AR92" i="1"/>
  <c r="AR64" i="1"/>
  <c r="AU64" i="1"/>
  <c r="AR22" i="1"/>
  <c r="AR148" i="1"/>
  <c r="AU193" i="1"/>
  <c r="AR193" i="1"/>
  <c r="AR249" i="1"/>
  <c r="AU249" i="1"/>
  <c r="AS53" i="1"/>
  <c r="AS39" i="1"/>
  <c r="AS88" i="1"/>
  <c r="AS74" i="1"/>
  <c r="AS60" i="1"/>
  <c r="AS122" i="1"/>
  <c r="AS106" i="1"/>
  <c r="AS92" i="1"/>
  <c r="AS170" i="1"/>
  <c r="AS156" i="1"/>
  <c r="AS142" i="1"/>
  <c r="AR121" i="1"/>
  <c r="AR105" i="1"/>
  <c r="AR91" i="1"/>
  <c r="AR77" i="1"/>
  <c r="AU77" i="1"/>
  <c r="AU63" i="1"/>
  <c r="AR63" i="1"/>
  <c r="AR49" i="1"/>
  <c r="AU49" i="1"/>
  <c r="AR35" i="1"/>
  <c r="AU35" i="1"/>
  <c r="AR21" i="1"/>
  <c r="AR4" i="1"/>
  <c r="AR161" i="1"/>
  <c r="AR147" i="1"/>
  <c r="AS174" i="1"/>
  <c r="AS181" i="1"/>
  <c r="AS188" i="1"/>
  <c r="AS195" i="1"/>
  <c r="AS202" i="1"/>
  <c r="AS209" i="1"/>
  <c r="AR206" i="1"/>
  <c r="AU206" i="1"/>
  <c r="AU192" i="1"/>
  <c r="AR192" i="1"/>
  <c r="AU178" i="1"/>
  <c r="AR178" i="1"/>
  <c r="AS242" i="1"/>
  <c r="AS228" i="1"/>
  <c r="AR248" i="1"/>
  <c r="AU248" i="1"/>
  <c r="AR234" i="1"/>
  <c r="AU234" i="1"/>
  <c r="AR220" i="1"/>
  <c r="AU220" i="1"/>
  <c r="AS279" i="1"/>
  <c r="AS265" i="1"/>
  <c r="AR289" i="1"/>
  <c r="AU289" i="1"/>
  <c r="AR275" i="1"/>
  <c r="AU275" i="1"/>
  <c r="AR261" i="1"/>
  <c r="AU261" i="1"/>
  <c r="AR103" i="1"/>
  <c r="AR15" i="1"/>
  <c r="AS166" i="1"/>
  <c r="AU45" i="1"/>
  <c r="AR45" i="1"/>
  <c r="AS261" i="1"/>
  <c r="AU86" i="1"/>
  <c r="AR86" i="1"/>
  <c r="AS164" i="1"/>
  <c r="AR12" i="1"/>
  <c r="AU12" i="1"/>
  <c r="AR269" i="1"/>
  <c r="AU269" i="1"/>
  <c r="AS13" i="1"/>
  <c r="AS40" i="1"/>
  <c r="AS89" i="1"/>
  <c r="AS61" i="1"/>
  <c r="AS123" i="1"/>
  <c r="AS93" i="1"/>
  <c r="AS157" i="1"/>
  <c r="AR106" i="1"/>
  <c r="AU78" i="1"/>
  <c r="AR78" i="1"/>
  <c r="AU50" i="1"/>
  <c r="AR50" i="1"/>
  <c r="AR36" i="1"/>
  <c r="AU36" i="1"/>
  <c r="AU5" i="1"/>
  <c r="AR5" i="1"/>
  <c r="AR162" i="1"/>
  <c r="AR134" i="1"/>
  <c r="AR207" i="1"/>
  <c r="AR179" i="1"/>
  <c r="AU179" i="1"/>
  <c r="AR235" i="1"/>
  <c r="AU235" i="1"/>
  <c r="AR221" i="1"/>
  <c r="AU221" i="1"/>
  <c r="AS280" i="1"/>
  <c r="AS266" i="1"/>
  <c r="AU256" i="1"/>
  <c r="AR256" i="1"/>
  <c r="AR276" i="1"/>
  <c r="AU276" i="1"/>
  <c r="AU262" i="1"/>
  <c r="AR262" i="1"/>
  <c r="AS12" i="1"/>
  <c r="AS25" i="1"/>
  <c r="AS11" i="1"/>
  <c r="AS26" i="1"/>
  <c r="AS52" i="1"/>
  <c r="AS38" i="1"/>
  <c r="AS87" i="1"/>
  <c r="AS73" i="1"/>
  <c r="AS59" i="1"/>
  <c r="AS121" i="1"/>
  <c r="AS105" i="1"/>
  <c r="AS91" i="1"/>
  <c r="AS169" i="1"/>
  <c r="AS155" i="1"/>
  <c r="AS141" i="1"/>
  <c r="AR120" i="1"/>
  <c r="AR104" i="1"/>
  <c r="AR90" i="1"/>
  <c r="AR76" i="1"/>
  <c r="AU76" i="1"/>
  <c r="AU62" i="1"/>
  <c r="AR62" i="1"/>
  <c r="AR48" i="1"/>
  <c r="AU48" i="1"/>
  <c r="AR34" i="1"/>
  <c r="AR17" i="1"/>
  <c r="AR3" i="1"/>
  <c r="AR160" i="1"/>
  <c r="AR146" i="1"/>
  <c r="AU205" i="1"/>
  <c r="AR205" i="1"/>
  <c r="AU191" i="1"/>
  <c r="AR191" i="1"/>
  <c r="AU177" i="1"/>
  <c r="AR177" i="1"/>
  <c r="AS215" i="1"/>
  <c r="AS241" i="1"/>
  <c r="AS227" i="1"/>
  <c r="AU247" i="1"/>
  <c r="AR247" i="1"/>
  <c r="AU233" i="1"/>
  <c r="AR233" i="1"/>
  <c r="AR219" i="1"/>
  <c r="AU219" i="1"/>
  <c r="AS278" i="1"/>
  <c r="AS264" i="1"/>
  <c r="AU288" i="1"/>
  <c r="AR288" i="1"/>
  <c r="AU274" i="1"/>
  <c r="AR274" i="1"/>
  <c r="AU260" i="1"/>
  <c r="AR260" i="1"/>
  <c r="AR133" i="1"/>
  <c r="AR190" i="1"/>
  <c r="AU190" i="1"/>
  <c r="AU31" i="1"/>
  <c r="AR31" i="1"/>
  <c r="AU188" i="1"/>
  <c r="AR188" i="1"/>
  <c r="AU230" i="1"/>
  <c r="AR230" i="1"/>
  <c r="AS131" i="1"/>
  <c r="AR44" i="1"/>
  <c r="AU44" i="1"/>
  <c r="AU187" i="1"/>
  <c r="AR187" i="1"/>
  <c r="AS260" i="1"/>
  <c r="AU284" i="1"/>
  <c r="AR284" i="1"/>
  <c r="AS150" i="1"/>
  <c r="AR115" i="1"/>
  <c r="AS5" i="1"/>
  <c r="AS135" i="1"/>
  <c r="AR84" i="1"/>
  <c r="AU84" i="1"/>
  <c r="AR168" i="1"/>
  <c r="AR199" i="1"/>
  <c r="AU199" i="1"/>
  <c r="AS235" i="1"/>
  <c r="AR241" i="1"/>
  <c r="AU241" i="1"/>
  <c r="AR268" i="1"/>
  <c r="AU268" i="1"/>
  <c r="AS80" i="1"/>
  <c r="AS114" i="1"/>
  <c r="AS162" i="1"/>
  <c r="AU55" i="1"/>
  <c r="AR55" i="1"/>
  <c r="AT183" i="1"/>
  <c r="AR184" i="1"/>
  <c r="AU184" i="1"/>
  <c r="AS220" i="1"/>
  <c r="AS257" i="1"/>
  <c r="AR281" i="1"/>
  <c r="AU281" i="1"/>
  <c r="AR60" i="1"/>
  <c r="AU60" i="1"/>
  <c r="AR203" i="1"/>
  <c r="AU203" i="1"/>
  <c r="AU231" i="1"/>
  <c r="AR231" i="1"/>
  <c r="AS84" i="1"/>
  <c r="AR101" i="1"/>
  <c r="AS238" i="1"/>
  <c r="AR257" i="1"/>
  <c r="AU257" i="1"/>
  <c r="AS48" i="1"/>
  <c r="AS165" i="1"/>
  <c r="AS251" i="1"/>
  <c r="AS288" i="1"/>
  <c r="AU71" i="1"/>
  <c r="AR71" i="1"/>
  <c r="AU200" i="1"/>
  <c r="AR200" i="1"/>
  <c r="AS259" i="1"/>
  <c r="AU283" i="1"/>
  <c r="AR283" i="1"/>
  <c r="AS81" i="1"/>
  <c r="AS115" i="1"/>
  <c r="AU42" i="1"/>
  <c r="AR42" i="1"/>
  <c r="AS249" i="1"/>
  <c r="AS4" i="1"/>
  <c r="AS148" i="1"/>
  <c r="AR127" i="1"/>
  <c r="AS248" i="1"/>
  <c r="AR267" i="1"/>
  <c r="AU267" i="1"/>
  <c r="AS17" i="1"/>
  <c r="AS113" i="1"/>
  <c r="AR112" i="1"/>
  <c r="AR40" i="1"/>
  <c r="AU40" i="1"/>
  <c r="AR138" i="1"/>
  <c r="AS247" i="1"/>
  <c r="AS284" i="1"/>
  <c r="AS43" i="1"/>
  <c r="AS96" i="1"/>
  <c r="AS160" i="1"/>
  <c r="AS146" i="1"/>
  <c r="AR125" i="1"/>
  <c r="AR111" i="1"/>
  <c r="AR95" i="1"/>
  <c r="AR81" i="1"/>
  <c r="AU81" i="1"/>
  <c r="AU67" i="1"/>
  <c r="AR67" i="1"/>
  <c r="AU53" i="1"/>
  <c r="AR53" i="1"/>
  <c r="AU39" i="1"/>
  <c r="AR39" i="1"/>
  <c r="AR25" i="1"/>
  <c r="AU25" i="1"/>
  <c r="AR8" i="1"/>
  <c r="AU8" i="1"/>
  <c r="AR165" i="1"/>
  <c r="AR151" i="1"/>
  <c r="AR137" i="1"/>
  <c r="AS180" i="1"/>
  <c r="AS187" i="1"/>
  <c r="AS194" i="1"/>
  <c r="AS201" i="1"/>
  <c r="AS208" i="1"/>
  <c r="AR210" i="1"/>
  <c r="AU210" i="1"/>
  <c r="AU196" i="1"/>
  <c r="AR196" i="1"/>
  <c r="AR182" i="1"/>
  <c r="AU182" i="1"/>
  <c r="AS246" i="1"/>
  <c r="AS232" i="1"/>
  <c r="AS218" i="1"/>
  <c r="AU252" i="1"/>
  <c r="AR252" i="1"/>
  <c r="AR238" i="1"/>
  <c r="AU238" i="1"/>
  <c r="AR224" i="1"/>
  <c r="AU224" i="1"/>
  <c r="AS283" i="1"/>
  <c r="AS269" i="1"/>
  <c r="AR279" i="1"/>
  <c r="AU279" i="1"/>
  <c r="AR265" i="1"/>
  <c r="AU265" i="1"/>
  <c r="AT27" i="1"/>
  <c r="AR119" i="1"/>
  <c r="AR89" i="1"/>
  <c r="AU89" i="1"/>
  <c r="AU75" i="1"/>
  <c r="AR75" i="1"/>
  <c r="AU47" i="1"/>
  <c r="AR47" i="1"/>
  <c r="AR16" i="1"/>
  <c r="AR159" i="1"/>
  <c r="AR145" i="1"/>
  <c r="AU204" i="1"/>
  <c r="AR204" i="1"/>
  <c r="AR246" i="1"/>
  <c r="AU246" i="1"/>
  <c r="AR273" i="1"/>
  <c r="AU273" i="1"/>
  <c r="AR2" i="1"/>
  <c r="AR118" i="1"/>
  <c r="AR102" i="1"/>
  <c r="AR88" i="1"/>
  <c r="AU88" i="1"/>
  <c r="AR74" i="1"/>
  <c r="AU74" i="1"/>
  <c r="AU32" i="1"/>
  <c r="AR32" i="1"/>
  <c r="AR144" i="1"/>
  <c r="AU189" i="1"/>
  <c r="AR189" i="1"/>
  <c r="AS225" i="1"/>
  <c r="AU245" i="1"/>
  <c r="AR245" i="1"/>
  <c r="AR286" i="1"/>
  <c r="AU286" i="1"/>
  <c r="AR272" i="1"/>
  <c r="AU272" i="1"/>
  <c r="AS56" i="1"/>
  <c r="AS118" i="1"/>
  <c r="AS102" i="1"/>
  <c r="AS138" i="1"/>
  <c r="AR117" i="1"/>
  <c r="AU87" i="1"/>
  <c r="AR87" i="1"/>
  <c r="AU59" i="1"/>
  <c r="AR59" i="1"/>
  <c r="AR14" i="1"/>
  <c r="AU14" i="1"/>
  <c r="AR171" i="1"/>
  <c r="AR143" i="1"/>
  <c r="AS252" i="1"/>
  <c r="AU244" i="1"/>
  <c r="AR244" i="1"/>
  <c r="AS275" i="1"/>
  <c r="AR271" i="1"/>
  <c r="AU271" i="1"/>
  <c r="AS83" i="1"/>
  <c r="AS117" i="1"/>
  <c r="AS101" i="1"/>
  <c r="AS151" i="1"/>
  <c r="AR116" i="1"/>
  <c r="AR100" i="1"/>
  <c r="AR72" i="1"/>
  <c r="AU72" i="1"/>
  <c r="AU30" i="1"/>
  <c r="AR30" i="1"/>
  <c r="AR13" i="1"/>
  <c r="AU13" i="1"/>
  <c r="AR142" i="1"/>
  <c r="AU201" i="1"/>
  <c r="AR201" i="1"/>
  <c r="AS237" i="1"/>
  <c r="AR243" i="1"/>
  <c r="AU243" i="1"/>
  <c r="AR229" i="1"/>
  <c r="AU229" i="1"/>
  <c r="AS274" i="1"/>
  <c r="AR270" i="1"/>
  <c r="AU270" i="1"/>
  <c r="AS47" i="1"/>
  <c r="AS82" i="1"/>
  <c r="AS130" i="1"/>
  <c r="AS116" i="1"/>
  <c r="AS136" i="1"/>
  <c r="AR99" i="1"/>
  <c r="AU57" i="1"/>
  <c r="AR57" i="1"/>
  <c r="AU43" i="1"/>
  <c r="AR43" i="1"/>
  <c r="AR29" i="1"/>
  <c r="AU29" i="1"/>
  <c r="AR155" i="1"/>
  <c r="AU174" i="1"/>
  <c r="AR174" i="1"/>
  <c r="AR186" i="1"/>
  <c r="AU186" i="1"/>
  <c r="AS222" i="1"/>
  <c r="AU242" i="1"/>
  <c r="AR242" i="1"/>
  <c r="AS273" i="1"/>
  <c r="AS46" i="1"/>
  <c r="AS67" i="1"/>
  <c r="AS129" i="1"/>
  <c r="AS163" i="1"/>
  <c r="AS149" i="1"/>
  <c r="AR128" i="1"/>
  <c r="AR114" i="1"/>
  <c r="AR98" i="1"/>
  <c r="AR56" i="1"/>
  <c r="AU56" i="1"/>
  <c r="AR28" i="1"/>
  <c r="AR11" i="1"/>
  <c r="AU11" i="1"/>
  <c r="AR154" i="1"/>
  <c r="AR185" i="1"/>
  <c r="AU185" i="1"/>
  <c r="AS221" i="1"/>
  <c r="AU227" i="1"/>
  <c r="AR227" i="1"/>
  <c r="AS286" i="1"/>
  <c r="AS258" i="1"/>
  <c r="AU282" i="1"/>
  <c r="AR282" i="1"/>
  <c r="AS33" i="1"/>
  <c r="AS45" i="1"/>
  <c r="AS66" i="1"/>
  <c r="AS128" i="1"/>
  <c r="AS98" i="1"/>
  <c r="AS134" i="1"/>
  <c r="AR113" i="1"/>
  <c r="AR97" i="1"/>
  <c r="AR69" i="1"/>
  <c r="AU69" i="1"/>
  <c r="AR41" i="1"/>
  <c r="AU41" i="1"/>
  <c r="AR10" i="1"/>
  <c r="AU10" i="1"/>
  <c r="AR167" i="1"/>
  <c r="AR153" i="1"/>
  <c r="AT190" i="1"/>
  <c r="AT197" i="1"/>
  <c r="AU212" i="1"/>
  <c r="AR212" i="1"/>
  <c r="AR198" i="1"/>
  <c r="AU198" i="1"/>
  <c r="AS234" i="1"/>
  <c r="AR240" i="1"/>
  <c r="AU240" i="1"/>
  <c r="AU226" i="1"/>
  <c r="AR226" i="1"/>
  <c r="AS285" i="1"/>
  <c r="AS271" i="1"/>
  <c r="AS3" i="1"/>
  <c r="AS44" i="1"/>
  <c r="AS79" i="1"/>
  <c r="AS127" i="1"/>
  <c r="AS97" i="1"/>
  <c r="AS147" i="1"/>
  <c r="AR126" i="1"/>
  <c r="AR96" i="1"/>
  <c r="AR82" i="1"/>
  <c r="AU82" i="1"/>
  <c r="AU54" i="1"/>
  <c r="AR54" i="1"/>
  <c r="AR26" i="1"/>
  <c r="AU9" i="1"/>
  <c r="AR9" i="1"/>
  <c r="AR166" i="1"/>
  <c r="AR152" i="1"/>
  <c r="AR211" i="1"/>
  <c r="AU211" i="1"/>
  <c r="AU197" i="1"/>
  <c r="AR197" i="1"/>
  <c r="AR183" i="1"/>
  <c r="AU183" i="1"/>
  <c r="AS233" i="1"/>
  <c r="AS219" i="1"/>
  <c r="AR253" i="1"/>
  <c r="AU253" i="1"/>
  <c r="AR239" i="1"/>
  <c r="AU239" i="1"/>
  <c r="AR225" i="1"/>
  <c r="AU225" i="1"/>
  <c r="AS270" i="1"/>
  <c r="AR280" i="1"/>
  <c r="AU280" i="1"/>
  <c r="AR266" i="1"/>
  <c r="AU266" i="1"/>
  <c r="AS16" i="1"/>
  <c r="AS21" i="1"/>
  <c r="AS35" i="1"/>
  <c r="AS78" i="1"/>
  <c r="AS64" i="1"/>
  <c r="AS126" i="1"/>
  <c r="AS112" i="1"/>
  <c r="AS15" i="1"/>
  <c r="AS22" i="1"/>
  <c r="AS36" i="1"/>
  <c r="AS42" i="1"/>
  <c r="AS77" i="1"/>
  <c r="AS63" i="1"/>
  <c r="AS125" i="1"/>
  <c r="AS111" i="1"/>
  <c r="AS95" i="1"/>
  <c r="AS133" i="1"/>
  <c r="AS159" i="1"/>
  <c r="AS145" i="1"/>
  <c r="AR124" i="1"/>
  <c r="AR110" i="1"/>
  <c r="AR94" i="1"/>
  <c r="AR80" i="1"/>
  <c r="AU80" i="1"/>
  <c r="AU66" i="1"/>
  <c r="AR66" i="1"/>
  <c r="AR52" i="1"/>
  <c r="AU52" i="1"/>
  <c r="AU38" i="1"/>
  <c r="AR38" i="1"/>
  <c r="AR24" i="1"/>
  <c r="AU7" i="1"/>
  <c r="AR7" i="1"/>
  <c r="AR164" i="1"/>
  <c r="AR150" i="1"/>
  <c r="AR136" i="1"/>
  <c r="AR209" i="1"/>
  <c r="AU209" i="1"/>
  <c r="AR195" i="1"/>
  <c r="AU195" i="1"/>
  <c r="AR181" i="1"/>
  <c r="AU181" i="1"/>
  <c r="AS245" i="1"/>
  <c r="AS231" i="1"/>
  <c r="AS217" i="1"/>
  <c r="AR251" i="1"/>
  <c r="AU251" i="1"/>
  <c r="AU237" i="1"/>
  <c r="AR237" i="1"/>
  <c r="AR223" i="1"/>
  <c r="AU223" i="1"/>
  <c r="AS282" i="1"/>
  <c r="AS268" i="1"/>
  <c r="AR278" i="1"/>
  <c r="AU278" i="1"/>
  <c r="AR264" i="1"/>
  <c r="AU264" i="1"/>
  <c r="AR218" i="1"/>
  <c r="AU218" i="1"/>
  <c r="AU287" i="1"/>
  <c r="AR287" i="1"/>
  <c r="AR172" i="1"/>
  <c r="AS152" i="1"/>
  <c r="AR131" i="1"/>
  <c r="AR157" i="1"/>
  <c r="AR202" i="1"/>
  <c r="AU202" i="1"/>
  <c r="AS289" i="1"/>
  <c r="AR285" i="1"/>
  <c r="AU285" i="1"/>
  <c r="AS69" i="1"/>
  <c r="AR130" i="1"/>
  <c r="AR170" i="1"/>
  <c r="AS223" i="1"/>
  <c r="AU85" i="1"/>
  <c r="AR85" i="1"/>
  <c r="AT200" i="1"/>
  <c r="AS250" i="1"/>
  <c r="AU228" i="1"/>
  <c r="AR228" i="1"/>
  <c r="AS32" i="1"/>
  <c r="AS99" i="1"/>
  <c r="AU70" i="1"/>
  <c r="AR70" i="1"/>
  <c r="AR140" i="1"/>
  <c r="AR213" i="1"/>
  <c r="AU213" i="1"/>
  <c r="AU215" i="1"/>
  <c r="AR215" i="1"/>
  <c r="AS272" i="1"/>
  <c r="AS2" i="1"/>
  <c r="AU83" i="1"/>
  <c r="AR83" i="1"/>
  <c r="AR27" i="1"/>
  <c r="AR139" i="1"/>
  <c r="AR254" i="1"/>
  <c r="AU254" i="1"/>
  <c r="AS34" i="1"/>
  <c r="AY34" i="1" s="1"/>
  <c r="AS65" i="1"/>
  <c r="AS161" i="1"/>
  <c r="AR68" i="1"/>
  <c r="AU68" i="1"/>
  <c r="AS14" i="1"/>
  <c r="AS23" i="1"/>
  <c r="AS55" i="1"/>
  <c r="AS41" i="1"/>
  <c r="AS76" i="1"/>
  <c r="AS62" i="1"/>
  <c r="AS124" i="1"/>
  <c r="AS110" i="1"/>
  <c r="AS94" i="1"/>
  <c r="AS172" i="1"/>
  <c r="AS158" i="1"/>
  <c r="AS144" i="1"/>
  <c r="AR123" i="1"/>
  <c r="AR108" i="1"/>
  <c r="AR93" i="1"/>
  <c r="AU79" i="1"/>
  <c r="AR79" i="1"/>
  <c r="AU65" i="1"/>
  <c r="AR65" i="1"/>
  <c r="AU51" i="1"/>
  <c r="AR51" i="1"/>
  <c r="AR37" i="1"/>
  <c r="AU37" i="1"/>
  <c r="AU23" i="1"/>
  <c r="AR23" i="1"/>
  <c r="AU6" i="1"/>
  <c r="AR6" i="1"/>
  <c r="AR163" i="1"/>
  <c r="AR149" i="1"/>
  <c r="AR135" i="1"/>
  <c r="AS177" i="1"/>
  <c r="AS184" i="1"/>
  <c r="AS191" i="1"/>
  <c r="AS198" i="1"/>
  <c r="AS205" i="1"/>
  <c r="AS212" i="1"/>
  <c r="AU208" i="1"/>
  <c r="AR208" i="1"/>
  <c r="AR194" i="1"/>
  <c r="AU194" i="1"/>
  <c r="AU180" i="1"/>
  <c r="AR180" i="1"/>
  <c r="AS244" i="1"/>
  <c r="AS230" i="1"/>
  <c r="AS216" i="1"/>
  <c r="AR250" i="1"/>
  <c r="AU250" i="1"/>
  <c r="AR236" i="1"/>
  <c r="AU236" i="1"/>
  <c r="AU222" i="1"/>
  <c r="AR222" i="1"/>
  <c r="AS281" i="1"/>
  <c r="AS267" i="1"/>
  <c r="AR277" i="1"/>
  <c r="AU277" i="1"/>
  <c r="AU263" i="1"/>
  <c r="AR263" i="1"/>
  <c r="AQ10" i="1"/>
  <c r="AQ9" i="1"/>
  <c r="AQ7" i="1"/>
  <c r="AQ6" i="1"/>
  <c r="AP27" i="1"/>
  <c r="AQ11" i="1"/>
  <c r="AP28" i="1"/>
  <c r="AP26" i="1"/>
  <c r="AV26" i="1" s="1"/>
  <c r="AP24" i="1"/>
  <c r="AU24" i="1" s="1"/>
  <c r="AQ30" i="1"/>
  <c r="AQ29" i="1"/>
  <c r="AP23" i="1"/>
  <c r="AQ33" i="1"/>
  <c r="AQ32" i="1"/>
  <c r="AQ31" i="1"/>
  <c r="AQ8" i="1"/>
  <c r="AP22" i="1"/>
  <c r="AQ25" i="1"/>
  <c r="AP2" i="1"/>
  <c r="AP21" i="1"/>
  <c r="AP4" i="1"/>
  <c r="AP34" i="1"/>
  <c r="AP17" i="1"/>
  <c r="AV17" i="1" s="1"/>
  <c r="AP3" i="1"/>
  <c r="AQ5" i="1"/>
  <c r="AP16" i="1"/>
  <c r="AU16" i="1" s="1"/>
  <c r="AQ35" i="1"/>
  <c r="AP15" i="1"/>
  <c r="AP14" i="1"/>
  <c r="AV14" i="1" s="1"/>
  <c r="AZ302" i="1" l="1"/>
  <c r="BA302" i="1" s="1"/>
  <c r="AZ318" i="1"/>
  <c r="BA318" i="1" s="1"/>
  <c r="AZ294" i="1"/>
  <c r="BA294" i="1" s="1"/>
  <c r="AW362" i="1"/>
  <c r="AX362" i="1" s="1"/>
  <c r="AW299" i="1"/>
  <c r="AX299" i="1" s="1"/>
  <c r="AZ389" i="1"/>
  <c r="BA389" i="1" s="1"/>
  <c r="AZ306" i="1"/>
  <c r="BA306" i="1" s="1"/>
  <c r="AZ396" i="1"/>
  <c r="BA396" i="1" s="1"/>
  <c r="AZ379" i="1"/>
  <c r="BA379" i="1" s="1"/>
  <c r="AW306" i="1"/>
  <c r="AX306" i="1" s="1"/>
  <c r="AZ292" i="1"/>
  <c r="BA292" i="1" s="1"/>
  <c r="AZ371" i="1"/>
  <c r="BA371" i="1" s="1"/>
  <c r="AZ349" i="1"/>
  <c r="BA349" i="1" s="1"/>
  <c r="AZ399" i="1"/>
  <c r="BA399" i="1" s="1"/>
  <c r="AZ354" i="1"/>
  <c r="BA354" i="1" s="1"/>
  <c r="AZ312" i="1"/>
  <c r="BA312" i="1" s="1"/>
  <c r="AZ334" i="1"/>
  <c r="BA334" i="1" s="1"/>
  <c r="AZ355" i="1"/>
  <c r="BA355" i="1" s="1"/>
  <c r="AZ395" i="1"/>
  <c r="BA395" i="1" s="1"/>
  <c r="AZ366" i="1"/>
  <c r="BA366" i="1" s="1"/>
  <c r="AZ358" i="1"/>
  <c r="BA358" i="1" s="1"/>
  <c r="AT7" i="1"/>
  <c r="AZ7" i="1" s="1"/>
  <c r="BA7" i="1" s="1"/>
  <c r="AW398" i="1"/>
  <c r="AX398" i="1" s="1"/>
  <c r="AT8" i="1"/>
  <c r="AW8" i="1" s="1"/>
  <c r="AX8" i="1" s="1"/>
  <c r="AZ316" i="1"/>
  <c r="BA316" i="1" s="1"/>
  <c r="AW382" i="1"/>
  <c r="AX382" i="1" s="1"/>
  <c r="AY27" i="1"/>
  <c r="AZ328" i="1"/>
  <c r="BA328" i="1" s="1"/>
  <c r="AW334" i="1"/>
  <c r="AX334" i="1" s="1"/>
  <c r="AZ352" i="1"/>
  <c r="BA352" i="1" s="1"/>
  <c r="AZ390" i="1"/>
  <c r="BA390" i="1" s="1"/>
  <c r="AW375" i="1"/>
  <c r="AX375" i="1" s="1"/>
  <c r="AZ361" i="1"/>
  <c r="BA361" i="1" s="1"/>
  <c r="AY17" i="1"/>
  <c r="AZ317" i="1"/>
  <c r="BA317" i="1" s="1"/>
  <c r="AZ326" i="1"/>
  <c r="BA326" i="1" s="1"/>
  <c r="AZ325" i="1"/>
  <c r="BA325" i="1" s="1"/>
  <c r="AZ342" i="1"/>
  <c r="BA342" i="1" s="1"/>
  <c r="AT6" i="1"/>
  <c r="AZ378" i="1"/>
  <c r="BA378" i="1" s="1"/>
  <c r="AZ308" i="1"/>
  <c r="BA308" i="1" s="1"/>
  <c r="AZ370" i="1"/>
  <c r="BA370" i="1" s="1"/>
  <c r="AW348" i="1"/>
  <c r="AX348" i="1" s="1"/>
  <c r="AW387" i="1"/>
  <c r="AX387" i="1" s="1"/>
  <c r="AZ388" i="1"/>
  <c r="BA388" i="1" s="1"/>
  <c r="AZ335" i="1"/>
  <c r="BA335" i="1" s="1"/>
  <c r="AZ338" i="1"/>
  <c r="BA338" i="1" s="1"/>
  <c r="AZ329" i="1"/>
  <c r="BA329" i="1" s="1"/>
  <c r="AZ376" i="1"/>
  <c r="BA376" i="1" s="1"/>
  <c r="AZ337" i="1"/>
  <c r="BA337" i="1" s="1"/>
  <c r="AZ301" i="1"/>
  <c r="BA301" i="1" s="1"/>
  <c r="AZ332" i="1"/>
  <c r="BA332" i="1" s="1"/>
  <c r="AW310" i="1"/>
  <c r="AX310" i="1" s="1"/>
  <c r="AW321" i="1"/>
  <c r="AX321" i="1" s="1"/>
  <c r="AW292" i="1"/>
  <c r="AX292" i="1" s="1"/>
  <c r="AW389" i="1"/>
  <c r="AX389" i="1" s="1"/>
  <c r="AW320" i="1"/>
  <c r="AX320" i="1" s="1"/>
  <c r="AZ315" i="1"/>
  <c r="BA315" i="1" s="1"/>
  <c r="AW333" i="1"/>
  <c r="AX333" i="1" s="1"/>
  <c r="AZ381" i="1"/>
  <c r="BA381" i="1" s="1"/>
  <c r="AV24" i="1"/>
  <c r="AZ401" i="1"/>
  <c r="BA401" i="1" s="1"/>
  <c r="AY3" i="1"/>
  <c r="AZ298" i="1"/>
  <c r="BA298" i="1" s="1"/>
  <c r="AZ397" i="1"/>
  <c r="BA397" i="1" s="1"/>
  <c r="AY24" i="1"/>
  <c r="AW354" i="1"/>
  <c r="AX354" i="1" s="1"/>
  <c r="AZ357" i="1"/>
  <c r="BA357" i="1" s="1"/>
  <c r="AZ330" i="1"/>
  <c r="BA330" i="1" s="1"/>
  <c r="AX271" i="1"/>
  <c r="AX251" i="1"/>
  <c r="AT48" i="1"/>
  <c r="AZ48" i="1" s="1"/>
  <c r="BA48" i="1" s="1"/>
  <c r="AY48" i="1"/>
  <c r="AU4" i="1"/>
  <c r="AT28" i="1"/>
  <c r="AW222" i="1"/>
  <c r="AX222" i="1" s="1"/>
  <c r="AT212" i="1"/>
  <c r="AY212" i="1"/>
  <c r="AT234" i="1"/>
  <c r="AW234" i="1" s="1"/>
  <c r="AX234" i="1" s="1"/>
  <c r="AY234" i="1"/>
  <c r="AT208" i="1"/>
  <c r="AW208" i="1" s="1"/>
  <c r="AX208" i="1" s="1"/>
  <c r="AY208" i="1"/>
  <c r="AT247" i="1"/>
  <c r="AW247" i="1" s="1"/>
  <c r="AX247" i="1" s="1"/>
  <c r="AY247" i="1"/>
  <c r="AY4" i="1"/>
  <c r="AW268" i="1"/>
  <c r="AX268" i="1" s="1"/>
  <c r="AW190" i="1"/>
  <c r="AX190" i="1" s="1"/>
  <c r="AZ190" i="1"/>
  <c r="BA190" i="1" s="1"/>
  <c r="AW262" i="1"/>
  <c r="AX262" i="1" s="1"/>
  <c r="AT202" i="1"/>
  <c r="AY202" i="1"/>
  <c r="AZ202" i="1" s="1"/>
  <c r="BA202" i="1" s="1"/>
  <c r="AT88" i="1"/>
  <c r="AW88" i="1" s="1"/>
  <c r="AX88" i="1" s="1"/>
  <c r="AY88" i="1"/>
  <c r="AT70" i="1"/>
  <c r="AY70" i="1"/>
  <c r="AZ304" i="1"/>
  <c r="BA304" i="1" s="1"/>
  <c r="AT86" i="1"/>
  <c r="AZ86" i="1" s="1"/>
  <c r="BA86" i="1" s="1"/>
  <c r="AY86" i="1"/>
  <c r="AZ322" i="1"/>
  <c r="BA322" i="1" s="1"/>
  <c r="AX257" i="1"/>
  <c r="AT85" i="1"/>
  <c r="AZ85" i="1" s="1"/>
  <c r="BA85" i="1" s="1"/>
  <c r="AY85" i="1"/>
  <c r="AW371" i="1"/>
  <c r="AX371" i="1" s="1"/>
  <c r="AU21" i="1"/>
  <c r="AT205" i="1"/>
  <c r="AY205" i="1"/>
  <c r="AZ205" i="1" s="1"/>
  <c r="BA205" i="1" s="1"/>
  <c r="AT211" i="1"/>
  <c r="AW211" i="1" s="1"/>
  <c r="AX211" i="1" s="1"/>
  <c r="AT289" i="1"/>
  <c r="AY289" i="1"/>
  <c r="AT63" i="1"/>
  <c r="AW63" i="1" s="1"/>
  <c r="AX63" i="1" s="1"/>
  <c r="AY63" i="1"/>
  <c r="AT221" i="1"/>
  <c r="AW221" i="1" s="1"/>
  <c r="AX221" i="1" s="1"/>
  <c r="AY221" i="1"/>
  <c r="AT201" i="1"/>
  <c r="AY201" i="1"/>
  <c r="AT249" i="1"/>
  <c r="AW249" i="1" s="1"/>
  <c r="AX249" i="1" s="1"/>
  <c r="AY249" i="1"/>
  <c r="AT288" i="1"/>
  <c r="AW288" i="1" s="1"/>
  <c r="AX288" i="1" s="1"/>
  <c r="AY288" i="1"/>
  <c r="AW284" i="1"/>
  <c r="AX284" i="1" s="1"/>
  <c r="AT195" i="1"/>
  <c r="AW195" i="1" s="1"/>
  <c r="AX195" i="1" s="1"/>
  <c r="AY195" i="1"/>
  <c r="AZ195" i="1" s="1"/>
  <c r="BA195" i="1" s="1"/>
  <c r="AW77" i="1"/>
  <c r="AX77" i="1" s="1"/>
  <c r="AT39" i="1"/>
  <c r="AY39" i="1"/>
  <c r="AW216" i="1"/>
  <c r="AX216" i="1" s="1"/>
  <c r="AT179" i="1"/>
  <c r="AW179" i="1" s="1"/>
  <c r="AX179" i="1" s="1"/>
  <c r="AY179" i="1"/>
  <c r="AW366" i="1"/>
  <c r="AX366" i="1" s="1"/>
  <c r="AT182" i="1"/>
  <c r="AY182" i="1"/>
  <c r="AZ182" i="1" s="1"/>
  <c r="BA182" i="1" s="1"/>
  <c r="AT262" i="1"/>
  <c r="AY262" i="1"/>
  <c r="AU27" i="1"/>
  <c r="AT198" i="1"/>
  <c r="AY198" i="1"/>
  <c r="AT62" i="1"/>
  <c r="AW62" i="1" s="1"/>
  <c r="AX62" i="1" s="1"/>
  <c r="AY62" i="1"/>
  <c r="AT32" i="1"/>
  <c r="AZ32" i="1" s="1"/>
  <c r="BA32" i="1" s="1"/>
  <c r="AY32" i="1"/>
  <c r="AW202" i="1"/>
  <c r="AX202" i="1" s="1"/>
  <c r="AT268" i="1"/>
  <c r="AY268" i="1"/>
  <c r="AT77" i="1"/>
  <c r="AY77" i="1"/>
  <c r="AZ77" i="1" s="1"/>
  <c r="BA77" i="1" s="1"/>
  <c r="AZ197" i="1"/>
  <c r="BA197" i="1" s="1"/>
  <c r="AW197" i="1"/>
  <c r="AX197" i="1" s="1"/>
  <c r="AT67" i="1"/>
  <c r="AY67" i="1"/>
  <c r="AZ67" i="1" s="1"/>
  <c r="BA67" i="1" s="1"/>
  <c r="AW243" i="1"/>
  <c r="AX243" i="1" s="1"/>
  <c r="AT9" i="1"/>
  <c r="AZ9" i="1" s="1"/>
  <c r="BA9" i="1" s="1"/>
  <c r="AT194" i="1"/>
  <c r="AY194" i="1"/>
  <c r="AT251" i="1"/>
  <c r="AY251" i="1"/>
  <c r="AZ251" i="1" s="1"/>
  <c r="BA251" i="1" s="1"/>
  <c r="AZ241" i="1"/>
  <c r="BA241" i="1" s="1"/>
  <c r="AW241" i="1"/>
  <c r="AX241" i="1" s="1"/>
  <c r="AT260" i="1"/>
  <c r="AW260" i="1" s="1"/>
  <c r="AX260" i="1" s="1"/>
  <c r="AY260" i="1"/>
  <c r="AZ260" i="1" s="1"/>
  <c r="BA260" i="1" s="1"/>
  <c r="AZ247" i="1"/>
  <c r="BA247" i="1" s="1"/>
  <c r="AT61" i="1"/>
  <c r="AW61" i="1" s="1"/>
  <c r="AX61" i="1" s="1"/>
  <c r="AY61" i="1"/>
  <c r="AT188" i="1"/>
  <c r="AY188" i="1"/>
  <c r="AT53" i="1"/>
  <c r="AY53" i="1"/>
  <c r="AT75" i="1"/>
  <c r="AW75" i="1" s="1"/>
  <c r="AX75" i="1" s="1"/>
  <c r="AY75" i="1"/>
  <c r="AZ75" i="1" s="1"/>
  <c r="BA75" i="1" s="1"/>
  <c r="AT213" i="1"/>
  <c r="AW213" i="1" s="1"/>
  <c r="AX213" i="1" s="1"/>
  <c r="AY213" i="1"/>
  <c r="AV4" i="1"/>
  <c r="AW314" i="1"/>
  <c r="AX314" i="1" s="1"/>
  <c r="AT49" i="1"/>
  <c r="AZ49" i="1" s="1"/>
  <c r="BA49" i="1" s="1"/>
  <c r="AY49" i="1"/>
  <c r="AT76" i="1"/>
  <c r="AW76" i="1" s="1"/>
  <c r="AX76" i="1" s="1"/>
  <c r="AY76" i="1"/>
  <c r="AT225" i="1"/>
  <c r="AY225" i="1"/>
  <c r="AT187" i="1"/>
  <c r="AW187" i="1" s="1"/>
  <c r="AX187" i="1" s="1"/>
  <c r="AY187" i="1"/>
  <c r="AT227" i="1"/>
  <c r="AZ227" i="1" s="1"/>
  <c r="BA227" i="1" s="1"/>
  <c r="AY227" i="1"/>
  <c r="AT276" i="1"/>
  <c r="AY276" i="1"/>
  <c r="AU22" i="1"/>
  <c r="AT184" i="1"/>
  <c r="AW184" i="1" s="1"/>
  <c r="AX184" i="1" s="1"/>
  <c r="AY184" i="1"/>
  <c r="AT273" i="1"/>
  <c r="AW273" i="1" s="1"/>
  <c r="AX273" i="1" s="1"/>
  <c r="AY273" i="1"/>
  <c r="AZ273" i="1" s="1"/>
  <c r="BA273" i="1" s="1"/>
  <c r="AT180" i="1"/>
  <c r="AW180" i="1" s="1"/>
  <c r="AX180" i="1" s="1"/>
  <c r="AY180" i="1"/>
  <c r="AT59" i="1"/>
  <c r="AW59" i="1" s="1"/>
  <c r="AX59" i="1" s="1"/>
  <c r="AY59" i="1"/>
  <c r="AT40" i="1"/>
  <c r="AW40" i="1" s="1"/>
  <c r="AX40" i="1" s="1"/>
  <c r="AY40" i="1"/>
  <c r="AT37" i="1"/>
  <c r="AW37" i="1" s="1"/>
  <c r="AX37" i="1" s="1"/>
  <c r="AY37" i="1"/>
  <c r="AZ37" i="1" s="1"/>
  <c r="BA37" i="1" s="1"/>
  <c r="AT50" i="1"/>
  <c r="AW50" i="1" s="1"/>
  <c r="AX50" i="1" s="1"/>
  <c r="AY50" i="1"/>
  <c r="AT22" i="1"/>
  <c r="AY22" i="1"/>
  <c r="AT83" i="1"/>
  <c r="AZ83" i="1" s="1"/>
  <c r="BA83" i="1" s="1"/>
  <c r="AY83" i="1"/>
  <c r="AW246" i="1"/>
  <c r="AX246" i="1" s="1"/>
  <c r="AT81" i="1"/>
  <c r="AY81" i="1"/>
  <c r="AT73" i="1"/>
  <c r="AW73" i="1" s="1"/>
  <c r="AX73" i="1" s="1"/>
  <c r="AY73" i="1"/>
  <c r="AZ73" i="1" s="1"/>
  <c r="BA73" i="1" s="1"/>
  <c r="AT228" i="1"/>
  <c r="AY228" i="1"/>
  <c r="AZ384" i="1"/>
  <c r="BA384" i="1" s="1"/>
  <c r="AT23" i="1"/>
  <c r="AZ23" i="1" s="1"/>
  <c r="BA23" i="1" s="1"/>
  <c r="AY23" i="1"/>
  <c r="AT15" i="1"/>
  <c r="AY15" i="1"/>
  <c r="AT66" i="1"/>
  <c r="AZ66" i="1" s="1"/>
  <c r="BA66" i="1" s="1"/>
  <c r="AY66" i="1"/>
  <c r="AZ201" i="1"/>
  <c r="BA201" i="1" s="1"/>
  <c r="AW201" i="1"/>
  <c r="AX201" i="1" s="1"/>
  <c r="AT232" i="1"/>
  <c r="AW232" i="1" s="1"/>
  <c r="AX232" i="1" s="1"/>
  <c r="AY232" i="1"/>
  <c r="AT87" i="1"/>
  <c r="AW87" i="1" s="1"/>
  <c r="AX87" i="1" s="1"/>
  <c r="AY87" i="1"/>
  <c r="AT242" i="1"/>
  <c r="AW242" i="1" s="1"/>
  <c r="AX242" i="1" s="1"/>
  <c r="AY242" i="1"/>
  <c r="AT236" i="1"/>
  <c r="AZ236" i="1" s="1"/>
  <c r="BA236" i="1" s="1"/>
  <c r="AY236" i="1"/>
  <c r="AT199" i="1"/>
  <c r="AY199" i="1"/>
  <c r="AW239" i="1"/>
  <c r="AX239" i="1" s="1"/>
  <c r="AT45" i="1"/>
  <c r="AY45" i="1"/>
  <c r="AZ177" i="1"/>
  <c r="BA177" i="1" s="1"/>
  <c r="AZ297" i="1"/>
  <c r="BA297" i="1" s="1"/>
  <c r="AT275" i="1"/>
  <c r="AY275" i="1"/>
  <c r="AZ275" i="1" s="1"/>
  <c r="BA275" i="1" s="1"/>
  <c r="AT191" i="1"/>
  <c r="AY191" i="1"/>
  <c r="AT42" i="1"/>
  <c r="AY42" i="1"/>
  <c r="AT89" i="1"/>
  <c r="AY89" i="1"/>
  <c r="AZ89" i="1" s="1"/>
  <c r="BA89" i="1" s="1"/>
  <c r="AT181" i="1"/>
  <c r="AY181" i="1"/>
  <c r="AZ181" i="1" s="1"/>
  <c r="BA181" i="1" s="1"/>
  <c r="AT175" i="1"/>
  <c r="AW175" i="1" s="1"/>
  <c r="AX175" i="1" s="1"/>
  <c r="AY175" i="1"/>
  <c r="AZ175" i="1" s="1"/>
  <c r="BA175" i="1" s="1"/>
  <c r="AW65" i="1"/>
  <c r="AX65" i="1" s="1"/>
  <c r="AW228" i="1"/>
  <c r="AX228" i="1" s="1"/>
  <c r="AT36" i="1"/>
  <c r="AW36" i="1" s="1"/>
  <c r="AX36" i="1" s="1"/>
  <c r="AY36" i="1"/>
  <c r="AW81" i="1"/>
  <c r="AX81" i="1" s="1"/>
  <c r="AT257" i="1"/>
  <c r="AY257" i="1"/>
  <c r="AT241" i="1"/>
  <c r="AY241" i="1"/>
  <c r="AT206" i="1"/>
  <c r="AW206" i="1" s="1"/>
  <c r="AX206" i="1" s="1"/>
  <c r="AY206" i="1"/>
  <c r="AT216" i="1"/>
  <c r="AY216" i="1"/>
  <c r="AT55" i="1"/>
  <c r="AW55" i="1" s="1"/>
  <c r="AX55" i="1" s="1"/>
  <c r="AY55" i="1"/>
  <c r="AT79" i="1"/>
  <c r="AW79" i="1" s="1"/>
  <c r="AX79" i="1" s="1"/>
  <c r="AY79" i="1"/>
  <c r="AT218" i="1"/>
  <c r="AY218" i="1"/>
  <c r="AZ257" i="1"/>
  <c r="BA257" i="1" s="1"/>
  <c r="AW257" i="1"/>
  <c r="AZ199" i="1"/>
  <c r="BA199" i="1" s="1"/>
  <c r="AW199" i="1"/>
  <c r="AX199" i="1" s="1"/>
  <c r="AT266" i="1"/>
  <c r="AY266" i="1"/>
  <c r="AT256" i="1"/>
  <c r="AZ256" i="1" s="1"/>
  <c r="BA256" i="1" s="1"/>
  <c r="AY256" i="1"/>
  <c r="AT280" i="1"/>
  <c r="AW280" i="1" s="1"/>
  <c r="AX280" i="1" s="1"/>
  <c r="AY280" i="1"/>
  <c r="AT226" i="1"/>
  <c r="AY226" i="1"/>
  <c r="AZ226" i="1" s="1"/>
  <c r="BA226" i="1" s="1"/>
  <c r="AT51" i="1"/>
  <c r="AY51" i="1"/>
  <c r="AW396" i="1"/>
  <c r="AX396" i="1" s="1"/>
  <c r="AT29" i="1"/>
  <c r="AY29" i="1"/>
  <c r="AW397" i="1"/>
  <c r="AX397" i="1" s="1"/>
  <c r="AU15" i="1"/>
  <c r="AT272" i="1"/>
  <c r="AZ272" i="1" s="1"/>
  <c r="BA272" i="1" s="1"/>
  <c r="AY272" i="1"/>
  <c r="AT238" i="1"/>
  <c r="AY238" i="1"/>
  <c r="AT38" i="1"/>
  <c r="AY38" i="1"/>
  <c r="AW275" i="1"/>
  <c r="AX275" i="1" s="1"/>
  <c r="AW402" i="1"/>
  <c r="AX402" i="1" s="1"/>
  <c r="AT210" i="1"/>
  <c r="AY210" i="1"/>
  <c r="AZ263" i="1"/>
  <c r="BA263" i="1" s="1"/>
  <c r="AW251" i="1"/>
  <c r="AT271" i="1"/>
  <c r="AY271" i="1"/>
  <c r="AT33" i="1"/>
  <c r="AY33" i="1"/>
  <c r="AZ33" i="1" s="1"/>
  <c r="BA33" i="1" s="1"/>
  <c r="AZ186" i="1"/>
  <c r="BA186" i="1" s="1"/>
  <c r="AW186" i="1"/>
  <c r="AX186" i="1" s="1"/>
  <c r="AZ13" i="1"/>
  <c r="BA13" i="1" s="1"/>
  <c r="AW13" i="1"/>
  <c r="AX13" i="1" s="1"/>
  <c r="AW182" i="1"/>
  <c r="AX182" i="1" s="1"/>
  <c r="AT259" i="1"/>
  <c r="AY259" i="1"/>
  <c r="AZ288" i="1"/>
  <c r="BA288" i="1" s="1"/>
  <c r="AT52" i="1"/>
  <c r="AY52" i="1"/>
  <c r="AW33" i="1"/>
  <c r="AX33" i="1" s="1"/>
  <c r="AT240" i="1"/>
  <c r="AY240" i="1"/>
  <c r="AT192" i="1"/>
  <c r="AY192" i="1"/>
  <c r="AZ192" i="1" s="1"/>
  <c r="BA192" i="1" s="1"/>
  <c r="AZ363" i="1"/>
  <c r="BA363" i="1" s="1"/>
  <c r="AZ356" i="1"/>
  <c r="BA356" i="1" s="1"/>
  <c r="AW342" i="1"/>
  <c r="AX342" i="1" s="1"/>
  <c r="AW373" i="1"/>
  <c r="AX373" i="1" s="1"/>
  <c r="AW351" i="1"/>
  <c r="AX351" i="1" s="1"/>
  <c r="AW338" i="1"/>
  <c r="AX338" i="1" s="1"/>
  <c r="AZ180" i="1"/>
  <c r="BA180" i="1" s="1"/>
  <c r="AT223" i="1"/>
  <c r="AW223" i="1" s="1"/>
  <c r="AX223" i="1" s="1"/>
  <c r="AY223" i="1"/>
  <c r="AZ287" i="1"/>
  <c r="BA287" i="1" s="1"/>
  <c r="AT64" i="1"/>
  <c r="AW64" i="1" s="1"/>
  <c r="AX64" i="1" s="1"/>
  <c r="AY64" i="1"/>
  <c r="AT285" i="1"/>
  <c r="AY285" i="1"/>
  <c r="AT82" i="1"/>
  <c r="AY82" i="1"/>
  <c r="AW74" i="1"/>
  <c r="AX74" i="1" s="1"/>
  <c r="AT248" i="1"/>
  <c r="AY248" i="1"/>
  <c r="AT84" i="1"/>
  <c r="AZ84" i="1" s="1"/>
  <c r="BA84" i="1" s="1"/>
  <c r="AY84" i="1"/>
  <c r="AT264" i="1"/>
  <c r="AW264" i="1" s="1"/>
  <c r="AX264" i="1" s="1"/>
  <c r="AY264" i="1"/>
  <c r="AY26" i="1"/>
  <c r="AW289" i="1"/>
  <c r="AX289" i="1" s="1"/>
  <c r="AZ289" i="1"/>
  <c r="BA289" i="1" s="1"/>
  <c r="AZ35" i="1"/>
  <c r="BA35" i="1" s="1"/>
  <c r="AW35" i="1"/>
  <c r="AX35" i="1" s="1"/>
  <c r="AV27" i="1"/>
  <c r="AW335" i="1"/>
  <c r="AX335" i="1" s="1"/>
  <c r="AT31" i="1"/>
  <c r="AW31" i="1" s="1"/>
  <c r="AX31" i="1" s="1"/>
  <c r="AY31" i="1"/>
  <c r="AZ31" i="1" s="1"/>
  <c r="BA31" i="1" s="1"/>
  <c r="AW399" i="1"/>
  <c r="AX399" i="1" s="1"/>
  <c r="AT203" i="1"/>
  <c r="AY203" i="1"/>
  <c r="AV28" i="1"/>
  <c r="AW291" i="1"/>
  <c r="AX291" i="1" s="1"/>
  <c r="AT282" i="1"/>
  <c r="AY282" i="1"/>
  <c r="AT46" i="1"/>
  <c r="AZ46" i="1" s="1"/>
  <c r="BA46" i="1" s="1"/>
  <c r="AY46" i="1"/>
  <c r="AW67" i="1"/>
  <c r="AX67" i="1" s="1"/>
  <c r="AT235" i="1"/>
  <c r="AY235" i="1"/>
  <c r="AT174" i="1"/>
  <c r="AZ174" i="1" s="1"/>
  <c r="BA174" i="1" s="1"/>
  <c r="AY174" i="1"/>
  <c r="AW83" i="1"/>
  <c r="AX83" i="1" s="1"/>
  <c r="AT215" i="1"/>
  <c r="AW215" i="1" s="1"/>
  <c r="AX215" i="1" s="1"/>
  <c r="AY215" i="1"/>
  <c r="AZ215" i="1" s="1"/>
  <c r="BA215" i="1" s="1"/>
  <c r="AT287" i="1"/>
  <c r="AW287" i="1" s="1"/>
  <c r="AX287" i="1" s="1"/>
  <c r="AY287" i="1"/>
  <c r="AT44" i="1"/>
  <c r="AY44" i="1"/>
  <c r="AZ271" i="1"/>
  <c r="BA271" i="1" s="1"/>
  <c r="AW271" i="1"/>
  <c r="AW269" i="1"/>
  <c r="AX269" i="1" s="1"/>
  <c r="AT30" i="1"/>
  <c r="AY30" i="1"/>
  <c r="AT244" i="1"/>
  <c r="AW244" i="1" s="1"/>
  <c r="AX244" i="1" s="1"/>
  <c r="AY244" i="1"/>
  <c r="AT222" i="1"/>
  <c r="AY222" i="1"/>
  <c r="AT246" i="1"/>
  <c r="AZ246" i="1" s="1"/>
  <c r="BA246" i="1" s="1"/>
  <c r="AY246" i="1"/>
  <c r="AT217" i="1"/>
  <c r="AY217" i="1"/>
  <c r="AT78" i="1"/>
  <c r="AW78" i="1" s="1"/>
  <c r="AX78" i="1" s="1"/>
  <c r="AY78" i="1"/>
  <c r="AT47" i="1"/>
  <c r="AY47" i="1"/>
  <c r="AT56" i="1"/>
  <c r="AW56" i="1" s="1"/>
  <c r="AX56" i="1" s="1"/>
  <c r="AY56" i="1"/>
  <c r="AZ200" i="1"/>
  <c r="BA200" i="1" s="1"/>
  <c r="AW200" i="1"/>
  <c r="AX200" i="1" s="1"/>
  <c r="AT11" i="1"/>
  <c r="AY11" i="1"/>
  <c r="AT185" i="1"/>
  <c r="AY185" i="1"/>
  <c r="AW294" i="1"/>
  <c r="AX294" i="1" s="1"/>
  <c r="AV15" i="1"/>
  <c r="AW293" i="1"/>
  <c r="AX293" i="1" s="1"/>
  <c r="AW350" i="1"/>
  <c r="AX350" i="1" s="1"/>
  <c r="AW298" i="1"/>
  <c r="AX298" i="1" s="1"/>
  <c r="AW381" i="1"/>
  <c r="AX381" i="1" s="1"/>
  <c r="AT57" i="1"/>
  <c r="AZ57" i="1" s="1"/>
  <c r="BA57" i="1" s="1"/>
  <c r="AY57" i="1"/>
  <c r="AY28" i="1"/>
  <c r="AW317" i="1"/>
  <c r="AX317" i="1" s="1"/>
  <c r="AW319" i="1"/>
  <c r="AX319" i="1" s="1"/>
  <c r="AW329" i="1"/>
  <c r="AX329" i="1" s="1"/>
  <c r="AT54" i="1"/>
  <c r="AY54" i="1"/>
  <c r="AZ54" i="1" s="1"/>
  <c r="BA54" i="1" s="1"/>
  <c r="AT237" i="1"/>
  <c r="AW237" i="1" s="1"/>
  <c r="AX237" i="1" s="1"/>
  <c r="AY237" i="1"/>
  <c r="AT250" i="1"/>
  <c r="AW250" i="1" s="1"/>
  <c r="AX250" i="1" s="1"/>
  <c r="AY250" i="1"/>
  <c r="AZ250" i="1" s="1"/>
  <c r="BA250" i="1" s="1"/>
  <c r="AZ87" i="1"/>
  <c r="BA87" i="1" s="1"/>
  <c r="AT220" i="1"/>
  <c r="AY220" i="1"/>
  <c r="AT13" i="1"/>
  <c r="AY13" i="1"/>
  <c r="AT2" i="1"/>
  <c r="AW2" i="1" s="1"/>
  <c r="AX2" i="1" s="1"/>
  <c r="AY2" i="1"/>
  <c r="AZ2" i="1" s="1"/>
  <c r="BA2" i="1" s="1"/>
  <c r="AT14" i="1"/>
  <c r="AY14" i="1"/>
  <c r="AW6" i="1"/>
  <c r="AX6" i="1" s="1"/>
  <c r="AZ6" i="1"/>
  <c r="BA6" i="1" s="1"/>
  <c r="AW218" i="1"/>
  <c r="AX218" i="1" s="1"/>
  <c r="AT204" i="1"/>
  <c r="AW204" i="1" s="1"/>
  <c r="AX204" i="1" s="1"/>
  <c r="AT278" i="1"/>
  <c r="AY278" i="1"/>
  <c r="AW192" i="1"/>
  <c r="AX192" i="1" s="1"/>
  <c r="AT68" i="1"/>
  <c r="AY68" i="1"/>
  <c r="AT263" i="1"/>
  <c r="AW263" i="1" s="1"/>
  <c r="AX263" i="1" s="1"/>
  <c r="AY263" i="1"/>
  <c r="AT254" i="1"/>
  <c r="AZ254" i="1" s="1"/>
  <c r="BA254" i="1" s="1"/>
  <c r="AY254" i="1"/>
  <c r="AT58" i="1"/>
  <c r="AW58" i="1" s="1"/>
  <c r="AX58" i="1" s="1"/>
  <c r="AY58" i="1"/>
  <c r="AU3" i="1"/>
  <c r="AT267" i="1"/>
  <c r="AZ267" i="1" s="1"/>
  <c r="BA267" i="1" s="1"/>
  <c r="AY267" i="1"/>
  <c r="AT65" i="1"/>
  <c r="AY65" i="1"/>
  <c r="AT231" i="1"/>
  <c r="AY231" i="1"/>
  <c r="AT35" i="1"/>
  <c r="AY35" i="1"/>
  <c r="AT219" i="1"/>
  <c r="AZ219" i="1" s="1"/>
  <c r="BA219" i="1" s="1"/>
  <c r="AY219" i="1"/>
  <c r="AW54" i="1"/>
  <c r="AX54" i="1" s="1"/>
  <c r="AW226" i="1"/>
  <c r="AX226" i="1" s="1"/>
  <c r="AZ41" i="1"/>
  <c r="BA41" i="1" s="1"/>
  <c r="AT258" i="1"/>
  <c r="AW258" i="1" s="1"/>
  <c r="AX258" i="1" s="1"/>
  <c r="AY258" i="1"/>
  <c r="AZ258" i="1" s="1"/>
  <c r="BA258" i="1" s="1"/>
  <c r="AT252" i="1"/>
  <c r="AW252" i="1" s="1"/>
  <c r="AX252" i="1" s="1"/>
  <c r="AY252" i="1"/>
  <c r="AZ88" i="1"/>
  <c r="BA88" i="1" s="1"/>
  <c r="AT269" i="1"/>
  <c r="AY269" i="1"/>
  <c r="AT176" i="1"/>
  <c r="AZ176" i="1" s="1"/>
  <c r="BA176" i="1" s="1"/>
  <c r="AT186" i="1"/>
  <c r="AT5" i="1"/>
  <c r="AZ5" i="1" s="1"/>
  <c r="BA5" i="1" s="1"/>
  <c r="AY5" i="1"/>
  <c r="AW188" i="1"/>
  <c r="AX188" i="1" s="1"/>
  <c r="AZ188" i="1"/>
  <c r="BA188" i="1" s="1"/>
  <c r="AW205" i="1"/>
  <c r="AX205" i="1" s="1"/>
  <c r="AT25" i="1"/>
  <c r="AY25" i="1"/>
  <c r="AT229" i="1"/>
  <c r="AW229" i="1" s="1"/>
  <c r="AX229" i="1" s="1"/>
  <c r="AT265" i="1"/>
  <c r="AZ265" i="1" s="1"/>
  <c r="BA265" i="1" s="1"/>
  <c r="AY265" i="1"/>
  <c r="AW49" i="1"/>
  <c r="AX49" i="1" s="1"/>
  <c r="AT224" i="1"/>
  <c r="AZ224" i="1" s="1"/>
  <c r="BA224" i="1" s="1"/>
  <c r="AY224" i="1"/>
  <c r="AW359" i="1"/>
  <c r="AX359" i="1" s="1"/>
  <c r="AT196" i="1"/>
  <c r="AY196" i="1"/>
  <c r="AT239" i="1"/>
  <c r="AY239" i="1"/>
  <c r="AV21" i="1"/>
  <c r="AW89" i="1"/>
  <c r="AX89" i="1" s="1"/>
  <c r="AW352" i="1"/>
  <c r="AX352" i="1" s="1"/>
  <c r="AT41" i="1"/>
  <c r="AW41" i="1" s="1"/>
  <c r="AX41" i="1" s="1"/>
  <c r="AY41" i="1"/>
  <c r="AT270" i="1"/>
  <c r="AW270" i="1" s="1"/>
  <c r="AX270" i="1" s="1"/>
  <c r="AY270" i="1"/>
  <c r="AZ252" i="1"/>
  <c r="BA252" i="1" s="1"/>
  <c r="AT177" i="1"/>
  <c r="AW177" i="1" s="1"/>
  <c r="AX177" i="1" s="1"/>
  <c r="AY177" i="1"/>
  <c r="AT230" i="1"/>
  <c r="AW230" i="1" s="1"/>
  <c r="AX230" i="1" s="1"/>
  <c r="AY230" i="1"/>
  <c r="AZ230" i="1" s="1"/>
  <c r="BA230" i="1" s="1"/>
  <c r="AU17" i="1"/>
  <c r="AT281" i="1"/>
  <c r="AZ281" i="1" s="1"/>
  <c r="BA281" i="1" s="1"/>
  <c r="AY281" i="1"/>
  <c r="AT69" i="1"/>
  <c r="AY69" i="1"/>
  <c r="AZ264" i="1"/>
  <c r="BA264" i="1" s="1"/>
  <c r="AT245" i="1"/>
  <c r="AY245" i="1"/>
  <c r="AY21" i="1"/>
  <c r="AT233" i="1"/>
  <c r="AW233" i="1" s="1"/>
  <c r="AX233" i="1" s="1"/>
  <c r="AY233" i="1"/>
  <c r="AZ233" i="1" s="1"/>
  <c r="BA233" i="1" s="1"/>
  <c r="AT286" i="1"/>
  <c r="AZ286" i="1" s="1"/>
  <c r="BA286" i="1" s="1"/>
  <c r="AY286" i="1"/>
  <c r="AT283" i="1"/>
  <c r="AY283" i="1"/>
  <c r="AT43" i="1"/>
  <c r="AW43" i="1" s="1"/>
  <c r="AX43" i="1" s="1"/>
  <c r="AY43" i="1"/>
  <c r="AZ43" i="1" s="1"/>
  <c r="BA43" i="1" s="1"/>
  <c r="AT12" i="1"/>
  <c r="AZ12" i="1" s="1"/>
  <c r="BA12" i="1" s="1"/>
  <c r="AY12" i="1"/>
  <c r="AT243" i="1"/>
  <c r="AZ243" i="1" s="1"/>
  <c r="BA243" i="1" s="1"/>
  <c r="AT279" i="1"/>
  <c r="AY279" i="1"/>
  <c r="AT60" i="1"/>
  <c r="AY60" i="1"/>
  <c r="AT277" i="1"/>
  <c r="AZ277" i="1" s="1"/>
  <c r="BA277" i="1" s="1"/>
  <c r="AY277" i="1"/>
  <c r="AT178" i="1"/>
  <c r="AY178" i="1"/>
  <c r="AT72" i="1"/>
  <c r="AZ72" i="1" s="1"/>
  <c r="BA72" i="1" s="1"/>
  <c r="AY72" i="1"/>
  <c r="AT10" i="1"/>
  <c r="AY10" i="1"/>
  <c r="AW365" i="1"/>
  <c r="AX365" i="1" s="1"/>
  <c r="AW318" i="1"/>
  <c r="AX318" i="1" s="1"/>
  <c r="AW316" i="1"/>
  <c r="AX316" i="1" s="1"/>
  <c r="AW302" i="1"/>
  <c r="AX302" i="1" s="1"/>
  <c r="AW295" i="1"/>
  <c r="AX295" i="1" s="1"/>
  <c r="AW374" i="1"/>
  <c r="AX374" i="1" s="1"/>
  <c r="AT71" i="1"/>
  <c r="AW71" i="1" s="1"/>
  <c r="AX71" i="1" s="1"/>
  <c r="AY71" i="1"/>
  <c r="AW383" i="1"/>
  <c r="AX383" i="1" s="1"/>
  <c r="AZ377" i="1"/>
  <c r="BA377" i="1" s="1"/>
  <c r="AU34" i="1"/>
  <c r="AU26" i="1"/>
  <c r="AW181" i="1"/>
  <c r="AX181" i="1" s="1"/>
  <c r="AW38" i="1"/>
  <c r="AX38" i="1" s="1"/>
  <c r="AT16" i="1"/>
  <c r="AY16" i="1"/>
  <c r="AZ183" i="1"/>
  <c r="BA183" i="1" s="1"/>
  <c r="AW183" i="1"/>
  <c r="AX183" i="1" s="1"/>
  <c r="AT274" i="1"/>
  <c r="AW274" i="1" s="1"/>
  <c r="AX274" i="1" s="1"/>
  <c r="AY274" i="1"/>
  <c r="AZ274" i="1" s="1"/>
  <c r="BA274" i="1" s="1"/>
  <c r="AT284" i="1"/>
  <c r="AY284" i="1"/>
  <c r="AT80" i="1"/>
  <c r="AW80" i="1" s="1"/>
  <c r="AX80" i="1" s="1"/>
  <c r="AY80" i="1"/>
  <c r="AZ179" i="1"/>
  <c r="BA179" i="1" s="1"/>
  <c r="AT261" i="1"/>
  <c r="AW261" i="1" s="1"/>
  <c r="AX261" i="1" s="1"/>
  <c r="AY261" i="1"/>
  <c r="AW220" i="1"/>
  <c r="AX220" i="1" s="1"/>
  <c r="AT209" i="1"/>
  <c r="AW209" i="1" s="1"/>
  <c r="AX209" i="1" s="1"/>
  <c r="AY209" i="1"/>
  <c r="AT74" i="1"/>
  <c r="AY74" i="1"/>
  <c r="AZ74" i="1" s="1"/>
  <c r="BA74" i="1" s="1"/>
  <c r="AV22" i="1"/>
  <c r="AT193" i="1"/>
  <c r="AY193" i="1"/>
  <c r="AT189" i="1"/>
  <c r="AW189" i="1" s="1"/>
  <c r="AX189" i="1" s="1"/>
  <c r="AY189" i="1"/>
  <c r="AV34" i="1"/>
  <c r="AT253" i="1"/>
  <c r="AY253" i="1"/>
  <c r="AV16" i="1"/>
  <c r="AV3" i="1"/>
  <c r="AU28" i="1"/>
  <c r="AT26" i="1"/>
  <c r="AT34" i="1"/>
  <c r="AT3" i="1"/>
  <c r="AT17" i="1"/>
  <c r="AT24" i="1"/>
  <c r="AT4" i="1"/>
  <c r="AT21" i="1"/>
  <c r="AZ253" i="1" l="1"/>
  <c r="BA253" i="1" s="1"/>
  <c r="AZ69" i="1"/>
  <c r="BA69" i="1" s="1"/>
  <c r="AZ235" i="1"/>
  <c r="BA235" i="1" s="1"/>
  <c r="AZ228" i="1"/>
  <c r="BA228" i="1" s="1"/>
  <c r="AZ58" i="1"/>
  <c r="BA58" i="1" s="1"/>
  <c r="AZ82" i="1"/>
  <c r="BA82" i="1" s="1"/>
  <c r="AZ223" i="1"/>
  <c r="BA223" i="1" s="1"/>
  <c r="AZ24" i="1"/>
  <c r="BA24" i="1" s="1"/>
  <c r="AW5" i="1"/>
  <c r="AX5" i="1" s="1"/>
  <c r="AZ282" i="1"/>
  <c r="BA282" i="1" s="1"/>
  <c r="AZ25" i="1"/>
  <c r="BA25" i="1" s="1"/>
  <c r="AZ50" i="1"/>
  <c r="BA50" i="1" s="1"/>
  <c r="AW256" i="1"/>
  <c r="AX256" i="1" s="1"/>
  <c r="AZ229" i="1"/>
  <c r="BA229" i="1" s="1"/>
  <c r="AZ211" i="1"/>
  <c r="BA211" i="1" s="1"/>
  <c r="AW227" i="1"/>
  <c r="AX227" i="1" s="1"/>
  <c r="AW57" i="1"/>
  <c r="AX57" i="1" s="1"/>
  <c r="AZ248" i="1"/>
  <c r="BA248" i="1" s="1"/>
  <c r="AZ39" i="1"/>
  <c r="BA39" i="1" s="1"/>
  <c r="AW277" i="1"/>
  <c r="AX277" i="1" s="1"/>
  <c r="AZ14" i="1"/>
  <c r="BA14" i="1" s="1"/>
  <c r="AZ216" i="1"/>
  <c r="BA216" i="1" s="1"/>
  <c r="AZ62" i="1"/>
  <c r="BA62" i="1" s="1"/>
  <c r="AZ193" i="1"/>
  <c r="BA193" i="1" s="1"/>
  <c r="AZ38" i="1"/>
  <c r="BA38" i="1" s="1"/>
  <c r="AZ81" i="1"/>
  <c r="BA81" i="1" s="1"/>
  <c r="AW281" i="1"/>
  <c r="AX281" i="1" s="1"/>
  <c r="AW82" i="1"/>
  <c r="AX82" i="1" s="1"/>
  <c r="AW254" i="1"/>
  <c r="AX254" i="1" s="1"/>
  <c r="AZ8" i="1"/>
  <c r="BA8" i="1" s="1"/>
  <c r="AZ76" i="1"/>
  <c r="BA76" i="1" s="1"/>
  <c r="AW86" i="1"/>
  <c r="AX86" i="1" s="1"/>
  <c r="AW7" i="1"/>
  <c r="AX7" i="1" s="1"/>
  <c r="AW48" i="1"/>
  <c r="AX48" i="1" s="1"/>
  <c r="AZ53" i="1"/>
  <c r="BA53" i="1" s="1"/>
  <c r="AZ268" i="1"/>
  <c r="BA268" i="1" s="1"/>
  <c r="AW53" i="1"/>
  <c r="AX53" i="1" s="1"/>
  <c r="AZ212" i="1"/>
  <c r="BA212" i="1" s="1"/>
  <c r="AZ178" i="1"/>
  <c r="BA178" i="1" s="1"/>
  <c r="AZ210" i="1"/>
  <c r="BA210" i="1" s="1"/>
  <c r="AZ47" i="1"/>
  <c r="BA47" i="1" s="1"/>
  <c r="AZ276" i="1"/>
  <c r="BA276" i="1" s="1"/>
  <c r="AZ52" i="1"/>
  <c r="BA52" i="1" s="1"/>
  <c r="AZ56" i="1"/>
  <c r="BA56" i="1" s="1"/>
  <c r="AZ198" i="1"/>
  <c r="BA198" i="1" s="1"/>
  <c r="AZ266" i="1"/>
  <c r="BA266" i="1" s="1"/>
  <c r="AW253" i="1"/>
  <c r="AX253" i="1" s="1"/>
  <c r="AZ279" i="1"/>
  <c r="BA279" i="1" s="1"/>
  <c r="AZ80" i="1"/>
  <c r="BA80" i="1" s="1"/>
  <c r="AZ194" i="1"/>
  <c r="BA194" i="1" s="1"/>
  <c r="AZ30" i="1"/>
  <c r="BA30" i="1" s="1"/>
  <c r="AZ240" i="1"/>
  <c r="BA240" i="1" s="1"/>
  <c r="AZ42" i="1"/>
  <c r="BA42" i="1" s="1"/>
  <c r="AZ184" i="1"/>
  <c r="BA184" i="1" s="1"/>
  <c r="AZ242" i="1"/>
  <c r="BA242" i="1" s="1"/>
  <c r="AW210" i="1"/>
  <c r="AX210" i="1" s="1"/>
  <c r="AW267" i="1"/>
  <c r="AX267" i="1" s="1"/>
  <c r="AZ191" i="1"/>
  <c r="BA191" i="1" s="1"/>
  <c r="AZ16" i="1"/>
  <c r="BA16" i="1" s="1"/>
  <c r="AZ283" i="1"/>
  <c r="BA283" i="1" s="1"/>
  <c r="AZ29" i="1"/>
  <c r="BA29" i="1" s="1"/>
  <c r="AZ44" i="1"/>
  <c r="BA44" i="1" s="1"/>
  <c r="AZ232" i="1"/>
  <c r="BA232" i="1" s="1"/>
  <c r="AZ60" i="1"/>
  <c r="BA60" i="1" s="1"/>
  <c r="AZ269" i="1"/>
  <c r="BA269" i="1" s="1"/>
  <c r="AZ217" i="1"/>
  <c r="BA217" i="1" s="1"/>
  <c r="AZ285" i="1"/>
  <c r="BA285" i="1" s="1"/>
  <c r="AZ259" i="1"/>
  <c r="BA259" i="1" s="1"/>
  <c r="AZ280" i="1"/>
  <c r="BA280" i="1" s="1"/>
  <c r="AZ61" i="1"/>
  <c r="BA61" i="1" s="1"/>
  <c r="AZ284" i="1"/>
  <c r="BA284" i="1" s="1"/>
  <c r="AZ185" i="1"/>
  <c r="BA185" i="1" s="1"/>
  <c r="AZ51" i="1"/>
  <c r="BA51" i="1" s="1"/>
  <c r="AZ262" i="1"/>
  <c r="BA262" i="1" s="1"/>
  <c r="AW39" i="1"/>
  <c r="AX39" i="1" s="1"/>
  <c r="AW272" i="1"/>
  <c r="AX272" i="1" s="1"/>
  <c r="AZ68" i="1"/>
  <c r="BA68" i="1" s="1"/>
  <c r="AZ45" i="1"/>
  <c r="BA45" i="1" s="1"/>
  <c r="AZ225" i="1"/>
  <c r="BA225" i="1" s="1"/>
  <c r="AZ70" i="1"/>
  <c r="BA70" i="1" s="1"/>
  <c r="AW224" i="1"/>
  <c r="AX224" i="1" s="1"/>
  <c r="AZ231" i="1"/>
  <c r="BA231" i="1" s="1"/>
  <c r="AZ239" i="1"/>
  <c r="BA239" i="1" s="1"/>
  <c r="AZ11" i="1"/>
  <c r="BA11" i="1" s="1"/>
  <c r="AZ222" i="1"/>
  <c r="BA222" i="1" s="1"/>
  <c r="AW85" i="1"/>
  <c r="AX85" i="1" s="1"/>
  <c r="AZ238" i="1"/>
  <c r="BA238" i="1" s="1"/>
  <c r="AW46" i="1"/>
  <c r="AX46" i="1" s="1"/>
  <c r="AW286" i="1"/>
  <c r="AX286" i="1" s="1"/>
  <c r="AZ208" i="1"/>
  <c r="BA208" i="1" s="1"/>
  <c r="AZ10" i="1"/>
  <c r="BA10" i="1" s="1"/>
  <c r="AZ187" i="1"/>
  <c r="BA187" i="1" s="1"/>
  <c r="AW219" i="1"/>
  <c r="AX219" i="1" s="1"/>
  <c r="AZ65" i="1"/>
  <c r="BA65" i="1" s="1"/>
  <c r="AZ278" i="1"/>
  <c r="BA278" i="1" s="1"/>
  <c r="AZ203" i="1"/>
  <c r="BA203" i="1" s="1"/>
  <c r="AW32" i="1"/>
  <c r="AX32" i="1" s="1"/>
  <c r="AW265" i="1"/>
  <c r="AX265" i="1" s="1"/>
  <c r="AW66" i="1"/>
  <c r="AX66" i="1" s="1"/>
  <c r="AZ245" i="1"/>
  <c r="BA245" i="1" s="1"/>
  <c r="AZ196" i="1"/>
  <c r="BA196" i="1" s="1"/>
  <c r="AW174" i="1"/>
  <c r="AX174" i="1" s="1"/>
  <c r="AZ220" i="1"/>
  <c r="BA220" i="1" s="1"/>
  <c r="AZ218" i="1"/>
  <c r="BA218" i="1" s="1"/>
  <c r="AZ270" i="1"/>
  <c r="BA270" i="1" s="1"/>
  <c r="AZ59" i="1"/>
  <c r="BA59" i="1" s="1"/>
  <c r="AZ64" i="1"/>
  <c r="BA64" i="1" s="1"/>
  <c r="AW10" i="1"/>
  <c r="AX10" i="1" s="1"/>
  <c r="AZ15" i="1"/>
  <c r="BA15" i="1" s="1"/>
  <c r="AW15" i="1"/>
  <c r="AX15" i="1" s="1"/>
  <c r="AZ36" i="1"/>
  <c r="BA36" i="1" s="1"/>
  <c r="AZ261" i="1"/>
  <c r="BA261" i="1" s="1"/>
  <c r="AZ221" i="1"/>
  <c r="BA221" i="1" s="1"/>
  <c r="AW51" i="1"/>
  <c r="AX51" i="1" s="1"/>
  <c r="AW45" i="1"/>
  <c r="AX45" i="1" s="1"/>
  <c r="AW238" i="1"/>
  <c r="AX238" i="1" s="1"/>
  <c r="AW236" i="1"/>
  <c r="AX236" i="1" s="1"/>
  <c r="AW14" i="1"/>
  <c r="AX14" i="1" s="1"/>
  <c r="AW70" i="1"/>
  <c r="AX70" i="1" s="1"/>
  <c r="AW196" i="1"/>
  <c r="AX196" i="1" s="1"/>
  <c r="AW276" i="1"/>
  <c r="AX276" i="1" s="1"/>
  <c r="AW283" i="1"/>
  <c r="AX283" i="1" s="1"/>
  <c r="AW198" i="1"/>
  <c r="AX198" i="1" s="1"/>
  <c r="AW16" i="1"/>
  <c r="AX16" i="1" s="1"/>
  <c r="AW84" i="1"/>
  <c r="AX84" i="1" s="1"/>
  <c r="AW68" i="1"/>
  <c r="AX68" i="1" s="1"/>
  <c r="AW245" i="1"/>
  <c r="AX245" i="1" s="1"/>
  <c r="AZ21" i="1"/>
  <c r="BA21" i="1" s="1"/>
  <c r="AW21" i="1"/>
  <c r="AX21" i="1" s="1"/>
  <c r="AW24" i="1"/>
  <c r="AX24" i="1" s="1"/>
  <c r="AW22" i="1"/>
  <c r="AX22" i="1" s="1"/>
  <c r="AZ22" i="1"/>
  <c r="BA22" i="1" s="1"/>
  <c r="AW60" i="1"/>
  <c r="AX60" i="1" s="1"/>
  <c r="AW72" i="1"/>
  <c r="AX72" i="1" s="1"/>
  <c r="AW285" i="1"/>
  <c r="AX285" i="1" s="1"/>
  <c r="AW217" i="1"/>
  <c r="AX217" i="1" s="1"/>
  <c r="AZ3" i="1"/>
  <c r="BA3" i="1" s="1"/>
  <c r="AW3" i="1"/>
  <c r="AX3" i="1" s="1"/>
  <c r="AZ55" i="1"/>
  <c r="BA55" i="1" s="1"/>
  <c r="AW194" i="1"/>
  <c r="AX194" i="1" s="1"/>
  <c r="AW178" i="1"/>
  <c r="AX178" i="1" s="1"/>
  <c r="AZ79" i="1"/>
  <c r="BA79" i="1" s="1"/>
  <c r="AZ189" i="1"/>
  <c r="BA189" i="1" s="1"/>
  <c r="AZ249" i="1"/>
  <c r="BA249" i="1" s="1"/>
  <c r="AZ237" i="1"/>
  <c r="BA237" i="1" s="1"/>
  <c r="AW248" i="1"/>
  <c r="AX248" i="1" s="1"/>
  <c r="AW52" i="1"/>
  <c r="AX52" i="1" s="1"/>
  <c r="AZ26" i="1"/>
  <c r="BA26" i="1" s="1"/>
  <c r="AW26" i="1"/>
  <c r="AX26" i="1" s="1"/>
  <c r="AZ34" i="1"/>
  <c r="BA34" i="1" s="1"/>
  <c r="AW34" i="1"/>
  <c r="AX34" i="1" s="1"/>
  <c r="AW279" i="1"/>
  <c r="AX279" i="1" s="1"/>
  <c r="AZ17" i="1"/>
  <c r="BA17" i="1" s="1"/>
  <c r="AW17" i="1"/>
  <c r="AX17" i="1" s="1"/>
  <c r="AW225" i="1"/>
  <c r="AX225" i="1" s="1"/>
  <c r="AZ63" i="1"/>
  <c r="BA63" i="1" s="1"/>
  <c r="AW23" i="1"/>
  <c r="AX23" i="1" s="1"/>
  <c r="AZ206" i="1"/>
  <c r="BA206" i="1" s="1"/>
  <c r="AZ213" i="1"/>
  <c r="BA213" i="1" s="1"/>
  <c r="AZ209" i="1"/>
  <c r="BA209" i="1" s="1"/>
  <c r="AW203" i="1"/>
  <c r="AX203" i="1" s="1"/>
  <c r="AZ244" i="1"/>
  <c r="BA244" i="1" s="1"/>
  <c r="AW69" i="1"/>
  <c r="AX69" i="1" s="1"/>
  <c r="AW191" i="1"/>
  <c r="AX191" i="1" s="1"/>
  <c r="AW193" i="1"/>
  <c r="AX193" i="1" s="1"/>
  <c r="AW11" i="1"/>
  <c r="AX11" i="1" s="1"/>
  <c r="AW44" i="1"/>
  <c r="AX44" i="1" s="1"/>
  <c r="AW212" i="1"/>
  <c r="AX212" i="1" s="1"/>
  <c r="AZ234" i="1"/>
  <c r="BA234" i="1" s="1"/>
  <c r="AZ4" i="1"/>
  <c r="BA4" i="1" s="1"/>
  <c r="AW4" i="1"/>
  <c r="AX4" i="1" s="1"/>
  <c r="AW176" i="1"/>
  <c r="AX176" i="1" s="1"/>
  <c r="AW12" i="1"/>
  <c r="AX12" i="1" s="1"/>
  <c r="AZ204" i="1"/>
  <c r="BA204" i="1" s="1"/>
  <c r="AW9" i="1"/>
  <c r="AX9" i="1" s="1"/>
  <c r="AZ40" i="1"/>
  <c r="BA40" i="1" s="1"/>
  <c r="AW185" i="1"/>
  <c r="AX185" i="1" s="1"/>
  <c r="AW47" i="1"/>
  <c r="AX47" i="1" s="1"/>
  <c r="AW278" i="1"/>
  <c r="AX278" i="1" s="1"/>
  <c r="AZ27" i="1"/>
  <c r="BA27" i="1" s="1"/>
  <c r="AW27" i="1"/>
  <c r="AX27" i="1" s="1"/>
  <c r="AW235" i="1"/>
  <c r="AX235" i="1" s="1"/>
  <c r="AW266" i="1"/>
  <c r="AX266" i="1" s="1"/>
  <c r="AW29" i="1"/>
  <c r="AX29" i="1" s="1"/>
  <c r="AW240" i="1"/>
  <c r="AX240" i="1" s="1"/>
  <c r="AZ71" i="1"/>
  <c r="BA71" i="1" s="1"/>
  <c r="AW231" i="1"/>
  <c r="AX231" i="1" s="1"/>
  <c r="AW30" i="1"/>
  <c r="AX30" i="1" s="1"/>
  <c r="AW282" i="1"/>
  <c r="AX282" i="1" s="1"/>
  <c r="AW42" i="1"/>
  <c r="AX42" i="1" s="1"/>
  <c r="AZ28" i="1"/>
  <c r="BA28" i="1" s="1"/>
  <c r="AW28" i="1"/>
  <c r="AX28" i="1" s="1"/>
  <c r="AZ78" i="1"/>
  <c r="BA78" i="1" s="1"/>
  <c r="AW25" i="1"/>
  <c r="AX25" i="1" s="1"/>
  <c r="AW259" i="1"/>
  <c r="AX25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tc={5824BD11-1F4F-4A7E-BCAE-9B3E22F46A11}</author>
    <author>tc={4159DF47-BE91-465C-9051-222F5CBD4DF5}</author>
    <author>tc={5649E654-64DD-40EE-B095-E88C0D82C272}</author>
    <author>tc={A06A4BC4-D549-4D54-ACE4-13C9CF877A80}</author>
    <author>tc={D2A46258-207C-4ED5-8735-9764803BB5D8}</author>
    <author>tc={2603B351-1EB4-4197-B321-C0A787FF5FFF}</author>
    <author>tc={1C4E4C22-86D2-4B4D-ACCD-F633DC7E0BC6}</author>
    <author>tc={F8A6C151-E920-4CD2-9FF8-70AA126E4D6D}</author>
    <author>tc={74314332-6878-4DA7-B5CA-E999A82BD915}</author>
    <author>tc={F314D5E6-7195-4ADA-9154-7AEA2F318B64}</author>
    <author>tc={D2E0E233-61A9-4B88-B2CF-1DCBF383468C}</author>
    <author>tc={427257D1-A21D-4A0D-87F1-9A6F78E850E1}</author>
  </authors>
  <commentList>
    <comment ref="AM1" authorId="0" shapeId="0" xr:uid="{5824BD11-1F4F-4A7E-BCAE-9B3E22F46A11}">
      <text>
        <r>
          <rPr>
            <sz val="11"/>
            <color rgb="FF000000"/>
            <rFont val="Aptos Narrow"/>
            <family val="2"/>
          </rPr>
          <t xml:space="preserve">[Threaded comment]
</t>
        </r>
        <r>
          <rPr>
            <sz val="11"/>
            <color rgb="FF000000"/>
            <rFont val="Aptos Narrow"/>
            <family val="2"/>
          </rPr>
          <t xml:space="preserve">
</t>
        </r>
        <r>
          <rPr>
            <sz val="11"/>
            <color rgb="FF000000"/>
            <rFont val="Aptos Narrow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1"/>
            <color rgb="FF000000"/>
            <rFont val="Aptos Narrow"/>
            <family val="2"/>
          </rPr>
          <t xml:space="preserve">
</t>
        </r>
        <r>
          <rPr>
            <sz val="11"/>
            <color rgb="FF000000"/>
            <rFont val="Aptos Narrow"/>
            <family val="2"/>
          </rPr>
          <t xml:space="preserve">Comment:
</t>
        </r>
        <r>
          <rPr>
            <sz val="11"/>
            <color rgb="FF000000"/>
            <rFont val="Aptos Narrow"/>
            <family val="2"/>
          </rPr>
          <t xml:space="preserve">    Using unmarked ERs where provided</t>
        </r>
      </text>
    </comment>
    <comment ref="AS1" authorId="1" shapeId="0" xr:uid="{4159DF47-BE91-465C-9051-222F5CBD4DF5}">
      <text>
        <r>
          <rPr>
            <sz val="11"/>
            <color rgb="FF000000"/>
            <rFont val="Aptos Narrow"/>
            <family val="2"/>
          </rPr>
          <t xml:space="preserve">[Threaded comment]
</t>
        </r>
        <r>
          <rPr>
            <sz val="11"/>
            <color rgb="FF000000"/>
            <rFont val="Aptos Narrow"/>
            <family val="2"/>
          </rPr>
          <t xml:space="preserve">
</t>
        </r>
        <r>
          <rPr>
            <sz val="11"/>
            <color rgb="FF000000"/>
            <rFont val="Aptos Narrow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1"/>
            <color rgb="FF000000"/>
            <rFont val="Aptos Narrow"/>
            <family val="2"/>
          </rPr>
          <t xml:space="preserve">
</t>
        </r>
        <r>
          <rPr>
            <sz val="11"/>
            <color rgb="FF000000"/>
            <rFont val="Aptos Narrow"/>
            <family val="2"/>
          </rPr>
          <t xml:space="preserve">Comment:
</t>
        </r>
        <r>
          <rPr>
            <sz val="11"/>
            <color rgb="FF000000"/>
            <rFont val="Aptos Narrow"/>
            <family val="2"/>
          </rPr>
          <t xml:space="preserve">    True ER estimated for marine fisheries</t>
        </r>
      </text>
    </comment>
    <comment ref="AT1" authorId="2" shapeId="0" xr:uid="{5649E654-64DD-40EE-B095-E88C0D82C272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Total marine catch estimated from CWT tables (this is the “true” data)</t>
        </r>
      </text>
    </comment>
    <comment ref="AU1" authorId="3" shapeId="0" xr:uid="{A06A4BC4-D549-4D54-ACE4-13C9CF877A80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Terminal catch estimated from CWT tables</t>
        </r>
      </text>
    </comment>
    <comment ref="AV1" authorId="4" shapeId="0" xr:uid="{D2A46258-207C-4ED5-8735-9764803BB5D8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50% reduction in AABM</t>
        </r>
      </text>
    </comment>
    <comment ref="AW1" authorId="5" shapeId="0" xr:uid="{2603B351-1EB4-4197-B321-C0A787FF5FFF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Terminal catch with same ER, but with 50% reduction in AABM. Increased is based on larger number of fish arriving at terminal area due to lower marine fishing pressure</t>
        </r>
      </text>
    </comment>
    <comment ref="AY1" authorId="6" shapeId="0" xr:uid="{1C4E4C22-86D2-4B4D-ACCD-F633DC7E0BC6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50% reduction in AABM and ISBM marine fisheries</t>
        </r>
      </text>
    </comment>
    <comment ref="AZ1" authorId="7" shapeId="0" xr:uid="{F8A6C151-E920-4CD2-9FF8-70AA126E4D6D}">
      <text>
        <r>
          <rPr>
            <sz val="11"/>
            <color theme="1"/>
            <rFont val="Aptos Narrow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Terminal catch, with the same ER as CWT data, when AABM and ISBM marine fisheries are reduced by 50%. </t>
        </r>
      </text>
    </comment>
    <comment ref="B908" authorId="8" shapeId="0" xr:uid="{74314332-6878-4DA7-B5CA-E999A82BD915}">
      <text>
        <r>
          <rPr>
            <sz val="11"/>
            <color theme="1"/>
            <rFont val="Aptos Narrow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For springers I started by assuming marine fishery ERs are 65% of fall Chinook to account for lower impacts during their last year of marine life (due to early migration). </t>
        </r>
      </text>
    </comment>
    <comment ref="AH908" authorId="9" shapeId="0" xr:uid="{F314D5E6-7195-4ADA-9154-7AEA2F318B64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Also includes sport harvest</t>
        </r>
      </text>
    </comment>
    <comment ref="AH951" authorId="10" shapeId="0" xr:uid="{D2E0E233-61A9-4B88-B2CF-1DCBF383468C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Includes sport harvest as well...</t>
        </r>
      </text>
    </comment>
    <comment ref="AH1036" authorId="11" shapeId="0" xr:uid="{427257D1-A21D-4A0D-87F1-9A6F78E850E1}">
      <text>
        <r>
          <rPr>
            <sz val="11"/>
            <color theme="1"/>
            <rFont val="Aptos Narrow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Estimated from PSC terminal run size estimate. E.g. terminal harvest = terminal run - escapement. </t>
        </r>
      </text>
    </comment>
  </commentList>
</comments>
</file>

<file path=xl/sharedStrings.xml><?xml version="1.0" encoding="utf-8"?>
<sst xmlns="http://schemas.openxmlformats.org/spreadsheetml/2006/main" count="10775" uniqueCount="142">
  <si>
    <t>Year</t>
  </si>
  <si>
    <t>SEAK</t>
  </si>
  <si>
    <t>NBC</t>
  </si>
  <si>
    <t>aabm_tot</t>
  </si>
  <si>
    <t>Population</t>
  </si>
  <si>
    <t>Atnarko</t>
  </si>
  <si>
    <t>nbc_t</t>
  </si>
  <si>
    <t>seak_t</t>
  </si>
  <si>
    <t>seak_n</t>
  </si>
  <si>
    <t>seak_s</t>
  </si>
  <si>
    <t>nbc_s</t>
  </si>
  <si>
    <t>wcvi_t</t>
  </si>
  <si>
    <t>wcvi_s</t>
  </si>
  <si>
    <t>NA</t>
  </si>
  <si>
    <t>nfalc_t</t>
  </si>
  <si>
    <t>nfalc_s</t>
  </si>
  <si>
    <t>sfalc_t</t>
  </si>
  <si>
    <t>sfalc_s</t>
  </si>
  <si>
    <t>wac_n</t>
  </si>
  <si>
    <t>PS_n</t>
  </si>
  <si>
    <t>PS_s</t>
  </si>
  <si>
    <t>ak_term_t</t>
  </si>
  <si>
    <t>ak_term_n</t>
  </si>
  <si>
    <t>ak_term_s</t>
  </si>
  <si>
    <t>can_term_n</t>
  </si>
  <si>
    <t>can_term_s</t>
  </si>
  <si>
    <t>US_term_t</t>
  </si>
  <si>
    <t>US_term_n</t>
  </si>
  <si>
    <t>US_term_s</t>
  </si>
  <si>
    <t>esc_pct</t>
  </si>
  <si>
    <t>er</t>
  </si>
  <si>
    <t>total_run</t>
  </si>
  <si>
    <t>esc_tot</t>
  </si>
  <si>
    <t>esc_w</t>
  </si>
  <si>
    <t>total_w</t>
  </si>
  <si>
    <t>nbc_is_n</t>
  </si>
  <si>
    <t>nbc_is_t</t>
  </si>
  <si>
    <t>nbc_is_s</t>
  </si>
  <si>
    <t>nbc_is_tot</t>
  </si>
  <si>
    <t>sbc_is_t</t>
  </si>
  <si>
    <t>sbc_is_n</t>
  </si>
  <si>
    <t>sbc_is_s</t>
  </si>
  <si>
    <t>sbc_is_tot</t>
  </si>
  <si>
    <t>US_is_tot</t>
  </si>
  <si>
    <t>Chilkat</t>
  </si>
  <si>
    <t>Goal</t>
  </si>
  <si>
    <t>Type</t>
  </si>
  <si>
    <t>upper_goal</t>
  </si>
  <si>
    <t>lower_goal</t>
  </si>
  <si>
    <t>Smsy wild</t>
  </si>
  <si>
    <t>Srep wild</t>
  </si>
  <si>
    <t>Cowichan</t>
  </si>
  <si>
    <t>stray</t>
  </si>
  <si>
    <t>esc goal</t>
  </si>
  <si>
    <t>Cowlitz.fa</t>
  </si>
  <si>
    <t>Elk</t>
  </si>
  <si>
    <t>term_tot</t>
  </si>
  <si>
    <t>SBC</t>
  </si>
  <si>
    <t>LCR</t>
  </si>
  <si>
    <t>ORC</t>
  </si>
  <si>
    <t>South_umpqua</t>
  </si>
  <si>
    <t>Coquille</t>
  </si>
  <si>
    <t>Green</t>
  </si>
  <si>
    <t>PS</t>
  </si>
  <si>
    <t>Hanford_br_w</t>
  </si>
  <si>
    <t>MCR</t>
  </si>
  <si>
    <t>Harrison</t>
  </si>
  <si>
    <t>Kitsumkalum</t>
  </si>
  <si>
    <t>smsy wild (Parken et al. 2006) also check Winther</t>
  </si>
  <si>
    <t>Elochoman</t>
  </si>
  <si>
    <t>Grays</t>
  </si>
  <si>
    <t>Coweeman</t>
  </si>
  <si>
    <t>Lewis</t>
  </si>
  <si>
    <t>Lewis fall bright</t>
  </si>
  <si>
    <t>Smsy based goal</t>
  </si>
  <si>
    <t>Middle_Shuswap</t>
  </si>
  <si>
    <t>Lower_Shuswap</t>
  </si>
  <si>
    <t>South_Thompson</t>
  </si>
  <si>
    <t>Lower Shuswap</t>
  </si>
  <si>
    <t>Nicola</t>
  </si>
  <si>
    <t>Nisqually</t>
  </si>
  <si>
    <t>Nooksack</t>
  </si>
  <si>
    <t>Phillips</t>
  </si>
  <si>
    <t>Puntledge_su</t>
  </si>
  <si>
    <t>Queets_fa</t>
  </si>
  <si>
    <t>OP</t>
  </si>
  <si>
    <t>esc goal - way below long-term average spawners</t>
  </si>
  <si>
    <t>Hoh_sp</t>
  </si>
  <si>
    <t>Hoh_fa</t>
  </si>
  <si>
    <t>esc goal - PSC</t>
  </si>
  <si>
    <t>Grays_Harbor_fa</t>
  </si>
  <si>
    <t>Grays_Harbor_sp</t>
  </si>
  <si>
    <t>Quillayute_fa</t>
  </si>
  <si>
    <t>Fishery</t>
  </si>
  <si>
    <t>pre_TAC</t>
  </si>
  <si>
    <t>post_TAC</t>
  </si>
  <si>
    <t>catch</t>
  </si>
  <si>
    <t>mgmt_error</t>
  </si>
  <si>
    <t>forcast_error</t>
  </si>
  <si>
    <t>WCVI</t>
  </si>
  <si>
    <t>smsy</t>
  </si>
  <si>
    <t>Alsek</t>
  </si>
  <si>
    <t>lower goal</t>
  </si>
  <si>
    <t>upper goal</t>
  </si>
  <si>
    <t>Taku</t>
  </si>
  <si>
    <t>Stikine</t>
  </si>
  <si>
    <t>Nehalem</t>
  </si>
  <si>
    <t>Siletz</t>
  </si>
  <si>
    <t>Siuslaw</t>
  </si>
  <si>
    <t>Mid_Columbia_su</t>
  </si>
  <si>
    <t>Colonial_fa</t>
  </si>
  <si>
    <t>Artlish_fa</t>
  </si>
  <si>
    <t>Kaouk_fa</t>
  </si>
  <si>
    <t>Tahsish_fa</t>
  </si>
  <si>
    <t>Bedwell_fa</t>
  </si>
  <si>
    <t>Megin_fa</t>
  </si>
  <si>
    <t>Moyeha_fa</t>
  </si>
  <si>
    <t>region</t>
  </si>
  <si>
    <t>population</t>
  </si>
  <si>
    <t>year</t>
  </si>
  <si>
    <t>Skagit_sp</t>
  </si>
  <si>
    <t>Snohomish_fa</t>
  </si>
  <si>
    <t>Skagit_fa</t>
  </si>
  <si>
    <t>smsy - PSC, but what about ESA recovery goal</t>
  </si>
  <si>
    <t>smsy - but what about ESA recovery goal?</t>
  </si>
  <si>
    <t>Nehalem_fa</t>
  </si>
  <si>
    <t>OC</t>
  </si>
  <si>
    <t>Siletz_fa</t>
  </si>
  <si>
    <t>Siuslaw_fa</t>
  </si>
  <si>
    <t>Stillaguamish</t>
  </si>
  <si>
    <t>Unuk</t>
  </si>
  <si>
    <t>Queets_sp</t>
  </si>
  <si>
    <t>prop_term</t>
  </si>
  <si>
    <t>tot_mixedER</t>
  </si>
  <si>
    <t>mar.catch</t>
  </si>
  <si>
    <t>term.catch</t>
  </si>
  <si>
    <t>sc1_mar</t>
  </si>
  <si>
    <t>sc1_term</t>
  </si>
  <si>
    <t>sc1_escape</t>
  </si>
  <si>
    <t>sc2_mar</t>
  </si>
  <si>
    <t>sc2_term</t>
  </si>
  <si>
    <t>sc2_escape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</si>
</sst>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medium">
        <color indexed="8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" fillId="0" borderId="0"/>
    <xf numFmtId="0" fontId="3" fillId="0" borderId="0" applyNumberFormat="0" applyFill="0" applyBorder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5" applyNumberFormat="0" applyAlignment="0" applyProtection="0"/>
    <xf numFmtId="0" fontId="11" fillId="6" borderId="6" applyNumberFormat="0" applyAlignment="0" applyProtection="0"/>
    <xf numFmtId="0" fontId="12" fillId="6" borderId="5" applyNumberFormat="0" applyAlignment="0" applyProtection="0"/>
    <xf numFmtId="0" fontId="13" fillId="0" borderId="7" applyNumberFormat="0" applyFill="0" applyAlignment="0" applyProtection="0"/>
    <xf numFmtId="0" fontId="14" fillId="7" borderId="8" applyNumberFormat="0" applyAlignment="0" applyProtection="0"/>
    <xf numFmtId="0" fontId="15" fillId="0" borderId="0" applyNumberFormat="0" applyFill="0" applyBorder="0" applyAlignment="0" applyProtection="0"/>
    <xf numFmtId="0" fontId="1" fillId="8" borderId="9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10" applyNumberFormat="0" applyFill="0" applyAlignment="0" applyProtection="0"/>
    <xf numFmtId="0" fontId="18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8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8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8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8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8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64" fontId="1" fillId="0" borderId="0" xfId="1" applyNumberFormat="1" applyAlignment="1">
      <alignment horizontal="right"/>
    </xf>
    <xf numFmtId="0" fontId="2" fillId="0" borderId="0" xfId="1" applyFont="1" applyAlignment="1">
      <alignment horizontal="center"/>
    </xf>
    <xf numFmtId="1" fontId="0" fillId="0" borderId="0" xfId="0" applyNumberFormat="1"/>
    <xf numFmtId="0" fontId="1" fillId="0" borderId="1" xfId="1" applyBorder="1" applyAlignment="1">
      <alignment horizontal="center"/>
    </xf>
    <xf numFmtId="2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 2" xfId="1" xr:uid="{B91C5AA9-479B-4999-A457-3419BF670CAC}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32">
    <dxf>
      <fill>
        <patternFill>
          <bgColor theme="0" tint="-0.14996795556505021"/>
        </patternFill>
      </fill>
    </dxf>
    <dxf>
      <font>
        <color theme="0"/>
      </font>
    </dxf>
    <dxf>
      <fill>
        <patternFill>
          <bgColor theme="0" tint="-0.14996795556505021"/>
        </patternFill>
      </fill>
    </dxf>
    <dxf>
      <font>
        <color theme="0"/>
      </font>
    </dxf>
    <dxf>
      <font>
        <color theme="0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theme="0"/>
      </font>
    </dxf>
    <dxf>
      <fill>
        <patternFill>
          <bgColor theme="0" tint="-0.14996795556505021"/>
        </patternFill>
      </fill>
    </dxf>
    <dxf>
      <font>
        <color theme="0"/>
      </font>
    </dxf>
    <dxf>
      <font>
        <color theme="0"/>
      </font>
    </dxf>
    <dxf>
      <fill>
        <patternFill>
          <bgColor theme="0" tint="-0.14996795556505021"/>
        </patternFill>
      </fill>
    </dxf>
    <dxf>
      <font>
        <color theme="0"/>
      </font>
    </dxf>
    <dxf>
      <fill>
        <patternFill>
          <bgColor theme="0" tint="-0.14996795556505021"/>
        </patternFill>
      </fill>
    </dxf>
    <dxf>
      <font>
        <color theme="0"/>
      </font>
    </dxf>
    <dxf>
      <fill>
        <patternFill>
          <bgColor theme="0" tint="-0.14996795556505021"/>
        </patternFill>
      </fill>
    </dxf>
    <dxf>
      <font>
        <color theme="0"/>
      </font>
    </dxf>
    <dxf>
      <fill>
        <patternFill>
          <bgColor theme="0" tint="-0.14996795556505021"/>
        </patternFill>
      </fill>
    </dxf>
    <dxf>
      <font>
        <color theme="0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theme="0"/>
      </font>
    </dxf>
    <dxf>
      <fill>
        <patternFill>
          <bgColor theme="0" tint="-0.14996795556505021"/>
        </patternFill>
      </fill>
    </dxf>
    <dxf>
      <font>
        <color theme="0"/>
      </font>
    </dxf>
    <dxf>
      <font>
        <color theme="0"/>
      </font>
    </dxf>
    <dxf>
      <fill>
        <patternFill>
          <bgColor theme="0" tint="-0.14996795556505021"/>
        </patternFill>
      </fill>
    </dxf>
    <dxf>
      <font>
        <color theme="0"/>
      </font>
    </dxf>
    <dxf>
      <fill>
        <patternFill>
          <bgColor theme="0" tint="-0.14996795556505021"/>
        </patternFill>
      </fill>
    </dxf>
    <dxf>
      <font>
        <color theme="0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Will Atlas" id="{FF4F91E9-62DF-4548-95EF-7FADC5E476E8}" userId="S::watlas@WildSalmonCenter.onmicrosoft.com::a4fa8ef6-1227-4115-956f-7eb09f4632e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M1" dT="2025-04-18T22:24:04.10" personId="{FF4F91E9-62DF-4548-95EF-7FADC5E476E8}" id="{5824BD11-1F4F-4A7E-BCAE-9B3E22F46A11}">
    <text>Using unmarked ERs where provided</text>
  </threadedComment>
  <threadedComment ref="AS1" dT="2025-07-29T17:02:03.43" personId="{FF4F91E9-62DF-4548-95EF-7FADC5E476E8}" id="{4159DF47-BE91-465C-9051-222F5CBD4DF5}">
    <text>True ER estimated for marine fisheries</text>
  </threadedComment>
  <threadedComment ref="AT1" dT="2025-07-29T17:01:40.56" personId="{FF4F91E9-62DF-4548-95EF-7FADC5E476E8}" id="{5649E654-64DD-40EE-B095-E88C0D82C272}">
    <text>Total marine catch estimated from CWT tables (this is the “true” data)</text>
  </threadedComment>
  <threadedComment ref="AU1" dT="2025-07-29T17:01:52.28" personId="{FF4F91E9-62DF-4548-95EF-7FADC5E476E8}" id="{A06A4BC4-D549-4D54-ACE4-13C9CF877A80}">
    <text>Terminal catch estimated from CWT tables</text>
  </threadedComment>
  <threadedComment ref="AV1" dT="2025-04-24T22:59:26.23" personId="{FF4F91E9-62DF-4548-95EF-7FADC5E476E8}" id="{D2A46258-207C-4ED5-8735-9764803BB5D8}">
    <text>50% reduction in AABM</text>
  </threadedComment>
  <threadedComment ref="AW1" dT="2025-07-29T17:02:39.83" personId="{FF4F91E9-62DF-4548-95EF-7FADC5E476E8}" id="{2603B351-1EB4-4197-B321-C0A787FF5FFF}">
    <text>Terminal catch with same ER, but with 50% reduction in AABM. Increased is based on larger number of fish arriving at terminal area due to lower marine fishing pressure</text>
  </threadedComment>
  <threadedComment ref="AY1" dT="2025-07-29T17:01:15.21" personId="{FF4F91E9-62DF-4548-95EF-7FADC5E476E8}" id="{1C4E4C22-86D2-4B4D-ACCD-F633DC7E0BC6}">
    <text>50% reduction in AABM and ISBM marine fisheries</text>
  </threadedComment>
  <threadedComment ref="AZ1" dT="2025-07-29T17:03:02.77" personId="{FF4F91E9-62DF-4548-95EF-7FADC5E476E8}" id="{F8A6C151-E920-4CD2-9FF8-70AA126E4D6D}">
    <text xml:space="preserve">Terminal catch, with the same ER as CWT data, when AABM and ISBM marine fisheries are reduced by 50%. </text>
  </threadedComment>
  <threadedComment ref="B908" dT="2025-04-22T22:33:55.69" personId="{FF4F91E9-62DF-4548-95EF-7FADC5E476E8}" id="{74314332-6878-4DA7-B5CA-E999A82BD915}">
    <text xml:space="preserve">For springers I started by assuming marine fishery ERs are 65% of fall Chinook to account for lower impacts during their last year of marine life (due to early migration). </text>
  </threadedComment>
  <threadedComment ref="AH908" dT="2025-04-22T22:41:22.56" personId="{FF4F91E9-62DF-4548-95EF-7FADC5E476E8}" id="{F314D5E6-7195-4ADA-9154-7AEA2F318B64}">
    <text>Also includes sport harvest</text>
  </threadedComment>
  <threadedComment ref="AH951" dT="2025-04-22T22:49:12.90" personId="{FF4F91E9-62DF-4548-95EF-7FADC5E476E8}" id="{D2E0E233-61A9-4B88-B2CF-1DCBF383468C}">
    <text>Includes sport harvest as well...</text>
  </threadedComment>
  <threadedComment ref="AH1036" dT="2025-04-22T23:11:22.63" personId="{FF4F91E9-62DF-4548-95EF-7FADC5E476E8}" id="{427257D1-A21D-4A0D-87F1-9A6F78E850E1}">
    <text xml:space="preserve">Estimated from PSC terminal run size estimate. E.g. terminal harvest = terminal run - escapement.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C6F78-4588-42E4-9943-DF8B79C65F70}">
  <dimension ref="A1:BA1693"/>
  <sheetViews>
    <sheetView tabSelected="1" zoomScaleNormal="100" workbookViewId="0">
      <selection activeCell="AT7" sqref="AT7"/>
    </sheetView>
  </sheetViews>
  <sheetFormatPr baseColWidth="10" defaultColWidth="8.83203125" defaultRowHeight="15" x14ac:dyDescent="0.2"/>
  <cols>
    <col min="1" max="1" width="5" bestFit="1" customWidth="1"/>
    <col min="2" max="2" width="14.83203125" bestFit="1" customWidth="1"/>
    <col min="3" max="3" width="10.6640625" customWidth="1"/>
    <col min="4" max="4" width="6.1640625" bestFit="1" customWidth="1"/>
    <col min="5" max="6" width="6.5" bestFit="1" customWidth="1"/>
    <col min="7" max="7" width="5.33203125" bestFit="1" customWidth="1"/>
    <col min="8" max="8" width="5.6640625" bestFit="1" customWidth="1"/>
    <col min="9" max="9" width="5.83203125" bestFit="1" customWidth="1"/>
    <col min="10" max="10" width="6.1640625" bestFit="1" customWidth="1"/>
    <col min="11" max="11" width="8.5" bestFit="1" customWidth="1"/>
    <col min="12" max="12" width="7.83203125" bestFit="1" customWidth="1"/>
    <col min="13" max="13" width="8.5" bestFit="1" customWidth="1"/>
    <col min="14" max="14" width="8.33203125" bestFit="1" customWidth="1"/>
    <col min="15" max="15" width="9" bestFit="1" customWidth="1"/>
    <col min="16" max="16" width="7.33203125" bestFit="1" customWidth="1"/>
    <col min="17" max="17" width="7.83203125" bestFit="1" customWidth="1"/>
    <col min="18" max="18" width="7.6640625" bestFit="1" customWidth="1"/>
    <col min="19" max="19" width="8.83203125" bestFit="1" customWidth="1"/>
    <col min="20" max="20" width="6.33203125" bestFit="1" customWidth="1"/>
    <col min="21" max="21" width="6.6640625" bestFit="1" customWidth="1"/>
    <col min="22" max="22" width="6.1640625" bestFit="1" customWidth="1"/>
    <col min="23" max="23" width="6.5" bestFit="1" customWidth="1"/>
    <col min="24" max="24" width="6.1640625" bestFit="1" customWidth="1"/>
    <col min="25" max="26" width="4.83203125" bestFit="1" customWidth="1"/>
    <col min="27" max="27" width="8.1640625" bestFit="1" customWidth="1"/>
    <col min="29" max="29" width="9.6640625" bestFit="1" customWidth="1"/>
    <col min="33" max="33" width="9.1640625" bestFit="1" customWidth="1"/>
    <col min="34" max="35" width="9.5" bestFit="1" customWidth="1"/>
    <col min="36" max="37" width="9.5" customWidth="1"/>
    <col min="38" max="38" width="7.1640625" bestFit="1" customWidth="1"/>
    <col min="39" max="39" width="6" bestFit="1" customWidth="1"/>
    <col min="44" max="44" width="12" bestFit="1" customWidth="1"/>
    <col min="45" max="45" width="11.1640625" customWidth="1"/>
    <col min="46" max="46" width="9.6640625" bestFit="1" customWidth="1"/>
    <col min="47" max="47" width="10.1640625" bestFit="1" customWidth="1"/>
  </cols>
  <sheetData>
    <row r="1" spans="1:53" x14ac:dyDescent="0.2">
      <c r="A1" t="s">
        <v>119</v>
      </c>
      <c r="B1" t="s">
        <v>118</v>
      </c>
      <c r="C1" t="s">
        <v>117</v>
      </c>
      <c r="D1" t="s">
        <v>7</v>
      </c>
      <c r="E1" t="s">
        <v>8</v>
      </c>
      <c r="F1" t="s">
        <v>9</v>
      </c>
      <c r="G1" t="s">
        <v>6</v>
      </c>
      <c r="H1" t="s">
        <v>10</v>
      </c>
      <c r="I1" t="s">
        <v>11</v>
      </c>
      <c r="J1" t="s">
        <v>12</v>
      </c>
      <c r="K1" s="2" t="s">
        <v>3</v>
      </c>
      <c r="L1" t="s">
        <v>36</v>
      </c>
      <c r="M1" t="s">
        <v>35</v>
      </c>
      <c r="N1" t="s">
        <v>37</v>
      </c>
      <c r="O1" t="s">
        <v>38</v>
      </c>
      <c r="P1" t="s">
        <v>39</v>
      </c>
      <c r="Q1" t="s">
        <v>40</v>
      </c>
      <c r="R1" t="s">
        <v>41</v>
      </c>
      <c r="S1" t="s">
        <v>42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43</v>
      </c>
      <c r="AB1" t="s">
        <v>21</v>
      </c>
      <c r="AC1" t="s">
        <v>22</v>
      </c>
      <c r="AD1" t="s">
        <v>23</v>
      </c>
      <c r="AE1" t="s">
        <v>24</v>
      </c>
      <c r="AF1" t="s">
        <v>25</v>
      </c>
      <c r="AG1" t="s">
        <v>26</v>
      </c>
      <c r="AH1" t="s">
        <v>27</v>
      </c>
      <c r="AI1" t="s">
        <v>28</v>
      </c>
      <c r="AJ1" t="s">
        <v>56</v>
      </c>
      <c r="AK1" t="s">
        <v>52</v>
      </c>
      <c r="AL1" t="s">
        <v>29</v>
      </c>
      <c r="AM1" t="s">
        <v>30</v>
      </c>
      <c r="AN1" t="s">
        <v>32</v>
      </c>
      <c r="AO1" t="s">
        <v>33</v>
      </c>
      <c r="AP1" t="s">
        <v>31</v>
      </c>
      <c r="AQ1" t="s">
        <v>34</v>
      </c>
      <c r="AR1" t="s">
        <v>132</v>
      </c>
      <c r="AS1" t="s">
        <v>133</v>
      </c>
      <c r="AT1" t="s">
        <v>134</v>
      </c>
      <c r="AU1" t="s">
        <v>135</v>
      </c>
      <c r="AV1" t="s">
        <v>136</v>
      </c>
      <c r="AW1" t="s">
        <v>137</v>
      </c>
      <c r="AX1" t="s">
        <v>138</v>
      </c>
      <c r="AY1" t="s">
        <v>139</v>
      </c>
      <c r="AZ1" t="s">
        <v>140</v>
      </c>
      <c r="BA1" t="s">
        <v>141</v>
      </c>
    </row>
    <row r="2" spans="1:53" x14ac:dyDescent="0.2">
      <c r="A2">
        <v>1990</v>
      </c>
      <c r="B2" t="s">
        <v>5</v>
      </c>
      <c r="C2" t="s">
        <v>2</v>
      </c>
      <c r="D2">
        <v>20.9</v>
      </c>
      <c r="E2">
        <v>4.0999999999999996</v>
      </c>
      <c r="F2">
        <v>0.2</v>
      </c>
      <c r="G2">
        <v>1.6</v>
      </c>
      <c r="H2">
        <v>0.7</v>
      </c>
      <c r="I2">
        <v>0.5</v>
      </c>
      <c r="J2">
        <v>0</v>
      </c>
      <c r="K2">
        <f>SUM(D2:J2)</f>
        <v>28</v>
      </c>
      <c r="L2">
        <v>4.3</v>
      </c>
      <c r="M2">
        <v>14.7</v>
      </c>
      <c r="N2">
        <v>0.5</v>
      </c>
      <c r="O2">
        <f>SUM(L2:N2)</f>
        <v>19.5</v>
      </c>
      <c r="P2">
        <v>0</v>
      </c>
      <c r="Q2">
        <v>0</v>
      </c>
      <c r="R2">
        <v>0</v>
      </c>
      <c r="S2">
        <f>SUM(P2:R2)</f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f>SUM(T2:Z2)</f>
        <v>0</v>
      </c>
      <c r="AB2">
        <v>0</v>
      </c>
      <c r="AC2">
        <v>0</v>
      </c>
      <c r="AD2">
        <v>0</v>
      </c>
      <c r="AE2">
        <v>2.7</v>
      </c>
      <c r="AF2">
        <v>0</v>
      </c>
      <c r="AG2">
        <v>0</v>
      </c>
      <c r="AH2">
        <v>0</v>
      </c>
      <c r="AI2">
        <v>0</v>
      </c>
      <c r="AJ2">
        <f>SUM(AB2:AI2)</f>
        <v>2.7</v>
      </c>
      <c r="AK2">
        <v>0</v>
      </c>
      <c r="AL2">
        <v>0.498</v>
      </c>
      <c r="AM2">
        <f>SUM(AB2:AI2,T2:Z2,P2:R2,L2:N2,D2:J2)/100</f>
        <v>0.502</v>
      </c>
      <c r="AN2">
        <v>14537</v>
      </c>
      <c r="AO2">
        <v>11630</v>
      </c>
      <c r="AP2" s="3">
        <f>AN2/(1-AM2)</f>
        <v>29190.763052208837</v>
      </c>
      <c r="AQ2" s="3">
        <f>AO2/(1-AM2)</f>
        <v>23353.413654618475</v>
      </c>
      <c r="AR2">
        <f>(AJ2/100)/AM2</f>
        <v>5.3784860557768932E-2</v>
      </c>
      <c r="AS2">
        <f t="shared" ref="AS2:AS17" si="0">SUM(K2,O2,S2,AA2)/100</f>
        <v>0.47499999999999998</v>
      </c>
      <c r="AT2">
        <f t="shared" ref="AT2:AT17" si="1">ROUND(AS2*AP2,0)</f>
        <v>13866</v>
      </c>
      <c r="AU2">
        <f t="shared" ref="AU2:AU17" si="2">ROUND((AJ2/100)*AP2,0)</f>
        <v>788</v>
      </c>
      <c r="AV2">
        <f>ROUND((((K2*0.5)+O2+S2+AA2)/100)*AP2,0)</f>
        <v>9779</v>
      </c>
      <c r="AW2">
        <f>ROUND((AU2/(AP2-AT2))*(AP2-AV2),0)</f>
        <v>998</v>
      </c>
      <c r="AX2" s="3">
        <f>AP2-AV2-AW2</f>
        <v>18413.763052208837</v>
      </c>
      <c r="AY2">
        <f>ROUND((0.5*AS2)*AP2,0)</f>
        <v>6933</v>
      </c>
      <c r="AZ2">
        <f>ROUND((AU2/(AP2-AT2))*(AP2-AY2),0)</f>
        <v>1144</v>
      </c>
      <c r="BA2" s="3">
        <f>AP2-AZ2-AY2</f>
        <v>21113.763052208837</v>
      </c>
    </row>
    <row r="3" spans="1:53" x14ac:dyDescent="0.2">
      <c r="A3">
        <v>1991</v>
      </c>
      <c r="B3" t="s">
        <v>5</v>
      </c>
      <c r="C3" t="s">
        <v>2</v>
      </c>
      <c r="D3">
        <v>6.7</v>
      </c>
      <c r="E3">
        <v>0</v>
      </c>
      <c r="F3">
        <v>0</v>
      </c>
      <c r="G3">
        <v>1.2</v>
      </c>
      <c r="H3">
        <v>1.1000000000000001</v>
      </c>
      <c r="I3">
        <v>0.4</v>
      </c>
      <c r="J3">
        <v>0</v>
      </c>
      <c r="K3">
        <f t="shared" ref="K3:K17" si="3">SUM(D3:J3)</f>
        <v>9.4</v>
      </c>
      <c r="L3">
        <v>0.4</v>
      </c>
      <c r="M3">
        <v>20.399999999999999</v>
      </c>
      <c r="N3">
        <v>0.7</v>
      </c>
      <c r="O3">
        <f t="shared" ref="O3:O17" si="4">SUM(L3:N3)</f>
        <v>21.499999999999996</v>
      </c>
      <c r="P3">
        <v>0</v>
      </c>
      <c r="Q3">
        <v>0</v>
      </c>
      <c r="R3">
        <v>0</v>
      </c>
      <c r="S3">
        <f t="shared" ref="S3:S17" si="5">SUM(P3:R3)</f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f t="shared" ref="AA3:AA17" si="6">SUM(T3:Z3)</f>
        <v>0</v>
      </c>
      <c r="AB3">
        <v>0</v>
      </c>
      <c r="AC3">
        <v>0</v>
      </c>
      <c r="AD3">
        <v>0</v>
      </c>
      <c r="AE3">
        <v>3.2</v>
      </c>
      <c r="AF3">
        <v>3.4</v>
      </c>
      <c r="AG3">
        <v>0</v>
      </c>
      <c r="AH3">
        <v>0</v>
      </c>
      <c r="AI3">
        <v>0</v>
      </c>
      <c r="AJ3">
        <f t="shared" ref="AJ3:AJ66" si="7">SUM(AB3:AI3)</f>
        <v>6.6</v>
      </c>
      <c r="AK3">
        <v>0</v>
      </c>
      <c r="AL3">
        <v>0.625</v>
      </c>
      <c r="AM3">
        <f t="shared" ref="AM3:AM66" si="8">SUM(AB3:AI3,T3:Z3,P3:R3,L3:N3,D3:J3)/100</f>
        <v>0.375</v>
      </c>
      <c r="AN3">
        <v>12098</v>
      </c>
      <c r="AO3">
        <v>8952</v>
      </c>
      <c r="AP3" s="3">
        <f t="shared" ref="AP3:AP55" si="9">AN3/(1-AM3)</f>
        <v>19356.8</v>
      </c>
      <c r="AQ3" s="3">
        <f t="shared" ref="AQ3:AQ17" si="10">AO3/(1-AM3)</f>
        <v>14323.2</v>
      </c>
      <c r="AR3">
        <f t="shared" ref="AR3:AR35" si="11">(AJ3/100)/AM3</f>
        <v>0.17600000000000002</v>
      </c>
      <c r="AS3">
        <f t="shared" si="0"/>
        <v>0.309</v>
      </c>
      <c r="AT3">
        <f t="shared" si="1"/>
        <v>5981</v>
      </c>
      <c r="AU3">
        <f t="shared" si="2"/>
        <v>1278</v>
      </c>
      <c r="AV3">
        <f t="shared" ref="AV3:AV66" si="12">ROUND((((K3*0.5)+O3+S3+AA3)/100)*AP3,0)</f>
        <v>5071</v>
      </c>
      <c r="AW3">
        <f t="shared" ref="AW3:AW66" si="13">ROUND((AU3/(AP3-AT3))*(AP3-AV3),0)</f>
        <v>1365</v>
      </c>
      <c r="AX3" s="3">
        <f t="shared" ref="AX3:AX66" si="14">AP3-AV3-AW3</f>
        <v>12920.8</v>
      </c>
      <c r="AY3">
        <f t="shared" ref="AY3:AY66" si="15">ROUND((0.5*AS3)*AP3,0)</f>
        <v>2991</v>
      </c>
      <c r="AZ3">
        <f t="shared" ref="AZ3:AZ66" si="16">ROUND((AU3/(AP3-AT3))*(AP3-AY3),0)</f>
        <v>1564</v>
      </c>
      <c r="BA3" s="3">
        <f t="shared" ref="BA3:BA66" si="17">AP3-AZ3-AY3</f>
        <v>14801.8</v>
      </c>
    </row>
    <row r="4" spans="1:53" x14ac:dyDescent="0.2">
      <c r="A4">
        <v>1992</v>
      </c>
      <c r="B4" t="s">
        <v>5</v>
      </c>
      <c r="C4" t="s">
        <v>2</v>
      </c>
      <c r="D4">
        <v>10</v>
      </c>
      <c r="E4">
        <v>0</v>
      </c>
      <c r="F4">
        <v>0</v>
      </c>
      <c r="G4">
        <v>1.8</v>
      </c>
      <c r="H4">
        <v>1.9</v>
      </c>
      <c r="I4">
        <v>0.3</v>
      </c>
      <c r="J4">
        <v>0</v>
      </c>
      <c r="K4">
        <f t="shared" si="3"/>
        <v>14.000000000000002</v>
      </c>
      <c r="L4">
        <v>5.3</v>
      </c>
      <c r="M4">
        <v>18.100000000000001</v>
      </c>
      <c r="N4">
        <v>1.8</v>
      </c>
      <c r="O4">
        <f t="shared" si="4"/>
        <v>25.200000000000003</v>
      </c>
      <c r="P4">
        <v>0</v>
      </c>
      <c r="Q4">
        <v>0</v>
      </c>
      <c r="R4">
        <v>0</v>
      </c>
      <c r="S4">
        <f t="shared" si="5"/>
        <v>0</v>
      </c>
      <c r="T4">
        <v>0</v>
      </c>
      <c r="U4">
        <v>0</v>
      </c>
      <c r="V4">
        <v>0</v>
      </c>
      <c r="W4">
        <v>0.2</v>
      </c>
      <c r="X4">
        <v>0</v>
      </c>
      <c r="Y4">
        <v>0</v>
      </c>
      <c r="Z4">
        <v>0</v>
      </c>
      <c r="AA4">
        <f t="shared" si="6"/>
        <v>0.2</v>
      </c>
      <c r="AB4">
        <v>0</v>
      </c>
      <c r="AC4">
        <v>0</v>
      </c>
      <c r="AD4">
        <v>0</v>
      </c>
      <c r="AE4">
        <v>3.7</v>
      </c>
      <c r="AF4">
        <v>1.8</v>
      </c>
      <c r="AG4">
        <v>0</v>
      </c>
      <c r="AH4">
        <v>0</v>
      </c>
      <c r="AI4">
        <v>0</v>
      </c>
      <c r="AJ4">
        <f t="shared" si="7"/>
        <v>5.5</v>
      </c>
      <c r="AK4">
        <v>0</v>
      </c>
      <c r="AL4">
        <v>0.55200000000000005</v>
      </c>
      <c r="AM4">
        <f t="shared" si="8"/>
        <v>0.44900000000000001</v>
      </c>
      <c r="AN4">
        <v>28590</v>
      </c>
      <c r="AO4">
        <v>22015</v>
      </c>
      <c r="AP4" s="3">
        <f t="shared" si="9"/>
        <v>51887.477313974596</v>
      </c>
      <c r="AQ4" s="3">
        <f t="shared" si="10"/>
        <v>39954.627949183305</v>
      </c>
      <c r="AR4">
        <f t="shared" si="11"/>
        <v>0.12249443207126949</v>
      </c>
      <c r="AS4">
        <f t="shared" si="0"/>
        <v>0.39400000000000007</v>
      </c>
      <c r="AT4">
        <f t="shared" si="1"/>
        <v>20444</v>
      </c>
      <c r="AU4">
        <f t="shared" si="2"/>
        <v>2854</v>
      </c>
      <c r="AV4">
        <f t="shared" si="12"/>
        <v>16812</v>
      </c>
      <c r="AW4">
        <f t="shared" si="13"/>
        <v>3184</v>
      </c>
      <c r="AX4" s="3">
        <f t="shared" si="14"/>
        <v>31891.477313974596</v>
      </c>
      <c r="AY4">
        <f t="shared" si="15"/>
        <v>10222</v>
      </c>
      <c r="AZ4">
        <f t="shared" si="16"/>
        <v>3782</v>
      </c>
      <c r="BA4" s="3">
        <f t="shared" si="17"/>
        <v>37883.477313974596</v>
      </c>
    </row>
    <row r="5" spans="1:53" x14ac:dyDescent="0.2">
      <c r="A5">
        <v>1993</v>
      </c>
      <c r="B5" t="s">
        <v>5</v>
      </c>
      <c r="C5" t="s">
        <v>2</v>
      </c>
      <c r="D5">
        <v>10</v>
      </c>
      <c r="E5">
        <v>1.4</v>
      </c>
      <c r="F5">
        <v>0.6</v>
      </c>
      <c r="G5">
        <v>4.5999999999999996</v>
      </c>
      <c r="H5">
        <v>2.1</v>
      </c>
      <c r="I5">
        <v>0.4</v>
      </c>
      <c r="J5">
        <v>0</v>
      </c>
      <c r="K5">
        <f t="shared" si="3"/>
        <v>19.100000000000001</v>
      </c>
      <c r="L5">
        <v>1.2</v>
      </c>
      <c r="M5">
        <v>12.8</v>
      </c>
      <c r="N5">
        <v>1.6</v>
      </c>
      <c r="O5">
        <f t="shared" si="4"/>
        <v>15.6</v>
      </c>
      <c r="P5">
        <v>0</v>
      </c>
      <c r="Q5">
        <v>0</v>
      </c>
      <c r="R5">
        <v>0</v>
      </c>
      <c r="S5">
        <f t="shared" si="5"/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f t="shared" si="6"/>
        <v>0</v>
      </c>
      <c r="AB5">
        <v>0</v>
      </c>
      <c r="AC5">
        <v>0</v>
      </c>
      <c r="AD5">
        <v>0</v>
      </c>
      <c r="AE5">
        <v>2.2000000000000002</v>
      </c>
      <c r="AF5">
        <v>2.1</v>
      </c>
      <c r="AG5">
        <v>0</v>
      </c>
      <c r="AH5">
        <v>0</v>
      </c>
      <c r="AI5">
        <v>0</v>
      </c>
      <c r="AJ5">
        <f t="shared" si="7"/>
        <v>4.3000000000000007</v>
      </c>
      <c r="AK5">
        <v>0</v>
      </c>
      <c r="AL5">
        <v>0.61</v>
      </c>
      <c r="AM5">
        <f t="shared" si="8"/>
        <v>0.39</v>
      </c>
      <c r="AN5">
        <v>30824</v>
      </c>
      <c r="AO5">
        <v>20961</v>
      </c>
      <c r="AP5" s="3">
        <f t="shared" si="9"/>
        <v>50531.147540983606</v>
      </c>
      <c r="AQ5" s="3">
        <f t="shared" si="10"/>
        <v>34362.295081967211</v>
      </c>
      <c r="AR5">
        <f t="shared" si="11"/>
        <v>0.11025641025641028</v>
      </c>
      <c r="AS5">
        <f t="shared" si="0"/>
        <v>0.34700000000000003</v>
      </c>
      <c r="AT5">
        <f t="shared" si="1"/>
        <v>17534</v>
      </c>
      <c r="AU5">
        <f t="shared" si="2"/>
        <v>2173</v>
      </c>
      <c r="AV5">
        <f t="shared" si="12"/>
        <v>12709</v>
      </c>
      <c r="AW5">
        <f t="shared" si="13"/>
        <v>2491</v>
      </c>
      <c r="AX5" s="3">
        <f t="shared" si="14"/>
        <v>35331.147540983606</v>
      </c>
      <c r="AY5">
        <f t="shared" si="15"/>
        <v>8767</v>
      </c>
      <c r="AZ5">
        <f t="shared" si="16"/>
        <v>2750</v>
      </c>
      <c r="BA5" s="3">
        <f t="shared" si="17"/>
        <v>39014.147540983606</v>
      </c>
    </row>
    <row r="6" spans="1:53" x14ac:dyDescent="0.2">
      <c r="A6">
        <v>1994</v>
      </c>
      <c r="B6" t="s">
        <v>5</v>
      </c>
      <c r="C6" t="s">
        <v>2</v>
      </c>
      <c r="D6">
        <v>7.5</v>
      </c>
      <c r="E6">
        <v>0.2</v>
      </c>
      <c r="F6">
        <v>0.3</v>
      </c>
      <c r="G6">
        <v>1.5</v>
      </c>
      <c r="H6">
        <v>1.8</v>
      </c>
      <c r="I6">
        <v>0</v>
      </c>
      <c r="J6">
        <v>0</v>
      </c>
      <c r="K6">
        <f t="shared" si="3"/>
        <v>11.3</v>
      </c>
      <c r="L6">
        <v>2.6</v>
      </c>
      <c r="M6">
        <v>18.2</v>
      </c>
      <c r="N6">
        <v>0.6</v>
      </c>
      <c r="O6">
        <f t="shared" si="4"/>
        <v>21.400000000000002</v>
      </c>
      <c r="P6">
        <v>0</v>
      </c>
      <c r="Q6">
        <v>0</v>
      </c>
      <c r="R6">
        <v>0</v>
      </c>
      <c r="S6">
        <f t="shared" si="5"/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f t="shared" si="6"/>
        <v>0</v>
      </c>
      <c r="AB6">
        <v>0</v>
      </c>
      <c r="AC6">
        <v>0</v>
      </c>
      <c r="AD6">
        <v>0</v>
      </c>
      <c r="AE6">
        <v>2.2999999999999998</v>
      </c>
      <c r="AF6">
        <v>1</v>
      </c>
      <c r="AG6">
        <v>0</v>
      </c>
      <c r="AH6">
        <v>0</v>
      </c>
      <c r="AI6">
        <v>0</v>
      </c>
      <c r="AJ6">
        <f t="shared" si="7"/>
        <v>3.3</v>
      </c>
      <c r="AK6">
        <v>0</v>
      </c>
      <c r="AL6">
        <v>0.64</v>
      </c>
      <c r="AM6">
        <f t="shared" si="8"/>
        <v>0.36</v>
      </c>
      <c r="AN6">
        <v>24514</v>
      </c>
      <c r="AO6">
        <v>12257</v>
      </c>
      <c r="AP6" s="3">
        <f t="shared" si="9"/>
        <v>38303.125</v>
      </c>
      <c r="AQ6" s="3">
        <f t="shared" si="10"/>
        <v>19151.5625</v>
      </c>
      <c r="AR6">
        <f t="shared" si="11"/>
        <v>9.1666666666666674E-2</v>
      </c>
      <c r="AS6">
        <f t="shared" si="0"/>
        <v>0.32700000000000001</v>
      </c>
      <c r="AT6">
        <f t="shared" si="1"/>
        <v>12525</v>
      </c>
      <c r="AU6">
        <f t="shared" si="2"/>
        <v>1264</v>
      </c>
      <c r="AV6">
        <f t="shared" si="12"/>
        <v>10361</v>
      </c>
      <c r="AW6">
        <f t="shared" si="13"/>
        <v>1370</v>
      </c>
      <c r="AX6" s="3">
        <f t="shared" si="14"/>
        <v>26572.125</v>
      </c>
      <c r="AY6">
        <f t="shared" si="15"/>
        <v>6263</v>
      </c>
      <c r="AZ6">
        <f t="shared" si="16"/>
        <v>1571</v>
      </c>
      <c r="BA6" s="3">
        <f t="shared" si="17"/>
        <v>30469.125</v>
      </c>
    </row>
    <row r="7" spans="1:53" x14ac:dyDescent="0.2">
      <c r="A7">
        <v>1995</v>
      </c>
      <c r="B7" t="s">
        <v>5</v>
      </c>
      <c r="C7" t="s">
        <v>2</v>
      </c>
      <c r="D7">
        <v>4.4000000000000004</v>
      </c>
      <c r="E7">
        <v>0.1</v>
      </c>
      <c r="F7">
        <v>1.2</v>
      </c>
      <c r="G7">
        <v>1.1000000000000001</v>
      </c>
      <c r="H7">
        <v>2.8</v>
      </c>
      <c r="I7">
        <v>0</v>
      </c>
      <c r="J7">
        <v>0</v>
      </c>
      <c r="K7">
        <f t="shared" si="3"/>
        <v>9.6000000000000014</v>
      </c>
      <c r="L7">
        <v>0.3</v>
      </c>
      <c r="M7">
        <v>15.3</v>
      </c>
      <c r="N7">
        <v>0.6</v>
      </c>
      <c r="O7">
        <f t="shared" si="4"/>
        <v>16.200000000000003</v>
      </c>
      <c r="P7">
        <v>0</v>
      </c>
      <c r="Q7">
        <v>0</v>
      </c>
      <c r="R7">
        <v>0</v>
      </c>
      <c r="S7">
        <f t="shared" si="5"/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f t="shared" si="6"/>
        <v>0</v>
      </c>
      <c r="AB7">
        <v>0</v>
      </c>
      <c r="AC7">
        <v>0</v>
      </c>
      <c r="AD7">
        <v>0</v>
      </c>
      <c r="AE7">
        <v>5.2</v>
      </c>
      <c r="AF7">
        <v>3.4</v>
      </c>
      <c r="AG7">
        <v>0</v>
      </c>
      <c r="AH7">
        <v>0</v>
      </c>
      <c r="AI7">
        <v>0</v>
      </c>
      <c r="AJ7">
        <f t="shared" si="7"/>
        <v>8.6</v>
      </c>
      <c r="AK7">
        <v>0</v>
      </c>
      <c r="AL7">
        <v>0.65599999999999992</v>
      </c>
      <c r="AM7">
        <f t="shared" si="8"/>
        <v>0.34400000000000008</v>
      </c>
      <c r="AN7">
        <v>20376</v>
      </c>
      <c r="AO7">
        <v>8150</v>
      </c>
      <c r="AP7" s="3">
        <f t="shared" si="9"/>
        <v>31060.9756097561</v>
      </c>
      <c r="AQ7" s="3">
        <f t="shared" si="10"/>
        <v>12423.780487804879</v>
      </c>
      <c r="AR7">
        <f t="shared" si="11"/>
        <v>0.24999999999999992</v>
      </c>
      <c r="AS7">
        <f t="shared" si="0"/>
        <v>0.25800000000000006</v>
      </c>
      <c r="AT7">
        <f t="shared" si="1"/>
        <v>8014</v>
      </c>
      <c r="AU7">
        <f t="shared" si="2"/>
        <v>2671</v>
      </c>
      <c r="AV7">
        <f t="shared" si="12"/>
        <v>6523</v>
      </c>
      <c r="AW7">
        <f t="shared" si="13"/>
        <v>2844</v>
      </c>
      <c r="AX7" s="3">
        <f t="shared" si="14"/>
        <v>21693.9756097561</v>
      </c>
      <c r="AY7">
        <f t="shared" si="15"/>
        <v>4007</v>
      </c>
      <c r="AZ7">
        <f t="shared" si="16"/>
        <v>3135</v>
      </c>
      <c r="BA7" s="3">
        <f t="shared" si="17"/>
        <v>23918.9756097561</v>
      </c>
    </row>
    <row r="8" spans="1:53" x14ac:dyDescent="0.2">
      <c r="A8">
        <v>1996</v>
      </c>
      <c r="B8" t="s">
        <v>5</v>
      </c>
      <c r="C8" t="s">
        <v>2</v>
      </c>
      <c r="D8">
        <v>2.6</v>
      </c>
      <c r="E8">
        <v>0</v>
      </c>
      <c r="F8">
        <v>0.9</v>
      </c>
      <c r="G8">
        <v>0.2</v>
      </c>
      <c r="H8">
        <v>0.6</v>
      </c>
      <c r="I8">
        <v>0</v>
      </c>
      <c r="J8">
        <v>0</v>
      </c>
      <c r="K8">
        <f t="shared" si="3"/>
        <v>4.3</v>
      </c>
      <c r="L8">
        <v>0</v>
      </c>
      <c r="M8">
        <v>11</v>
      </c>
      <c r="N8">
        <v>1.2</v>
      </c>
      <c r="O8">
        <f t="shared" si="4"/>
        <v>12.2</v>
      </c>
      <c r="P8">
        <v>0</v>
      </c>
      <c r="Q8">
        <v>0</v>
      </c>
      <c r="R8">
        <v>0</v>
      </c>
      <c r="S8">
        <f t="shared" si="5"/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f t="shared" si="6"/>
        <v>0</v>
      </c>
      <c r="AB8">
        <v>0</v>
      </c>
      <c r="AC8">
        <v>0</v>
      </c>
      <c r="AD8">
        <v>0</v>
      </c>
      <c r="AE8">
        <v>5.3</v>
      </c>
      <c r="AF8">
        <v>5.7</v>
      </c>
      <c r="AG8">
        <v>0</v>
      </c>
      <c r="AH8">
        <v>0</v>
      </c>
      <c r="AI8">
        <v>0</v>
      </c>
      <c r="AJ8">
        <f t="shared" si="7"/>
        <v>11</v>
      </c>
      <c r="AK8">
        <v>0</v>
      </c>
      <c r="AL8">
        <v>0.72499999999999998</v>
      </c>
      <c r="AM8">
        <f t="shared" si="8"/>
        <v>0.27500000000000002</v>
      </c>
      <c r="AN8">
        <v>18067</v>
      </c>
      <c r="AO8">
        <v>5962</v>
      </c>
      <c r="AP8" s="3">
        <f t="shared" si="9"/>
        <v>24920</v>
      </c>
      <c r="AQ8" s="3">
        <f t="shared" si="10"/>
        <v>8223.4482758620688</v>
      </c>
      <c r="AR8">
        <f t="shared" si="11"/>
        <v>0.39999999999999997</v>
      </c>
      <c r="AS8">
        <f t="shared" si="0"/>
        <v>0.16500000000000001</v>
      </c>
      <c r="AT8">
        <f t="shared" si="1"/>
        <v>4112</v>
      </c>
      <c r="AU8">
        <f t="shared" si="2"/>
        <v>2741</v>
      </c>
      <c r="AV8">
        <f t="shared" si="12"/>
        <v>3576</v>
      </c>
      <c r="AW8">
        <f t="shared" si="13"/>
        <v>2812</v>
      </c>
      <c r="AX8" s="3">
        <f t="shared" si="14"/>
        <v>18532</v>
      </c>
      <c r="AY8">
        <f t="shared" si="15"/>
        <v>2056</v>
      </c>
      <c r="AZ8">
        <f t="shared" si="16"/>
        <v>3012</v>
      </c>
      <c r="BA8" s="3">
        <f t="shared" si="17"/>
        <v>19852</v>
      </c>
    </row>
    <row r="9" spans="1:53" x14ac:dyDescent="0.2">
      <c r="A9">
        <v>1997</v>
      </c>
      <c r="B9" t="s">
        <v>5</v>
      </c>
      <c r="C9" t="s">
        <v>2</v>
      </c>
      <c r="D9">
        <v>4.4000000000000004</v>
      </c>
      <c r="E9">
        <v>0</v>
      </c>
      <c r="F9">
        <v>2.6</v>
      </c>
      <c r="G9">
        <v>0.2</v>
      </c>
      <c r="H9">
        <v>3.3</v>
      </c>
      <c r="I9">
        <v>0</v>
      </c>
      <c r="J9">
        <v>0</v>
      </c>
      <c r="K9">
        <f t="shared" si="3"/>
        <v>10.5</v>
      </c>
      <c r="L9">
        <v>0.5</v>
      </c>
      <c r="M9">
        <v>9.4</v>
      </c>
      <c r="N9">
        <v>0.8</v>
      </c>
      <c r="O9">
        <f t="shared" si="4"/>
        <v>10.700000000000001</v>
      </c>
      <c r="P9">
        <v>0</v>
      </c>
      <c r="Q9">
        <v>0</v>
      </c>
      <c r="R9">
        <v>0</v>
      </c>
      <c r="S9">
        <f t="shared" si="5"/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f t="shared" si="6"/>
        <v>0</v>
      </c>
      <c r="AB9">
        <v>0</v>
      </c>
      <c r="AC9">
        <v>0</v>
      </c>
      <c r="AD9">
        <v>0</v>
      </c>
      <c r="AE9">
        <v>8.3000000000000007</v>
      </c>
      <c r="AF9">
        <v>4.4000000000000004</v>
      </c>
      <c r="AG9">
        <v>0</v>
      </c>
      <c r="AH9">
        <v>0</v>
      </c>
      <c r="AI9">
        <v>0</v>
      </c>
      <c r="AJ9">
        <f t="shared" si="7"/>
        <v>12.700000000000001</v>
      </c>
      <c r="AK9">
        <v>0</v>
      </c>
      <c r="AL9">
        <v>0.66200000000000003</v>
      </c>
      <c r="AM9">
        <f t="shared" si="8"/>
        <v>0.33900000000000008</v>
      </c>
      <c r="AN9">
        <v>9788</v>
      </c>
      <c r="AO9">
        <v>4013</v>
      </c>
      <c r="AP9" s="3">
        <f t="shared" si="9"/>
        <v>14807.866868381243</v>
      </c>
      <c r="AQ9" s="3">
        <f t="shared" si="10"/>
        <v>6071.1043872919827</v>
      </c>
      <c r="AR9">
        <f t="shared" si="11"/>
        <v>0.37463126843657807</v>
      </c>
      <c r="AS9">
        <f t="shared" si="0"/>
        <v>0.21200000000000002</v>
      </c>
      <c r="AT9">
        <f t="shared" si="1"/>
        <v>3139</v>
      </c>
      <c r="AU9">
        <f t="shared" si="2"/>
        <v>1881</v>
      </c>
      <c r="AV9">
        <f t="shared" si="12"/>
        <v>2362</v>
      </c>
      <c r="AW9">
        <f t="shared" si="13"/>
        <v>2006</v>
      </c>
      <c r="AX9" s="3">
        <f t="shared" si="14"/>
        <v>10439.866868381243</v>
      </c>
      <c r="AY9">
        <f t="shared" si="15"/>
        <v>1570</v>
      </c>
      <c r="AZ9">
        <f t="shared" si="16"/>
        <v>2134</v>
      </c>
      <c r="BA9" s="3">
        <f t="shared" si="17"/>
        <v>11103.866868381243</v>
      </c>
    </row>
    <row r="10" spans="1:53" x14ac:dyDescent="0.2">
      <c r="A10">
        <v>1998</v>
      </c>
      <c r="B10" t="s">
        <v>5</v>
      </c>
      <c r="C10" t="s">
        <v>2</v>
      </c>
      <c r="D10">
        <v>7.3</v>
      </c>
      <c r="E10">
        <v>0</v>
      </c>
      <c r="F10">
        <v>0.4</v>
      </c>
      <c r="G10">
        <v>0</v>
      </c>
      <c r="H10">
        <v>5</v>
      </c>
      <c r="I10">
        <v>0</v>
      </c>
      <c r="J10">
        <v>0</v>
      </c>
      <c r="K10">
        <f t="shared" si="3"/>
        <v>12.7</v>
      </c>
      <c r="L10">
        <v>0</v>
      </c>
      <c r="M10">
        <v>13</v>
      </c>
      <c r="N10">
        <v>1.2</v>
      </c>
      <c r="O10">
        <f t="shared" si="4"/>
        <v>14.2</v>
      </c>
      <c r="P10">
        <v>0</v>
      </c>
      <c r="Q10">
        <v>0</v>
      </c>
      <c r="R10">
        <v>0.2</v>
      </c>
      <c r="S10">
        <f t="shared" si="5"/>
        <v>0.2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f t="shared" si="6"/>
        <v>0</v>
      </c>
      <c r="AB10">
        <v>0</v>
      </c>
      <c r="AC10">
        <v>0</v>
      </c>
      <c r="AD10">
        <v>0</v>
      </c>
      <c r="AE10">
        <v>10.1</v>
      </c>
      <c r="AF10">
        <v>3.3</v>
      </c>
      <c r="AG10">
        <v>0</v>
      </c>
      <c r="AH10">
        <v>0</v>
      </c>
      <c r="AI10">
        <v>0</v>
      </c>
      <c r="AJ10">
        <f t="shared" si="7"/>
        <v>13.399999999999999</v>
      </c>
      <c r="AK10">
        <v>0</v>
      </c>
      <c r="AL10">
        <v>0.59499999999999997</v>
      </c>
      <c r="AM10">
        <f t="shared" si="8"/>
        <v>0.40499999999999992</v>
      </c>
      <c r="AN10">
        <v>11719</v>
      </c>
      <c r="AO10">
        <v>6094</v>
      </c>
      <c r="AP10" s="3">
        <f t="shared" si="9"/>
        <v>19695.798319327729</v>
      </c>
      <c r="AQ10" s="3">
        <f t="shared" si="10"/>
        <v>10242.016806722688</v>
      </c>
      <c r="AR10">
        <f t="shared" si="11"/>
        <v>0.33086419753086421</v>
      </c>
      <c r="AS10">
        <f t="shared" si="0"/>
        <v>0.27099999999999996</v>
      </c>
      <c r="AT10">
        <f t="shared" si="1"/>
        <v>5338</v>
      </c>
      <c r="AU10">
        <f t="shared" si="2"/>
        <v>2639</v>
      </c>
      <c r="AV10">
        <f t="shared" si="12"/>
        <v>4087</v>
      </c>
      <c r="AW10">
        <f t="shared" si="13"/>
        <v>2869</v>
      </c>
      <c r="AX10" s="3">
        <f t="shared" si="14"/>
        <v>12739.798319327729</v>
      </c>
      <c r="AY10">
        <f t="shared" si="15"/>
        <v>2669</v>
      </c>
      <c r="AZ10">
        <f t="shared" si="16"/>
        <v>3130</v>
      </c>
      <c r="BA10" s="3">
        <f t="shared" si="17"/>
        <v>13896.798319327729</v>
      </c>
    </row>
    <row r="11" spans="1:53" x14ac:dyDescent="0.2">
      <c r="A11">
        <v>1999</v>
      </c>
      <c r="B11" t="s">
        <v>5</v>
      </c>
      <c r="C11" t="s">
        <v>2</v>
      </c>
      <c r="D11">
        <v>5.8</v>
      </c>
      <c r="E11">
        <v>0</v>
      </c>
      <c r="F11">
        <v>2.1</v>
      </c>
      <c r="G11">
        <v>0</v>
      </c>
      <c r="H11">
        <v>3</v>
      </c>
      <c r="I11">
        <v>0</v>
      </c>
      <c r="J11">
        <v>0</v>
      </c>
      <c r="K11">
        <f t="shared" si="3"/>
        <v>10.9</v>
      </c>
      <c r="L11">
        <v>0</v>
      </c>
      <c r="M11">
        <v>7.2</v>
      </c>
      <c r="N11">
        <v>1.4</v>
      </c>
      <c r="O11">
        <f t="shared" si="4"/>
        <v>8.6</v>
      </c>
      <c r="P11">
        <v>0</v>
      </c>
      <c r="Q11">
        <v>0</v>
      </c>
      <c r="R11">
        <v>0</v>
      </c>
      <c r="S11">
        <f t="shared" si="5"/>
        <v>0</v>
      </c>
      <c r="T11">
        <v>0.2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f t="shared" si="6"/>
        <v>0.2</v>
      </c>
      <c r="AB11">
        <v>0</v>
      </c>
      <c r="AC11">
        <v>0</v>
      </c>
      <c r="AD11">
        <v>0</v>
      </c>
      <c r="AE11">
        <v>4.4000000000000004</v>
      </c>
      <c r="AF11">
        <v>3.7</v>
      </c>
      <c r="AG11">
        <v>0</v>
      </c>
      <c r="AH11">
        <v>0</v>
      </c>
      <c r="AI11">
        <v>0</v>
      </c>
      <c r="AJ11">
        <f t="shared" si="7"/>
        <v>8.1000000000000014</v>
      </c>
      <c r="AK11">
        <v>0</v>
      </c>
      <c r="AL11">
        <v>0.72199999999999998</v>
      </c>
      <c r="AM11">
        <f t="shared" si="8"/>
        <v>0.27800000000000002</v>
      </c>
      <c r="AN11">
        <v>14398</v>
      </c>
      <c r="AO11">
        <v>7199</v>
      </c>
      <c r="AP11" s="3">
        <f t="shared" si="9"/>
        <v>19941.828254847645</v>
      </c>
      <c r="AQ11" s="3">
        <f t="shared" si="10"/>
        <v>9970.9141274238227</v>
      </c>
      <c r="AR11">
        <f t="shared" si="11"/>
        <v>0.29136690647482016</v>
      </c>
      <c r="AS11">
        <f t="shared" si="0"/>
        <v>0.19699999999999998</v>
      </c>
      <c r="AT11">
        <f t="shared" si="1"/>
        <v>3929</v>
      </c>
      <c r="AU11">
        <f t="shared" si="2"/>
        <v>1615</v>
      </c>
      <c r="AV11">
        <f t="shared" si="12"/>
        <v>2842</v>
      </c>
      <c r="AW11">
        <f t="shared" si="13"/>
        <v>1725</v>
      </c>
      <c r="AX11" s="3">
        <f t="shared" si="14"/>
        <v>15374.828254847645</v>
      </c>
      <c r="AY11">
        <f t="shared" si="15"/>
        <v>1964</v>
      </c>
      <c r="AZ11">
        <f t="shared" si="16"/>
        <v>1813</v>
      </c>
      <c r="BA11" s="3">
        <f t="shared" si="17"/>
        <v>16164.828254847645</v>
      </c>
    </row>
    <row r="12" spans="1:53" x14ac:dyDescent="0.2">
      <c r="A12">
        <v>2000</v>
      </c>
      <c r="B12" t="s">
        <v>5</v>
      </c>
      <c r="C12" t="s">
        <v>2</v>
      </c>
      <c r="D12">
        <v>6.4</v>
      </c>
      <c r="E12">
        <v>0.1</v>
      </c>
      <c r="F12">
        <v>0</v>
      </c>
      <c r="G12">
        <v>0</v>
      </c>
      <c r="H12">
        <v>3.7</v>
      </c>
      <c r="I12">
        <v>0</v>
      </c>
      <c r="J12">
        <v>0</v>
      </c>
      <c r="K12">
        <f t="shared" si="3"/>
        <v>10.199999999999999</v>
      </c>
      <c r="L12">
        <v>0</v>
      </c>
      <c r="M12">
        <v>7</v>
      </c>
      <c r="N12">
        <v>0</v>
      </c>
      <c r="O12">
        <f t="shared" si="4"/>
        <v>7</v>
      </c>
      <c r="P12">
        <v>0</v>
      </c>
      <c r="Q12">
        <v>0</v>
      </c>
      <c r="R12">
        <v>0</v>
      </c>
      <c r="S12">
        <f t="shared" si="5"/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f t="shared" si="6"/>
        <v>0</v>
      </c>
      <c r="AB12">
        <v>0</v>
      </c>
      <c r="AC12">
        <v>0</v>
      </c>
      <c r="AD12">
        <v>0</v>
      </c>
      <c r="AE12">
        <v>7.6</v>
      </c>
      <c r="AF12">
        <v>4.0999999999999996</v>
      </c>
      <c r="AG12">
        <v>0</v>
      </c>
      <c r="AH12">
        <v>0</v>
      </c>
      <c r="AI12">
        <v>0</v>
      </c>
      <c r="AJ12">
        <f t="shared" si="7"/>
        <v>11.7</v>
      </c>
      <c r="AK12">
        <v>0</v>
      </c>
      <c r="AL12">
        <v>0.71099999999999997</v>
      </c>
      <c r="AM12">
        <f t="shared" si="8"/>
        <v>0.28900000000000003</v>
      </c>
      <c r="AN12">
        <v>15096</v>
      </c>
      <c r="AO12">
        <v>9964</v>
      </c>
      <c r="AP12" s="3">
        <f t="shared" si="9"/>
        <v>21232.067510548524</v>
      </c>
      <c r="AQ12" s="3">
        <f t="shared" si="10"/>
        <v>14014.064697609003</v>
      </c>
      <c r="AR12">
        <f t="shared" si="11"/>
        <v>0.40484429065743938</v>
      </c>
      <c r="AS12">
        <f t="shared" si="0"/>
        <v>0.17199999999999999</v>
      </c>
      <c r="AT12">
        <f t="shared" si="1"/>
        <v>3652</v>
      </c>
      <c r="AU12">
        <f t="shared" si="2"/>
        <v>2484</v>
      </c>
      <c r="AV12">
        <f t="shared" si="12"/>
        <v>2569</v>
      </c>
      <c r="AW12">
        <f t="shared" si="13"/>
        <v>2637</v>
      </c>
      <c r="AX12" s="3">
        <f t="shared" si="14"/>
        <v>16026.067510548524</v>
      </c>
      <c r="AY12">
        <f t="shared" si="15"/>
        <v>1826</v>
      </c>
      <c r="AZ12">
        <f t="shared" si="16"/>
        <v>2742</v>
      </c>
      <c r="BA12" s="3">
        <f t="shared" si="17"/>
        <v>16664.067510548524</v>
      </c>
    </row>
    <row r="13" spans="1:53" x14ac:dyDescent="0.2">
      <c r="A13">
        <v>2001</v>
      </c>
      <c r="B13" t="s">
        <v>5</v>
      </c>
      <c r="C13" t="s">
        <v>2</v>
      </c>
      <c r="D13">
        <v>6.7</v>
      </c>
      <c r="E13">
        <v>0</v>
      </c>
      <c r="F13">
        <v>2</v>
      </c>
      <c r="G13">
        <v>0</v>
      </c>
      <c r="H13">
        <v>2.2000000000000002</v>
      </c>
      <c r="I13">
        <v>0.4</v>
      </c>
      <c r="J13">
        <v>0</v>
      </c>
      <c r="K13">
        <f t="shared" si="3"/>
        <v>11.299999999999999</v>
      </c>
      <c r="L13">
        <v>0</v>
      </c>
      <c r="M13">
        <v>12.9</v>
      </c>
      <c r="N13">
        <v>0.9</v>
      </c>
      <c r="O13">
        <f t="shared" si="4"/>
        <v>13.8</v>
      </c>
      <c r="P13">
        <v>0</v>
      </c>
      <c r="Q13">
        <v>0</v>
      </c>
      <c r="R13">
        <v>0</v>
      </c>
      <c r="S13">
        <f t="shared" si="5"/>
        <v>0</v>
      </c>
      <c r="T13">
        <v>0</v>
      </c>
      <c r="U13">
        <v>0.1</v>
      </c>
      <c r="V13">
        <v>0</v>
      </c>
      <c r="W13">
        <v>0</v>
      </c>
      <c r="X13">
        <v>0</v>
      </c>
      <c r="Y13">
        <v>0</v>
      </c>
      <c r="Z13">
        <v>0</v>
      </c>
      <c r="AA13">
        <f t="shared" si="6"/>
        <v>0.1</v>
      </c>
      <c r="AB13">
        <v>0</v>
      </c>
      <c r="AC13">
        <v>0</v>
      </c>
      <c r="AD13">
        <v>0</v>
      </c>
      <c r="AE13">
        <v>8.6</v>
      </c>
      <c r="AF13">
        <v>4.7</v>
      </c>
      <c r="AG13">
        <v>0</v>
      </c>
      <c r="AH13">
        <v>0</v>
      </c>
      <c r="AI13">
        <v>0</v>
      </c>
      <c r="AJ13">
        <f t="shared" si="7"/>
        <v>13.3</v>
      </c>
      <c r="AK13">
        <v>0</v>
      </c>
      <c r="AL13">
        <v>0.61599999999999999</v>
      </c>
      <c r="AM13">
        <f t="shared" si="8"/>
        <v>0.38500000000000001</v>
      </c>
      <c r="AN13">
        <v>20929</v>
      </c>
      <c r="AO13">
        <v>16743</v>
      </c>
      <c r="AP13" s="3">
        <f t="shared" si="9"/>
        <v>34030.89430894309</v>
      </c>
      <c r="AQ13" s="3">
        <f t="shared" si="10"/>
        <v>27224.390243902439</v>
      </c>
      <c r="AR13">
        <f t="shared" si="11"/>
        <v>0.34545454545454546</v>
      </c>
      <c r="AS13">
        <f t="shared" si="0"/>
        <v>0.252</v>
      </c>
      <c r="AT13">
        <f t="shared" si="1"/>
        <v>8576</v>
      </c>
      <c r="AU13">
        <f t="shared" si="2"/>
        <v>4526</v>
      </c>
      <c r="AV13">
        <f t="shared" si="12"/>
        <v>6653</v>
      </c>
      <c r="AW13">
        <f t="shared" si="13"/>
        <v>4868</v>
      </c>
      <c r="AX13" s="3">
        <f t="shared" si="14"/>
        <v>22509.89430894309</v>
      </c>
      <c r="AY13">
        <f t="shared" si="15"/>
        <v>4288</v>
      </c>
      <c r="AZ13">
        <f t="shared" si="16"/>
        <v>5288</v>
      </c>
      <c r="BA13" s="3">
        <f t="shared" si="17"/>
        <v>24454.89430894309</v>
      </c>
    </row>
    <row r="14" spans="1:53" x14ac:dyDescent="0.2">
      <c r="A14">
        <v>2002</v>
      </c>
      <c r="B14" t="s">
        <v>5</v>
      </c>
      <c r="C14" t="s">
        <v>2</v>
      </c>
      <c r="D14">
        <v>5.0999999999999996</v>
      </c>
      <c r="E14">
        <v>0.1</v>
      </c>
      <c r="F14">
        <v>0.4</v>
      </c>
      <c r="G14">
        <v>9</v>
      </c>
      <c r="H14">
        <v>4.0999999999999996</v>
      </c>
      <c r="I14">
        <v>0.8</v>
      </c>
      <c r="J14">
        <v>0</v>
      </c>
      <c r="K14">
        <f t="shared" si="3"/>
        <v>19.5</v>
      </c>
      <c r="L14">
        <v>0</v>
      </c>
      <c r="M14">
        <v>15.7</v>
      </c>
      <c r="N14">
        <v>3.3</v>
      </c>
      <c r="O14">
        <f t="shared" si="4"/>
        <v>19</v>
      </c>
      <c r="P14">
        <v>0</v>
      </c>
      <c r="Q14">
        <v>0</v>
      </c>
      <c r="R14">
        <v>0</v>
      </c>
      <c r="S14">
        <f t="shared" si="5"/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f t="shared" si="6"/>
        <v>0</v>
      </c>
      <c r="AB14">
        <v>0</v>
      </c>
      <c r="AC14">
        <v>0</v>
      </c>
      <c r="AD14">
        <v>0</v>
      </c>
      <c r="AE14">
        <v>7.1</v>
      </c>
      <c r="AF14">
        <v>2.1</v>
      </c>
      <c r="AG14">
        <v>0</v>
      </c>
      <c r="AH14">
        <v>0</v>
      </c>
      <c r="AI14">
        <v>0</v>
      </c>
      <c r="AJ14">
        <f t="shared" si="7"/>
        <v>9.1999999999999993</v>
      </c>
      <c r="AK14">
        <v>0</v>
      </c>
      <c r="AL14">
        <v>0.52200000000000002</v>
      </c>
      <c r="AM14">
        <f t="shared" si="8"/>
        <v>0.47699999999999998</v>
      </c>
      <c r="AN14">
        <v>10427</v>
      </c>
      <c r="AO14">
        <v>8550</v>
      </c>
      <c r="AP14" s="3">
        <f t="shared" si="9"/>
        <v>19936.902485659655</v>
      </c>
      <c r="AQ14" s="3">
        <f t="shared" si="10"/>
        <v>16347.992351816443</v>
      </c>
      <c r="AR14">
        <f t="shared" si="11"/>
        <v>0.19287211740041929</v>
      </c>
      <c r="AS14">
        <f t="shared" si="0"/>
        <v>0.38500000000000001</v>
      </c>
      <c r="AT14">
        <f t="shared" si="1"/>
        <v>7676</v>
      </c>
      <c r="AU14">
        <f t="shared" si="2"/>
        <v>1834</v>
      </c>
      <c r="AV14">
        <f t="shared" si="12"/>
        <v>5732</v>
      </c>
      <c r="AW14">
        <f t="shared" si="13"/>
        <v>2125</v>
      </c>
      <c r="AX14" s="3">
        <f t="shared" si="14"/>
        <v>12079.902485659655</v>
      </c>
      <c r="AY14">
        <f t="shared" si="15"/>
        <v>3838</v>
      </c>
      <c r="AZ14">
        <f t="shared" si="16"/>
        <v>2408</v>
      </c>
      <c r="BA14" s="3">
        <f t="shared" si="17"/>
        <v>13690.902485659655</v>
      </c>
    </row>
    <row r="15" spans="1:53" x14ac:dyDescent="0.2">
      <c r="A15">
        <v>2003</v>
      </c>
      <c r="B15" t="s">
        <v>5</v>
      </c>
      <c r="C15" t="s">
        <v>2</v>
      </c>
      <c r="D15">
        <v>5.0999999999999996</v>
      </c>
      <c r="E15">
        <v>0.1</v>
      </c>
      <c r="F15">
        <v>0</v>
      </c>
      <c r="G15">
        <v>3</v>
      </c>
      <c r="H15">
        <v>6.5</v>
      </c>
      <c r="I15">
        <v>0</v>
      </c>
      <c r="J15">
        <v>0</v>
      </c>
      <c r="K15">
        <f t="shared" si="3"/>
        <v>14.7</v>
      </c>
      <c r="L15">
        <v>0</v>
      </c>
      <c r="M15">
        <v>24.2</v>
      </c>
      <c r="N15">
        <v>8.6999999999999993</v>
      </c>
      <c r="O15">
        <f t="shared" si="4"/>
        <v>32.9</v>
      </c>
      <c r="P15">
        <v>0</v>
      </c>
      <c r="Q15">
        <v>0</v>
      </c>
      <c r="R15">
        <v>0</v>
      </c>
      <c r="S15">
        <f t="shared" si="5"/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f t="shared" si="6"/>
        <v>0</v>
      </c>
      <c r="AB15">
        <v>0</v>
      </c>
      <c r="AC15">
        <v>0</v>
      </c>
      <c r="AD15">
        <v>0</v>
      </c>
      <c r="AE15">
        <v>8.1999999999999993</v>
      </c>
      <c r="AF15">
        <v>1.9</v>
      </c>
      <c r="AG15">
        <v>0</v>
      </c>
      <c r="AH15">
        <v>0</v>
      </c>
      <c r="AI15">
        <v>0</v>
      </c>
      <c r="AJ15">
        <f t="shared" si="7"/>
        <v>10.1</v>
      </c>
      <c r="AK15">
        <v>0</v>
      </c>
      <c r="AL15">
        <v>0.42200000000000004</v>
      </c>
      <c r="AM15">
        <f t="shared" si="8"/>
        <v>0.57700000000000007</v>
      </c>
      <c r="AN15">
        <v>11925</v>
      </c>
      <c r="AO15">
        <v>10136</v>
      </c>
      <c r="AP15" s="3">
        <f t="shared" si="9"/>
        <v>28191.489361702133</v>
      </c>
      <c r="AQ15" s="3">
        <f t="shared" si="10"/>
        <v>23962.174940898349</v>
      </c>
      <c r="AR15">
        <f t="shared" si="11"/>
        <v>0.17504332755632579</v>
      </c>
      <c r="AS15">
        <f t="shared" si="0"/>
        <v>0.47599999999999992</v>
      </c>
      <c r="AT15">
        <f t="shared" si="1"/>
        <v>13419</v>
      </c>
      <c r="AU15">
        <f t="shared" si="2"/>
        <v>2847</v>
      </c>
      <c r="AV15">
        <f t="shared" si="12"/>
        <v>11347</v>
      </c>
      <c r="AW15">
        <f t="shared" si="13"/>
        <v>3246</v>
      </c>
      <c r="AX15" s="3">
        <f t="shared" si="14"/>
        <v>13598.489361702133</v>
      </c>
      <c r="AY15">
        <f t="shared" si="15"/>
        <v>6710</v>
      </c>
      <c r="AZ15">
        <f t="shared" si="16"/>
        <v>4140</v>
      </c>
      <c r="BA15" s="3">
        <f t="shared" si="17"/>
        <v>17341.489361702133</v>
      </c>
    </row>
    <row r="16" spans="1:53" x14ac:dyDescent="0.2">
      <c r="A16">
        <v>2004</v>
      </c>
      <c r="B16" t="s">
        <v>5</v>
      </c>
      <c r="C16" t="s">
        <v>2</v>
      </c>
      <c r="D16">
        <v>9.6999999999999993</v>
      </c>
      <c r="E16">
        <v>0</v>
      </c>
      <c r="F16">
        <v>0</v>
      </c>
      <c r="G16">
        <v>3.5</v>
      </c>
      <c r="H16">
        <v>6.1</v>
      </c>
      <c r="I16">
        <v>0</v>
      </c>
      <c r="J16">
        <v>0</v>
      </c>
      <c r="K16">
        <f t="shared" si="3"/>
        <v>19.299999999999997</v>
      </c>
      <c r="L16">
        <v>0</v>
      </c>
      <c r="M16">
        <v>20.100000000000001</v>
      </c>
      <c r="N16">
        <v>5</v>
      </c>
      <c r="O16">
        <f t="shared" si="4"/>
        <v>25.1</v>
      </c>
      <c r="P16">
        <v>0</v>
      </c>
      <c r="Q16">
        <v>0</v>
      </c>
      <c r="R16">
        <v>0</v>
      </c>
      <c r="S16">
        <f t="shared" si="5"/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f t="shared" si="6"/>
        <v>0</v>
      </c>
      <c r="AB16">
        <v>0</v>
      </c>
      <c r="AC16">
        <v>0</v>
      </c>
      <c r="AD16">
        <v>0</v>
      </c>
      <c r="AE16">
        <v>7.7</v>
      </c>
      <c r="AF16">
        <v>1.3</v>
      </c>
      <c r="AG16">
        <v>0</v>
      </c>
      <c r="AH16">
        <v>0</v>
      </c>
      <c r="AI16">
        <v>0</v>
      </c>
      <c r="AJ16">
        <f t="shared" si="7"/>
        <v>9</v>
      </c>
      <c r="AK16">
        <v>0</v>
      </c>
      <c r="AL16">
        <v>0.46500000000000002</v>
      </c>
      <c r="AM16">
        <f t="shared" si="8"/>
        <v>0.53400000000000003</v>
      </c>
      <c r="AN16">
        <v>10287</v>
      </c>
      <c r="AO16">
        <v>8230</v>
      </c>
      <c r="AP16" s="3">
        <f t="shared" si="9"/>
        <v>22075.107296137339</v>
      </c>
      <c r="AQ16" s="3">
        <f t="shared" si="10"/>
        <v>17660.944206008586</v>
      </c>
      <c r="AR16">
        <f t="shared" si="11"/>
        <v>0.16853932584269662</v>
      </c>
      <c r="AS16">
        <f t="shared" si="0"/>
        <v>0.44400000000000001</v>
      </c>
      <c r="AT16">
        <f t="shared" si="1"/>
        <v>9801</v>
      </c>
      <c r="AU16">
        <f t="shared" si="2"/>
        <v>1987</v>
      </c>
      <c r="AV16">
        <f t="shared" si="12"/>
        <v>7671</v>
      </c>
      <c r="AW16">
        <f t="shared" si="13"/>
        <v>2332</v>
      </c>
      <c r="AX16" s="3">
        <f t="shared" si="14"/>
        <v>12072.107296137339</v>
      </c>
      <c r="AY16">
        <f t="shared" si="15"/>
        <v>4901</v>
      </c>
      <c r="AZ16">
        <f t="shared" si="16"/>
        <v>2780</v>
      </c>
      <c r="BA16" s="3">
        <f t="shared" si="17"/>
        <v>14394.107296137339</v>
      </c>
    </row>
    <row r="17" spans="1:53" x14ac:dyDescent="0.2">
      <c r="A17">
        <v>2005</v>
      </c>
      <c r="B17" t="s">
        <v>5</v>
      </c>
      <c r="C17" t="s">
        <v>2</v>
      </c>
      <c r="D17">
        <v>13.1</v>
      </c>
      <c r="E17">
        <v>0.1</v>
      </c>
      <c r="F17">
        <v>0.8</v>
      </c>
      <c r="G17">
        <v>4.5999999999999996</v>
      </c>
      <c r="H17">
        <v>5.5</v>
      </c>
      <c r="I17">
        <v>0</v>
      </c>
      <c r="J17">
        <v>0</v>
      </c>
      <c r="K17">
        <f t="shared" si="3"/>
        <v>24.1</v>
      </c>
      <c r="L17">
        <v>0</v>
      </c>
      <c r="M17">
        <v>15.6</v>
      </c>
      <c r="N17">
        <v>10.8</v>
      </c>
      <c r="O17">
        <f t="shared" si="4"/>
        <v>26.4</v>
      </c>
      <c r="P17">
        <v>0</v>
      </c>
      <c r="Q17">
        <v>0</v>
      </c>
      <c r="R17">
        <v>0</v>
      </c>
      <c r="S17">
        <f t="shared" si="5"/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f t="shared" si="6"/>
        <v>0</v>
      </c>
      <c r="AB17">
        <v>0</v>
      </c>
      <c r="AC17">
        <v>0</v>
      </c>
      <c r="AD17">
        <v>0</v>
      </c>
      <c r="AE17">
        <v>7</v>
      </c>
      <c r="AF17">
        <v>2</v>
      </c>
      <c r="AG17">
        <v>0</v>
      </c>
      <c r="AH17">
        <v>0</v>
      </c>
      <c r="AI17">
        <v>0</v>
      </c>
      <c r="AJ17">
        <f t="shared" si="7"/>
        <v>9</v>
      </c>
      <c r="AK17">
        <v>0</v>
      </c>
      <c r="AL17">
        <v>0.40399999999999997</v>
      </c>
      <c r="AM17">
        <f t="shared" si="8"/>
        <v>0.59500000000000008</v>
      </c>
      <c r="AN17">
        <v>10159</v>
      </c>
      <c r="AO17">
        <v>7619</v>
      </c>
      <c r="AP17" s="3">
        <f t="shared" si="9"/>
        <v>25083.950617283957</v>
      </c>
      <c r="AQ17" s="3">
        <f t="shared" si="10"/>
        <v>18812.345679012349</v>
      </c>
      <c r="AR17">
        <f t="shared" si="11"/>
        <v>0.15126050420168063</v>
      </c>
      <c r="AS17">
        <f t="shared" si="0"/>
        <v>0.505</v>
      </c>
      <c r="AT17">
        <f t="shared" si="1"/>
        <v>12667</v>
      </c>
      <c r="AU17">
        <f t="shared" si="2"/>
        <v>2258</v>
      </c>
      <c r="AV17">
        <f t="shared" si="12"/>
        <v>9645</v>
      </c>
      <c r="AW17">
        <f t="shared" si="13"/>
        <v>2808</v>
      </c>
      <c r="AX17" s="3">
        <f t="shared" si="14"/>
        <v>12630.950617283957</v>
      </c>
      <c r="AY17">
        <f t="shared" si="15"/>
        <v>6334</v>
      </c>
      <c r="AZ17">
        <f t="shared" si="16"/>
        <v>3410</v>
      </c>
      <c r="BA17" s="3">
        <f t="shared" si="17"/>
        <v>15339.950617283957</v>
      </c>
    </row>
    <row r="18" spans="1:53" x14ac:dyDescent="0.2">
      <c r="A18">
        <v>2006</v>
      </c>
      <c r="B18" t="s">
        <v>5</v>
      </c>
      <c r="C18" t="s">
        <v>2</v>
      </c>
      <c r="D18" t="s">
        <v>13</v>
      </c>
      <c r="E18" t="s">
        <v>13</v>
      </c>
      <c r="F18" t="s">
        <v>13</v>
      </c>
      <c r="G18" t="s">
        <v>13</v>
      </c>
      <c r="H18" t="s">
        <v>13</v>
      </c>
      <c r="I18" t="s">
        <v>13</v>
      </c>
      <c r="J18" t="s">
        <v>13</v>
      </c>
      <c r="K18" t="s">
        <v>13</v>
      </c>
      <c r="L18" t="s">
        <v>13</v>
      </c>
      <c r="M18" t="s">
        <v>13</v>
      </c>
      <c r="N18" t="s">
        <v>13</v>
      </c>
      <c r="O18" t="s">
        <v>13</v>
      </c>
      <c r="P18" t="s">
        <v>13</v>
      </c>
      <c r="Q18" t="s">
        <v>13</v>
      </c>
      <c r="R18" t="s">
        <v>13</v>
      </c>
      <c r="S18" t="s">
        <v>13</v>
      </c>
      <c r="T18" t="s">
        <v>13</v>
      </c>
      <c r="U18" t="s">
        <v>13</v>
      </c>
      <c r="V18" t="s">
        <v>13</v>
      </c>
      <c r="W18" t="s">
        <v>13</v>
      </c>
      <c r="X18" t="s">
        <v>13</v>
      </c>
      <c r="Y18" t="s">
        <v>13</v>
      </c>
      <c r="Z18" t="s">
        <v>13</v>
      </c>
      <c r="AA18" t="s">
        <v>13</v>
      </c>
      <c r="AB18" t="s">
        <v>13</v>
      </c>
      <c r="AC18" t="s">
        <v>13</v>
      </c>
      <c r="AD18" t="s">
        <v>13</v>
      </c>
      <c r="AE18" t="s">
        <v>13</v>
      </c>
      <c r="AF18" t="s">
        <v>13</v>
      </c>
      <c r="AG18" t="s">
        <v>13</v>
      </c>
      <c r="AH18" t="s">
        <v>13</v>
      </c>
      <c r="AI18" t="s">
        <v>13</v>
      </c>
      <c r="AJ18" t="s">
        <v>13</v>
      </c>
      <c r="AK18" t="s">
        <v>13</v>
      </c>
      <c r="AL18" t="s">
        <v>13</v>
      </c>
      <c r="AM18">
        <f t="shared" si="8"/>
        <v>0</v>
      </c>
      <c r="AN18">
        <v>16781</v>
      </c>
      <c r="AO18">
        <v>9565</v>
      </c>
      <c r="AP18" t="s">
        <v>13</v>
      </c>
      <c r="AQ18" s="3" t="s">
        <v>13</v>
      </c>
      <c r="AR18" s="3" t="s">
        <v>13</v>
      </c>
      <c r="AS18" s="3" t="s">
        <v>13</v>
      </c>
      <c r="AT18" s="3" t="s">
        <v>13</v>
      </c>
      <c r="AU18" s="3" t="s">
        <v>13</v>
      </c>
      <c r="AV18" s="3" t="s">
        <v>13</v>
      </c>
      <c r="AW18" s="3" t="s">
        <v>13</v>
      </c>
      <c r="AX18" s="3" t="s">
        <v>13</v>
      </c>
      <c r="AY18" s="3" t="s">
        <v>13</v>
      </c>
      <c r="AZ18" s="3" t="s">
        <v>13</v>
      </c>
      <c r="BA18" s="3" t="s">
        <v>13</v>
      </c>
    </row>
    <row r="19" spans="1:53" x14ac:dyDescent="0.2">
      <c r="A19">
        <v>2007</v>
      </c>
      <c r="B19" t="s">
        <v>5</v>
      </c>
      <c r="C19" t="s">
        <v>2</v>
      </c>
      <c r="D19" t="s">
        <v>13</v>
      </c>
      <c r="E19" t="s">
        <v>13</v>
      </c>
      <c r="F19" t="s">
        <v>13</v>
      </c>
      <c r="G19" t="s">
        <v>13</v>
      </c>
      <c r="H19" t="s">
        <v>13</v>
      </c>
      <c r="I19" t="s">
        <v>13</v>
      </c>
      <c r="J19" t="s">
        <v>13</v>
      </c>
      <c r="K19" t="s">
        <v>13</v>
      </c>
      <c r="L19" t="s">
        <v>13</v>
      </c>
      <c r="M19" t="s">
        <v>13</v>
      </c>
      <c r="N19" t="s">
        <v>13</v>
      </c>
      <c r="O19" t="s">
        <v>13</v>
      </c>
      <c r="P19" t="s">
        <v>13</v>
      </c>
      <c r="Q19" t="s">
        <v>13</v>
      </c>
      <c r="R19" t="s">
        <v>13</v>
      </c>
      <c r="S19" t="s">
        <v>13</v>
      </c>
      <c r="T19" t="s">
        <v>13</v>
      </c>
      <c r="U19" t="s">
        <v>13</v>
      </c>
      <c r="V19" t="s">
        <v>13</v>
      </c>
      <c r="W19" t="s">
        <v>13</v>
      </c>
      <c r="X19" t="s">
        <v>13</v>
      </c>
      <c r="Y19" t="s">
        <v>13</v>
      </c>
      <c r="Z19" t="s">
        <v>13</v>
      </c>
      <c r="AA19" t="s">
        <v>13</v>
      </c>
      <c r="AB19" t="s">
        <v>13</v>
      </c>
      <c r="AC19" t="s">
        <v>13</v>
      </c>
      <c r="AD19" t="s">
        <v>13</v>
      </c>
      <c r="AE19" t="s">
        <v>13</v>
      </c>
      <c r="AF19" t="s">
        <v>13</v>
      </c>
      <c r="AG19" t="s">
        <v>13</v>
      </c>
      <c r="AH19" t="s">
        <v>13</v>
      </c>
      <c r="AI19" t="s">
        <v>13</v>
      </c>
      <c r="AJ19" t="s">
        <v>13</v>
      </c>
      <c r="AK19" t="s">
        <v>13</v>
      </c>
      <c r="AL19" t="s">
        <v>13</v>
      </c>
      <c r="AM19">
        <f t="shared" si="8"/>
        <v>0</v>
      </c>
      <c r="AN19">
        <v>7160</v>
      </c>
      <c r="AO19">
        <v>5799</v>
      </c>
      <c r="AP19" t="s">
        <v>13</v>
      </c>
      <c r="AQ19" s="3" t="s">
        <v>13</v>
      </c>
      <c r="AR19" s="3" t="s">
        <v>13</v>
      </c>
      <c r="AS19" s="3" t="s">
        <v>13</v>
      </c>
      <c r="AT19" s="3" t="s">
        <v>13</v>
      </c>
      <c r="AU19" s="3" t="s">
        <v>13</v>
      </c>
      <c r="AV19" s="3" t="s">
        <v>13</v>
      </c>
      <c r="AW19" s="3" t="s">
        <v>13</v>
      </c>
      <c r="AX19" s="3" t="s">
        <v>13</v>
      </c>
      <c r="AY19" s="3" t="s">
        <v>13</v>
      </c>
      <c r="AZ19" s="3" t="s">
        <v>13</v>
      </c>
      <c r="BA19" s="3" t="s">
        <v>13</v>
      </c>
    </row>
    <row r="20" spans="1:53" x14ac:dyDescent="0.2">
      <c r="A20">
        <v>2008</v>
      </c>
      <c r="B20" t="s">
        <v>5</v>
      </c>
      <c r="C20" t="s">
        <v>2</v>
      </c>
      <c r="D20" t="s">
        <v>13</v>
      </c>
      <c r="E20" t="s">
        <v>13</v>
      </c>
      <c r="F20" t="s">
        <v>13</v>
      </c>
      <c r="G20" t="s">
        <v>13</v>
      </c>
      <c r="H20" t="s">
        <v>13</v>
      </c>
      <c r="I20" t="s">
        <v>13</v>
      </c>
      <c r="J20" t="s">
        <v>13</v>
      </c>
      <c r="K20" t="s">
        <v>13</v>
      </c>
      <c r="L20" t="s">
        <v>13</v>
      </c>
      <c r="M20" t="s">
        <v>13</v>
      </c>
      <c r="N20" t="s">
        <v>13</v>
      </c>
      <c r="O20" t="s">
        <v>13</v>
      </c>
      <c r="P20" t="s">
        <v>13</v>
      </c>
      <c r="Q20" t="s">
        <v>13</v>
      </c>
      <c r="R20" t="s">
        <v>13</v>
      </c>
      <c r="S20" t="s">
        <v>13</v>
      </c>
      <c r="T20" t="s">
        <v>13</v>
      </c>
      <c r="U20" t="s">
        <v>13</v>
      </c>
      <c r="V20" t="s">
        <v>13</v>
      </c>
      <c r="W20" t="s">
        <v>13</v>
      </c>
      <c r="X20" t="s">
        <v>13</v>
      </c>
      <c r="Y20" t="s">
        <v>13</v>
      </c>
      <c r="Z20" t="s">
        <v>13</v>
      </c>
      <c r="AA20" t="s">
        <v>13</v>
      </c>
      <c r="AB20" t="s">
        <v>13</v>
      </c>
      <c r="AC20" t="s">
        <v>13</v>
      </c>
      <c r="AD20" t="s">
        <v>13</v>
      </c>
      <c r="AE20" t="s">
        <v>13</v>
      </c>
      <c r="AF20" t="s">
        <v>13</v>
      </c>
      <c r="AG20" t="s">
        <v>13</v>
      </c>
      <c r="AH20" t="s">
        <v>13</v>
      </c>
      <c r="AI20" t="s">
        <v>13</v>
      </c>
      <c r="AJ20" t="s">
        <v>13</v>
      </c>
      <c r="AK20" t="s">
        <v>13</v>
      </c>
      <c r="AL20" t="s">
        <v>13</v>
      </c>
      <c r="AM20">
        <f t="shared" si="8"/>
        <v>0</v>
      </c>
      <c r="AN20">
        <v>6341</v>
      </c>
      <c r="AO20">
        <v>5517</v>
      </c>
      <c r="AP20" t="s">
        <v>13</v>
      </c>
      <c r="AQ20" s="3" t="s">
        <v>13</v>
      </c>
      <c r="AR20" s="3" t="s">
        <v>13</v>
      </c>
      <c r="AS20" s="3" t="s">
        <v>13</v>
      </c>
      <c r="AT20" s="3" t="s">
        <v>13</v>
      </c>
      <c r="AU20" s="3" t="s">
        <v>13</v>
      </c>
      <c r="AV20" s="3" t="s">
        <v>13</v>
      </c>
      <c r="AW20" s="3" t="s">
        <v>13</v>
      </c>
      <c r="AX20" s="3" t="s">
        <v>13</v>
      </c>
      <c r="AY20" s="3" t="s">
        <v>13</v>
      </c>
      <c r="AZ20" s="3" t="s">
        <v>13</v>
      </c>
      <c r="BA20" s="3" t="s">
        <v>13</v>
      </c>
    </row>
    <row r="21" spans="1:53" x14ac:dyDescent="0.2">
      <c r="A21">
        <v>2009</v>
      </c>
      <c r="B21" t="s">
        <v>5</v>
      </c>
      <c r="C21" t="s">
        <v>2</v>
      </c>
      <c r="D21">
        <v>9.6</v>
      </c>
      <c r="E21">
        <v>0</v>
      </c>
      <c r="F21">
        <v>0.2</v>
      </c>
      <c r="G21">
        <v>3.1</v>
      </c>
      <c r="H21">
        <v>3.9</v>
      </c>
      <c r="I21">
        <v>0</v>
      </c>
      <c r="J21">
        <v>0</v>
      </c>
      <c r="K21">
        <f t="shared" ref="K21:K35" si="18">SUM(D21:J21)</f>
        <v>16.799999999999997</v>
      </c>
      <c r="L21">
        <v>0</v>
      </c>
      <c r="M21">
        <v>22.9</v>
      </c>
      <c r="N21">
        <v>3.6</v>
      </c>
      <c r="O21">
        <f t="shared" ref="O21:O84" si="19">SUM(L21:N21)</f>
        <v>26.5</v>
      </c>
      <c r="P21">
        <v>0</v>
      </c>
      <c r="Q21">
        <v>0</v>
      </c>
      <c r="R21">
        <v>0</v>
      </c>
      <c r="S21">
        <f t="shared" ref="S21:S84" si="20">SUM(P21:R21)</f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f t="shared" ref="AA21:AA84" si="21">SUM(T21:Z21)</f>
        <v>0</v>
      </c>
      <c r="AB21">
        <v>0</v>
      </c>
      <c r="AC21">
        <v>0</v>
      </c>
      <c r="AD21">
        <v>0</v>
      </c>
      <c r="AE21">
        <v>7.5</v>
      </c>
      <c r="AF21">
        <v>3.4</v>
      </c>
      <c r="AG21">
        <v>0</v>
      </c>
      <c r="AH21">
        <v>0</v>
      </c>
      <c r="AI21">
        <v>0</v>
      </c>
      <c r="AJ21">
        <f t="shared" si="7"/>
        <v>10.9</v>
      </c>
      <c r="AK21">
        <v>0</v>
      </c>
      <c r="AL21">
        <v>0.45700000000000002</v>
      </c>
      <c r="AM21">
        <f t="shared" si="8"/>
        <v>0.54200000000000004</v>
      </c>
      <c r="AN21">
        <v>8917</v>
      </c>
      <c r="AO21">
        <v>6331</v>
      </c>
      <c r="AP21" s="3">
        <f t="shared" si="9"/>
        <v>19469.432314410482</v>
      </c>
      <c r="AQ21" s="3">
        <f t="shared" ref="AQ21:AQ35" si="22">AO21/(1-AM21)</f>
        <v>13823.144104803494</v>
      </c>
      <c r="AR21">
        <f t="shared" si="11"/>
        <v>0.2011070110701107</v>
      </c>
      <c r="AS21">
        <f t="shared" ref="AS21:AS52" si="23">SUM(K21,O21,S21,AA21)/100</f>
        <v>0.433</v>
      </c>
      <c r="AT21">
        <f t="shared" ref="AT21:AT52" si="24">ROUND(AS21*AP21,0)</f>
        <v>8430</v>
      </c>
      <c r="AU21">
        <f t="shared" ref="AU21:AU52" si="25">ROUND((AJ21/100)*AP21,0)</f>
        <v>2122</v>
      </c>
      <c r="AV21">
        <f t="shared" si="12"/>
        <v>6795</v>
      </c>
      <c r="AW21">
        <f t="shared" si="13"/>
        <v>2436</v>
      </c>
      <c r="AX21" s="3">
        <f t="shared" si="14"/>
        <v>10238.432314410482</v>
      </c>
      <c r="AY21">
        <f t="shared" si="15"/>
        <v>4215</v>
      </c>
      <c r="AZ21">
        <f t="shared" si="16"/>
        <v>2932</v>
      </c>
      <c r="BA21" s="3">
        <f t="shared" si="17"/>
        <v>12322.432314410482</v>
      </c>
    </row>
    <row r="22" spans="1:53" x14ac:dyDescent="0.2">
      <c r="A22">
        <v>2010</v>
      </c>
      <c r="B22" t="s">
        <v>5</v>
      </c>
      <c r="C22" t="s">
        <v>2</v>
      </c>
      <c r="D22">
        <v>11.4</v>
      </c>
      <c r="E22">
        <v>0.1</v>
      </c>
      <c r="F22">
        <v>1.6</v>
      </c>
      <c r="G22">
        <v>3</v>
      </c>
      <c r="H22">
        <v>2.2000000000000002</v>
      </c>
      <c r="I22">
        <v>0</v>
      </c>
      <c r="J22">
        <v>0</v>
      </c>
      <c r="K22">
        <f t="shared" si="18"/>
        <v>18.3</v>
      </c>
      <c r="L22">
        <v>0</v>
      </c>
      <c r="M22">
        <v>13.7</v>
      </c>
      <c r="N22">
        <v>7.8</v>
      </c>
      <c r="O22">
        <f t="shared" si="19"/>
        <v>21.5</v>
      </c>
      <c r="P22">
        <v>0</v>
      </c>
      <c r="Q22">
        <v>0</v>
      </c>
      <c r="R22">
        <v>0.6</v>
      </c>
      <c r="S22">
        <f t="shared" si="20"/>
        <v>0.6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f t="shared" si="21"/>
        <v>0</v>
      </c>
      <c r="AB22">
        <v>0</v>
      </c>
      <c r="AC22">
        <v>0</v>
      </c>
      <c r="AD22">
        <v>0</v>
      </c>
      <c r="AE22">
        <v>6.1</v>
      </c>
      <c r="AF22">
        <v>1.2</v>
      </c>
      <c r="AG22">
        <v>0</v>
      </c>
      <c r="AH22">
        <v>0</v>
      </c>
      <c r="AI22">
        <v>0</v>
      </c>
      <c r="AJ22">
        <f t="shared" si="7"/>
        <v>7.3</v>
      </c>
      <c r="AK22">
        <v>0</v>
      </c>
      <c r="AL22">
        <v>0.52100000000000002</v>
      </c>
      <c r="AM22">
        <f t="shared" si="8"/>
        <v>0.47700000000000004</v>
      </c>
      <c r="AN22">
        <v>9317</v>
      </c>
      <c r="AO22">
        <v>5683</v>
      </c>
      <c r="AP22" s="3">
        <f t="shared" si="9"/>
        <v>17814.531548757172</v>
      </c>
      <c r="AQ22" s="3">
        <f t="shared" si="22"/>
        <v>10866.156787762908</v>
      </c>
      <c r="AR22">
        <f t="shared" si="11"/>
        <v>0.15303983228511528</v>
      </c>
      <c r="AS22">
        <f t="shared" si="23"/>
        <v>0.40399999999999997</v>
      </c>
      <c r="AT22">
        <f t="shared" si="24"/>
        <v>7197</v>
      </c>
      <c r="AU22">
        <f t="shared" si="25"/>
        <v>1300</v>
      </c>
      <c r="AV22">
        <f t="shared" si="12"/>
        <v>5567</v>
      </c>
      <c r="AW22">
        <f t="shared" si="13"/>
        <v>1500</v>
      </c>
      <c r="AX22" s="3">
        <f t="shared" si="14"/>
        <v>10747.531548757172</v>
      </c>
      <c r="AY22">
        <f t="shared" si="15"/>
        <v>3599</v>
      </c>
      <c r="AZ22">
        <f t="shared" si="16"/>
        <v>1741</v>
      </c>
      <c r="BA22" s="3">
        <f t="shared" si="17"/>
        <v>12474.531548757172</v>
      </c>
    </row>
    <row r="23" spans="1:53" x14ac:dyDescent="0.2">
      <c r="A23">
        <v>2011</v>
      </c>
      <c r="B23" t="s">
        <v>5</v>
      </c>
      <c r="C23" t="s">
        <v>2</v>
      </c>
      <c r="D23">
        <v>13.6</v>
      </c>
      <c r="E23">
        <v>0</v>
      </c>
      <c r="F23">
        <v>1.5</v>
      </c>
      <c r="G23">
        <v>8.1999999999999993</v>
      </c>
      <c r="H23">
        <v>3.6</v>
      </c>
      <c r="I23">
        <v>0</v>
      </c>
      <c r="J23">
        <v>0</v>
      </c>
      <c r="K23">
        <f t="shared" si="18"/>
        <v>26.9</v>
      </c>
      <c r="L23">
        <v>0</v>
      </c>
      <c r="M23">
        <v>21.8</v>
      </c>
      <c r="N23">
        <v>9</v>
      </c>
      <c r="O23">
        <f t="shared" si="19"/>
        <v>30.8</v>
      </c>
      <c r="P23">
        <v>0</v>
      </c>
      <c r="Q23">
        <v>0</v>
      </c>
      <c r="R23">
        <v>0</v>
      </c>
      <c r="S23">
        <f t="shared" si="20"/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f t="shared" si="21"/>
        <v>0</v>
      </c>
      <c r="AB23">
        <v>0</v>
      </c>
      <c r="AC23">
        <v>0</v>
      </c>
      <c r="AD23">
        <v>0</v>
      </c>
      <c r="AE23">
        <v>6.5</v>
      </c>
      <c r="AF23">
        <v>0</v>
      </c>
      <c r="AG23">
        <v>0</v>
      </c>
      <c r="AH23">
        <v>0</v>
      </c>
      <c r="AI23">
        <v>0</v>
      </c>
      <c r="AJ23">
        <f t="shared" si="7"/>
        <v>6.5</v>
      </c>
      <c r="AK23">
        <v>0</v>
      </c>
      <c r="AL23">
        <v>0.35799999999999998</v>
      </c>
      <c r="AM23">
        <f t="shared" si="8"/>
        <v>0.6419999999999999</v>
      </c>
      <c r="AN23">
        <v>8082</v>
      </c>
      <c r="AO23">
        <v>6061</v>
      </c>
      <c r="AP23" s="3">
        <f t="shared" si="9"/>
        <v>22575.418994413401</v>
      </c>
      <c r="AQ23" s="3">
        <f t="shared" si="22"/>
        <v>16930.167597765358</v>
      </c>
      <c r="AR23">
        <f t="shared" si="11"/>
        <v>0.10124610591900314</v>
      </c>
      <c r="AS23">
        <f t="shared" si="23"/>
        <v>0.57700000000000007</v>
      </c>
      <c r="AT23">
        <f t="shared" si="24"/>
        <v>13026</v>
      </c>
      <c r="AU23">
        <f t="shared" si="25"/>
        <v>1467</v>
      </c>
      <c r="AV23">
        <f t="shared" si="12"/>
        <v>9990</v>
      </c>
      <c r="AW23">
        <f t="shared" si="13"/>
        <v>1933</v>
      </c>
      <c r="AX23" s="3">
        <f t="shared" si="14"/>
        <v>10652.418994413401</v>
      </c>
      <c r="AY23">
        <f t="shared" si="15"/>
        <v>6513</v>
      </c>
      <c r="AZ23">
        <f t="shared" si="16"/>
        <v>2468</v>
      </c>
      <c r="BA23" s="3">
        <f t="shared" si="17"/>
        <v>13594.418994413401</v>
      </c>
    </row>
    <row r="24" spans="1:53" x14ac:dyDescent="0.2">
      <c r="A24">
        <v>2012</v>
      </c>
      <c r="B24" t="s">
        <v>5</v>
      </c>
      <c r="C24" t="s">
        <v>2</v>
      </c>
      <c r="D24">
        <v>12.7</v>
      </c>
      <c r="E24">
        <v>0.6</v>
      </c>
      <c r="F24">
        <v>1.7</v>
      </c>
      <c r="G24">
        <v>2.2000000000000002</v>
      </c>
      <c r="H24">
        <v>2.6</v>
      </c>
      <c r="I24">
        <v>0</v>
      </c>
      <c r="J24">
        <v>0</v>
      </c>
      <c r="K24">
        <f t="shared" si="18"/>
        <v>19.8</v>
      </c>
      <c r="L24">
        <v>0</v>
      </c>
      <c r="M24">
        <v>16.5</v>
      </c>
      <c r="N24">
        <v>4.3</v>
      </c>
      <c r="O24">
        <f t="shared" si="19"/>
        <v>20.8</v>
      </c>
      <c r="P24">
        <v>0</v>
      </c>
      <c r="Q24">
        <v>0</v>
      </c>
      <c r="R24">
        <v>0</v>
      </c>
      <c r="S24">
        <f t="shared" si="20"/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f t="shared" si="21"/>
        <v>0</v>
      </c>
      <c r="AB24">
        <v>0</v>
      </c>
      <c r="AC24">
        <v>0</v>
      </c>
      <c r="AD24">
        <v>0</v>
      </c>
      <c r="AE24">
        <v>7.8</v>
      </c>
      <c r="AF24">
        <v>0</v>
      </c>
      <c r="AG24">
        <v>0</v>
      </c>
      <c r="AH24">
        <v>0</v>
      </c>
      <c r="AI24">
        <v>0</v>
      </c>
      <c r="AJ24">
        <f t="shared" si="7"/>
        <v>7.8</v>
      </c>
      <c r="AK24">
        <v>0</v>
      </c>
      <c r="AL24">
        <v>0.51600000000000001</v>
      </c>
      <c r="AM24">
        <f t="shared" si="8"/>
        <v>0.48400000000000004</v>
      </c>
      <c r="AN24">
        <v>4622</v>
      </c>
      <c r="AO24">
        <v>2542</v>
      </c>
      <c r="AP24" s="3">
        <f t="shared" si="9"/>
        <v>8957.364341085271</v>
      </c>
      <c r="AQ24" s="3">
        <f t="shared" si="22"/>
        <v>4926.3565891472863</v>
      </c>
      <c r="AR24">
        <f t="shared" si="11"/>
        <v>0.16115702479338842</v>
      </c>
      <c r="AS24">
        <f t="shared" si="23"/>
        <v>0.40600000000000003</v>
      </c>
      <c r="AT24">
        <f t="shared" si="24"/>
        <v>3637</v>
      </c>
      <c r="AU24">
        <f t="shared" si="25"/>
        <v>699</v>
      </c>
      <c r="AV24">
        <f t="shared" si="12"/>
        <v>2750</v>
      </c>
      <c r="AW24">
        <f t="shared" si="13"/>
        <v>816</v>
      </c>
      <c r="AX24" s="3">
        <f t="shared" si="14"/>
        <v>5391.364341085271</v>
      </c>
      <c r="AY24">
        <f t="shared" si="15"/>
        <v>1818</v>
      </c>
      <c r="AZ24">
        <f t="shared" si="16"/>
        <v>938</v>
      </c>
      <c r="BA24" s="3">
        <f t="shared" si="17"/>
        <v>6201.364341085271</v>
      </c>
    </row>
    <row r="25" spans="1:53" x14ac:dyDescent="0.2">
      <c r="A25">
        <v>2013</v>
      </c>
      <c r="B25" t="s">
        <v>5</v>
      </c>
      <c r="C25" t="s">
        <v>2</v>
      </c>
      <c r="D25">
        <v>5.6</v>
      </c>
      <c r="E25">
        <v>0.5</v>
      </c>
      <c r="F25">
        <v>1.2</v>
      </c>
      <c r="G25">
        <v>1.9</v>
      </c>
      <c r="H25">
        <v>3.9</v>
      </c>
      <c r="I25">
        <v>0</v>
      </c>
      <c r="J25">
        <v>0</v>
      </c>
      <c r="K25">
        <f t="shared" si="18"/>
        <v>13.1</v>
      </c>
      <c r="L25">
        <v>0</v>
      </c>
      <c r="M25">
        <v>11.6</v>
      </c>
      <c r="N25">
        <v>1.8</v>
      </c>
      <c r="O25">
        <f t="shared" si="19"/>
        <v>13.4</v>
      </c>
      <c r="P25">
        <v>0</v>
      </c>
      <c r="Q25">
        <v>0</v>
      </c>
      <c r="R25">
        <v>0.3</v>
      </c>
      <c r="S25">
        <f t="shared" si="20"/>
        <v>0.3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f t="shared" si="21"/>
        <v>0</v>
      </c>
      <c r="AB25">
        <v>0.1</v>
      </c>
      <c r="AC25">
        <v>0</v>
      </c>
      <c r="AD25">
        <v>0</v>
      </c>
      <c r="AE25">
        <v>5.6</v>
      </c>
      <c r="AF25">
        <v>3.5</v>
      </c>
      <c r="AG25">
        <v>0</v>
      </c>
      <c r="AH25">
        <v>0</v>
      </c>
      <c r="AI25">
        <v>0</v>
      </c>
      <c r="AJ25">
        <f t="shared" si="7"/>
        <v>9.1999999999999993</v>
      </c>
      <c r="AK25">
        <v>0</v>
      </c>
      <c r="AL25">
        <v>0.64200000000000002</v>
      </c>
      <c r="AM25">
        <f t="shared" si="8"/>
        <v>0.36</v>
      </c>
      <c r="AN25">
        <v>19962</v>
      </c>
      <c r="AO25">
        <v>9860</v>
      </c>
      <c r="AP25" s="3">
        <f t="shared" si="9"/>
        <v>31190.625</v>
      </c>
      <c r="AQ25" s="3">
        <f t="shared" si="22"/>
        <v>15406.25</v>
      </c>
      <c r="AR25">
        <f t="shared" si="11"/>
        <v>0.25555555555555554</v>
      </c>
      <c r="AS25">
        <f t="shared" si="23"/>
        <v>0.26800000000000002</v>
      </c>
      <c r="AT25">
        <f t="shared" si="24"/>
        <v>8359</v>
      </c>
      <c r="AU25">
        <f t="shared" si="25"/>
        <v>2870</v>
      </c>
      <c r="AV25">
        <f t="shared" si="12"/>
        <v>6316</v>
      </c>
      <c r="AW25">
        <f t="shared" si="13"/>
        <v>3127</v>
      </c>
      <c r="AX25" s="3">
        <f t="shared" si="14"/>
        <v>21747.625</v>
      </c>
      <c r="AY25">
        <f t="shared" si="15"/>
        <v>4180</v>
      </c>
      <c r="AZ25">
        <f t="shared" si="16"/>
        <v>3395</v>
      </c>
      <c r="BA25" s="3">
        <f t="shared" si="17"/>
        <v>23615.625</v>
      </c>
    </row>
    <row r="26" spans="1:53" x14ac:dyDescent="0.2">
      <c r="A26">
        <v>2014</v>
      </c>
      <c r="B26" t="s">
        <v>5</v>
      </c>
      <c r="C26" t="s">
        <v>2</v>
      </c>
      <c r="D26">
        <v>6.6</v>
      </c>
      <c r="E26">
        <v>0.6</v>
      </c>
      <c r="F26">
        <v>1</v>
      </c>
      <c r="G26">
        <v>2.8</v>
      </c>
      <c r="H26">
        <v>2.2000000000000002</v>
      </c>
      <c r="I26">
        <v>0.2</v>
      </c>
      <c r="J26">
        <v>0.2</v>
      </c>
      <c r="K26">
        <f t="shared" si="18"/>
        <v>13.599999999999998</v>
      </c>
      <c r="L26">
        <v>0</v>
      </c>
      <c r="M26">
        <v>7.3</v>
      </c>
      <c r="N26">
        <v>4.4000000000000004</v>
      </c>
      <c r="O26">
        <f t="shared" si="19"/>
        <v>11.7</v>
      </c>
      <c r="P26">
        <v>0</v>
      </c>
      <c r="Q26">
        <v>0</v>
      </c>
      <c r="R26">
        <v>0.1</v>
      </c>
      <c r="S26">
        <f t="shared" si="20"/>
        <v>0.1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f t="shared" si="21"/>
        <v>0</v>
      </c>
      <c r="AB26">
        <v>0</v>
      </c>
      <c r="AC26">
        <v>0</v>
      </c>
      <c r="AD26">
        <v>0</v>
      </c>
      <c r="AE26">
        <v>7.1</v>
      </c>
      <c r="AF26">
        <v>2.5</v>
      </c>
      <c r="AG26">
        <v>0</v>
      </c>
      <c r="AH26">
        <v>0</v>
      </c>
      <c r="AI26">
        <v>0</v>
      </c>
      <c r="AJ26">
        <f t="shared" si="7"/>
        <v>9.6</v>
      </c>
      <c r="AK26">
        <v>0</v>
      </c>
      <c r="AL26">
        <v>0.65099999999999991</v>
      </c>
      <c r="AM26">
        <f t="shared" si="8"/>
        <v>0.35000000000000009</v>
      </c>
      <c r="AN26">
        <v>19011</v>
      </c>
      <c r="AO26">
        <v>11935</v>
      </c>
      <c r="AP26" s="3">
        <f t="shared" si="9"/>
        <v>29247.692307692312</v>
      </c>
      <c r="AQ26" s="3">
        <f t="shared" si="22"/>
        <v>18361.538461538465</v>
      </c>
      <c r="AR26">
        <f t="shared" si="11"/>
        <v>0.27428571428571424</v>
      </c>
      <c r="AS26">
        <f t="shared" si="23"/>
        <v>0.254</v>
      </c>
      <c r="AT26">
        <f t="shared" si="24"/>
        <v>7429</v>
      </c>
      <c r="AU26">
        <f t="shared" si="25"/>
        <v>2808</v>
      </c>
      <c r="AV26">
        <f t="shared" si="12"/>
        <v>5440</v>
      </c>
      <c r="AW26">
        <f t="shared" si="13"/>
        <v>3064</v>
      </c>
      <c r="AX26" s="3">
        <f t="shared" si="14"/>
        <v>20743.692307692312</v>
      </c>
      <c r="AY26">
        <f t="shared" si="15"/>
        <v>3714</v>
      </c>
      <c r="AZ26">
        <f t="shared" si="16"/>
        <v>3286</v>
      </c>
      <c r="BA26" s="3">
        <f t="shared" si="17"/>
        <v>22247.692307692312</v>
      </c>
    </row>
    <row r="27" spans="1:53" x14ac:dyDescent="0.2">
      <c r="A27">
        <v>2015</v>
      </c>
      <c r="B27" t="s">
        <v>5</v>
      </c>
      <c r="C27" t="s">
        <v>2</v>
      </c>
      <c r="D27">
        <v>3.9</v>
      </c>
      <c r="E27">
        <v>0</v>
      </c>
      <c r="F27">
        <v>1.1000000000000001</v>
      </c>
      <c r="G27">
        <v>1</v>
      </c>
      <c r="H27">
        <v>2.6</v>
      </c>
      <c r="I27">
        <v>0.2</v>
      </c>
      <c r="J27">
        <v>0</v>
      </c>
      <c r="K27">
        <f t="shared" si="18"/>
        <v>8.7999999999999989</v>
      </c>
      <c r="L27">
        <v>0</v>
      </c>
      <c r="M27">
        <v>7.9</v>
      </c>
      <c r="N27">
        <v>3.8</v>
      </c>
      <c r="O27">
        <f t="shared" si="19"/>
        <v>11.7</v>
      </c>
      <c r="P27">
        <v>0</v>
      </c>
      <c r="Q27">
        <v>0</v>
      </c>
      <c r="R27">
        <v>0.1</v>
      </c>
      <c r="S27">
        <f t="shared" si="20"/>
        <v>0.1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f t="shared" si="21"/>
        <v>0</v>
      </c>
      <c r="AB27">
        <v>0</v>
      </c>
      <c r="AC27">
        <v>0</v>
      </c>
      <c r="AD27">
        <v>0</v>
      </c>
      <c r="AE27">
        <v>4.4000000000000004</v>
      </c>
      <c r="AF27">
        <v>0.9</v>
      </c>
      <c r="AG27">
        <v>0</v>
      </c>
      <c r="AH27">
        <v>0</v>
      </c>
      <c r="AI27">
        <v>0</v>
      </c>
      <c r="AJ27">
        <f t="shared" si="7"/>
        <v>5.3000000000000007</v>
      </c>
      <c r="AK27">
        <v>0</v>
      </c>
      <c r="AL27">
        <v>0.73799999999999999</v>
      </c>
      <c r="AM27">
        <f t="shared" si="8"/>
        <v>0.25900000000000001</v>
      </c>
      <c r="AN27">
        <v>44329</v>
      </c>
      <c r="AO27">
        <v>13640</v>
      </c>
      <c r="AP27" s="3">
        <f t="shared" si="9"/>
        <v>59823.211875843459</v>
      </c>
      <c r="AQ27" s="3">
        <f t="shared" si="22"/>
        <v>18407.557354925775</v>
      </c>
      <c r="AR27">
        <f t="shared" si="11"/>
        <v>0.20463320463320464</v>
      </c>
      <c r="AS27">
        <f t="shared" si="23"/>
        <v>0.20600000000000002</v>
      </c>
      <c r="AT27">
        <f t="shared" si="24"/>
        <v>12324</v>
      </c>
      <c r="AU27">
        <f t="shared" si="25"/>
        <v>3171</v>
      </c>
      <c r="AV27">
        <f t="shared" si="12"/>
        <v>9691</v>
      </c>
      <c r="AW27">
        <f t="shared" si="13"/>
        <v>3347</v>
      </c>
      <c r="AX27" s="3">
        <f t="shared" si="14"/>
        <v>46785.211875843459</v>
      </c>
      <c r="AY27">
        <f t="shared" si="15"/>
        <v>6162</v>
      </c>
      <c r="AZ27">
        <f t="shared" si="16"/>
        <v>3582</v>
      </c>
      <c r="BA27" s="3">
        <f t="shared" si="17"/>
        <v>50079.211875843459</v>
      </c>
    </row>
    <row r="28" spans="1:53" x14ac:dyDescent="0.2">
      <c r="A28">
        <v>2016</v>
      </c>
      <c r="B28" t="s">
        <v>5</v>
      </c>
      <c r="C28" t="s">
        <v>2</v>
      </c>
      <c r="D28">
        <v>4.9000000000000004</v>
      </c>
      <c r="E28">
        <v>1.3</v>
      </c>
      <c r="F28">
        <v>2.1</v>
      </c>
      <c r="G28">
        <v>1.1000000000000001</v>
      </c>
      <c r="H28">
        <v>3.4</v>
      </c>
      <c r="I28">
        <v>0.3</v>
      </c>
      <c r="J28">
        <v>0</v>
      </c>
      <c r="K28">
        <f t="shared" si="18"/>
        <v>13.100000000000001</v>
      </c>
      <c r="L28">
        <v>0</v>
      </c>
      <c r="M28">
        <v>4.0999999999999996</v>
      </c>
      <c r="N28">
        <v>4.4000000000000004</v>
      </c>
      <c r="O28">
        <f t="shared" si="19"/>
        <v>8.5</v>
      </c>
      <c r="P28">
        <v>0</v>
      </c>
      <c r="Q28">
        <v>0</v>
      </c>
      <c r="R28">
        <v>0</v>
      </c>
      <c r="S28">
        <f t="shared" si="20"/>
        <v>0</v>
      </c>
      <c r="T28">
        <v>0.1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f t="shared" si="21"/>
        <v>0.1</v>
      </c>
      <c r="AB28">
        <v>0</v>
      </c>
      <c r="AC28">
        <v>0</v>
      </c>
      <c r="AD28">
        <v>0</v>
      </c>
      <c r="AE28">
        <v>6.1</v>
      </c>
      <c r="AF28">
        <v>2.6</v>
      </c>
      <c r="AG28">
        <v>0</v>
      </c>
      <c r="AH28">
        <v>0</v>
      </c>
      <c r="AI28">
        <v>0</v>
      </c>
      <c r="AJ28">
        <f t="shared" si="7"/>
        <v>8.6999999999999993</v>
      </c>
      <c r="AK28">
        <v>0</v>
      </c>
      <c r="AL28">
        <v>0.69700000000000006</v>
      </c>
      <c r="AM28">
        <f t="shared" si="8"/>
        <v>0.30399999999999999</v>
      </c>
      <c r="AN28">
        <v>24234</v>
      </c>
      <c r="AO28">
        <v>9936</v>
      </c>
      <c r="AP28" s="3">
        <f t="shared" si="9"/>
        <v>34818.965517241384</v>
      </c>
      <c r="AQ28" s="3">
        <f t="shared" si="22"/>
        <v>14275.862068965518</v>
      </c>
      <c r="AR28">
        <f t="shared" si="11"/>
        <v>0.28618421052631576</v>
      </c>
      <c r="AS28">
        <f t="shared" si="23"/>
        <v>0.21700000000000003</v>
      </c>
      <c r="AT28">
        <f t="shared" si="24"/>
        <v>7556</v>
      </c>
      <c r="AU28">
        <f t="shared" si="25"/>
        <v>3029</v>
      </c>
      <c r="AV28">
        <f t="shared" si="12"/>
        <v>5275</v>
      </c>
      <c r="AW28">
        <f t="shared" si="13"/>
        <v>3282</v>
      </c>
      <c r="AX28" s="3">
        <f t="shared" si="14"/>
        <v>26261.965517241384</v>
      </c>
      <c r="AY28">
        <f t="shared" si="15"/>
        <v>3778</v>
      </c>
      <c r="AZ28">
        <f t="shared" si="16"/>
        <v>3449</v>
      </c>
      <c r="BA28" s="3">
        <f t="shared" si="17"/>
        <v>27591.965517241384</v>
      </c>
    </row>
    <row r="29" spans="1:53" x14ac:dyDescent="0.2">
      <c r="A29">
        <v>2017</v>
      </c>
      <c r="B29" t="s">
        <v>5</v>
      </c>
      <c r="C29" t="s">
        <v>2</v>
      </c>
      <c r="D29">
        <v>6</v>
      </c>
      <c r="E29">
        <v>0.2</v>
      </c>
      <c r="F29">
        <v>1.7</v>
      </c>
      <c r="G29">
        <v>2.2000000000000002</v>
      </c>
      <c r="H29">
        <v>2.2999999999999998</v>
      </c>
      <c r="I29">
        <v>0.2</v>
      </c>
      <c r="J29">
        <v>0</v>
      </c>
      <c r="K29">
        <f t="shared" si="18"/>
        <v>12.600000000000001</v>
      </c>
      <c r="L29">
        <v>0</v>
      </c>
      <c r="M29">
        <v>12.6</v>
      </c>
      <c r="N29">
        <v>4.0999999999999996</v>
      </c>
      <c r="O29">
        <f t="shared" si="19"/>
        <v>16.7</v>
      </c>
      <c r="P29">
        <v>0</v>
      </c>
      <c r="Q29">
        <v>0</v>
      </c>
      <c r="R29">
        <v>0.3</v>
      </c>
      <c r="S29">
        <f t="shared" si="20"/>
        <v>0.3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f t="shared" si="21"/>
        <v>0</v>
      </c>
      <c r="AB29">
        <v>0</v>
      </c>
      <c r="AC29">
        <v>0</v>
      </c>
      <c r="AD29">
        <v>0</v>
      </c>
      <c r="AE29">
        <v>9.1999999999999993</v>
      </c>
      <c r="AF29">
        <v>2.2999999999999998</v>
      </c>
      <c r="AG29">
        <v>0</v>
      </c>
      <c r="AH29">
        <v>0</v>
      </c>
      <c r="AI29">
        <v>0</v>
      </c>
      <c r="AJ29">
        <f t="shared" si="7"/>
        <v>11.5</v>
      </c>
      <c r="AK29">
        <v>0</v>
      </c>
      <c r="AL29">
        <v>0.58899999999999997</v>
      </c>
      <c r="AM29">
        <f t="shared" si="8"/>
        <v>0.41100000000000009</v>
      </c>
      <c r="AN29">
        <v>10308</v>
      </c>
      <c r="AO29">
        <v>5418</v>
      </c>
      <c r="AP29" s="3">
        <f t="shared" si="9"/>
        <v>17500.848896434636</v>
      </c>
      <c r="AQ29" s="3">
        <f t="shared" si="22"/>
        <v>9198.641765704584</v>
      </c>
      <c r="AR29">
        <f t="shared" si="11"/>
        <v>0.27980535279805346</v>
      </c>
      <c r="AS29">
        <f t="shared" si="23"/>
        <v>0.29600000000000004</v>
      </c>
      <c r="AT29">
        <f t="shared" si="24"/>
        <v>5180</v>
      </c>
      <c r="AU29">
        <f t="shared" si="25"/>
        <v>2013</v>
      </c>
      <c r="AV29">
        <f t="shared" si="12"/>
        <v>4078</v>
      </c>
      <c r="AW29">
        <f t="shared" si="13"/>
        <v>2193</v>
      </c>
      <c r="AX29" s="3">
        <f t="shared" si="14"/>
        <v>11229.848896434636</v>
      </c>
      <c r="AY29">
        <f t="shared" si="15"/>
        <v>2590</v>
      </c>
      <c r="AZ29">
        <f t="shared" si="16"/>
        <v>2436</v>
      </c>
      <c r="BA29" s="3">
        <f t="shared" si="17"/>
        <v>12474.848896434636</v>
      </c>
    </row>
    <row r="30" spans="1:53" x14ac:dyDescent="0.2">
      <c r="A30">
        <v>2018</v>
      </c>
      <c r="B30" t="s">
        <v>5</v>
      </c>
      <c r="C30" t="s">
        <v>2</v>
      </c>
      <c r="D30">
        <v>2.8</v>
      </c>
      <c r="E30">
        <v>0</v>
      </c>
      <c r="F30">
        <v>0.6</v>
      </c>
      <c r="G30">
        <v>0.8</v>
      </c>
      <c r="H30">
        <v>1.1000000000000001</v>
      </c>
      <c r="I30">
        <v>0.2</v>
      </c>
      <c r="J30">
        <v>0</v>
      </c>
      <c r="K30">
        <f t="shared" si="18"/>
        <v>5.5000000000000009</v>
      </c>
      <c r="L30">
        <v>0</v>
      </c>
      <c r="M30">
        <v>18</v>
      </c>
      <c r="N30">
        <v>1.3</v>
      </c>
      <c r="O30">
        <f t="shared" si="19"/>
        <v>19.3</v>
      </c>
      <c r="P30">
        <v>0</v>
      </c>
      <c r="Q30">
        <v>0</v>
      </c>
      <c r="R30">
        <v>0.5</v>
      </c>
      <c r="S30">
        <f t="shared" si="20"/>
        <v>0.5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f t="shared" si="21"/>
        <v>0</v>
      </c>
      <c r="AB30">
        <v>0</v>
      </c>
      <c r="AC30">
        <v>0</v>
      </c>
      <c r="AD30">
        <v>0</v>
      </c>
      <c r="AE30">
        <v>5.8</v>
      </c>
      <c r="AF30">
        <v>1.7</v>
      </c>
      <c r="AG30">
        <v>0</v>
      </c>
      <c r="AH30">
        <v>0</v>
      </c>
      <c r="AI30">
        <v>0</v>
      </c>
      <c r="AJ30">
        <f t="shared" si="7"/>
        <v>7.5</v>
      </c>
      <c r="AK30">
        <v>0</v>
      </c>
      <c r="AL30">
        <v>0.67200000000000004</v>
      </c>
      <c r="AM30">
        <f t="shared" si="8"/>
        <v>0.32800000000000007</v>
      </c>
      <c r="AN30">
        <v>12774</v>
      </c>
      <c r="AO30">
        <v>5328</v>
      </c>
      <c r="AP30" s="3">
        <f t="shared" si="9"/>
        <v>19008.928571428572</v>
      </c>
      <c r="AQ30" s="3">
        <f t="shared" si="22"/>
        <v>7928.5714285714294</v>
      </c>
      <c r="AR30">
        <f t="shared" si="11"/>
        <v>0.22865853658536581</v>
      </c>
      <c r="AS30">
        <f t="shared" si="23"/>
        <v>0.253</v>
      </c>
      <c r="AT30">
        <f t="shared" si="24"/>
        <v>4809</v>
      </c>
      <c r="AU30">
        <f t="shared" si="25"/>
        <v>1426</v>
      </c>
      <c r="AV30">
        <f t="shared" si="12"/>
        <v>4287</v>
      </c>
      <c r="AW30">
        <f t="shared" si="13"/>
        <v>1478</v>
      </c>
      <c r="AX30" s="3">
        <f t="shared" si="14"/>
        <v>13243.928571428572</v>
      </c>
      <c r="AY30">
        <f t="shared" si="15"/>
        <v>2405</v>
      </c>
      <c r="AZ30">
        <f t="shared" si="16"/>
        <v>1667</v>
      </c>
      <c r="BA30" s="3">
        <f t="shared" si="17"/>
        <v>14936.928571428572</v>
      </c>
    </row>
    <row r="31" spans="1:53" x14ac:dyDescent="0.2">
      <c r="A31">
        <v>2019</v>
      </c>
      <c r="B31" t="s">
        <v>5</v>
      </c>
      <c r="C31" t="s">
        <v>2</v>
      </c>
      <c r="D31">
        <v>1.6</v>
      </c>
      <c r="E31">
        <v>0</v>
      </c>
      <c r="F31">
        <v>1.3</v>
      </c>
      <c r="G31">
        <v>0</v>
      </c>
      <c r="H31">
        <v>2.8</v>
      </c>
      <c r="I31">
        <v>0</v>
      </c>
      <c r="J31">
        <v>0.7</v>
      </c>
      <c r="K31">
        <f t="shared" si="18"/>
        <v>6.4</v>
      </c>
      <c r="L31">
        <v>0</v>
      </c>
      <c r="M31">
        <v>17.3</v>
      </c>
      <c r="N31">
        <v>4.9000000000000004</v>
      </c>
      <c r="O31">
        <f t="shared" si="19"/>
        <v>22.200000000000003</v>
      </c>
      <c r="P31">
        <v>0</v>
      </c>
      <c r="Q31">
        <v>0</v>
      </c>
      <c r="R31">
        <v>0.1</v>
      </c>
      <c r="S31">
        <f t="shared" si="20"/>
        <v>0.1</v>
      </c>
      <c r="T31">
        <v>0.1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f t="shared" si="21"/>
        <v>0.1</v>
      </c>
      <c r="AB31">
        <v>0</v>
      </c>
      <c r="AC31">
        <v>0</v>
      </c>
      <c r="AD31">
        <v>0</v>
      </c>
      <c r="AE31">
        <v>5.8</v>
      </c>
      <c r="AF31">
        <v>4.7</v>
      </c>
      <c r="AG31">
        <v>0</v>
      </c>
      <c r="AH31">
        <v>0</v>
      </c>
      <c r="AI31">
        <v>0</v>
      </c>
      <c r="AJ31">
        <f t="shared" si="7"/>
        <v>10.5</v>
      </c>
      <c r="AK31">
        <v>0</v>
      </c>
      <c r="AL31">
        <v>0.60699999999999998</v>
      </c>
      <c r="AM31">
        <f t="shared" si="8"/>
        <v>0.39299999999999996</v>
      </c>
      <c r="AN31">
        <v>11675</v>
      </c>
      <c r="AO31">
        <v>4587</v>
      </c>
      <c r="AP31" s="3">
        <f t="shared" si="9"/>
        <v>19233.937397034599</v>
      </c>
      <c r="AQ31" s="3">
        <f t="shared" si="22"/>
        <v>7556.8369028006591</v>
      </c>
      <c r="AR31">
        <f t="shared" si="11"/>
        <v>0.26717557251908397</v>
      </c>
      <c r="AS31">
        <f t="shared" si="23"/>
        <v>0.28800000000000003</v>
      </c>
      <c r="AT31">
        <f t="shared" si="24"/>
        <v>5539</v>
      </c>
      <c r="AU31">
        <f t="shared" si="25"/>
        <v>2020</v>
      </c>
      <c r="AV31">
        <f t="shared" si="12"/>
        <v>4924</v>
      </c>
      <c r="AW31">
        <f t="shared" si="13"/>
        <v>2111</v>
      </c>
      <c r="AX31" s="3">
        <f t="shared" si="14"/>
        <v>12198.937397034599</v>
      </c>
      <c r="AY31">
        <f t="shared" si="15"/>
        <v>2770</v>
      </c>
      <c r="AZ31">
        <f t="shared" si="16"/>
        <v>2428</v>
      </c>
      <c r="BA31" s="3">
        <f t="shared" si="17"/>
        <v>14035.937397034599</v>
      </c>
    </row>
    <row r="32" spans="1:53" x14ac:dyDescent="0.2">
      <c r="A32">
        <v>2020</v>
      </c>
      <c r="B32" t="s">
        <v>5</v>
      </c>
      <c r="C32" t="s">
        <v>2</v>
      </c>
      <c r="D32">
        <v>3</v>
      </c>
      <c r="E32">
        <v>0.2</v>
      </c>
      <c r="F32">
        <v>0.4</v>
      </c>
      <c r="G32">
        <v>0</v>
      </c>
      <c r="H32">
        <v>0.2</v>
      </c>
      <c r="I32">
        <v>0</v>
      </c>
      <c r="J32">
        <v>0</v>
      </c>
      <c r="K32">
        <f t="shared" si="18"/>
        <v>3.8000000000000003</v>
      </c>
      <c r="L32">
        <v>0</v>
      </c>
      <c r="M32">
        <v>19.899999999999999</v>
      </c>
      <c r="N32">
        <v>1.4</v>
      </c>
      <c r="O32">
        <f t="shared" si="19"/>
        <v>21.299999999999997</v>
      </c>
      <c r="P32">
        <v>0</v>
      </c>
      <c r="Q32">
        <v>0</v>
      </c>
      <c r="R32">
        <v>0</v>
      </c>
      <c r="S32">
        <f t="shared" si="20"/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f t="shared" si="21"/>
        <v>0</v>
      </c>
      <c r="AB32">
        <v>0</v>
      </c>
      <c r="AC32">
        <v>0</v>
      </c>
      <c r="AD32">
        <v>0</v>
      </c>
      <c r="AE32">
        <v>3.2</v>
      </c>
      <c r="AF32">
        <v>0.4</v>
      </c>
      <c r="AG32">
        <v>0</v>
      </c>
      <c r="AH32">
        <v>0</v>
      </c>
      <c r="AI32">
        <v>0</v>
      </c>
      <c r="AJ32">
        <f t="shared" si="7"/>
        <v>3.6</v>
      </c>
      <c r="AK32">
        <v>0</v>
      </c>
      <c r="AL32">
        <v>0.71200000000000008</v>
      </c>
      <c r="AM32">
        <f t="shared" si="8"/>
        <v>0.28699999999999998</v>
      </c>
      <c r="AN32">
        <v>19176</v>
      </c>
      <c r="AO32">
        <v>9835</v>
      </c>
      <c r="AP32" s="3">
        <f t="shared" si="9"/>
        <v>26894.810659186533</v>
      </c>
      <c r="AQ32" s="3">
        <f t="shared" si="22"/>
        <v>13793.828892005609</v>
      </c>
      <c r="AR32">
        <f t="shared" si="11"/>
        <v>0.12543554006968644</v>
      </c>
      <c r="AS32">
        <f t="shared" si="23"/>
        <v>0.251</v>
      </c>
      <c r="AT32">
        <f t="shared" si="24"/>
        <v>6751</v>
      </c>
      <c r="AU32">
        <f t="shared" si="25"/>
        <v>968</v>
      </c>
      <c r="AV32">
        <f t="shared" si="12"/>
        <v>6240</v>
      </c>
      <c r="AW32">
        <f t="shared" si="13"/>
        <v>993</v>
      </c>
      <c r="AX32" s="3">
        <f t="shared" si="14"/>
        <v>19661.810659186533</v>
      </c>
      <c r="AY32">
        <f t="shared" si="15"/>
        <v>3375</v>
      </c>
      <c r="AZ32">
        <f t="shared" si="16"/>
        <v>1130</v>
      </c>
      <c r="BA32" s="3">
        <f t="shared" si="17"/>
        <v>22389.810659186533</v>
      </c>
    </row>
    <row r="33" spans="1:53" x14ac:dyDescent="0.2">
      <c r="A33">
        <v>2021</v>
      </c>
      <c r="B33" t="s">
        <v>5</v>
      </c>
      <c r="C33" t="s">
        <v>2</v>
      </c>
      <c r="D33">
        <v>3.6</v>
      </c>
      <c r="E33">
        <v>0.7</v>
      </c>
      <c r="F33">
        <v>1.2</v>
      </c>
      <c r="G33">
        <v>0</v>
      </c>
      <c r="H33">
        <v>0.8</v>
      </c>
      <c r="I33">
        <v>0</v>
      </c>
      <c r="J33">
        <v>0.4</v>
      </c>
      <c r="K33">
        <f t="shared" si="18"/>
        <v>6.7</v>
      </c>
      <c r="L33">
        <v>0</v>
      </c>
      <c r="M33">
        <v>6.4</v>
      </c>
      <c r="N33">
        <v>4.8</v>
      </c>
      <c r="O33">
        <f t="shared" si="19"/>
        <v>11.2</v>
      </c>
      <c r="P33">
        <v>0</v>
      </c>
      <c r="Q33">
        <v>0</v>
      </c>
      <c r="R33">
        <v>0</v>
      </c>
      <c r="S33">
        <f t="shared" si="20"/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f t="shared" si="21"/>
        <v>0</v>
      </c>
      <c r="AB33">
        <v>0</v>
      </c>
      <c r="AC33">
        <v>0</v>
      </c>
      <c r="AD33">
        <v>0</v>
      </c>
      <c r="AE33">
        <v>6.6</v>
      </c>
      <c r="AF33">
        <v>1</v>
      </c>
      <c r="AG33">
        <v>0</v>
      </c>
      <c r="AH33">
        <v>0</v>
      </c>
      <c r="AI33">
        <v>0</v>
      </c>
      <c r="AJ33">
        <f t="shared" si="7"/>
        <v>7.6</v>
      </c>
      <c r="AK33">
        <v>0</v>
      </c>
      <c r="AL33">
        <v>0.746</v>
      </c>
      <c r="AM33">
        <f t="shared" si="8"/>
        <v>0.255</v>
      </c>
      <c r="AN33">
        <v>12867</v>
      </c>
      <c r="AO33">
        <v>4779</v>
      </c>
      <c r="AP33" s="3">
        <f t="shared" si="9"/>
        <v>17271.140939597317</v>
      </c>
      <c r="AQ33" s="3">
        <f t="shared" si="22"/>
        <v>6414.7651006711412</v>
      </c>
      <c r="AR33">
        <f t="shared" si="11"/>
        <v>0.29803921568627451</v>
      </c>
      <c r="AS33">
        <f t="shared" si="23"/>
        <v>0.17899999999999999</v>
      </c>
      <c r="AT33">
        <f t="shared" si="24"/>
        <v>3092</v>
      </c>
      <c r="AU33">
        <f t="shared" si="25"/>
        <v>1313</v>
      </c>
      <c r="AV33">
        <f t="shared" si="12"/>
        <v>2513</v>
      </c>
      <c r="AW33">
        <f t="shared" si="13"/>
        <v>1367</v>
      </c>
      <c r="AX33" s="3">
        <f t="shared" si="14"/>
        <v>13391.140939597317</v>
      </c>
      <c r="AY33">
        <f t="shared" si="15"/>
        <v>1546</v>
      </c>
      <c r="AZ33">
        <f t="shared" si="16"/>
        <v>1456</v>
      </c>
      <c r="BA33" s="3">
        <f t="shared" si="17"/>
        <v>14269.140939597317</v>
      </c>
    </row>
    <row r="34" spans="1:53" x14ac:dyDescent="0.2">
      <c r="A34">
        <v>2022</v>
      </c>
      <c r="B34" t="s">
        <v>5</v>
      </c>
      <c r="C34" t="s">
        <v>2</v>
      </c>
      <c r="D34">
        <v>10.5</v>
      </c>
      <c r="E34">
        <v>0.2</v>
      </c>
      <c r="F34">
        <v>2.2000000000000002</v>
      </c>
      <c r="G34">
        <v>0</v>
      </c>
      <c r="H34">
        <v>4.8</v>
      </c>
      <c r="I34">
        <v>0</v>
      </c>
      <c r="J34">
        <v>0</v>
      </c>
      <c r="K34">
        <f t="shared" si="18"/>
        <v>17.7</v>
      </c>
      <c r="L34">
        <v>0</v>
      </c>
      <c r="M34">
        <v>3.7</v>
      </c>
      <c r="N34">
        <v>3.9</v>
      </c>
      <c r="O34">
        <f t="shared" si="19"/>
        <v>7.6</v>
      </c>
      <c r="P34">
        <v>0</v>
      </c>
      <c r="Q34">
        <v>0</v>
      </c>
      <c r="R34">
        <v>0</v>
      </c>
      <c r="S34">
        <f t="shared" si="20"/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f t="shared" si="21"/>
        <v>0</v>
      </c>
      <c r="AB34">
        <v>0</v>
      </c>
      <c r="AC34">
        <v>0</v>
      </c>
      <c r="AD34">
        <v>0</v>
      </c>
      <c r="AE34">
        <v>4.2</v>
      </c>
      <c r="AF34">
        <v>0</v>
      </c>
      <c r="AG34">
        <v>0</v>
      </c>
      <c r="AH34">
        <v>0</v>
      </c>
      <c r="AI34">
        <v>0</v>
      </c>
      <c r="AJ34">
        <f t="shared" si="7"/>
        <v>4.2</v>
      </c>
      <c r="AK34">
        <v>0</v>
      </c>
      <c r="AL34">
        <v>0.70400000000000007</v>
      </c>
      <c r="AM34">
        <f t="shared" si="8"/>
        <v>0.29499999999999998</v>
      </c>
      <c r="AN34">
        <v>9526</v>
      </c>
      <c r="AO34">
        <v>5139</v>
      </c>
      <c r="AP34" s="3">
        <f t="shared" si="9"/>
        <v>13512.056737588651</v>
      </c>
      <c r="AQ34" s="3">
        <f t="shared" si="22"/>
        <v>7289.3617021276586</v>
      </c>
      <c r="AR34">
        <f t="shared" si="11"/>
        <v>0.14237288135593221</v>
      </c>
      <c r="AS34">
        <f t="shared" si="23"/>
        <v>0.25299999999999995</v>
      </c>
      <c r="AT34">
        <f t="shared" si="24"/>
        <v>3419</v>
      </c>
      <c r="AU34">
        <f t="shared" si="25"/>
        <v>568</v>
      </c>
      <c r="AV34">
        <f t="shared" si="12"/>
        <v>2223</v>
      </c>
      <c r="AW34">
        <f t="shared" si="13"/>
        <v>635</v>
      </c>
      <c r="AX34" s="3">
        <f t="shared" si="14"/>
        <v>10654.056737588651</v>
      </c>
      <c r="AY34">
        <f t="shared" si="15"/>
        <v>1709</v>
      </c>
      <c r="AZ34">
        <f t="shared" si="16"/>
        <v>664</v>
      </c>
      <c r="BA34" s="3">
        <f t="shared" si="17"/>
        <v>11139.056737588651</v>
      </c>
    </row>
    <row r="35" spans="1:53" x14ac:dyDescent="0.2">
      <c r="A35">
        <v>2023</v>
      </c>
      <c r="B35" t="s">
        <v>5</v>
      </c>
      <c r="C35" t="s">
        <v>2</v>
      </c>
      <c r="D35">
        <v>2.4</v>
      </c>
      <c r="E35">
        <v>0</v>
      </c>
      <c r="F35">
        <v>0</v>
      </c>
      <c r="G35">
        <v>0</v>
      </c>
      <c r="H35">
        <v>4.3</v>
      </c>
      <c r="I35">
        <v>0</v>
      </c>
      <c r="J35">
        <v>0</v>
      </c>
      <c r="K35">
        <f t="shared" si="18"/>
        <v>6.6999999999999993</v>
      </c>
      <c r="L35">
        <v>0</v>
      </c>
      <c r="M35">
        <v>1.1000000000000001</v>
      </c>
      <c r="N35">
        <v>8.6</v>
      </c>
      <c r="O35">
        <f t="shared" si="19"/>
        <v>9.6999999999999993</v>
      </c>
      <c r="P35">
        <v>0</v>
      </c>
      <c r="Q35">
        <v>0</v>
      </c>
      <c r="R35">
        <v>0</v>
      </c>
      <c r="S35">
        <f t="shared" si="20"/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f t="shared" si="21"/>
        <v>0</v>
      </c>
      <c r="AB35">
        <v>0</v>
      </c>
      <c r="AC35">
        <v>0</v>
      </c>
      <c r="AD35">
        <v>0</v>
      </c>
      <c r="AE35">
        <v>4.2</v>
      </c>
      <c r="AF35">
        <v>0</v>
      </c>
      <c r="AG35">
        <v>0</v>
      </c>
      <c r="AH35">
        <v>0</v>
      </c>
      <c r="AI35">
        <v>0</v>
      </c>
      <c r="AJ35">
        <f t="shared" si="7"/>
        <v>4.2</v>
      </c>
      <c r="AK35">
        <v>0</v>
      </c>
      <c r="AL35">
        <v>0.79500000000000004</v>
      </c>
      <c r="AM35">
        <f t="shared" si="8"/>
        <v>0.20600000000000002</v>
      </c>
      <c r="AN35">
        <v>15340</v>
      </c>
      <c r="AO35">
        <v>6903</v>
      </c>
      <c r="AP35" s="3">
        <f t="shared" si="9"/>
        <v>19319.899244332493</v>
      </c>
      <c r="AQ35" s="3">
        <f t="shared" si="22"/>
        <v>8693.9546599496225</v>
      </c>
      <c r="AR35">
        <f t="shared" si="11"/>
        <v>0.20388349514563106</v>
      </c>
      <c r="AS35">
        <f t="shared" si="23"/>
        <v>0.16399999999999998</v>
      </c>
      <c r="AT35">
        <f t="shared" si="24"/>
        <v>3168</v>
      </c>
      <c r="AU35">
        <f t="shared" si="25"/>
        <v>811</v>
      </c>
      <c r="AV35">
        <f t="shared" si="12"/>
        <v>2521</v>
      </c>
      <c r="AW35">
        <f t="shared" si="13"/>
        <v>843</v>
      </c>
      <c r="AX35" s="3">
        <f t="shared" si="14"/>
        <v>15955.899244332493</v>
      </c>
      <c r="AY35">
        <f t="shared" si="15"/>
        <v>1584</v>
      </c>
      <c r="AZ35">
        <f t="shared" si="16"/>
        <v>891</v>
      </c>
      <c r="BA35" s="3">
        <f t="shared" si="17"/>
        <v>16844.899244332493</v>
      </c>
    </row>
    <row r="36" spans="1:53" x14ac:dyDescent="0.2">
      <c r="A36">
        <v>2004</v>
      </c>
      <c r="B36" t="s">
        <v>44</v>
      </c>
      <c r="C36" t="s">
        <v>1</v>
      </c>
      <c r="D36">
        <v>5.0999999999999996</v>
      </c>
      <c r="E36">
        <v>8.1</v>
      </c>
      <c r="F36">
        <v>13.9</v>
      </c>
      <c r="G36">
        <v>0</v>
      </c>
      <c r="H36">
        <v>0</v>
      </c>
      <c r="I36">
        <v>0</v>
      </c>
      <c r="J36">
        <v>0</v>
      </c>
      <c r="K36">
        <f>SUM(D36:J36)</f>
        <v>27.1</v>
      </c>
      <c r="L36">
        <v>0</v>
      </c>
      <c r="M36">
        <v>0</v>
      </c>
      <c r="N36">
        <v>0</v>
      </c>
      <c r="O36">
        <f t="shared" si="19"/>
        <v>0</v>
      </c>
      <c r="P36">
        <v>0</v>
      </c>
      <c r="Q36">
        <v>0</v>
      </c>
      <c r="R36">
        <v>0</v>
      </c>
      <c r="S36">
        <f t="shared" si="20"/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f t="shared" si="21"/>
        <v>0</v>
      </c>
      <c r="AB36">
        <v>0</v>
      </c>
      <c r="AC36">
        <v>0.2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f t="shared" si="7"/>
        <v>0.2</v>
      </c>
      <c r="AK36">
        <v>0</v>
      </c>
      <c r="AL36">
        <v>0.72599999999999998</v>
      </c>
      <c r="AM36">
        <f t="shared" si="8"/>
        <v>0.27299999999999996</v>
      </c>
      <c r="AN36">
        <v>3406</v>
      </c>
      <c r="AO36" t="s">
        <v>13</v>
      </c>
      <c r="AP36" s="3">
        <f t="shared" si="9"/>
        <v>4685.0068775790915</v>
      </c>
      <c r="AQ36" t="s">
        <v>13</v>
      </c>
      <c r="AR36">
        <f t="shared" ref="AR36:AR99" si="26">(AJ36/100)/AM36</f>
        <v>7.3260073260073269E-3</v>
      </c>
      <c r="AS36">
        <f t="shared" si="23"/>
        <v>0.27100000000000002</v>
      </c>
      <c r="AT36">
        <f t="shared" si="24"/>
        <v>1270</v>
      </c>
      <c r="AU36">
        <f t="shared" si="25"/>
        <v>9</v>
      </c>
      <c r="AV36">
        <f t="shared" si="12"/>
        <v>635</v>
      </c>
      <c r="AW36">
        <f t="shared" si="13"/>
        <v>11</v>
      </c>
      <c r="AX36" s="3">
        <f t="shared" si="14"/>
        <v>4039.0068775790915</v>
      </c>
      <c r="AY36">
        <f t="shared" si="15"/>
        <v>635</v>
      </c>
      <c r="AZ36">
        <f t="shared" si="16"/>
        <v>11</v>
      </c>
      <c r="BA36" s="3">
        <f t="shared" si="17"/>
        <v>4039.0068775790915</v>
      </c>
    </row>
    <row r="37" spans="1:53" x14ac:dyDescent="0.2">
      <c r="A37">
        <v>2005</v>
      </c>
      <c r="B37" t="s">
        <v>44</v>
      </c>
      <c r="C37" t="s">
        <v>1</v>
      </c>
      <c r="D37">
        <v>5</v>
      </c>
      <c r="E37">
        <v>4.8</v>
      </c>
      <c r="F37">
        <v>7.9</v>
      </c>
      <c r="G37">
        <v>0</v>
      </c>
      <c r="H37">
        <v>0</v>
      </c>
      <c r="I37">
        <v>0</v>
      </c>
      <c r="J37">
        <v>0</v>
      </c>
      <c r="K37">
        <f t="shared" ref="K37:K100" si="27">SUM(D37:J37)</f>
        <v>17.700000000000003</v>
      </c>
      <c r="L37">
        <v>0</v>
      </c>
      <c r="M37">
        <v>0</v>
      </c>
      <c r="N37">
        <v>0</v>
      </c>
      <c r="O37">
        <f t="shared" si="19"/>
        <v>0</v>
      </c>
      <c r="P37">
        <v>0</v>
      </c>
      <c r="Q37">
        <v>0</v>
      </c>
      <c r="R37">
        <v>0</v>
      </c>
      <c r="S37">
        <f t="shared" si="20"/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f t="shared" si="21"/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f t="shared" si="7"/>
        <v>0</v>
      </c>
      <c r="AK37">
        <v>0</v>
      </c>
      <c r="AL37">
        <v>0.82299999999999995</v>
      </c>
      <c r="AM37">
        <f t="shared" si="8"/>
        <v>0.17700000000000002</v>
      </c>
      <c r="AN37">
        <v>3361</v>
      </c>
      <c r="AO37" t="s">
        <v>13</v>
      </c>
      <c r="AP37" s="3">
        <f t="shared" si="9"/>
        <v>4083.8396111786151</v>
      </c>
      <c r="AQ37" t="s">
        <v>13</v>
      </c>
      <c r="AR37">
        <f t="shared" si="26"/>
        <v>0</v>
      </c>
      <c r="AS37">
        <f t="shared" si="23"/>
        <v>0.17700000000000002</v>
      </c>
      <c r="AT37">
        <f t="shared" si="24"/>
        <v>723</v>
      </c>
      <c r="AU37">
        <f t="shared" si="25"/>
        <v>0</v>
      </c>
      <c r="AV37">
        <f t="shared" si="12"/>
        <v>361</v>
      </c>
      <c r="AW37">
        <f t="shared" si="13"/>
        <v>0</v>
      </c>
      <c r="AX37" s="3">
        <f t="shared" si="14"/>
        <v>3722.8396111786151</v>
      </c>
      <c r="AY37">
        <f t="shared" si="15"/>
        <v>361</v>
      </c>
      <c r="AZ37">
        <f t="shared" si="16"/>
        <v>0</v>
      </c>
      <c r="BA37" s="3">
        <f t="shared" si="17"/>
        <v>3722.8396111786151</v>
      </c>
    </row>
    <row r="38" spans="1:53" x14ac:dyDescent="0.2">
      <c r="A38">
        <v>2006</v>
      </c>
      <c r="B38" t="s">
        <v>44</v>
      </c>
      <c r="C38" t="s">
        <v>1</v>
      </c>
      <c r="D38">
        <v>3.3</v>
      </c>
      <c r="E38">
        <v>1.1000000000000001</v>
      </c>
      <c r="F38">
        <v>13.2</v>
      </c>
      <c r="G38">
        <v>0</v>
      </c>
      <c r="H38">
        <v>0</v>
      </c>
      <c r="I38">
        <v>0</v>
      </c>
      <c r="J38">
        <v>0</v>
      </c>
      <c r="K38">
        <f t="shared" si="27"/>
        <v>17.600000000000001</v>
      </c>
      <c r="L38">
        <v>0</v>
      </c>
      <c r="M38">
        <v>0</v>
      </c>
      <c r="N38">
        <v>0</v>
      </c>
      <c r="O38">
        <f t="shared" si="19"/>
        <v>0</v>
      </c>
      <c r="P38">
        <v>0</v>
      </c>
      <c r="Q38">
        <v>0</v>
      </c>
      <c r="R38">
        <v>0</v>
      </c>
      <c r="S38">
        <f t="shared" si="20"/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f t="shared" si="21"/>
        <v>0</v>
      </c>
      <c r="AB38">
        <v>0</v>
      </c>
      <c r="AC38">
        <v>0.6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f t="shared" si="7"/>
        <v>0.6</v>
      </c>
      <c r="AK38">
        <v>0</v>
      </c>
      <c r="AL38">
        <v>0.81799999999999995</v>
      </c>
      <c r="AM38">
        <f t="shared" si="8"/>
        <v>0.182</v>
      </c>
      <c r="AN38">
        <v>3003</v>
      </c>
      <c r="AO38" t="s">
        <v>13</v>
      </c>
      <c r="AP38" s="3">
        <f t="shared" si="9"/>
        <v>3671.1491442542783</v>
      </c>
      <c r="AQ38" t="s">
        <v>13</v>
      </c>
      <c r="AR38">
        <f t="shared" si="26"/>
        <v>3.2967032967032968E-2</v>
      </c>
      <c r="AS38">
        <f t="shared" si="23"/>
        <v>0.17600000000000002</v>
      </c>
      <c r="AT38">
        <f t="shared" si="24"/>
        <v>646</v>
      </c>
      <c r="AU38">
        <f t="shared" si="25"/>
        <v>22</v>
      </c>
      <c r="AV38">
        <f t="shared" si="12"/>
        <v>323</v>
      </c>
      <c r="AW38">
        <f t="shared" si="13"/>
        <v>24</v>
      </c>
      <c r="AX38" s="3">
        <f t="shared" si="14"/>
        <v>3324.1491442542783</v>
      </c>
      <c r="AY38">
        <f t="shared" si="15"/>
        <v>323</v>
      </c>
      <c r="AZ38">
        <f t="shared" si="16"/>
        <v>24</v>
      </c>
      <c r="BA38" s="3">
        <f t="shared" si="17"/>
        <v>3324.1491442542783</v>
      </c>
    </row>
    <row r="39" spans="1:53" x14ac:dyDescent="0.2">
      <c r="A39">
        <v>2007</v>
      </c>
      <c r="B39" t="s">
        <v>44</v>
      </c>
      <c r="C39" t="s">
        <v>1</v>
      </c>
      <c r="D39">
        <v>5.4</v>
      </c>
      <c r="E39">
        <v>8.1</v>
      </c>
      <c r="F39">
        <v>16.7</v>
      </c>
      <c r="G39">
        <v>0</v>
      </c>
      <c r="H39">
        <v>0</v>
      </c>
      <c r="I39">
        <v>0</v>
      </c>
      <c r="J39">
        <v>0</v>
      </c>
      <c r="K39">
        <f t="shared" si="27"/>
        <v>30.2</v>
      </c>
      <c r="L39">
        <v>0</v>
      </c>
      <c r="M39">
        <v>0</v>
      </c>
      <c r="N39">
        <v>0</v>
      </c>
      <c r="O39">
        <f t="shared" si="19"/>
        <v>0</v>
      </c>
      <c r="P39">
        <v>0</v>
      </c>
      <c r="Q39">
        <v>0</v>
      </c>
      <c r="R39">
        <v>0</v>
      </c>
      <c r="S39">
        <f t="shared" si="20"/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f t="shared" si="21"/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f t="shared" si="7"/>
        <v>0</v>
      </c>
      <c r="AK39">
        <v>0</v>
      </c>
      <c r="AL39">
        <v>0.69799999999999995</v>
      </c>
      <c r="AM39">
        <f t="shared" si="8"/>
        <v>0.30199999999999999</v>
      </c>
      <c r="AN39">
        <v>1435</v>
      </c>
      <c r="AO39" t="s">
        <v>13</v>
      </c>
      <c r="AP39" s="3">
        <f t="shared" si="9"/>
        <v>2055.873925501433</v>
      </c>
      <c r="AQ39" t="s">
        <v>13</v>
      </c>
      <c r="AR39">
        <f t="shared" si="26"/>
        <v>0</v>
      </c>
      <c r="AS39">
        <f t="shared" si="23"/>
        <v>0.30199999999999999</v>
      </c>
      <c r="AT39">
        <f t="shared" si="24"/>
        <v>621</v>
      </c>
      <c r="AU39">
        <f t="shared" si="25"/>
        <v>0</v>
      </c>
      <c r="AV39">
        <f t="shared" si="12"/>
        <v>310</v>
      </c>
      <c r="AW39">
        <f t="shared" si="13"/>
        <v>0</v>
      </c>
      <c r="AX39" s="3">
        <f t="shared" si="14"/>
        <v>1745.873925501433</v>
      </c>
      <c r="AY39">
        <f t="shared" si="15"/>
        <v>310</v>
      </c>
      <c r="AZ39">
        <f t="shared" si="16"/>
        <v>0</v>
      </c>
      <c r="BA39" s="3">
        <f t="shared" si="17"/>
        <v>1745.873925501433</v>
      </c>
    </row>
    <row r="40" spans="1:53" x14ac:dyDescent="0.2">
      <c r="A40">
        <v>2008</v>
      </c>
      <c r="B40" t="s">
        <v>44</v>
      </c>
      <c r="C40" t="s">
        <v>1</v>
      </c>
      <c r="D40">
        <v>3.9</v>
      </c>
      <c r="E40">
        <v>6.4</v>
      </c>
      <c r="F40">
        <v>3.9</v>
      </c>
      <c r="G40">
        <v>0</v>
      </c>
      <c r="H40">
        <v>0</v>
      </c>
      <c r="I40">
        <v>0</v>
      </c>
      <c r="J40">
        <v>0</v>
      </c>
      <c r="K40">
        <f t="shared" si="27"/>
        <v>14.200000000000001</v>
      </c>
      <c r="L40">
        <v>0</v>
      </c>
      <c r="M40">
        <v>0</v>
      </c>
      <c r="N40">
        <v>0</v>
      </c>
      <c r="O40">
        <f t="shared" si="19"/>
        <v>0</v>
      </c>
      <c r="P40">
        <v>0</v>
      </c>
      <c r="Q40">
        <v>0</v>
      </c>
      <c r="R40">
        <v>0</v>
      </c>
      <c r="S40">
        <f t="shared" si="20"/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f t="shared" si="21"/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f t="shared" si="7"/>
        <v>0</v>
      </c>
      <c r="AK40">
        <v>0</v>
      </c>
      <c r="AL40">
        <v>0.85799999999999998</v>
      </c>
      <c r="AM40">
        <f t="shared" si="8"/>
        <v>0.14200000000000002</v>
      </c>
      <c r="AN40">
        <v>2881</v>
      </c>
      <c r="AO40" t="s">
        <v>13</v>
      </c>
      <c r="AP40" s="3">
        <f t="shared" si="9"/>
        <v>3357.8088578088577</v>
      </c>
      <c r="AQ40" t="s">
        <v>13</v>
      </c>
      <c r="AR40">
        <f t="shared" si="26"/>
        <v>0</v>
      </c>
      <c r="AS40">
        <f t="shared" si="23"/>
        <v>0.14200000000000002</v>
      </c>
      <c r="AT40">
        <f t="shared" si="24"/>
        <v>477</v>
      </c>
      <c r="AU40">
        <f t="shared" si="25"/>
        <v>0</v>
      </c>
      <c r="AV40">
        <f t="shared" si="12"/>
        <v>238</v>
      </c>
      <c r="AW40">
        <f t="shared" si="13"/>
        <v>0</v>
      </c>
      <c r="AX40" s="3">
        <f t="shared" si="14"/>
        <v>3119.8088578088577</v>
      </c>
      <c r="AY40">
        <f t="shared" si="15"/>
        <v>238</v>
      </c>
      <c r="AZ40">
        <f t="shared" si="16"/>
        <v>0</v>
      </c>
      <c r="BA40" s="3">
        <f t="shared" si="17"/>
        <v>3119.8088578088577</v>
      </c>
    </row>
    <row r="41" spans="1:53" x14ac:dyDescent="0.2">
      <c r="A41">
        <v>2009</v>
      </c>
      <c r="B41" t="s">
        <v>44</v>
      </c>
      <c r="C41" t="s">
        <v>1</v>
      </c>
      <c r="D41">
        <v>3.4</v>
      </c>
      <c r="E41">
        <v>1.5</v>
      </c>
      <c r="F41">
        <v>7.3</v>
      </c>
      <c r="G41">
        <v>0</v>
      </c>
      <c r="H41">
        <v>0</v>
      </c>
      <c r="I41">
        <v>0</v>
      </c>
      <c r="J41">
        <v>0</v>
      </c>
      <c r="K41">
        <f t="shared" si="27"/>
        <v>12.2</v>
      </c>
      <c r="L41">
        <v>0</v>
      </c>
      <c r="M41">
        <v>0</v>
      </c>
      <c r="N41">
        <v>0</v>
      </c>
      <c r="O41">
        <f t="shared" si="19"/>
        <v>0</v>
      </c>
      <c r="P41">
        <v>0</v>
      </c>
      <c r="Q41">
        <v>0</v>
      </c>
      <c r="R41">
        <v>0</v>
      </c>
      <c r="S41">
        <f t="shared" si="20"/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f t="shared" si="21"/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f t="shared" si="7"/>
        <v>0</v>
      </c>
      <c r="AK41">
        <v>0</v>
      </c>
      <c r="AL41">
        <v>0.877</v>
      </c>
      <c r="AM41">
        <f t="shared" si="8"/>
        <v>0.122</v>
      </c>
      <c r="AN41">
        <v>4406</v>
      </c>
      <c r="AO41" t="s">
        <v>13</v>
      </c>
      <c r="AP41" s="3">
        <f t="shared" si="9"/>
        <v>5018.2232346241453</v>
      </c>
      <c r="AQ41" t="s">
        <v>13</v>
      </c>
      <c r="AR41">
        <f t="shared" si="26"/>
        <v>0</v>
      </c>
      <c r="AS41">
        <f t="shared" si="23"/>
        <v>0.122</v>
      </c>
      <c r="AT41">
        <f t="shared" si="24"/>
        <v>612</v>
      </c>
      <c r="AU41">
        <f t="shared" si="25"/>
        <v>0</v>
      </c>
      <c r="AV41">
        <f t="shared" si="12"/>
        <v>306</v>
      </c>
      <c r="AW41">
        <f t="shared" si="13"/>
        <v>0</v>
      </c>
      <c r="AX41" s="3">
        <f t="shared" si="14"/>
        <v>4712.2232346241453</v>
      </c>
      <c r="AY41">
        <f t="shared" si="15"/>
        <v>306</v>
      </c>
      <c r="AZ41">
        <f t="shared" si="16"/>
        <v>0</v>
      </c>
      <c r="BA41" s="3">
        <f t="shared" si="17"/>
        <v>4712.2232346241453</v>
      </c>
    </row>
    <row r="42" spans="1:53" x14ac:dyDescent="0.2">
      <c r="A42">
        <v>2010</v>
      </c>
      <c r="B42" t="s">
        <v>44</v>
      </c>
      <c r="C42" t="s">
        <v>1</v>
      </c>
      <c r="D42">
        <v>4.3</v>
      </c>
      <c r="E42">
        <v>8.9</v>
      </c>
      <c r="F42">
        <v>10.9</v>
      </c>
      <c r="G42">
        <v>0</v>
      </c>
      <c r="H42">
        <v>0</v>
      </c>
      <c r="I42">
        <v>0</v>
      </c>
      <c r="J42">
        <v>0</v>
      </c>
      <c r="K42">
        <f t="shared" si="27"/>
        <v>24.1</v>
      </c>
      <c r="L42">
        <v>0</v>
      </c>
      <c r="M42">
        <v>0</v>
      </c>
      <c r="N42">
        <v>0</v>
      </c>
      <c r="O42">
        <f t="shared" si="19"/>
        <v>0</v>
      </c>
      <c r="P42">
        <v>0</v>
      </c>
      <c r="Q42">
        <v>0</v>
      </c>
      <c r="R42">
        <v>0</v>
      </c>
      <c r="S42">
        <f t="shared" si="20"/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f t="shared" si="21"/>
        <v>0</v>
      </c>
      <c r="AB42">
        <v>0</v>
      </c>
      <c r="AC42">
        <v>0.7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f t="shared" si="7"/>
        <v>0.7</v>
      </c>
      <c r="AK42">
        <v>0</v>
      </c>
      <c r="AL42">
        <v>0.748</v>
      </c>
      <c r="AM42">
        <f t="shared" si="8"/>
        <v>0.248</v>
      </c>
      <c r="AN42">
        <v>1797</v>
      </c>
      <c r="AO42" t="s">
        <v>13</v>
      </c>
      <c r="AP42" s="3">
        <f t="shared" si="9"/>
        <v>2389.627659574468</v>
      </c>
      <c r="AQ42" t="s">
        <v>13</v>
      </c>
      <c r="AR42">
        <f t="shared" si="26"/>
        <v>2.8225806451612899E-2</v>
      </c>
      <c r="AS42">
        <f t="shared" si="23"/>
        <v>0.24100000000000002</v>
      </c>
      <c r="AT42">
        <f t="shared" si="24"/>
        <v>576</v>
      </c>
      <c r="AU42">
        <f t="shared" si="25"/>
        <v>17</v>
      </c>
      <c r="AV42">
        <f t="shared" si="12"/>
        <v>288</v>
      </c>
      <c r="AW42">
        <f t="shared" si="13"/>
        <v>20</v>
      </c>
      <c r="AX42" s="3">
        <f t="shared" si="14"/>
        <v>2081.627659574468</v>
      </c>
      <c r="AY42">
        <f t="shared" si="15"/>
        <v>288</v>
      </c>
      <c r="AZ42">
        <f t="shared" si="16"/>
        <v>20</v>
      </c>
      <c r="BA42" s="3">
        <f t="shared" si="17"/>
        <v>2081.627659574468</v>
      </c>
    </row>
    <row r="43" spans="1:53" x14ac:dyDescent="0.2">
      <c r="A43">
        <v>2011</v>
      </c>
      <c r="B43" t="s">
        <v>44</v>
      </c>
      <c r="C43" t="s">
        <v>1</v>
      </c>
      <c r="D43">
        <v>5</v>
      </c>
      <c r="E43">
        <v>6.1</v>
      </c>
      <c r="F43">
        <v>18.2</v>
      </c>
      <c r="G43">
        <v>0</v>
      </c>
      <c r="H43">
        <v>0</v>
      </c>
      <c r="I43">
        <v>0</v>
      </c>
      <c r="J43">
        <v>0</v>
      </c>
      <c r="K43">
        <f t="shared" si="27"/>
        <v>29.299999999999997</v>
      </c>
      <c r="L43">
        <v>0</v>
      </c>
      <c r="M43">
        <v>0</v>
      </c>
      <c r="N43">
        <v>0</v>
      </c>
      <c r="O43">
        <f t="shared" si="19"/>
        <v>0</v>
      </c>
      <c r="P43">
        <v>0</v>
      </c>
      <c r="Q43">
        <v>0</v>
      </c>
      <c r="R43">
        <v>0</v>
      </c>
      <c r="S43">
        <f t="shared" si="20"/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f t="shared" si="21"/>
        <v>0</v>
      </c>
      <c r="AB43">
        <v>0</v>
      </c>
      <c r="AC43">
        <v>0.3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f t="shared" si="7"/>
        <v>0.3</v>
      </c>
      <c r="AK43">
        <v>0</v>
      </c>
      <c r="AL43">
        <v>0.70400000000000007</v>
      </c>
      <c r="AM43">
        <f t="shared" si="8"/>
        <v>0.29599999999999999</v>
      </c>
      <c r="AN43">
        <v>2674</v>
      </c>
      <c r="AO43" t="s">
        <v>13</v>
      </c>
      <c r="AP43" s="3">
        <f t="shared" si="9"/>
        <v>3798.295454545455</v>
      </c>
      <c r="AQ43" t="s">
        <v>13</v>
      </c>
      <c r="AR43">
        <f t="shared" si="26"/>
        <v>1.0135135135135136E-2</v>
      </c>
      <c r="AS43">
        <f t="shared" si="23"/>
        <v>0.29299999999999998</v>
      </c>
      <c r="AT43">
        <f t="shared" si="24"/>
        <v>1113</v>
      </c>
      <c r="AU43">
        <f t="shared" si="25"/>
        <v>11</v>
      </c>
      <c r="AV43">
        <f t="shared" si="12"/>
        <v>556</v>
      </c>
      <c r="AW43">
        <f t="shared" si="13"/>
        <v>13</v>
      </c>
      <c r="AX43" s="3">
        <f t="shared" si="14"/>
        <v>3229.295454545455</v>
      </c>
      <c r="AY43">
        <f t="shared" si="15"/>
        <v>556</v>
      </c>
      <c r="AZ43">
        <f t="shared" si="16"/>
        <v>13</v>
      </c>
      <c r="BA43" s="3">
        <f t="shared" si="17"/>
        <v>3229.295454545455</v>
      </c>
    </row>
    <row r="44" spans="1:53" x14ac:dyDescent="0.2">
      <c r="A44">
        <v>2012</v>
      </c>
      <c r="B44" t="s">
        <v>44</v>
      </c>
      <c r="C44" t="s">
        <v>1</v>
      </c>
      <c r="D44">
        <v>7.3</v>
      </c>
      <c r="E44">
        <v>11.8</v>
      </c>
      <c r="F44">
        <v>9.1999999999999993</v>
      </c>
      <c r="G44">
        <v>0</v>
      </c>
      <c r="H44">
        <v>0</v>
      </c>
      <c r="I44">
        <v>0</v>
      </c>
      <c r="J44">
        <v>0</v>
      </c>
      <c r="K44">
        <f t="shared" si="27"/>
        <v>28.3</v>
      </c>
      <c r="L44">
        <v>0</v>
      </c>
      <c r="M44">
        <v>0</v>
      </c>
      <c r="N44">
        <v>0</v>
      </c>
      <c r="O44">
        <f t="shared" si="19"/>
        <v>0</v>
      </c>
      <c r="P44">
        <v>0</v>
      </c>
      <c r="Q44">
        <v>0</v>
      </c>
      <c r="R44">
        <v>0</v>
      </c>
      <c r="S44">
        <f t="shared" si="20"/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f t="shared" si="21"/>
        <v>0</v>
      </c>
      <c r="AB44">
        <v>0</v>
      </c>
      <c r="AC44">
        <v>1.4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f t="shared" si="7"/>
        <v>1.4</v>
      </c>
      <c r="AK44">
        <v>0</v>
      </c>
      <c r="AL44">
        <v>0.70299999999999996</v>
      </c>
      <c r="AM44">
        <f t="shared" si="8"/>
        <v>0.29699999999999999</v>
      </c>
      <c r="AN44">
        <v>1723</v>
      </c>
      <c r="AO44" t="s">
        <v>13</v>
      </c>
      <c r="AP44" s="3">
        <f t="shared" si="9"/>
        <v>2450.9246088193454</v>
      </c>
      <c r="AQ44" t="s">
        <v>13</v>
      </c>
      <c r="AR44">
        <f t="shared" si="26"/>
        <v>4.7138047138047139E-2</v>
      </c>
      <c r="AS44">
        <f t="shared" si="23"/>
        <v>0.28300000000000003</v>
      </c>
      <c r="AT44">
        <f t="shared" si="24"/>
        <v>694</v>
      </c>
      <c r="AU44">
        <f t="shared" si="25"/>
        <v>34</v>
      </c>
      <c r="AV44">
        <f t="shared" si="12"/>
        <v>347</v>
      </c>
      <c r="AW44">
        <f t="shared" si="13"/>
        <v>41</v>
      </c>
      <c r="AX44" s="3">
        <f t="shared" si="14"/>
        <v>2062.9246088193454</v>
      </c>
      <c r="AY44">
        <f t="shared" si="15"/>
        <v>347</v>
      </c>
      <c r="AZ44">
        <f t="shared" si="16"/>
        <v>41</v>
      </c>
      <c r="BA44" s="3">
        <f t="shared" si="17"/>
        <v>2062.9246088193454</v>
      </c>
    </row>
    <row r="45" spans="1:53" x14ac:dyDescent="0.2">
      <c r="A45">
        <v>2013</v>
      </c>
      <c r="B45" t="s">
        <v>44</v>
      </c>
      <c r="C45" t="s">
        <v>1</v>
      </c>
      <c r="D45">
        <v>1.5</v>
      </c>
      <c r="E45">
        <v>10</v>
      </c>
      <c r="F45">
        <v>7.2</v>
      </c>
      <c r="G45">
        <v>0</v>
      </c>
      <c r="H45">
        <v>0</v>
      </c>
      <c r="I45">
        <v>0</v>
      </c>
      <c r="J45">
        <v>0</v>
      </c>
      <c r="K45">
        <f t="shared" si="27"/>
        <v>18.7</v>
      </c>
      <c r="L45">
        <v>0</v>
      </c>
      <c r="M45">
        <v>0</v>
      </c>
      <c r="N45">
        <v>0</v>
      </c>
      <c r="O45">
        <f t="shared" si="19"/>
        <v>0</v>
      </c>
      <c r="P45">
        <v>0</v>
      </c>
      <c r="Q45">
        <v>0</v>
      </c>
      <c r="R45">
        <v>0</v>
      </c>
      <c r="S45">
        <f t="shared" si="20"/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f t="shared" si="21"/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f t="shared" si="7"/>
        <v>0</v>
      </c>
      <c r="AK45">
        <v>0</v>
      </c>
      <c r="AL45">
        <v>0.81299999999999994</v>
      </c>
      <c r="AM45">
        <f t="shared" si="8"/>
        <v>0.187</v>
      </c>
      <c r="AN45">
        <v>1719</v>
      </c>
      <c r="AO45" t="s">
        <v>13</v>
      </c>
      <c r="AP45" s="3">
        <f t="shared" si="9"/>
        <v>2114.391143911439</v>
      </c>
      <c r="AQ45" t="s">
        <v>13</v>
      </c>
      <c r="AR45">
        <f t="shared" si="26"/>
        <v>0</v>
      </c>
      <c r="AS45">
        <f t="shared" si="23"/>
        <v>0.187</v>
      </c>
      <c r="AT45">
        <f t="shared" si="24"/>
        <v>395</v>
      </c>
      <c r="AU45">
        <f t="shared" si="25"/>
        <v>0</v>
      </c>
      <c r="AV45">
        <f t="shared" si="12"/>
        <v>198</v>
      </c>
      <c r="AW45">
        <f t="shared" si="13"/>
        <v>0</v>
      </c>
      <c r="AX45" s="3">
        <f t="shared" si="14"/>
        <v>1916.391143911439</v>
      </c>
      <c r="AY45">
        <f t="shared" si="15"/>
        <v>198</v>
      </c>
      <c r="AZ45">
        <f t="shared" si="16"/>
        <v>0</v>
      </c>
      <c r="BA45" s="3">
        <f t="shared" si="17"/>
        <v>1916.391143911439</v>
      </c>
    </row>
    <row r="46" spans="1:53" x14ac:dyDescent="0.2">
      <c r="A46">
        <v>2014</v>
      </c>
      <c r="B46" t="s">
        <v>44</v>
      </c>
      <c r="C46" t="s">
        <v>1</v>
      </c>
      <c r="D46">
        <v>0</v>
      </c>
      <c r="E46">
        <v>19.8</v>
      </c>
      <c r="F46">
        <v>8.6999999999999993</v>
      </c>
      <c r="G46">
        <v>0</v>
      </c>
      <c r="H46">
        <v>0</v>
      </c>
      <c r="I46">
        <v>0</v>
      </c>
      <c r="J46">
        <v>0</v>
      </c>
      <c r="K46">
        <f t="shared" si="27"/>
        <v>28.5</v>
      </c>
      <c r="L46">
        <v>0</v>
      </c>
      <c r="M46">
        <v>0</v>
      </c>
      <c r="N46">
        <v>0</v>
      </c>
      <c r="O46">
        <f t="shared" si="19"/>
        <v>0</v>
      </c>
      <c r="P46">
        <v>0</v>
      </c>
      <c r="Q46">
        <v>0</v>
      </c>
      <c r="R46">
        <v>0</v>
      </c>
      <c r="S46">
        <f t="shared" si="20"/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f t="shared" si="21"/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f t="shared" si="7"/>
        <v>0</v>
      </c>
      <c r="AK46">
        <v>0</v>
      </c>
      <c r="AL46">
        <v>0.71499999999999997</v>
      </c>
      <c r="AM46">
        <f t="shared" si="8"/>
        <v>0.28499999999999998</v>
      </c>
      <c r="AN46">
        <v>1529</v>
      </c>
      <c r="AO46" t="s">
        <v>13</v>
      </c>
      <c r="AP46" s="3">
        <f t="shared" si="9"/>
        <v>2138.4615384615381</v>
      </c>
      <c r="AQ46" t="s">
        <v>13</v>
      </c>
      <c r="AR46">
        <f t="shared" si="26"/>
        <v>0</v>
      </c>
      <c r="AS46">
        <f t="shared" si="23"/>
        <v>0.28499999999999998</v>
      </c>
      <c r="AT46">
        <f t="shared" si="24"/>
        <v>609</v>
      </c>
      <c r="AU46">
        <f t="shared" si="25"/>
        <v>0</v>
      </c>
      <c r="AV46">
        <f t="shared" si="12"/>
        <v>305</v>
      </c>
      <c r="AW46">
        <f t="shared" si="13"/>
        <v>0</v>
      </c>
      <c r="AX46" s="3">
        <f t="shared" si="14"/>
        <v>1833.4615384615381</v>
      </c>
      <c r="AY46">
        <f t="shared" si="15"/>
        <v>305</v>
      </c>
      <c r="AZ46">
        <f t="shared" si="16"/>
        <v>0</v>
      </c>
      <c r="BA46" s="3">
        <f t="shared" si="17"/>
        <v>1833.4615384615381</v>
      </c>
    </row>
    <row r="47" spans="1:53" x14ac:dyDescent="0.2">
      <c r="A47">
        <v>2015</v>
      </c>
      <c r="B47" t="s">
        <v>44</v>
      </c>
      <c r="C47" t="s">
        <v>1</v>
      </c>
      <c r="D47">
        <v>2.4</v>
      </c>
      <c r="E47">
        <v>6.6</v>
      </c>
      <c r="F47">
        <v>9.3000000000000007</v>
      </c>
      <c r="G47">
        <v>0</v>
      </c>
      <c r="H47">
        <v>0</v>
      </c>
      <c r="I47">
        <v>0</v>
      </c>
      <c r="J47">
        <v>0</v>
      </c>
      <c r="K47">
        <f t="shared" si="27"/>
        <v>18.3</v>
      </c>
      <c r="L47">
        <v>0</v>
      </c>
      <c r="M47">
        <v>0</v>
      </c>
      <c r="N47">
        <v>0</v>
      </c>
      <c r="O47">
        <f t="shared" si="19"/>
        <v>0</v>
      </c>
      <c r="P47">
        <v>0</v>
      </c>
      <c r="Q47">
        <v>0</v>
      </c>
      <c r="R47">
        <v>0</v>
      </c>
      <c r="S47">
        <f t="shared" si="20"/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f t="shared" si="21"/>
        <v>0</v>
      </c>
      <c r="AB47">
        <v>0</v>
      </c>
      <c r="AC47">
        <v>0</v>
      </c>
      <c r="AD47">
        <v>4.0999999999999996</v>
      </c>
      <c r="AE47">
        <v>0</v>
      </c>
      <c r="AF47">
        <v>0</v>
      </c>
      <c r="AG47">
        <v>0</v>
      </c>
      <c r="AH47">
        <v>0</v>
      </c>
      <c r="AI47">
        <v>0</v>
      </c>
      <c r="AJ47">
        <f t="shared" si="7"/>
        <v>4.0999999999999996</v>
      </c>
      <c r="AK47">
        <v>0</v>
      </c>
      <c r="AL47">
        <v>0.77500000000000002</v>
      </c>
      <c r="AM47">
        <f t="shared" si="8"/>
        <v>0.22399999999999998</v>
      </c>
      <c r="AN47">
        <v>2452</v>
      </c>
      <c r="AO47" t="s">
        <v>13</v>
      </c>
      <c r="AP47" s="3">
        <f t="shared" si="9"/>
        <v>3159.7938144329896</v>
      </c>
      <c r="AQ47" t="s">
        <v>13</v>
      </c>
      <c r="AR47">
        <f t="shared" si="26"/>
        <v>0.18303571428571427</v>
      </c>
      <c r="AS47">
        <f t="shared" si="23"/>
        <v>0.183</v>
      </c>
      <c r="AT47">
        <f t="shared" si="24"/>
        <v>578</v>
      </c>
      <c r="AU47">
        <f t="shared" si="25"/>
        <v>130</v>
      </c>
      <c r="AV47">
        <f t="shared" si="12"/>
        <v>289</v>
      </c>
      <c r="AW47">
        <f t="shared" si="13"/>
        <v>145</v>
      </c>
      <c r="AX47" s="3">
        <f t="shared" si="14"/>
        <v>2725.7938144329896</v>
      </c>
      <c r="AY47">
        <f t="shared" si="15"/>
        <v>289</v>
      </c>
      <c r="AZ47">
        <f t="shared" si="16"/>
        <v>145</v>
      </c>
      <c r="BA47" s="3">
        <f t="shared" si="17"/>
        <v>2725.7938144329896</v>
      </c>
    </row>
    <row r="48" spans="1:53" x14ac:dyDescent="0.2">
      <c r="A48">
        <v>2016</v>
      </c>
      <c r="B48" t="s">
        <v>44</v>
      </c>
      <c r="C48" t="s">
        <v>1</v>
      </c>
      <c r="D48">
        <v>3.4</v>
      </c>
      <c r="E48">
        <v>1.7</v>
      </c>
      <c r="F48">
        <v>0</v>
      </c>
      <c r="G48">
        <v>0</v>
      </c>
      <c r="H48">
        <v>0</v>
      </c>
      <c r="I48">
        <v>0</v>
      </c>
      <c r="J48">
        <v>0</v>
      </c>
      <c r="K48">
        <f t="shared" si="27"/>
        <v>5.0999999999999996</v>
      </c>
      <c r="L48">
        <v>0</v>
      </c>
      <c r="M48">
        <v>0</v>
      </c>
      <c r="N48">
        <v>0</v>
      </c>
      <c r="O48">
        <f t="shared" si="19"/>
        <v>0</v>
      </c>
      <c r="P48">
        <v>0</v>
      </c>
      <c r="Q48">
        <v>0</v>
      </c>
      <c r="R48">
        <v>0</v>
      </c>
      <c r="S48">
        <f t="shared" si="20"/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f t="shared" si="21"/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f t="shared" si="7"/>
        <v>0</v>
      </c>
      <c r="AK48">
        <v>0</v>
      </c>
      <c r="AL48">
        <v>0.94900000000000007</v>
      </c>
      <c r="AM48">
        <f t="shared" si="8"/>
        <v>5.0999999999999997E-2</v>
      </c>
      <c r="AN48">
        <v>1380</v>
      </c>
      <c r="AO48" t="s">
        <v>13</v>
      </c>
      <c r="AP48" s="3">
        <f t="shared" si="9"/>
        <v>1454.1622760800844</v>
      </c>
      <c r="AQ48" t="s">
        <v>13</v>
      </c>
      <c r="AR48">
        <f t="shared" si="26"/>
        <v>0</v>
      </c>
      <c r="AS48">
        <f t="shared" si="23"/>
        <v>5.0999999999999997E-2</v>
      </c>
      <c r="AT48">
        <f t="shared" si="24"/>
        <v>74</v>
      </c>
      <c r="AU48">
        <f t="shared" si="25"/>
        <v>0</v>
      </c>
      <c r="AV48">
        <f t="shared" si="12"/>
        <v>37</v>
      </c>
      <c r="AW48">
        <f t="shared" si="13"/>
        <v>0</v>
      </c>
      <c r="AX48" s="3">
        <f t="shared" si="14"/>
        <v>1417.1622760800844</v>
      </c>
      <c r="AY48">
        <f t="shared" si="15"/>
        <v>37</v>
      </c>
      <c r="AZ48">
        <f t="shared" si="16"/>
        <v>0</v>
      </c>
      <c r="BA48" s="3">
        <f t="shared" si="17"/>
        <v>1417.1622760800844</v>
      </c>
    </row>
    <row r="49" spans="1:53" x14ac:dyDescent="0.2">
      <c r="A49">
        <v>2017</v>
      </c>
      <c r="B49" t="s">
        <v>44</v>
      </c>
      <c r="C49" t="s">
        <v>1</v>
      </c>
      <c r="D49">
        <v>4.4000000000000004</v>
      </c>
      <c r="E49">
        <v>2.5</v>
      </c>
      <c r="F49">
        <v>6.6</v>
      </c>
      <c r="G49">
        <v>0</v>
      </c>
      <c r="H49">
        <v>0</v>
      </c>
      <c r="I49">
        <v>0</v>
      </c>
      <c r="J49">
        <v>0</v>
      </c>
      <c r="K49">
        <f t="shared" si="27"/>
        <v>13.5</v>
      </c>
      <c r="L49">
        <v>0</v>
      </c>
      <c r="M49">
        <v>0</v>
      </c>
      <c r="N49">
        <v>0</v>
      </c>
      <c r="O49">
        <f t="shared" si="19"/>
        <v>0</v>
      </c>
      <c r="P49">
        <v>0</v>
      </c>
      <c r="Q49">
        <v>0</v>
      </c>
      <c r="R49">
        <v>0</v>
      </c>
      <c r="S49">
        <f t="shared" si="20"/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f t="shared" si="21"/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f t="shared" si="7"/>
        <v>0</v>
      </c>
      <c r="AK49">
        <v>0</v>
      </c>
      <c r="AL49">
        <v>0.86499999999999999</v>
      </c>
      <c r="AM49">
        <f t="shared" si="8"/>
        <v>0.13500000000000001</v>
      </c>
      <c r="AN49">
        <v>1173</v>
      </c>
      <c r="AO49" t="s">
        <v>13</v>
      </c>
      <c r="AP49" s="3">
        <f t="shared" si="9"/>
        <v>1356.0693641618498</v>
      </c>
      <c r="AQ49" t="s">
        <v>13</v>
      </c>
      <c r="AR49">
        <f t="shared" si="26"/>
        <v>0</v>
      </c>
      <c r="AS49">
        <f t="shared" si="23"/>
        <v>0.13500000000000001</v>
      </c>
      <c r="AT49">
        <f t="shared" si="24"/>
        <v>183</v>
      </c>
      <c r="AU49">
        <f t="shared" si="25"/>
        <v>0</v>
      </c>
      <c r="AV49">
        <f t="shared" si="12"/>
        <v>92</v>
      </c>
      <c r="AW49">
        <f t="shared" si="13"/>
        <v>0</v>
      </c>
      <c r="AX49" s="3">
        <f t="shared" si="14"/>
        <v>1264.0693641618498</v>
      </c>
      <c r="AY49">
        <f t="shared" si="15"/>
        <v>92</v>
      </c>
      <c r="AZ49">
        <f t="shared" si="16"/>
        <v>0</v>
      </c>
      <c r="BA49" s="3">
        <f t="shared" si="17"/>
        <v>1264.0693641618498</v>
      </c>
    </row>
    <row r="50" spans="1:53" x14ac:dyDescent="0.2">
      <c r="A50">
        <v>2018</v>
      </c>
      <c r="B50" t="s">
        <v>44</v>
      </c>
      <c r="C50" t="s">
        <v>1</v>
      </c>
      <c r="D50">
        <v>0</v>
      </c>
      <c r="E50">
        <v>11.6</v>
      </c>
      <c r="F50">
        <v>0.5</v>
      </c>
      <c r="G50">
        <v>0</v>
      </c>
      <c r="H50">
        <v>0</v>
      </c>
      <c r="I50">
        <v>0</v>
      </c>
      <c r="J50">
        <v>0</v>
      </c>
      <c r="K50">
        <f t="shared" si="27"/>
        <v>12.1</v>
      </c>
      <c r="L50">
        <v>0</v>
      </c>
      <c r="M50">
        <v>0</v>
      </c>
      <c r="N50">
        <v>0</v>
      </c>
      <c r="O50">
        <f t="shared" si="19"/>
        <v>0</v>
      </c>
      <c r="P50">
        <v>0</v>
      </c>
      <c r="Q50">
        <v>0</v>
      </c>
      <c r="R50">
        <v>0</v>
      </c>
      <c r="S50">
        <f t="shared" si="20"/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f t="shared" si="21"/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f t="shared" si="7"/>
        <v>0</v>
      </c>
      <c r="AK50">
        <v>0</v>
      </c>
      <c r="AL50">
        <v>0.879</v>
      </c>
      <c r="AM50">
        <f t="shared" si="8"/>
        <v>0.121</v>
      </c>
      <c r="AN50">
        <v>873</v>
      </c>
      <c r="AO50" t="s">
        <v>13</v>
      </c>
      <c r="AP50" s="3">
        <f t="shared" si="9"/>
        <v>993.17406143344715</v>
      </c>
      <c r="AQ50" t="s">
        <v>13</v>
      </c>
      <c r="AR50">
        <f t="shared" si="26"/>
        <v>0</v>
      </c>
      <c r="AS50">
        <f t="shared" si="23"/>
        <v>0.121</v>
      </c>
      <c r="AT50">
        <f t="shared" si="24"/>
        <v>120</v>
      </c>
      <c r="AU50">
        <f t="shared" si="25"/>
        <v>0</v>
      </c>
      <c r="AV50">
        <f t="shared" si="12"/>
        <v>60</v>
      </c>
      <c r="AW50">
        <f t="shared" si="13"/>
        <v>0</v>
      </c>
      <c r="AX50" s="3">
        <f t="shared" si="14"/>
        <v>933.17406143344715</v>
      </c>
      <c r="AY50">
        <f t="shared" si="15"/>
        <v>60</v>
      </c>
      <c r="AZ50">
        <f t="shared" si="16"/>
        <v>0</v>
      </c>
      <c r="BA50" s="3">
        <f t="shared" si="17"/>
        <v>933.17406143344715</v>
      </c>
    </row>
    <row r="51" spans="1:53" x14ac:dyDescent="0.2">
      <c r="A51">
        <v>2019</v>
      </c>
      <c r="B51" t="s">
        <v>44</v>
      </c>
      <c r="C51" t="s">
        <v>1</v>
      </c>
      <c r="D51">
        <v>2.6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f t="shared" si="27"/>
        <v>2.6</v>
      </c>
      <c r="L51">
        <v>0</v>
      </c>
      <c r="M51">
        <v>0</v>
      </c>
      <c r="N51">
        <v>0</v>
      </c>
      <c r="O51">
        <f t="shared" si="19"/>
        <v>0</v>
      </c>
      <c r="P51">
        <v>0</v>
      </c>
      <c r="Q51">
        <v>0</v>
      </c>
      <c r="R51">
        <v>0</v>
      </c>
      <c r="S51">
        <f t="shared" si="20"/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f t="shared" si="21"/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f t="shared" si="7"/>
        <v>0</v>
      </c>
      <c r="AK51">
        <v>0</v>
      </c>
      <c r="AL51">
        <v>0.97400000000000009</v>
      </c>
      <c r="AM51">
        <f t="shared" si="8"/>
        <v>2.6000000000000002E-2</v>
      </c>
      <c r="AN51">
        <v>2028</v>
      </c>
      <c r="AO51" t="s">
        <v>13</v>
      </c>
      <c r="AP51" s="3">
        <f t="shared" si="9"/>
        <v>2082.135523613963</v>
      </c>
      <c r="AQ51" t="s">
        <v>13</v>
      </c>
      <c r="AR51">
        <f t="shared" si="26"/>
        <v>0</v>
      </c>
      <c r="AS51">
        <f t="shared" si="23"/>
        <v>2.6000000000000002E-2</v>
      </c>
      <c r="AT51">
        <f t="shared" si="24"/>
        <v>54</v>
      </c>
      <c r="AU51">
        <f t="shared" si="25"/>
        <v>0</v>
      </c>
      <c r="AV51">
        <f t="shared" si="12"/>
        <v>27</v>
      </c>
      <c r="AW51">
        <f t="shared" si="13"/>
        <v>0</v>
      </c>
      <c r="AX51" s="3">
        <f t="shared" si="14"/>
        <v>2055.135523613963</v>
      </c>
      <c r="AY51">
        <f t="shared" si="15"/>
        <v>27</v>
      </c>
      <c r="AZ51">
        <f t="shared" si="16"/>
        <v>0</v>
      </c>
      <c r="BA51" s="3">
        <f t="shared" si="17"/>
        <v>2055.135523613963</v>
      </c>
    </row>
    <row r="52" spans="1:53" x14ac:dyDescent="0.2">
      <c r="A52">
        <v>2020</v>
      </c>
      <c r="B52" t="s">
        <v>44</v>
      </c>
      <c r="C52" t="s">
        <v>1</v>
      </c>
      <c r="D52">
        <v>0.7</v>
      </c>
      <c r="E52">
        <v>2</v>
      </c>
      <c r="F52">
        <v>0</v>
      </c>
      <c r="G52">
        <v>0</v>
      </c>
      <c r="H52">
        <v>0</v>
      </c>
      <c r="I52">
        <v>0</v>
      </c>
      <c r="J52">
        <v>0</v>
      </c>
      <c r="K52">
        <f t="shared" si="27"/>
        <v>2.7</v>
      </c>
      <c r="L52">
        <v>0</v>
      </c>
      <c r="M52">
        <v>0</v>
      </c>
      <c r="N52">
        <v>0</v>
      </c>
      <c r="O52">
        <f t="shared" si="19"/>
        <v>0</v>
      </c>
      <c r="P52">
        <v>0</v>
      </c>
      <c r="Q52">
        <v>0</v>
      </c>
      <c r="R52">
        <v>0</v>
      </c>
      <c r="S52">
        <f t="shared" si="20"/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f t="shared" si="21"/>
        <v>0</v>
      </c>
      <c r="AB52">
        <v>0</v>
      </c>
      <c r="AC52">
        <v>0</v>
      </c>
      <c r="AD52">
        <v>1.8</v>
      </c>
      <c r="AE52">
        <v>0</v>
      </c>
      <c r="AF52">
        <v>0</v>
      </c>
      <c r="AG52">
        <v>0</v>
      </c>
      <c r="AH52">
        <v>0</v>
      </c>
      <c r="AI52">
        <v>0</v>
      </c>
      <c r="AJ52">
        <f t="shared" si="7"/>
        <v>1.8</v>
      </c>
      <c r="AK52">
        <v>0</v>
      </c>
      <c r="AL52">
        <v>0.95400000000000007</v>
      </c>
      <c r="AM52">
        <f t="shared" si="8"/>
        <v>4.4999999999999998E-2</v>
      </c>
      <c r="AN52">
        <v>3180</v>
      </c>
      <c r="AO52" t="s">
        <v>13</v>
      </c>
      <c r="AP52" s="3">
        <f t="shared" si="9"/>
        <v>3329.842931937173</v>
      </c>
      <c r="AQ52" t="s">
        <v>13</v>
      </c>
      <c r="AR52">
        <f t="shared" si="26"/>
        <v>0.40000000000000008</v>
      </c>
      <c r="AS52">
        <f t="shared" si="23"/>
        <v>2.7000000000000003E-2</v>
      </c>
      <c r="AT52">
        <f t="shared" si="24"/>
        <v>90</v>
      </c>
      <c r="AU52">
        <f t="shared" si="25"/>
        <v>60</v>
      </c>
      <c r="AV52">
        <f t="shared" si="12"/>
        <v>45</v>
      </c>
      <c r="AW52">
        <f t="shared" si="13"/>
        <v>61</v>
      </c>
      <c r="AX52" s="3">
        <f t="shared" si="14"/>
        <v>3223.842931937173</v>
      </c>
      <c r="AY52">
        <f t="shared" si="15"/>
        <v>45</v>
      </c>
      <c r="AZ52">
        <f t="shared" si="16"/>
        <v>61</v>
      </c>
      <c r="BA52" s="3">
        <f t="shared" si="17"/>
        <v>3223.842931937173</v>
      </c>
    </row>
    <row r="53" spans="1:53" x14ac:dyDescent="0.2">
      <c r="A53">
        <v>2021</v>
      </c>
      <c r="B53" t="s">
        <v>44</v>
      </c>
      <c r="C53" t="s">
        <v>1</v>
      </c>
      <c r="D53">
        <v>0</v>
      </c>
      <c r="E53">
        <v>6.4</v>
      </c>
      <c r="F53">
        <v>0</v>
      </c>
      <c r="G53">
        <v>0</v>
      </c>
      <c r="H53">
        <v>0</v>
      </c>
      <c r="I53">
        <v>0</v>
      </c>
      <c r="J53">
        <v>0</v>
      </c>
      <c r="K53">
        <f t="shared" si="27"/>
        <v>6.4</v>
      </c>
      <c r="L53">
        <v>0</v>
      </c>
      <c r="M53">
        <v>0</v>
      </c>
      <c r="N53">
        <v>0</v>
      </c>
      <c r="O53">
        <f t="shared" si="19"/>
        <v>0</v>
      </c>
      <c r="P53">
        <v>0</v>
      </c>
      <c r="Q53">
        <v>0</v>
      </c>
      <c r="R53">
        <v>0</v>
      </c>
      <c r="S53">
        <f t="shared" si="20"/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f t="shared" si="21"/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f t="shared" si="7"/>
        <v>0</v>
      </c>
      <c r="AK53">
        <v>0</v>
      </c>
      <c r="AL53">
        <v>0.93599999999999994</v>
      </c>
      <c r="AM53">
        <f t="shared" si="8"/>
        <v>6.4000000000000001E-2</v>
      </c>
      <c r="AN53">
        <v>2038</v>
      </c>
      <c r="AO53" t="s">
        <v>13</v>
      </c>
      <c r="AP53" s="3">
        <f t="shared" si="9"/>
        <v>2177.3504273504277</v>
      </c>
      <c r="AQ53" t="s">
        <v>13</v>
      </c>
      <c r="AR53">
        <f t="shared" si="26"/>
        <v>0</v>
      </c>
      <c r="AS53">
        <f t="shared" ref="AS53:AS84" si="28">SUM(K53,O53,S53,AA53)/100</f>
        <v>6.4000000000000001E-2</v>
      </c>
      <c r="AT53">
        <f t="shared" ref="AT53:AT84" si="29">ROUND(AS53*AP53,0)</f>
        <v>139</v>
      </c>
      <c r="AU53">
        <f t="shared" ref="AU53:AU89" si="30">ROUND((AJ53/100)*AP53,0)</f>
        <v>0</v>
      </c>
      <c r="AV53">
        <f t="shared" si="12"/>
        <v>70</v>
      </c>
      <c r="AW53">
        <f t="shared" si="13"/>
        <v>0</v>
      </c>
      <c r="AX53" s="3">
        <f t="shared" si="14"/>
        <v>2107.3504273504277</v>
      </c>
      <c r="AY53">
        <f t="shared" si="15"/>
        <v>70</v>
      </c>
      <c r="AZ53">
        <f t="shared" si="16"/>
        <v>0</v>
      </c>
      <c r="BA53" s="3">
        <f t="shared" si="17"/>
        <v>2107.3504273504277</v>
      </c>
    </row>
    <row r="54" spans="1:53" x14ac:dyDescent="0.2">
      <c r="A54">
        <v>2022</v>
      </c>
      <c r="B54" t="s">
        <v>44</v>
      </c>
      <c r="C54" t="s">
        <v>1</v>
      </c>
      <c r="D54">
        <v>0.3</v>
      </c>
      <c r="E54">
        <v>1</v>
      </c>
      <c r="F54">
        <v>0.4</v>
      </c>
      <c r="G54">
        <v>0</v>
      </c>
      <c r="H54">
        <v>0</v>
      </c>
      <c r="I54">
        <v>0</v>
      </c>
      <c r="J54">
        <v>0</v>
      </c>
      <c r="K54">
        <f t="shared" si="27"/>
        <v>1.7000000000000002</v>
      </c>
      <c r="L54">
        <v>0</v>
      </c>
      <c r="M54">
        <v>0</v>
      </c>
      <c r="N54">
        <v>0</v>
      </c>
      <c r="O54">
        <f t="shared" si="19"/>
        <v>0</v>
      </c>
      <c r="P54">
        <v>0</v>
      </c>
      <c r="Q54">
        <v>0</v>
      </c>
      <c r="R54">
        <v>0</v>
      </c>
      <c r="S54">
        <f t="shared" si="20"/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f t="shared" si="21"/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f t="shared" si="7"/>
        <v>0</v>
      </c>
      <c r="AK54">
        <v>0</v>
      </c>
      <c r="AL54">
        <v>0.98299999999999998</v>
      </c>
      <c r="AM54">
        <f t="shared" si="8"/>
        <v>1.7000000000000001E-2</v>
      </c>
      <c r="AN54">
        <v>1582</v>
      </c>
      <c r="AO54" t="s">
        <v>13</v>
      </c>
      <c r="AP54" s="3">
        <f t="shared" si="9"/>
        <v>1609.3591047812818</v>
      </c>
      <c r="AQ54" t="s">
        <v>13</v>
      </c>
      <c r="AR54">
        <f t="shared" si="26"/>
        <v>0</v>
      </c>
      <c r="AS54">
        <f t="shared" si="28"/>
        <v>1.7000000000000001E-2</v>
      </c>
      <c r="AT54">
        <f t="shared" si="29"/>
        <v>27</v>
      </c>
      <c r="AU54">
        <f t="shared" si="30"/>
        <v>0</v>
      </c>
      <c r="AV54">
        <f t="shared" si="12"/>
        <v>14</v>
      </c>
      <c r="AW54">
        <f t="shared" si="13"/>
        <v>0</v>
      </c>
      <c r="AX54" s="3">
        <f t="shared" si="14"/>
        <v>1595.3591047812818</v>
      </c>
      <c r="AY54">
        <f t="shared" si="15"/>
        <v>14</v>
      </c>
      <c r="AZ54">
        <f t="shared" si="16"/>
        <v>0</v>
      </c>
      <c r="BA54" s="3">
        <f t="shared" si="17"/>
        <v>1595.3591047812818</v>
      </c>
    </row>
    <row r="55" spans="1:53" x14ac:dyDescent="0.2">
      <c r="A55">
        <v>2023</v>
      </c>
      <c r="B55" t="s">
        <v>44</v>
      </c>
      <c r="C55" t="s">
        <v>1</v>
      </c>
      <c r="D55">
        <v>0</v>
      </c>
      <c r="E55">
        <v>2.4</v>
      </c>
      <c r="F55">
        <v>0</v>
      </c>
      <c r="G55">
        <v>0</v>
      </c>
      <c r="H55">
        <v>0</v>
      </c>
      <c r="I55">
        <v>0</v>
      </c>
      <c r="J55">
        <v>0</v>
      </c>
      <c r="K55">
        <f t="shared" si="27"/>
        <v>2.4</v>
      </c>
      <c r="L55">
        <v>0</v>
      </c>
      <c r="M55">
        <v>0</v>
      </c>
      <c r="N55">
        <v>0</v>
      </c>
      <c r="O55">
        <f t="shared" si="19"/>
        <v>0</v>
      </c>
      <c r="P55">
        <v>0</v>
      </c>
      <c r="Q55">
        <v>0</v>
      </c>
      <c r="R55">
        <v>0</v>
      </c>
      <c r="S55">
        <f t="shared" si="20"/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f t="shared" si="21"/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f t="shared" si="7"/>
        <v>0</v>
      </c>
      <c r="AK55">
        <v>0</v>
      </c>
      <c r="AL55">
        <v>0.97599999999999998</v>
      </c>
      <c r="AM55">
        <f t="shared" si="8"/>
        <v>2.4E-2</v>
      </c>
      <c r="AN55">
        <v>2234</v>
      </c>
      <c r="AO55" t="s">
        <v>13</v>
      </c>
      <c r="AP55" s="3">
        <f t="shared" si="9"/>
        <v>2288.9344262295081</v>
      </c>
      <c r="AQ55" t="s">
        <v>13</v>
      </c>
      <c r="AR55">
        <f t="shared" si="26"/>
        <v>0</v>
      </c>
      <c r="AS55">
        <f t="shared" si="28"/>
        <v>2.4E-2</v>
      </c>
      <c r="AT55">
        <f t="shared" si="29"/>
        <v>55</v>
      </c>
      <c r="AU55">
        <f t="shared" si="30"/>
        <v>0</v>
      </c>
      <c r="AV55">
        <f t="shared" si="12"/>
        <v>27</v>
      </c>
      <c r="AW55">
        <f t="shared" si="13"/>
        <v>0</v>
      </c>
      <c r="AX55" s="3">
        <f t="shared" si="14"/>
        <v>2261.9344262295081</v>
      </c>
      <c r="AY55">
        <f t="shared" si="15"/>
        <v>27</v>
      </c>
      <c r="AZ55">
        <f t="shared" si="16"/>
        <v>0</v>
      </c>
      <c r="BA55" s="3">
        <f t="shared" si="17"/>
        <v>2261.9344262295081</v>
      </c>
    </row>
    <row r="56" spans="1:53" x14ac:dyDescent="0.2">
      <c r="A56">
        <v>1990</v>
      </c>
      <c r="B56" t="s">
        <v>51</v>
      </c>
      <c r="C56" t="s">
        <v>57</v>
      </c>
      <c r="D56">
        <v>0</v>
      </c>
      <c r="E56">
        <v>0</v>
      </c>
      <c r="F56">
        <v>0</v>
      </c>
      <c r="G56">
        <v>0.1</v>
      </c>
      <c r="H56">
        <v>0</v>
      </c>
      <c r="I56">
        <v>2.2000000000000002</v>
      </c>
      <c r="J56">
        <v>0.1</v>
      </c>
      <c r="K56">
        <f t="shared" si="27"/>
        <v>2.4000000000000004</v>
      </c>
      <c r="L56">
        <v>1.1000000000000001</v>
      </c>
      <c r="M56">
        <v>2.7</v>
      </c>
      <c r="N56">
        <v>0.1</v>
      </c>
      <c r="O56">
        <f t="shared" si="19"/>
        <v>3.9000000000000004</v>
      </c>
      <c r="P56">
        <v>13.3</v>
      </c>
      <c r="Q56">
        <v>7.3</v>
      </c>
      <c r="R56">
        <v>57.4</v>
      </c>
      <c r="S56">
        <f t="shared" si="20"/>
        <v>78</v>
      </c>
      <c r="T56">
        <v>0.6</v>
      </c>
      <c r="U56">
        <v>0.2</v>
      </c>
      <c r="V56">
        <v>0</v>
      </c>
      <c r="W56">
        <v>0</v>
      </c>
      <c r="X56">
        <v>0</v>
      </c>
      <c r="Y56">
        <v>1.4</v>
      </c>
      <c r="Z56">
        <v>2</v>
      </c>
      <c r="AA56">
        <f t="shared" si="21"/>
        <v>4.2</v>
      </c>
      <c r="AB56">
        <v>0</v>
      </c>
      <c r="AC56">
        <v>0</v>
      </c>
      <c r="AD56">
        <v>0</v>
      </c>
      <c r="AE56">
        <v>0.7</v>
      </c>
      <c r="AF56">
        <v>0</v>
      </c>
      <c r="AG56">
        <v>0</v>
      </c>
      <c r="AH56">
        <v>0.3</v>
      </c>
      <c r="AI56">
        <v>0</v>
      </c>
      <c r="AJ56">
        <f t="shared" si="7"/>
        <v>1</v>
      </c>
      <c r="AK56">
        <v>0.3</v>
      </c>
      <c r="AL56">
        <v>0.10199999999999999</v>
      </c>
      <c r="AM56">
        <f t="shared" si="8"/>
        <v>0.89499999999999991</v>
      </c>
      <c r="AN56">
        <v>5300</v>
      </c>
      <c r="AO56" t="s">
        <v>13</v>
      </c>
      <c r="AP56" s="3">
        <f>AN56/(1-AM56)</f>
        <v>50476.19047619043</v>
      </c>
      <c r="AQ56" t="s">
        <v>13</v>
      </c>
      <c r="AR56">
        <f t="shared" si="26"/>
        <v>1.1173184357541902E-2</v>
      </c>
      <c r="AS56">
        <f t="shared" si="28"/>
        <v>0.88500000000000001</v>
      </c>
      <c r="AT56">
        <f t="shared" si="29"/>
        <v>44671</v>
      </c>
      <c r="AU56">
        <f t="shared" si="30"/>
        <v>505</v>
      </c>
      <c r="AV56">
        <f t="shared" si="12"/>
        <v>44066</v>
      </c>
      <c r="AW56">
        <f t="shared" si="13"/>
        <v>558</v>
      </c>
      <c r="AX56" s="3">
        <f t="shared" si="14"/>
        <v>5852.1904761904298</v>
      </c>
      <c r="AY56">
        <f t="shared" si="15"/>
        <v>22336</v>
      </c>
      <c r="AZ56">
        <f t="shared" si="16"/>
        <v>2448</v>
      </c>
      <c r="BA56" s="3">
        <f t="shared" si="17"/>
        <v>25692.19047619043</v>
      </c>
    </row>
    <row r="57" spans="1:53" x14ac:dyDescent="0.2">
      <c r="A57">
        <v>1991</v>
      </c>
      <c r="B57" t="s">
        <v>51</v>
      </c>
      <c r="C57" t="s">
        <v>57</v>
      </c>
      <c r="D57">
        <v>0.1</v>
      </c>
      <c r="E57">
        <v>0</v>
      </c>
      <c r="F57">
        <v>0</v>
      </c>
      <c r="G57">
        <v>0.2</v>
      </c>
      <c r="H57">
        <v>0</v>
      </c>
      <c r="I57">
        <v>3.9</v>
      </c>
      <c r="J57">
        <v>0.7</v>
      </c>
      <c r="K57">
        <f t="shared" si="27"/>
        <v>4.9000000000000004</v>
      </c>
      <c r="L57">
        <v>0.4</v>
      </c>
      <c r="M57">
        <v>0.5</v>
      </c>
      <c r="N57">
        <v>0.2</v>
      </c>
      <c r="O57">
        <f t="shared" si="19"/>
        <v>1.1000000000000001</v>
      </c>
      <c r="P57">
        <v>9</v>
      </c>
      <c r="Q57">
        <v>3.6</v>
      </c>
      <c r="R57">
        <v>61.7</v>
      </c>
      <c r="S57">
        <f t="shared" si="20"/>
        <v>74.3</v>
      </c>
      <c r="T57">
        <v>0.7</v>
      </c>
      <c r="U57">
        <v>0</v>
      </c>
      <c r="V57">
        <v>0</v>
      </c>
      <c r="W57">
        <v>0</v>
      </c>
      <c r="X57">
        <v>0</v>
      </c>
      <c r="Y57">
        <v>2</v>
      </c>
      <c r="Z57">
        <v>0.9</v>
      </c>
      <c r="AA57">
        <f t="shared" si="21"/>
        <v>3.6</v>
      </c>
      <c r="AB57">
        <v>0</v>
      </c>
      <c r="AC57">
        <v>0</v>
      </c>
      <c r="AD57">
        <v>0</v>
      </c>
      <c r="AE57">
        <v>0.4</v>
      </c>
      <c r="AF57">
        <v>0</v>
      </c>
      <c r="AG57">
        <v>0</v>
      </c>
      <c r="AH57">
        <v>1</v>
      </c>
      <c r="AI57">
        <v>0</v>
      </c>
      <c r="AJ57">
        <f t="shared" si="7"/>
        <v>1.4</v>
      </c>
      <c r="AK57">
        <v>0.3</v>
      </c>
      <c r="AL57">
        <v>0.14599999999999999</v>
      </c>
      <c r="AM57">
        <f t="shared" si="8"/>
        <v>0.8530000000000002</v>
      </c>
      <c r="AN57">
        <v>6000</v>
      </c>
      <c r="AO57" t="s">
        <v>13</v>
      </c>
      <c r="AP57" s="3">
        <f t="shared" ref="AP57:AP89" si="31">AN57/(1-AM57)</f>
        <v>40816.326530612299</v>
      </c>
      <c r="AQ57" t="s">
        <v>13</v>
      </c>
      <c r="AR57">
        <f t="shared" si="26"/>
        <v>1.6412661195779596E-2</v>
      </c>
      <c r="AS57">
        <f t="shared" si="28"/>
        <v>0.83899999999999997</v>
      </c>
      <c r="AT57">
        <f t="shared" si="29"/>
        <v>34245</v>
      </c>
      <c r="AU57">
        <f t="shared" si="30"/>
        <v>571</v>
      </c>
      <c r="AV57">
        <f t="shared" si="12"/>
        <v>33245</v>
      </c>
      <c r="AW57">
        <f t="shared" si="13"/>
        <v>658</v>
      </c>
      <c r="AX57" s="3">
        <f t="shared" si="14"/>
        <v>6913.3265306122994</v>
      </c>
      <c r="AY57">
        <f t="shared" si="15"/>
        <v>17122</v>
      </c>
      <c r="AZ57">
        <f t="shared" si="16"/>
        <v>2059</v>
      </c>
      <c r="BA57" s="3">
        <f t="shared" si="17"/>
        <v>21635.326530612299</v>
      </c>
    </row>
    <row r="58" spans="1:53" x14ac:dyDescent="0.2">
      <c r="A58">
        <v>1992</v>
      </c>
      <c r="B58" t="s">
        <v>51</v>
      </c>
      <c r="C58" t="s">
        <v>57</v>
      </c>
      <c r="D58">
        <v>0.1</v>
      </c>
      <c r="E58">
        <v>0.1</v>
      </c>
      <c r="F58">
        <v>0</v>
      </c>
      <c r="G58">
        <v>0.4</v>
      </c>
      <c r="H58">
        <v>0</v>
      </c>
      <c r="I58">
        <v>8.6</v>
      </c>
      <c r="J58">
        <v>0.8</v>
      </c>
      <c r="K58">
        <f t="shared" si="27"/>
        <v>10</v>
      </c>
      <c r="L58">
        <v>1</v>
      </c>
      <c r="M58">
        <v>0.9</v>
      </c>
      <c r="N58">
        <v>0.1</v>
      </c>
      <c r="O58">
        <f t="shared" si="19"/>
        <v>2</v>
      </c>
      <c r="P58">
        <v>17.7</v>
      </c>
      <c r="Q58">
        <v>3.1</v>
      </c>
      <c r="R58">
        <v>53.2</v>
      </c>
      <c r="S58">
        <f t="shared" si="20"/>
        <v>74</v>
      </c>
      <c r="T58">
        <v>0.2</v>
      </c>
      <c r="U58">
        <v>0</v>
      </c>
      <c r="V58">
        <v>0</v>
      </c>
      <c r="W58">
        <v>0</v>
      </c>
      <c r="X58">
        <v>0</v>
      </c>
      <c r="Y58">
        <v>0.6</v>
      </c>
      <c r="Z58">
        <v>1.3</v>
      </c>
      <c r="AA58">
        <f t="shared" si="21"/>
        <v>2.1</v>
      </c>
      <c r="AB58">
        <v>0</v>
      </c>
      <c r="AC58">
        <v>0</v>
      </c>
      <c r="AD58">
        <v>0</v>
      </c>
      <c r="AE58">
        <v>0.9</v>
      </c>
      <c r="AF58">
        <v>0</v>
      </c>
      <c r="AG58">
        <v>0</v>
      </c>
      <c r="AH58">
        <v>0.4</v>
      </c>
      <c r="AI58">
        <v>0</v>
      </c>
      <c r="AJ58">
        <f t="shared" si="7"/>
        <v>1.3</v>
      </c>
      <c r="AK58">
        <v>0.4</v>
      </c>
      <c r="AL58">
        <v>0.10199999999999999</v>
      </c>
      <c r="AM58">
        <f t="shared" si="8"/>
        <v>0.89399999999999991</v>
      </c>
      <c r="AN58">
        <v>8500</v>
      </c>
      <c r="AO58" t="s">
        <v>13</v>
      </c>
      <c r="AP58" s="3">
        <f t="shared" si="31"/>
        <v>80188.679245282954</v>
      </c>
      <c r="AQ58" t="s">
        <v>13</v>
      </c>
      <c r="AR58">
        <f t="shared" si="26"/>
        <v>1.4541387024608504E-2</v>
      </c>
      <c r="AS58">
        <f t="shared" si="28"/>
        <v>0.88099999999999989</v>
      </c>
      <c r="AT58">
        <f t="shared" si="29"/>
        <v>70646</v>
      </c>
      <c r="AU58">
        <f t="shared" si="30"/>
        <v>1042</v>
      </c>
      <c r="AV58">
        <f t="shared" si="12"/>
        <v>66637</v>
      </c>
      <c r="AW58">
        <f t="shared" si="13"/>
        <v>1480</v>
      </c>
      <c r="AX58" s="3">
        <f t="shared" si="14"/>
        <v>12071.679245282954</v>
      </c>
      <c r="AY58">
        <f t="shared" si="15"/>
        <v>35323</v>
      </c>
      <c r="AZ58">
        <f t="shared" si="16"/>
        <v>4899</v>
      </c>
      <c r="BA58" s="3">
        <f t="shared" si="17"/>
        <v>39966.679245282954</v>
      </c>
    </row>
    <row r="59" spans="1:53" x14ac:dyDescent="0.2">
      <c r="A59">
        <v>1993</v>
      </c>
      <c r="B59" t="s">
        <v>51</v>
      </c>
      <c r="C59" t="s">
        <v>57</v>
      </c>
      <c r="D59">
        <v>0.3</v>
      </c>
      <c r="E59">
        <v>0</v>
      </c>
      <c r="F59">
        <v>0</v>
      </c>
      <c r="G59">
        <v>0.1</v>
      </c>
      <c r="H59">
        <v>0</v>
      </c>
      <c r="I59">
        <v>7.8</v>
      </c>
      <c r="J59">
        <v>1</v>
      </c>
      <c r="K59">
        <f t="shared" si="27"/>
        <v>9.1999999999999993</v>
      </c>
      <c r="L59">
        <v>0.5</v>
      </c>
      <c r="M59">
        <v>0.5</v>
      </c>
      <c r="N59">
        <v>0</v>
      </c>
      <c r="O59">
        <f t="shared" si="19"/>
        <v>1</v>
      </c>
      <c r="P59">
        <v>11.8</v>
      </c>
      <c r="Q59">
        <v>2.8</v>
      </c>
      <c r="R59">
        <v>55.1</v>
      </c>
      <c r="S59">
        <f t="shared" si="20"/>
        <v>69.7</v>
      </c>
      <c r="T59">
        <v>0.6</v>
      </c>
      <c r="U59">
        <v>0</v>
      </c>
      <c r="V59">
        <v>0</v>
      </c>
      <c r="W59">
        <v>0</v>
      </c>
      <c r="X59">
        <v>0</v>
      </c>
      <c r="Y59">
        <v>0</v>
      </c>
      <c r="Z59">
        <v>0.5</v>
      </c>
      <c r="AA59">
        <f t="shared" si="21"/>
        <v>1.1000000000000001</v>
      </c>
      <c r="AB59">
        <v>0</v>
      </c>
      <c r="AC59">
        <v>0</v>
      </c>
      <c r="AD59">
        <v>0</v>
      </c>
      <c r="AE59">
        <v>1.1000000000000001</v>
      </c>
      <c r="AF59">
        <v>0</v>
      </c>
      <c r="AG59">
        <v>0</v>
      </c>
      <c r="AH59">
        <v>0.8</v>
      </c>
      <c r="AI59">
        <v>0</v>
      </c>
      <c r="AJ59">
        <f t="shared" si="7"/>
        <v>1.9000000000000001</v>
      </c>
      <c r="AK59">
        <v>0.2</v>
      </c>
      <c r="AL59">
        <v>0.17</v>
      </c>
      <c r="AM59">
        <f t="shared" si="8"/>
        <v>0.82899999999999996</v>
      </c>
      <c r="AN59">
        <v>5058</v>
      </c>
      <c r="AO59" t="s">
        <v>13</v>
      </c>
      <c r="AP59" s="3">
        <f t="shared" si="31"/>
        <v>29578.947368421046</v>
      </c>
      <c r="AQ59" t="s">
        <v>13</v>
      </c>
      <c r="AR59">
        <f t="shared" si="26"/>
        <v>2.2919179734620029E-2</v>
      </c>
      <c r="AS59">
        <f t="shared" si="28"/>
        <v>0.81</v>
      </c>
      <c r="AT59">
        <f t="shared" si="29"/>
        <v>23959</v>
      </c>
      <c r="AU59">
        <f t="shared" si="30"/>
        <v>562</v>
      </c>
      <c r="AV59">
        <f t="shared" si="12"/>
        <v>22598</v>
      </c>
      <c r="AW59">
        <f t="shared" si="13"/>
        <v>698</v>
      </c>
      <c r="AX59" s="3">
        <f t="shared" si="14"/>
        <v>6282.9473684210461</v>
      </c>
      <c r="AY59">
        <f t="shared" si="15"/>
        <v>11979</v>
      </c>
      <c r="AZ59">
        <f t="shared" si="16"/>
        <v>1760</v>
      </c>
      <c r="BA59" s="3">
        <f t="shared" si="17"/>
        <v>15839.947368421046</v>
      </c>
    </row>
    <row r="60" spans="1:53" x14ac:dyDescent="0.2">
      <c r="A60">
        <v>1994</v>
      </c>
      <c r="B60" t="s">
        <v>51</v>
      </c>
      <c r="C60" t="s">
        <v>57</v>
      </c>
      <c r="D60">
        <v>0.5</v>
      </c>
      <c r="E60">
        <v>0</v>
      </c>
      <c r="F60">
        <v>0</v>
      </c>
      <c r="G60">
        <v>0.4</v>
      </c>
      <c r="H60">
        <v>0</v>
      </c>
      <c r="I60">
        <v>4</v>
      </c>
      <c r="J60">
        <v>0.2</v>
      </c>
      <c r="K60">
        <f t="shared" si="27"/>
        <v>5.1000000000000005</v>
      </c>
      <c r="L60">
        <v>0.2</v>
      </c>
      <c r="M60">
        <v>2.1</v>
      </c>
      <c r="N60">
        <v>0</v>
      </c>
      <c r="O60">
        <f t="shared" si="19"/>
        <v>2.3000000000000003</v>
      </c>
      <c r="P60">
        <v>4.9000000000000004</v>
      </c>
      <c r="Q60">
        <v>5.5</v>
      </c>
      <c r="R60">
        <v>43.3</v>
      </c>
      <c r="S60">
        <f t="shared" si="20"/>
        <v>53.699999999999996</v>
      </c>
      <c r="T60">
        <v>0.4</v>
      </c>
      <c r="U60">
        <v>0</v>
      </c>
      <c r="V60">
        <v>0</v>
      </c>
      <c r="W60">
        <v>0</v>
      </c>
      <c r="X60">
        <v>0</v>
      </c>
      <c r="Y60">
        <v>0.7</v>
      </c>
      <c r="Z60">
        <v>0.6</v>
      </c>
      <c r="AA60">
        <f t="shared" si="21"/>
        <v>1.7000000000000002</v>
      </c>
      <c r="AB60">
        <v>0</v>
      </c>
      <c r="AC60">
        <v>0</v>
      </c>
      <c r="AD60">
        <v>0</v>
      </c>
      <c r="AE60">
        <v>4.2</v>
      </c>
      <c r="AF60">
        <v>0.6</v>
      </c>
      <c r="AG60">
        <v>0</v>
      </c>
      <c r="AH60">
        <v>2.4</v>
      </c>
      <c r="AI60">
        <v>0</v>
      </c>
      <c r="AJ60">
        <f t="shared" si="7"/>
        <v>7.1999999999999993</v>
      </c>
      <c r="AK60">
        <v>0.6</v>
      </c>
      <c r="AL60">
        <v>0.29299999999999998</v>
      </c>
      <c r="AM60">
        <f t="shared" si="8"/>
        <v>0.7</v>
      </c>
      <c r="AN60">
        <v>5050</v>
      </c>
      <c r="AO60" t="s">
        <v>13</v>
      </c>
      <c r="AP60" s="3">
        <f t="shared" si="31"/>
        <v>16833.333333333332</v>
      </c>
      <c r="AQ60" t="s">
        <v>13</v>
      </c>
      <c r="AR60">
        <f t="shared" si="26"/>
        <v>0.10285714285714286</v>
      </c>
      <c r="AS60">
        <f t="shared" si="28"/>
        <v>0.628</v>
      </c>
      <c r="AT60">
        <f t="shared" si="29"/>
        <v>10571</v>
      </c>
      <c r="AU60">
        <f t="shared" si="30"/>
        <v>1212</v>
      </c>
      <c r="AV60">
        <f t="shared" si="12"/>
        <v>10142</v>
      </c>
      <c r="AW60">
        <f t="shared" si="13"/>
        <v>1295</v>
      </c>
      <c r="AX60" s="3">
        <f t="shared" si="14"/>
        <v>5396.3333333333321</v>
      </c>
      <c r="AY60">
        <f t="shared" si="15"/>
        <v>5286</v>
      </c>
      <c r="AZ60">
        <f t="shared" si="16"/>
        <v>2235</v>
      </c>
      <c r="BA60" s="3">
        <f t="shared" si="17"/>
        <v>9312.3333333333321</v>
      </c>
    </row>
    <row r="61" spans="1:53" x14ac:dyDescent="0.2">
      <c r="A61">
        <v>1995</v>
      </c>
      <c r="B61" t="s">
        <v>51</v>
      </c>
      <c r="C61" t="s">
        <v>57</v>
      </c>
      <c r="D61">
        <v>0.3</v>
      </c>
      <c r="E61">
        <v>0</v>
      </c>
      <c r="F61">
        <v>0</v>
      </c>
      <c r="G61">
        <v>0</v>
      </c>
      <c r="H61">
        <v>0</v>
      </c>
      <c r="I61">
        <v>5.3</v>
      </c>
      <c r="J61">
        <v>0.5</v>
      </c>
      <c r="K61">
        <f t="shared" si="27"/>
        <v>6.1</v>
      </c>
      <c r="L61">
        <v>0</v>
      </c>
      <c r="M61">
        <v>1.4</v>
      </c>
      <c r="N61">
        <v>0</v>
      </c>
      <c r="O61">
        <f t="shared" si="19"/>
        <v>1.4</v>
      </c>
      <c r="P61">
        <v>0</v>
      </c>
      <c r="Q61">
        <v>1.4</v>
      </c>
      <c r="R61">
        <v>41.2</v>
      </c>
      <c r="S61">
        <f t="shared" si="20"/>
        <v>42.6</v>
      </c>
      <c r="T61">
        <v>0</v>
      </c>
      <c r="U61">
        <v>0</v>
      </c>
      <c r="V61">
        <v>0</v>
      </c>
      <c r="W61">
        <v>0</v>
      </c>
      <c r="X61">
        <v>0</v>
      </c>
      <c r="Y61">
        <v>0.2</v>
      </c>
      <c r="Z61">
        <v>1</v>
      </c>
      <c r="AA61">
        <f t="shared" si="21"/>
        <v>1.2</v>
      </c>
      <c r="AB61">
        <v>0</v>
      </c>
      <c r="AC61">
        <v>0</v>
      </c>
      <c r="AD61">
        <v>0</v>
      </c>
      <c r="AE61">
        <v>2.1</v>
      </c>
      <c r="AF61">
        <v>0.2</v>
      </c>
      <c r="AG61">
        <v>0</v>
      </c>
      <c r="AH61">
        <v>1.7</v>
      </c>
      <c r="AI61">
        <v>0</v>
      </c>
      <c r="AJ61">
        <f t="shared" si="7"/>
        <v>4</v>
      </c>
      <c r="AK61">
        <v>1.2</v>
      </c>
      <c r="AL61">
        <v>0.435</v>
      </c>
      <c r="AM61">
        <f t="shared" si="8"/>
        <v>0.55299999999999994</v>
      </c>
      <c r="AN61">
        <v>14300</v>
      </c>
      <c r="AO61" t="s">
        <v>13</v>
      </c>
      <c r="AP61" s="3">
        <f t="shared" si="31"/>
        <v>31991.051454138698</v>
      </c>
      <c r="AQ61" t="s">
        <v>13</v>
      </c>
      <c r="AR61">
        <f t="shared" si="26"/>
        <v>7.2332730560578679E-2</v>
      </c>
      <c r="AS61">
        <f t="shared" si="28"/>
        <v>0.51300000000000001</v>
      </c>
      <c r="AT61">
        <f t="shared" si="29"/>
        <v>16411</v>
      </c>
      <c r="AU61">
        <f t="shared" si="30"/>
        <v>1280</v>
      </c>
      <c r="AV61">
        <f t="shared" si="12"/>
        <v>15436</v>
      </c>
      <c r="AW61">
        <f t="shared" si="13"/>
        <v>1360</v>
      </c>
      <c r="AX61" s="3">
        <f t="shared" si="14"/>
        <v>15195.051454138698</v>
      </c>
      <c r="AY61">
        <f t="shared" si="15"/>
        <v>8206</v>
      </c>
      <c r="AZ61">
        <f t="shared" si="16"/>
        <v>1954</v>
      </c>
      <c r="BA61" s="3">
        <f t="shared" si="17"/>
        <v>21831.051454138698</v>
      </c>
    </row>
    <row r="62" spans="1:53" x14ac:dyDescent="0.2">
      <c r="A62">
        <v>1996</v>
      </c>
      <c r="B62" t="s">
        <v>51</v>
      </c>
      <c r="C62" t="s">
        <v>57</v>
      </c>
      <c r="D62">
        <v>0.3</v>
      </c>
      <c r="E62">
        <v>0</v>
      </c>
      <c r="F62">
        <v>0</v>
      </c>
      <c r="G62">
        <v>0</v>
      </c>
      <c r="H62">
        <v>0</v>
      </c>
      <c r="I62">
        <v>0.3</v>
      </c>
      <c r="J62">
        <v>1</v>
      </c>
      <c r="K62">
        <f t="shared" si="27"/>
        <v>1.6</v>
      </c>
      <c r="L62">
        <v>0</v>
      </c>
      <c r="M62">
        <v>0.4</v>
      </c>
      <c r="N62">
        <v>0</v>
      </c>
      <c r="O62">
        <f t="shared" si="19"/>
        <v>0.4</v>
      </c>
      <c r="P62">
        <v>0</v>
      </c>
      <c r="Q62">
        <v>0.4</v>
      </c>
      <c r="R62">
        <v>51.3</v>
      </c>
      <c r="S62">
        <f t="shared" si="20"/>
        <v>51.699999999999996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4.7</v>
      </c>
      <c r="AA62">
        <f t="shared" si="21"/>
        <v>4.7</v>
      </c>
      <c r="AB62">
        <v>0</v>
      </c>
      <c r="AC62">
        <v>0</v>
      </c>
      <c r="AD62">
        <v>0</v>
      </c>
      <c r="AE62">
        <v>4.7</v>
      </c>
      <c r="AF62">
        <v>0.6</v>
      </c>
      <c r="AG62">
        <v>0</v>
      </c>
      <c r="AH62">
        <v>0.8</v>
      </c>
      <c r="AI62">
        <v>0</v>
      </c>
      <c r="AJ62">
        <f t="shared" si="7"/>
        <v>6.1</v>
      </c>
      <c r="AK62">
        <v>1.2</v>
      </c>
      <c r="AL62">
        <v>0.34200000000000003</v>
      </c>
      <c r="AM62">
        <f t="shared" si="8"/>
        <v>0.64500000000000002</v>
      </c>
      <c r="AN62">
        <v>12980</v>
      </c>
      <c r="AO62" t="s">
        <v>13</v>
      </c>
      <c r="AP62" s="3">
        <f t="shared" si="31"/>
        <v>36563.380281690144</v>
      </c>
      <c r="AQ62" t="s">
        <v>13</v>
      </c>
      <c r="AR62">
        <f t="shared" si="26"/>
        <v>9.4573643410852712E-2</v>
      </c>
      <c r="AS62">
        <f t="shared" si="28"/>
        <v>0.58399999999999996</v>
      </c>
      <c r="AT62">
        <f t="shared" si="29"/>
        <v>21353</v>
      </c>
      <c r="AU62">
        <f t="shared" si="30"/>
        <v>2230</v>
      </c>
      <c r="AV62">
        <f t="shared" si="12"/>
        <v>21061</v>
      </c>
      <c r="AW62">
        <f t="shared" si="13"/>
        <v>2273</v>
      </c>
      <c r="AX62" s="3">
        <f t="shared" si="14"/>
        <v>13229.380281690144</v>
      </c>
      <c r="AY62">
        <f t="shared" si="15"/>
        <v>10677</v>
      </c>
      <c r="AZ62">
        <f t="shared" si="16"/>
        <v>3795</v>
      </c>
      <c r="BA62" s="3">
        <f t="shared" si="17"/>
        <v>22091.380281690144</v>
      </c>
    </row>
    <row r="63" spans="1:53" x14ac:dyDescent="0.2">
      <c r="A63">
        <v>1997</v>
      </c>
      <c r="B63" t="s">
        <v>51</v>
      </c>
      <c r="C63" t="s">
        <v>57</v>
      </c>
      <c r="D63">
        <v>0.9</v>
      </c>
      <c r="E63">
        <v>0</v>
      </c>
      <c r="F63">
        <v>0</v>
      </c>
      <c r="G63">
        <v>0</v>
      </c>
      <c r="H63">
        <v>0</v>
      </c>
      <c r="I63">
        <v>3.3</v>
      </c>
      <c r="J63">
        <v>0.9</v>
      </c>
      <c r="K63">
        <f t="shared" si="27"/>
        <v>5.1000000000000005</v>
      </c>
      <c r="L63">
        <v>0</v>
      </c>
      <c r="M63">
        <v>0.4</v>
      </c>
      <c r="N63">
        <v>0.5</v>
      </c>
      <c r="O63">
        <f t="shared" si="19"/>
        <v>0.9</v>
      </c>
      <c r="P63">
        <v>0</v>
      </c>
      <c r="Q63">
        <v>1.1000000000000001</v>
      </c>
      <c r="R63">
        <v>27.6</v>
      </c>
      <c r="S63">
        <f t="shared" si="20"/>
        <v>28.700000000000003</v>
      </c>
      <c r="T63">
        <v>0</v>
      </c>
      <c r="U63">
        <v>0</v>
      </c>
      <c r="V63">
        <v>0</v>
      </c>
      <c r="W63">
        <v>0</v>
      </c>
      <c r="X63">
        <v>0</v>
      </c>
      <c r="Y63">
        <v>1.7</v>
      </c>
      <c r="Z63">
        <v>3.3</v>
      </c>
      <c r="AA63">
        <f t="shared" si="21"/>
        <v>5</v>
      </c>
      <c r="AB63">
        <v>0</v>
      </c>
      <c r="AC63">
        <v>0</v>
      </c>
      <c r="AD63">
        <v>0</v>
      </c>
      <c r="AE63">
        <v>0.4</v>
      </c>
      <c r="AF63">
        <v>0.5</v>
      </c>
      <c r="AG63">
        <v>0</v>
      </c>
      <c r="AH63">
        <v>0.9</v>
      </c>
      <c r="AI63">
        <v>0</v>
      </c>
      <c r="AJ63">
        <f t="shared" si="7"/>
        <v>1.8</v>
      </c>
      <c r="AK63">
        <v>0.8</v>
      </c>
      <c r="AL63">
        <v>0.57799999999999996</v>
      </c>
      <c r="AM63">
        <f t="shared" si="8"/>
        <v>0.41499999999999992</v>
      </c>
      <c r="AN63">
        <v>9845</v>
      </c>
      <c r="AO63" t="s">
        <v>13</v>
      </c>
      <c r="AP63" s="3">
        <f t="shared" si="31"/>
        <v>16829.059829059828</v>
      </c>
      <c r="AQ63" t="s">
        <v>13</v>
      </c>
      <c r="AR63">
        <f t="shared" si="26"/>
        <v>4.3373493975903628E-2</v>
      </c>
      <c r="AS63">
        <f t="shared" si="28"/>
        <v>0.39700000000000002</v>
      </c>
      <c r="AT63">
        <f t="shared" si="29"/>
        <v>6681</v>
      </c>
      <c r="AU63">
        <f t="shared" si="30"/>
        <v>303</v>
      </c>
      <c r="AV63">
        <f t="shared" si="12"/>
        <v>6252</v>
      </c>
      <c r="AW63">
        <f t="shared" si="13"/>
        <v>316</v>
      </c>
      <c r="AX63" s="3">
        <f t="shared" si="14"/>
        <v>10261.059829059828</v>
      </c>
      <c r="AY63">
        <f t="shared" si="15"/>
        <v>3341</v>
      </c>
      <c r="AZ63">
        <f t="shared" si="16"/>
        <v>403</v>
      </c>
      <c r="BA63" s="3">
        <f t="shared" si="17"/>
        <v>13085.059829059828</v>
      </c>
    </row>
    <row r="64" spans="1:53" x14ac:dyDescent="0.2">
      <c r="A64">
        <v>1998</v>
      </c>
      <c r="B64" t="s">
        <v>51</v>
      </c>
      <c r="C64" t="s">
        <v>57</v>
      </c>
      <c r="D64">
        <v>4.0999999999999996</v>
      </c>
      <c r="E64">
        <v>0</v>
      </c>
      <c r="F64">
        <v>0</v>
      </c>
      <c r="G64">
        <v>0</v>
      </c>
      <c r="H64">
        <v>0</v>
      </c>
      <c r="I64">
        <v>0.4</v>
      </c>
      <c r="J64">
        <v>1.6</v>
      </c>
      <c r="K64">
        <f t="shared" si="27"/>
        <v>6.1</v>
      </c>
      <c r="L64">
        <v>0</v>
      </c>
      <c r="M64">
        <v>0</v>
      </c>
      <c r="N64">
        <v>0.7</v>
      </c>
      <c r="O64">
        <f t="shared" si="19"/>
        <v>0.7</v>
      </c>
      <c r="P64">
        <v>0</v>
      </c>
      <c r="Q64">
        <v>0.5</v>
      </c>
      <c r="R64">
        <v>34.200000000000003</v>
      </c>
      <c r="S64">
        <f t="shared" si="20"/>
        <v>34.700000000000003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f t="shared" si="21"/>
        <v>0</v>
      </c>
      <c r="AB64">
        <v>0</v>
      </c>
      <c r="AC64">
        <v>0</v>
      </c>
      <c r="AD64">
        <v>0</v>
      </c>
      <c r="AE64">
        <v>8.5</v>
      </c>
      <c r="AF64">
        <v>0</v>
      </c>
      <c r="AG64">
        <v>0</v>
      </c>
      <c r="AH64">
        <v>2.9</v>
      </c>
      <c r="AI64">
        <v>0</v>
      </c>
      <c r="AJ64">
        <f t="shared" si="7"/>
        <v>11.4</v>
      </c>
      <c r="AK64">
        <v>3.7</v>
      </c>
      <c r="AL64">
        <v>0.434</v>
      </c>
      <c r="AM64">
        <f t="shared" si="8"/>
        <v>0.52900000000000003</v>
      </c>
      <c r="AN64">
        <v>4371</v>
      </c>
      <c r="AO64" t="s">
        <v>13</v>
      </c>
      <c r="AP64" s="3">
        <f t="shared" si="31"/>
        <v>9280.2547770700639</v>
      </c>
      <c r="AQ64" t="s">
        <v>13</v>
      </c>
      <c r="AR64">
        <f t="shared" si="26"/>
        <v>0.21550094517958412</v>
      </c>
      <c r="AS64">
        <f t="shared" si="28"/>
        <v>0.41499999999999998</v>
      </c>
      <c r="AT64">
        <f t="shared" si="29"/>
        <v>3851</v>
      </c>
      <c r="AU64">
        <f t="shared" si="30"/>
        <v>1058</v>
      </c>
      <c r="AV64">
        <f t="shared" si="12"/>
        <v>3568</v>
      </c>
      <c r="AW64">
        <f t="shared" si="13"/>
        <v>1113</v>
      </c>
      <c r="AX64" s="3">
        <f t="shared" si="14"/>
        <v>4599.2547770700639</v>
      </c>
      <c r="AY64">
        <f t="shared" si="15"/>
        <v>1926</v>
      </c>
      <c r="AZ64">
        <f t="shared" si="16"/>
        <v>1433</v>
      </c>
      <c r="BA64" s="3">
        <f t="shared" si="17"/>
        <v>5921.2547770700639</v>
      </c>
    </row>
    <row r="65" spans="1:53" x14ac:dyDescent="0.2">
      <c r="A65">
        <v>1999</v>
      </c>
      <c r="B65" t="s">
        <v>51</v>
      </c>
      <c r="C65" t="s">
        <v>57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0.6</v>
      </c>
      <c r="K65">
        <f t="shared" si="27"/>
        <v>0.6</v>
      </c>
      <c r="L65">
        <v>0</v>
      </c>
      <c r="M65">
        <v>0</v>
      </c>
      <c r="N65">
        <v>0.4</v>
      </c>
      <c r="O65">
        <f t="shared" si="19"/>
        <v>0.4</v>
      </c>
      <c r="P65">
        <v>0</v>
      </c>
      <c r="Q65">
        <v>0</v>
      </c>
      <c r="R65">
        <v>53.3</v>
      </c>
      <c r="S65">
        <f t="shared" si="20"/>
        <v>53.3</v>
      </c>
      <c r="T65">
        <v>0.8</v>
      </c>
      <c r="U65">
        <v>0.6</v>
      </c>
      <c r="V65">
        <v>0</v>
      </c>
      <c r="W65">
        <v>0</v>
      </c>
      <c r="X65">
        <v>0</v>
      </c>
      <c r="Y65">
        <v>0.3</v>
      </c>
      <c r="Z65">
        <v>0</v>
      </c>
      <c r="AA65">
        <f t="shared" si="21"/>
        <v>1.7</v>
      </c>
      <c r="AB65">
        <v>0</v>
      </c>
      <c r="AC65">
        <v>0</v>
      </c>
      <c r="AD65">
        <v>0</v>
      </c>
      <c r="AE65">
        <v>1.3</v>
      </c>
      <c r="AF65">
        <v>1.5</v>
      </c>
      <c r="AG65">
        <v>0</v>
      </c>
      <c r="AH65">
        <v>6.2</v>
      </c>
      <c r="AI65">
        <v>0</v>
      </c>
      <c r="AJ65">
        <f t="shared" si="7"/>
        <v>9</v>
      </c>
      <c r="AK65">
        <v>3.4</v>
      </c>
      <c r="AL65">
        <v>0.315</v>
      </c>
      <c r="AM65">
        <f t="shared" si="8"/>
        <v>0.65</v>
      </c>
      <c r="AN65">
        <v>4500</v>
      </c>
      <c r="AO65" t="s">
        <v>13</v>
      </c>
      <c r="AP65" s="3">
        <f t="shared" si="31"/>
        <v>12857.142857142859</v>
      </c>
      <c r="AQ65" t="s">
        <v>13</v>
      </c>
      <c r="AR65">
        <f t="shared" si="26"/>
        <v>0.13846153846153844</v>
      </c>
      <c r="AS65">
        <f t="shared" si="28"/>
        <v>0.56000000000000005</v>
      </c>
      <c r="AT65">
        <f t="shared" si="29"/>
        <v>7200</v>
      </c>
      <c r="AU65">
        <f t="shared" si="30"/>
        <v>1157</v>
      </c>
      <c r="AV65">
        <f t="shared" si="12"/>
        <v>7161</v>
      </c>
      <c r="AW65">
        <f t="shared" si="13"/>
        <v>1165</v>
      </c>
      <c r="AX65" s="3">
        <f t="shared" si="14"/>
        <v>4531.1428571428587</v>
      </c>
      <c r="AY65">
        <f t="shared" si="15"/>
        <v>3600</v>
      </c>
      <c r="AZ65">
        <f t="shared" si="16"/>
        <v>1893</v>
      </c>
      <c r="BA65" s="3">
        <f t="shared" si="17"/>
        <v>7364.1428571428587</v>
      </c>
    </row>
    <row r="66" spans="1:53" x14ac:dyDescent="0.2">
      <c r="A66">
        <v>2000</v>
      </c>
      <c r="B66" t="s">
        <v>51</v>
      </c>
      <c r="C66" t="s">
        <v>57</v>
      </c>
      <c r="D66">
        <v>1.4</v>
      </c>
      <c r="E66">
        <v>0.3</v>
      </c>
      <c r="F66">
        <v>0</v>
      </c>
      <c r="G66">
        <v>0</v>
      </c>
      <c r="H66">
        <v>0</v>
      </c>
      <c r="I66">
        <v>1.2</v>
      </c>
      <c r="J66">
        <v>4.9000000000000004</v>
      </c>
      <c r="K66">
        <f t="shared" si="27"/>
        <v>7.8000000000000007</v>
      </c>
      <c r="L66">
        <v>0</v>
      </c>
      <c r="M66">
        <v>0</v>
      </c>
      <c r="N66">
        <v>0</v>
      </c>
      <c r="O66">
        <f t="shared" si="19"/>
        <v>0</v>
      </c>
      <c r="P66">
        <v>0</v>
      </c>
      <c r="Q66">
        <v>0</v>
      </c>
      <c r="R66">
        <v>24.8</v>
      </c>
      <c r="S66">
        <f t="shared" si="20"/>
        <v>24.8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2.1</v>
      </c>
      <c r="AA66">
        <f t="shared" si="21"/>
        <v>2.1</v>
      </c>
      <c r="AB66">
        <v>0</v>
      </c>
      <c r="AC66">
        <v>0</v>
      </c>
      <c r="AD66">
        <v>0</v>
      </c>
      <c r="AE66">
        <v>0.5</v>
      </c>
      <c r="AF66">
        <v>0.5</v>
      </c>
      <c r="AG66">
        <v>0</v>
      </c>
      <c r="AH66">
        <v>4.0999999999999996</v>
      </c>
      <c r="AI66">
        <v>0</v>
      </c>
      <c r="AJ66">
        <f t="shared" si="7"/>
        <v>5.0999999999999996</v>
      </c>
      <c r="AK66">
        <v>1.3</v>
      </c>
      <c r="AL66">
        <v>0.58799999999999997</v>
      </c>
      <c r="AM66">
        <f t="shared" si="8"/>
        <v>0.39799999999999996</v>
      </c>
      <c r="AN66">
        <v>5109</v>
      </c>
      <c r="AO66" t="s">
        <v>13</v>
      </c>
      <c r="AP66" s="3">
        <f t="shared" si="31"/>
        <v>8486.7109634551489</v>
      </c>
      <c r="AQ66" t="s">
        <v>13</v>
      </c>
      <c r="AR66">
        <f t="shared" si="26"/>
        <v>0.12814070351758794</v>
      </c>
      <c r="AS66">
        <f t="shared" si="28"/>
        <v>0.34700000000000003</v>
      </c>
      <c r="AT66">
        <f t="shared" si="29"/>
        <v>2945</v>
      </c>
      <c r="AU66">
        <f t="shared" si="30"/>
        <v>433</v>
      </c>
      <c r="AV66">
        <f t="shared" si="12"/>
        <v>2614</v>
      </c>
      <c r="AW66">
        <f t="shared" si="13"/>
        <v>459</v>
      </c>
      <c r="AX66" s="3">
        <f t="shared" si="14"/>
        <v>5413.7109634551489</v>
      </c>
      <c r="AY66">
        <f t="shared" si="15"/>
        <v>1472</v>
      </c>
      <c r="AZ66">
        <f t="shared" si="16"/>
        <v>548</v>
      </c>
      <c r="BA66" s="3">
        <f t="shared" si="17"/>
        <v>6466.7109634551489</v>
      </c>
    </row>
    <row r="67" spans="1:53" x14ac:dyDescent="0.2">
      <c r="A67">
        <v>2001</v>
      </c>
      <c r="B67" t="s">
        <v>51</v>
      </c>
      <c r="C67" t="s">
        <v>57</v>
      </c>
      <c r="D67">
        <v>0.4</v>
      </c>
      <c r="E67">
        <v>0</v>
      </c>
      <c r="F67">
        <v>0</v>
      </c>
      <c r="G67">
        <v>0</v>
      </c>
      <c r="H67">
        <v>0</v>
      </c>
      <c r="I67">
        <v>9.6</v>
      </c>
      <c r="J67">
        <v>0</v>
      </c>
      <c r="K67">
        <f t="shared" si="27"/>
        <v>10</v>
      </c>
      <c r="L67">
        <v>0</v>
      </c>
      <c r="M67">
        <v>0</v>
      </c>
      <c r="N67">
        <v>0</v>
      </c>
      <c r="O67">
        <f t="shared" si="19"/>
        <v>0</v>
      </c>
      <c r="P67">
        <v>0</v>
      </c>
      <c r="Q67">
        <v>0</v>
      </c>
      <c r="R67">
        <v>33.5</v>
      </c>
      <c r="S67">
        <f t="shared" si="20"/>
        <v>33.5</v>
      </c>
      <c r="T67">
        <v>0.2</v>
      </c>
      <c r="U67">
        <v>0</v>
      </c>
      <c r="V67">
        <v>0</v>
      </c>
      <c r="W67">
        <v>0</v>
      </c>
      <c r="X67">
        <v>0</v>
      </c>
      <c r="Y67">
        <v>0.1</v>
      </c>
      <c r="Z67">
        <v>2.4</v>
      </c>
      <c r="AA67">
        <f t="shared" si="21"/>
        <v>2.7</v>
      </c>
      <c r="AB67">
        <v>0</v>
      </c>
      <c r="AC67">
        <v>0</v>
      </c>
      <c r="AD67">
        <v>0</v>
      </c>
      <c r="AE67">
        <v>6.6</v>
      </c>
      <c r="AF67">
        <v>0</v>
      </c>
      <c r="AG67">
        <v>0</v>
      </c>
      <c r="AH67">
        <v>10.7</v>
      </c>
      <c r="AI67">
        <v>0</v>
      </c>
      <c r="AJ67">
        <f t="shared" ref="AJ67:AJ130" si="32">SUM(AB67:AI67)</f>
        <v>17.299999999999997</v>
      </c>
      <c r="AK67">
        <v>4.2</v>
      </c>
      <c r="AL67">
        <v>0.32500000000000001</v>
      </c>
      <c r="AM67">
        <f t="shared" ref="AM67:AM130" si="33">SUM(AB67:AI67,T67:Z67,P67:R67,L67:N67,D67:J67)/100</f>
        <v>0.63500000000000001</v>
      </c>
      <c r="AN67">
        <v>3283</v>
      </c>
      <c r="AO67" t="s">
        <v>13</v>
      </c>
      <c r="AP67" s="3">
        <f t="shared" si="31"/>
        <v>8994.5205479452052</v>
      </c>
      <c r="AQ67" t="s">
        <v>13</v>
      </c>
      <c r="AR67">
        <f t="shared" si="26"/>
        <v>0.27244094488188969</v>
      </c>
      <c r="AS67">
        <f t="shared" si="28"/>
        <v>0.46200000000000002</v>
      </c>
      <c r="AT67">
        <f t="shared" si="29"/>
        <v>4155</v>
      </c>
      <c r="AU67">
        <f t="shared" si="30"/>
        <v>1556</v>
      </c>
      <c r="AV67">
        <f t="shared" ref="AV67:AV89" si="34">ROUND((((K67*0.5)+O67+S67+AA67)/100)*AP67,0)</f>
        <v>3706</v>
      </c>
      <c r="AW67">
        <f t="shared" ref="AW67:AW89" si="35">ROUND((AU67/(AP67-AT67))*(AP67-AV67),0)</f>
        <v>1700</v>
      </c>
      <c r="AX67" s="3">
        <f t="shared" ref="AX67:AX89" si="36">AP67-AV67-AW67</f>
        <v>3588.5205479452052</v>
      </c>
      <c r="AY67">
        <f t="shared" ref="AY67:AY89" si="37">ROUND((0.5*AS67)*AP67,0)</f>
        <v>2078</v>
      </c>
      <c r="AZ67">
        <f t="shared" ref="AZ67:AZ89" si="38">ROUND((AU67/(AP67-AT67))*(AP67-AY67),0)</f>
        <v>2224</v>
      </c>
      <c r="BA67" s="3">
        <f t="shared" ref="BA67:BA89" si="39">AP67-AZ67-AY67</f>
        <v>4692.5205479452052</v>
      </c>
    </row>
    <row r="68" spans="1:53" x14ac:dyDescent="0.2">
      <c r="A68">
        <v>2002</v>
      </c>
      <c r="B68" t="s">
        <v>51</v>
      </c>
      <c r="C68" t="s">
        <v>57</v>
      </c>
      <c r="D68">
        <v>1.5</v>
      </c>
      <c r="E68">
        <v>0</v>
      </c>
      <c r="F68">
        <v>0</v>
      </c>
      <c r="G68">
        <v>0</v>
      </c>
      <c r="H68">
        <v>0</v>
      </c>
      <c r="I68">
        <v>3.5</v>
      </c>
      <c r="J68">
        <v>1.6</v>
      </c>
      <c r="K68">
        <f t="shared" si="27"/>
        <v>6.6</v>
      </c>
      <c r="L68">
        <v>0</v>
      </c>
      <c r="M68">
        <v>0</v>
      </c>
      <c r="N68">
        <v>1</v>
      </c>
      <c r="O68">
        <f t="shared" si="19"/>
        <v>1</v>
      </c>
      <c r="P68">
        <v>0</v>
      </c>
      <c r="Q68">
        <v>0</v>
      </c>
      <c r="R68">
        <v>38.5</v>
      </c>
      <c r="S68">
        <f t="shared" si="20"/>
        <v>38.5</v>
      </c>
      <c r="T68">
        <v>0.4</v>
      </c>
      <c r="U68">
        <v>0</v>
      </c>
      <c r="V68">
        <v>0.3</v>
      </c>
      <c r="W68">
        <v>0</v>
      </c>
      <c r="X68">
        <v>0</v>
      </c>
      <c r="Y68">
        <v>0.4</v>
      </c>
      <c r="Z68">
        <v>5.7</v>
      </c>
      <c r="AA68">
        <f t="shared" si="21"/>
        <v>6.8000000000000007</v>
      </c>
      <c r="AB68">
        <v>0</v>
      </c>
      <c r="AC68">
        <v>0</v>
      </c>
      <c r="AD68">
        <v>0</v>
      </c>
      <c r="AE68">
        <v>7.9</v>
      </c>
      <c r="AF68">
        <v>2.4</v>
      </c>
      <c r="AG68">
        <v>0</v>
      </c>
      <c r="AH68">
        <v>3.2</v>
      </c>
      <c r="AI68">
        <v>0</v>
      </c>
      <c r="AJ68">
        <f t="shared" si="32"/>
        <v>13.5</v>
      </c>
      <c r="AK68">
        <v>2.7</v>
      </c>
      <c r="AL68">
        <v>0.309</v>
      </c>
      <c r="AM68">
        <f t="shared" si="33"/>
        <v>0.66399999999999992</v>
      </c>
      <c r="AN68">
        <v>2505</v>
      </c>
      <c r="AO68" t="s">
        <v>13</v>
      </c>
      <c r="AP68" s="3">
        <f t="shared" si="31"/>
        <v>7455.3571428571413</v>
      </c>
      <c r="AQ68" t="s">
        <v>13</v>
      </c>
      <c r="AR68">
        <f t="shared" si="26"/>
        <v>0.20331325301204822</v>
      </c>
      <c r="AS68">
        <f t="shared" si="28"/>
        <v>0.52900000000000003</v>
      </c>
      <c r="AT68">
        <f t="shared" si="29"/>
        <v>3944</v>
      </c>
      <c r="AU68">
        <f t="shared" si="30"/>
        <v>1006</v>
      </c>
      <c r="AV68">
        <f t="shared" si="34"/>
        <v>3698</v>
      </c>
      <c r="AW68">
        <f t="shared" si="35"/>
        <v>1076</v>
      </c>
      <c r="AX68" s="3">
        <f t="shared" si="36"/>
        <v>2681.3571428571413</v>
      </c>
      <c r="AY68">
        <f t="shared" si="37"/>
        <v>1972</v>
      </c>
      <c r="AZ68">
        <f t="shared" si="38"/>
        <v>1571</v>
      </c>
      <c r="BA68" s="3">
        <f t="shared" si="39"/>
        <v>3912.3571428571413</v>
      </c>
    </row>
    <row r="69" spans="1:53" x14ac:dyDescent="0.2">
      <c r="A69">
        <v>2003</v>
      </c>
      <c r="B69" t="s">
        <v>51</v>
      </c>
      <c r="C69" t="s">
        <v>57</v>
      </c>
      <c r="D69">
        <v>2.2000000000000002</v>
      </c>
      <c r="E69">
        <v>0.3</v>
      </c>
      <c r="F69">
        <v>0</v>
      </c>
      <c r="G69">
        <v>2.5</v>
      </c>
      <c r="H69">
        <v>0</v>
      </c>
      <c r="I69">
        <v>8.9</v>
      </c>
      <c r="J69">
        <v>3</v>
      </c>
      <c r="K69">
        <f t="shared" si="27"/>
        <v>16.899999999999999</v>
      </c>
      <c r="L69">
        <v>0.9</v>
      </c>
      <c r="M69">
        <v>0</v>
      </c>
      <c r="N69">
        <v>0</v>
      </c>
      <c r="O69">
        <f t="shared" si="19"/>
        <v>0.9</v>
      </c>
      <c r="P69">
        <v>0</v>
      </c>
      <c r="Q69">
        <v>0</v>
      </c>
      <c r="R69">
        <v>38.9</v>
      </c>
      <c r="S69">
        <f t="shared" si="20"/>
        <v>38.9</v>
      </c>
      <c r="T69">
        <v>0.6</v>
      </c>
      <c r="U69">
        <v>0</v>
      </c>
      <c r="V69">
        <v>0</v>
      </c>
      <c r="W69">
        <v>0</v>
      </c>
      <c r="X69">
        <v>0</v>
      </c>
      <c r="Y69">
        <v>0</v>
      </c>
      <c r="Z69">
        <v>3.7</v>
      </c>
      <c r="AA69">
        <f t="shared" si="21"/>
        <v>4.3</v>
      </c>
      <c r="AB69">
        <v>0</v>
      </c>
      <c r="AC69">
        <v>0</v>
      </c>
      <c r="AD69">
        <v>0</v>
      </c>
      <c r="AE69">
        <v>4.5999999999999996</v>
      </c>
      <c r="AF69">
        <v>1.6</v>
      </c>
      <c r="AG69">
        <v>0</v>
      </c>
      <c r="AH69">
        <v>7.3</v>
      </c>
      <c r="AI69">
        <v>0</v>
      </c>
      <c r="AJ69">
        <f t="shared" si="32"/>
        <v>13.5</v>
      </c>
      <c r="AK69">
        <v>2.2999999999999998</v>
      </c>
      <c r="AL69">
        <v>0.23300000000000001</v>
      </c>
      <c r="AM69">
        <f t="shared" si="33"/>
        <v>0.745</v>
      </c>
      <c r="AN69">
        <v>2494</v>
      </c>
      <c r="AO69" t="s">
        <v>13</v>
      </c>
      <c r="AP69" s="3">
        <f t="shared" si="31"/>
        <v>9780.3921568627447</v>
      </c>
      <c r="AQ69" t="s">
        <v>13</v>
      </c>
      <c r="AR69">
        <f t="shared" si="26"/>
        <v>0.18120805369127518</v>
      </c>
      <c r="AS69">
        <f t="shared" si="28"/>
        <v>0.60999999999999988</v>
      </c>
      <c r="AT69">
        <f t="shared" si="29"/>
        <v>5966</v>
      </c>
      <c r="AU69">
        <f t="shared" si="30"/>
        <v>1320</v>
      </c>
      <c r="AV69">
        <f t="shared" si="34"/>
        <v>5140</v>
      </c>
      <c r="AW69">
        <f t="shared" si="35"/>
        <v>1606</v>
      </c>
      <c r="AX69" s="3">
        <f t="shared" si="36"/>
        <v>3034.3921568627447</v>
      </c>
      <c r="AY69">
        <f t="shared" si="37"/>
        <v>2983</v>
      </c>
      <c r="AZ69">
        <f t="shared" si="38"/>
        <v>2352</v>
      </c>
      <c r="BA69" s="3">
        <f t="shared" si="39"/>
        <v>4445.3921568627447</v>
      </c>
    </row>
    <row r="70" spans="1:53" x14ac:dyDescent="0.2">
      <c r="A70">
        <v>2004</v>
      </c>
      <c r="B70" t="s">
        <v>51</v>
      </c>
      <c r="C70" t="s">
        <v>57</v>
      </c>
      <c r="D70">
        <v>0</v>
      </c>
      <c r="E70">
        <v>0.4</v>
      </c>
      <c r="F70">
        <v>0</v>
      </c>
      <c r="G70">
        <v>0.9</v>
      </c>
      <c r="H70">
        <v>0</v>
      </c>
      <c r="I70">
        <v>15.2</v>
      </c>
      <c r="J70">
        <v>7.6</v>
      </c>
      <c r="K70">
        <f t="shared" si="27"/>
        <v>24.1</v>
      </c>
      <c r="L70">
        <v>0</v>
      </c>
      <c r="M70">
        <v>0</v>
      </c>
      <c r="N70">
        <v>2</v>
      </c>
      <c r="O70">
        <f t="shared" si="19"/>
        <v>2</v>
      </c>
      <c r="P70">
        <v>0</v>
      </c>
      <c r="Q70">
        <v>0</v>
      </c>
      <c r="R70">
        <v>31.7</v>
      </c>
      <c r="S70">
        <f t="shared" si="20"/>
        <v>31.7</v>
      </c>
      <c r="T70">
        <v>2.5</v>
      </c>
      <c r="U70">
        <v>0</v>
      </c>
      <c r="V70">
        <v>0</v>
      </c>
      <c r="W70">
        <v>0</v>
      </c>
      <c r="X70">
        <v>0</v>
      </c>
      <c r="Y70">
        <v>0</v>
      </c>
      <c r="Z70">
        <v>2.2000000000000002</v>
      </c>
      <c r="AA70">
        <f t="shared" si="21"/>
        <v>4.7</v>
      </c>
      <c r="AB70">
        <v>0</v>
      </c>
      <c r="AC70">
        <v>0</v>
      </c>
      <c r="AD70">
        <v>0</v>
      </c>
      <c r="AE70">
        <v>1.7</v>
      </c>
      <c r="AF70">
        <v>0</v>
      </c>
      <c r="AG70">
        <v>0</v>
      </c>
      <c r="AH70">
        <v>8.4</v>
      </c>
      <c r="AI70">
        <v>0</v>
      </c>
      <c r="AJ70">
        <f t="shared" si="32"/>
        <v>10.1</v>
      </c>
      <c r="AK70">
        <v>6.6</v>
      </c>
      <c r="AL70">
        <v>0.21</v>
      </c>
      <c r="AM70">
        <f t="shared" si="33"/>
        <v>0.72599999999999998</v>
      </c>
      <c r="AN70">
        <v>2226</v>
      </c>
      <c r="AO70" t="s">
        <v>13</v>
      </c>
      <c r="AP70" s="3">
        <f t="shared" si="31"/>
        <v>8124.0875912408756</v>
      </c>
      <c r="AQ70" t="s">
        <v>13</v>
      </c>
      <c r="AR70">
        <f t="shared" si="26"/>
        <v>0.13911845730027547</v>
      </c>
      <c r="AS70">
        <f t="shared" si="28"/>
        <v>0.625</v>
      </c>
      <c r="AT70">
        <f t="shared" si="29"/>
        <v>5078</v>
      </c>
      <c r="AU70">
        <f t="shared" si="30"/>
        <v>821</v>
      </c>
      <c r="AV70">
        <f t="shared" si="34"/>
        <v>4099</v>
      </c>
      <c r="AW70">
        <f t="shared" si="35"/>
        <v>1085</v>
      </c>
      <c r="AX70" s="3">
        <f t="shared" si="36"/>
        <v>2940.0875912408756</v>
      </c>
      <c r="AY70">
        <f t="shared" si="37"/>
        <v>2539</v>
      </c>
      <c r="AZ70">
        <f t="shared" si="38"/>
        <v>1505</v>
      </c>
      <c r="BA70" s="3">
        <f t="shared" si="39"/>
        <v>4080.0875912408756</v>
      </c>
    </row>
    <row r="71" spans="1:53" x14ac:dyDescent="0.2">
      <c r="A71">
        <v>2005</v>
      </c>
      <c r="B71" t="s">
        <v>51</v>
      </c>
      <c r="C71" t="s">
        <v>57</v>
      </c>
      <c r="D71">
        <v>0</v>
      </c>
      <c r="E71">
        <v>0.3</v>
      </c>
      <c r="F71">
        <v>0</v>
      </c>
      <c r="G71">
        <v>1.3</v>
      </c>
      <c r="H71">
        <v>4.7</v>
      </c>
      <c r="I71">
        <v>23</v>
      </c>
      <c r="J71">
        <v>2.2000000000000002</v>
      </c>
      <c r="K71">
        <f t="shared" si="27"/>
        <v>31.5</v>
      </c>
      <c r="L71">
        <v>0</v>
      </c>
      <c r="M71">
        <v>1.3</v>
      </c>
      <c r="N71">
        <v>0</v>
      </c>
      <c r="O71">
        <f t="shared" si="19"/>
        <v>1.3</v>
      </c>
      <c r="P71">
        <v>0</v>
      </c>
      <c r="Q71">
        <v>0</v>
      </c>
      <c r="R71">
        <v>8.3000000000000007</v>
      </c>
      <c r="S71">
        <f t="shared" si="20"/>
        <v>8.3000000000000007</v>
      </c>
      <c r="T71">
        <v>0.3</v>
      </c>
      <c r="U71">
        <v>0.9</v>
      </c>
      <c r="V71">
        <v>0</v>
      </c>
      <c r="W71">
        <v>0</v>
      </c>
      <c r="X71">
        <v>0</v>
      </c>
      <c r="Y71">
        <v>3.1</v>
      </c>
      <c r="Z71">
        <v>1.3</v>
      </c>
      <c r="AA71">
        <f t="shared" si="21"/>
        <v>5.6</v>
      </c>
      <c r="AB71">
        <v>0</v>
      </c>
      <c r="AC71">
        <v>0</v>
      </c>
      <c r="AD71">
        <v>0</v>
      </c>
      <c r="AE71">
        <v>7.5</v>
      </c>
      <c r="AF71">
        <v>0</v>
      </c>
      <c r="AG71">
        <v>0</v>
      </c>
      <c r="AH71">
        <v>11</v>
      </c>
      <c r="AI71">
        <v>0</v>
      </c>
      <c r="AJ71">
        <f t="shared" si="32"/>
        <v>18.5</v>
      </c>
      <c r="AK71">
        <v>10.199999999999999</v>
      </c>
      <c r="AL71">
        <v>0.245</v>
      </c>
      <c r="AM71">
        <f t="shared" si="33"/>
        <v>0.65200000000000002</v>
      </c>
      <c r="AN71">
        <v>1527</v>
      </c>
      <c r="AO71" t="s">
        <v>13</v>
      </c>
      <c r="AP71" s="3">
        <f t="shared" si="31"/>
        <v>4387.9310344827591</v>
      </c>
      <c r="AQ71" t="s">
        <v>13</v>
      </c>
      <c r="AR71">
        <f t="shared" si="26"/>
        <v>0.28374233128834353</v>
      </c>
      <c r="AS71">
        <f t="shared" si="28"/>
        <v>0.46699999999999997</v>
      </c>
      <c r="AT71">
        <f t="shared" si="29"/>
        <v>2049</v>
      </c>
      <c r="AU71">
        <f t="shared" si="30"/>
        <v>812</v>
      </c>
      <c r="AV71">
        <f t="shared" si="34"/>
        <v>1358</v>
      </c>
      <c r="AW71">
        <f t="shared" si="35"/>
        <v>1052</v>
      </c>
      <c r="AX71" s="3">
        <f t="shared" si="36"/>
        <v>1977.9310344827591</v>
      </c>
      <c r="AY71">
        <f t="shared" si="37"/>
        <v>1025</v>
      </c>
      <c r="AZ71">
        <f t="shared" si="38"/>
        <v>1167</v>
      </c>
      <c r="BA71" s="3">
        <f t="shared" si="39"/>
        <v>2195.9310344827591</v>
      </c>
    </row>
    <row r="72" spans="1:53" x14ac:dyDescent="0.2">
      <c r="A72">
        <v>2006</v>
      </c>
      <c r="B72" t="s">
        <v>51</v>
      </c>
      <c r="C72" t="s">
        <v>57</v>
      </c>
      <c r="D72">
        <v>1</v>
      </c>
      <c r="E72">
        <v>0</v>
      </c>
      <c r="F72">
        <v>0</v>
      </c>
      <c r="G72">
        <v>0.7</v>
      </c>
      <c r="H72">
        <v>0</v>
      </c>
      <c r="I72">
        <v>20.8</v>
      </c>
      <c r="J72">
        <v>4.5999999999999996</v>
      </c>
      <c r="K72">
        <f t="shared" si="27"/>
        <v>27.1</v>
      </c>
      <c r="L72">
        <v>0</v>
      </c>
      <c r="M72">
        <v>0</v>
      </c>
      <c r="N72">
        <v>0</v>
      </c>
      <c r="O72">
        <f t="shared" si="19"/>
        <v>0</v>
      </c>
      <c r="P72">
        <v>0</v>
      </c>
      <c r="Q72">
        <v>0</v>
      </c>
      <c r="R72">
        <v>21.9</v>
      </c>
      <c r="S72">
        <f t="shared" si="20"/>
        <v>21.9</v>
      </c>
      <c r="T72">
        <v>2.8</v>
      </c>
      <c r="U72">
        <v>0.7</v>
      </c>
      <c r="V72">
        <v>0</v>
      </c>
      <c r="W72">
        <v>0</v>
      </c>
      <c r="X72">
        <v>0</v>
      </c>
      <c r="Y72">
        <v>0.6</v>
      </c>
      <c r="Z72">
        <v>4.8</v>
      </c>
      <c r="AA72">
        <f t="shared" si="21"/>
        <v>8.8999999999999986</v>
      </c>
      <c r="AB72">
        <v>0</v>
      </c>
      <c r="AC72">
        <v>0</v>
      </c>
      <c r="AD72">
        <v>0</v>
      </c>
      <c r="AE72">
        <v>6.4</v>
      </c>
      <c r="AF72">
        <v>0</v>
      </c>
      <c r="AG72">
        <v>0</v>
      </c>
      <c r="AH72">
        <v>4.4000000000000004</v>
      </c>
      <c r="AI72">
        <v>0</v>
      </c>
      <c r="AJ72">
        <f t="shared" si="32"/>
        <v>10.8</v>
      </c>
      <c r="AK72">
        <v>4.4000000000000004</v>
      </c>
      <c r="AL72">
        <v>0.26899999999999996</v>
      </c>
      <c r="AM72">
        <f t="shared" si="33"/>
        <v>0.68699999999999983</v>
      </c>
      <c r="AN72">
        <v>1069</v>
      </c>
      <c r="AO72" t="s">
        <v>13</v>
      </c>
      <c r="AP72" s="3">
        <f t="shared" si="31"/>
        <v>3415.3354632587843</v>
      </c>
      <c r="AQ72" t="s">
        <v>13</v>
      </c>
      <c r="AR72">
        <f t="shared" si="26"/>
        <v>0.15720524017467255</v>
      </c>
      <c r="AS72">
        <f t="shared" si="28"/>
        <v>0.57899999999999996</v>
      </c>
      <c r="AT72">
        <f t="shared" si="29"/>
        <v>1977</v>
      </c>
      <c r="AU72">
        <f t="shared" si="30"/>
        <v>369</v>
      </c>
      <c r="AV72">
        <f t="shared" si="34"/>
        <v>1515</v>
      </c>
      <c r="AW72">
        <f t="shared" si="35"/>
        <v>488</v>
      </c>
      <c r="AX72" s="3">
        <f t="shared" si="36"/>
        <v>1412.3354632587843</v>
      </c>
      <c r="AY72">
        <f t="shared" si="37"/>
        <v>989</v>
      </c>
      <c r="AZ72">
        <f t="shared" si="38"/>
        <v>622</v>
      </c>
      <c r="BA72" s="3">
        <f t="shared" si="39"/>
        <v>1804.3354632587843</v>
      </c>
    </row>
    <row r="73" spans="1:53" x14ac:dyDescent="0.2">
      <c r="A73">
        <v>2007</v>
      </c>
      <c r="B73" t="s">
        <v>51</v>
      </c>
      <c r="C73" t="s">
        <v>57</v>
      </c>
      <c r="D73">
        <v>0</v>
      </c>
      <c r="E73">
        <v>0</v>
      </c>
      <c r="F73">
        <v>0.8</v>
      </c>
      <c r="G73">
        <v>0</v>
      </c>
      <c r="H73">
        <v>0</v>
      </c>
      <c r="I73">
        <v>8.4</v>
      </c>
      <c r="J73">
        <v>1.8</v>
      </c>
      <c r="K73">
        <f t="shared" si="27"/>
        <v>11.000000000000002</v>
      </c>
      <c r="L73">
        <v>0</v>
      </c>
      <c r="M73">
        <v>1.2</v>
      </c>
      <c r="N73">
        <v>0</v>
      </c>
      <c r="O73">
        <f t="shared" si="19"/>
        <v>1.2</v>
      </c>
      <c r="P73">
        <v>0</v>
      </c>
      <c r="Q73">
        <v>0</v>
      </c>
      <c r="R73">
        <v>22.7</v>
      </c>
      <c r="S73">
        <f t="shared" si="20"/>
        <v>22.7</v>
      </c>
      <c r="T73">
        <v>0.3</v>
      </c>
      <c r="U73">
        <v>0.6</v>
      </c>
      <c r="V73">
        <v>0</v>
      </c>
      <c r="W73">
        <v>0</v>
      </c>
      <c r="X73">
        <v>0</v>
      </c>
      <c r="Y73">
        <v>0.6</v>
      </c>
      <c r="Z73">
        <v>0</v>
      </c>
      <c r="AA73">
        <f t="shared" si="21"/>
        <v>1.5</v>
      </c>
      <c r="AB73">
        <v>0</v>
      </c>
      <c r="AC73">
        <v>0</v>
      </c>
      <c r="AD73">
        <v>0</v>
      </c>
      <c r="AE73">
        <v>5.7</v>
      </c>
      <c r="AF73">
        <v>0</v>
      </c>
      <c r="AG73">
        <v>0</v>
      </c>
      <c r="AH73">
        <v>7.1</v>
      </c>
      <c r="AI73">
        <v>0</v>
      </c>
      <c r="AJ73">
        <f t="shared" si="32"/>
        <v>12.8</v>
      </c>
      <c r="AK73">
        <v>1.9</v>
      </c>
      <c r="AL73">
        <v>0.48899999999999999</v>
      </c>
      <c r="AM73">
        <f t="shared" si="33"/>
        <v>0.49199999999999994</v>
      </c>
      <c r="AN73">
        <v>1860</v>
      </c>
      <c r="AO73" t="s">
        <v>13</v>
      </c>
      <c r="AP73" s="3">
        <f t="shared" si="31"/>
        <v>3661.4173228346458</v>
      </c>
      <c r="AQ73" t="s">
        <v>13</v>
      </c>
      <c r="AR73">
        <f t="shared" si="26"/>
        <v>0.26016260162601629</v>
      </c>
      <c r="AS73">
        <f t="shared" si="28"/>
        <v>0.36399999999999999</v>
      </c>
      <c r="AT73">
        <f t="shared" si="29"/>
        <v>1333</v>
      </c>
      <c r="AU73">
        <f t="shared" si="30"/>
        <v>469</v>
      </c>
      <c r="AV73">
        <f t="shared" si="34"/>
        <v>1131</v>
      </c>
      <c r="AW73">
        <f t="shared" si="35"/>
        <v>510</v>
      </c>
      <c r="AX73" s="3">
        <f t="shared" si="36"/>
        <v>2020.4173228346458</v>
      </c>
      <c r="AY73">
        <f t="shared" si="37"/>
        <v>666</v>
      </c>
      <c r="AZ73">
        <f t="shared" si="38"/>
        <v>603</v>
      </c>
      <c r="BA73" s="3">
        <f t="shared" si="39"/>
        <v>2392.4173228346458</v>
      </c>
    </row>
    <row r="74" spans="1:53" x14ac:dyDescent="0.2">
      <c r="A74">
        <v>2008</v>
      </c>
      <c r="B74" t="s">
        <v>51</v>
      </c>
      <c r="C74" t="s">
        <v>57</v>
      </c>
      <c r="D74">
        <v>0.1</v>
      </c>
      <c r="E74">
        <v>0</v>
      </c>
      <c r="F74">
        <v>0.3</v>
      </c>
      <c r="G74">
        <v>0</v>
      </c>
      <c r="H74">
        <v>0</v>
      </c>
      <c r="I74">
        <v>10.9</v>
      </c>
      <c r="J74">
        <v>4.2</v>
      </c>
      <c r="K74">
        <f t="shared" si="27"/>
        <v>15.5</v>
      </c>
      <c r="L74">
        <v>0</v>
      </c>
      <c r="M74">
        <v>0</v>
      </c>
      <c r="N74">
        <v>0</v>
      </c>
      <c r="O74">
        <f t="shared" si="19"/>
        <v>0</v>
      </c>
      <c r="P74">
        <v>0</v>
      </c>
      <c r="Q74">
        <v>0</v>
      </c>
      <c r="R74">
        <v>43.7</v>
      </c>
      <c r="S74">
        <f t="shared" si="20"/>
        <v>43.7</v>
      </c>
      <c r="T74">
        <v>1</v>
      </c>
      <c r="U74">
        <v>0</v>
      </c>
      <c r="V74">
        <v>0</v>
      </c>
      <c r="W74">
        <v>0</v>
      </c>
      <c r="X74">
        <v>0</v>
      </c>
      <c r="Y74">
        <v>0</v>
      </c>
      <c r="Z74">
        <v>0.5</v>
      </c>
      <c r="AA74">
        <f t="shared" si="21"/>
        <v>1.5</v>
      </c>
      <c r="AB74">
        <v>0</v>
      </c>
      <c r="AC74">
        <v>0</v>
      </c>
      <c r="AD74">
        <v>0</v>
      </c>
      <c r="AE74">
        <v>5.5</v>
      </c>
      <c r="AF74">
        <v>0</v>
      </c>
      <c r="AG74">
        <v>0</v>
      </c>
      <c r="AH74">
        <v>4.5999999999999996</v>
      </c>
      <c r="AI74">
        <v>0</v>
      </c>
      <c r="AJ74">
        <f t="shared" si="32"/>
        <v>10.1</v>
      </c>
      <c r="AK74">
        <v>3.9</v>
      </c>
      <c r="AL74">
        <v>0.252</v>
      </c>
      <c r="AM74">
        <f t="shared" si="33"/>
        <v>0.70800000000000007</v>
      </c>
      <c r="AN74">
        <v>1109</v>
      </c>
      <c r="AO74" t="s">
        <v>13</v>
      </c>
      <c r="AP74" s="3">
        <f t="shared" si="31"/>
        <v>3797.9452054794529</v>
      </c>
      <c r="AQ74" t="s">
        <v>13</v>
      </c>
      <c r="AR74">
        <f t="shared" si="26"/>
        <v>0.14265536723163838</v>
      </c>
      <c r="AS74">
        <f t="shared" si="28"/>
        <v>0.60699999999999998</v>
      </c>
      <c r="AT74">
        <f t="shared" si="29"/>
        <v>2305</v>
      </c>
      <c r="AU74">
        <f t="shared" si="30"/>
        <v>384</v>
      </c>
      <c r="AV74">
        <f t="shared" si="34"/>
        <v>2011</v>
      </c>
      <c r="AW74">
        <f t="shared" si="35"/>
        <v>460</v>
      </c>
      <c r="AX74" s="3">
        <f t="shared" si="36"/>
        <v>1326.9452054794529</v>
      </c>
      <c r="AY74">
        <f t="shared" si="37"/>
        <v>1153</v>
      </c>
      <c r="AZ74">
        <f t="shared" si="38"/>
        <v>680</v>
      </c>
      <c r="BA74" s="3">
        <f t="shared" si="39"/>
        <v>1964.9452054794529</v>
      </c>
    </row>
    <row r="75" spans="1:53" x14ac:dyDescent="0.2">
      <c r="A75">
        <v>2009</v>
      </c>
      <c r="B75" t="s">
        <v>51</v>
      </c>
      <c r="C75" t="s">
        <v>57</v>
      </c>
      <c r="D75">
        <v>0.1</v>
      </c>
      <c r="E75">
        <v>0</v>
      </c>
      <c r="F75">
        <v>0.6</v>
      </c>
      <c r="G75">
        <v>0</v>
      </c>
      <c r="H75">
        <v>0</v>
      </c>
      <c r="I75">
        <v>5.0999999999999996</v>
      </c>
      <c r="J75">
        <v>5.5</v>
      </c>
      <c r="K75">
        <f t="shared" si="27"/>
        <v>11.3</v>
      </c>
      <c r="L75">
        <v>0</v>
      </c>
      <c r="M75">
        <v>0</v>
      </c>
      <c r="N75">
        <v>0.1</v>
      </c>
      <c r="O75">
        <f t="shared" si="19"/>
        <v>0.1</v>
      </c>
      <c r="P75">
        <v>0</v>
      </c>
      <c r="Q75">
        <v>0</v>
      </c>
      <c r="R75">
        <v>50.2</v>
      </c>
      <c r="S75">
        <f t="shared" si="20"/>
        <v>50.2</v>
      </c>
      <c r="T75">
        <v>0.5</v>
      </c>
      <c r="U75">
        <v>0</v>
      </c>
      <c r="V75">
        <v>0</v>
      </c>
      <c r="W75">
        <v>0</v>
      </c>
      <c r="X75">
        <v>0</v>
      </c>
      <c r="Y75">
        <v>0</v>
      </c>
      <c r="Z75">
        <v>4</v>
      </c>
      <c r="AA75">
        <f t="shared" si="21"/>
        <v>4.5</v>
      </c>
      <c r="AB75">
        <v>0</v>
      </c>
      <c r="AC75">
        <v>0</v>
      </c>
      <c r="AD75">
        <v>0</v>
      </c>
      <c r="AE75">
        <v>4.8</v>
      </c>
      <c r="AF75">
        <v>0</v>
      </c>
      <c r="AG75">
        <v>0</v>
      </c>
      <c r="AH75">
        <v>3.6</v>
      </c>
      <c r="AI75">
        <v>0</v>
      </c>
      <c r="AJ75">
        <f t="shared" si="32"/>
        <v>8.4</v>
      </c>
      <c r="AK75">
        <v>9.9</v>
      </c>
      <c r="AL75">
        <v>0.155</v>
      </c>
      <c r="AM75">
        <f t="shared" si="33"/>
        <v>0.745</v>
      </c>
      <c r="AN75">
        <v>540</v>
      </c>
      <c r="AO75" t="s">
        <v>13</v>
      </c>
      <c r="AP75" s="3">
        <f t="shared" si="31"/>
        <v>2117.6470588235293</v>
      </c>
      <c r="AQ75" t="s">
        <v>13</v>
      </c>
      <c r="AR75">
        <f t="shared" si="26"/>
        <v>0.11275167785234901</v>
      </c>
      <c r="AS75">
        <f t="shared" si="28"/>
        <v>0.66099999999999992</v>
      </c>
      <c r="AT75">
        <f t="shared" si="29"/>
        <v>1400</v>
      </c>
      <c r="AU75">
        <f t="shared" si="30"/>
        <v>178</v>
      </c>
      <c r="AV75">
        <f t="shared" si="34"/>
        <v>1280</v>
      </c>
      <c r="AW75">
        <f t="shared" si="35"/>
        <v>208</v>
      </c>
      <c r="AX75" s="3">
        <f t="shared" si="36"/>
        <v>629.64705882352928</v>
      </c>
      <c r="AY75">
        <f t="shared" si="37"/>
        <v>700</v>
      </c>
      <c r="AZ75">
        <f t="shared" si="38"/>
        <v>352</v>
      </c>
      <c r="BA75" s="3">
        <f t="shared" si="39"/>
        <v>1065.6470588235293</v>
      </c>
    </row>
    <row r="76" spans="1:53" x14ac:dyDescent="0.2">
      <c r="A76">
        <v>2010</v>
      </c>
      <c r="B76" t="s">
        <v>51</v>
      </c>
      <c r="C76" t="s">
        <v>57</v>
      </c>
      <c r="D76">
        <v>0.3</v>
      </c>
      <c r="E76">
        <v>0.1</v>
      </c>
      <c r="F76">
        <v>0</v>
      </c>
      <c r="G76">
        <v>0</v>
      </c>
      <c r="H76">
        <v>0</v>
      </c>
      <c r="I76">
        <v>7.4</v>
      </c>
      <c r="J76">
        <v>2.6</v>
      </c>
      <c r="K76">
        <f t="shared" si="27"/>
        <v>10.4</v>
      </c>
      <c r="L76">
        <v>0</v>
      </c>
      <c r="M76">
        <v>0</v>
      </c>
      <c r="N76">
        <v>0.4</v>
      </c>
      <c r="O76">
        <f t="shared" si="19"/>
        <v>0.4</v>
      </c>
      <c r="P76">
        <v>0</v>
      </c>
      <c r="Q76">
        <v>0</v>
      </c>
      <c r="R76">
        <v>47.9</v>
      </c>
      <c r="S76">
        <f t="shared" si="20"/>
        <v>47.9</v>
      </c>
      <c r="T76">
        <v>1.1000000000000001</v>
      </c>
      <c r="U76">
        <v>0</v>
      </c>
      <c r="V76">
        <v>0</v>
      </c>
      <c r="W76">
        <v>0</v>
      </c>
      <c r="X76">
        <v>0.1</v>
      </c>
      <c r="Y76">
        <v>0.5</v>
      </c>
      <c r="Z76">
        <v>2.8</v>
      </c>
      <c r="AA76">
        <f t="shared" si="21"/>
        <v>4.5</v>
      </c>
      <c r="AB76">
        <v>0</v>
      </c>
      <c r="AC76">
        <v>0</v>
      </c>
      <c r="AD76">
        <v>0</v>
      </c>
      <c r="AE76">
        <v>1.2</v>
      </c>
      <c r="AF76">
        <v>0</v>
      </c>
      <c r="AG76">
        <v>0</v>
      </c>
      <c r="AH76">
        <v>4.5999999999999996</v>
      </c>
      <c r="AI76">
        <v>0</v>
      </c>
      <c r="AJ76">
        <f t="shared" si="32"/>
        <v>5.8</v>
      </c>
      <c r="AK76">
        <v>2.1</v>
      </c>
      <c r="AL76">
        <v>0.28999999999999998</v>
      </c>
      <c r="AM76">
        <f t="shared" si="33"/>
        <v>0.69</v>
      </c>
      <c r="AN76">
        <v>2419</v>
      </c>
      <c r="AO76" t="s">
        <v>13</v>
      </c>
      <c r="AP76" s="3">
        <f t="shared" si="31"/>
        <v>7803.2258064516118</v>
      </c>
      <c r="AQ76" t="s">
        <v>13</v>
      </c>
      <c r="AR76">
        <f t="shared" si="26"/>
        <v>8.4057971014492749E-2</v>
      </c>
      <c r="AS76">
        <f t="shared" si="28"/>
        <v>0.63200000000000001</v>
      </c>
      <c r="AT76">
        <f t="shared" si="29"/>
        <v>4932</v>
      </c>
      <c r="AU76">
        <f t="shared" si="30"/>
        <v>453</v>
      </c>
      <c r="AV76">
        <f t="shared" si="34"/>
        <v>4526</v>
      </c>
      <c r="AW76">
        <f t="shared" si="35"/>
        <v>517</v>
      </c>
      <c r="AX76" s="3">
        <f t="shared" si="36"/>
        <v>2760.2258064516118</v>
      </c>
      <c r="AY76">
        <f t="shared" si="37"/>
        <v>2466</v>
      </c>
      <c r="AZ76">
        <f t="shared" si="38"/>
        <v>842</v>
      </c>
      <c r="BA76" s="3">
        <f t="shared" si="39"/>
        <v>4495.2258064516118</v>
      </c>
    </row>
    <row r="77" spans="1:53" x14ac:dyDescent="0.2">
      <c r="A77">
        <v>2011</v>
      </c>
      <c r="B77" t="s">
        <v>51</v>
      </c>
      <c r="C77" t="s">
        <v>57</v>
      </c>
      <c r="D77">
        <v>0.7</v>
      </c>
      <c r="E77">
        <v>0.2</v>
      </c>
      <c r="F77">
        <v>0</v>
      </c>
      <c r="G77">
        <v>0.2</v>
      </c>
      <c r="H77">
        <v>0.2</v>
      </c>
      <c r="I77">
        <v>5.3</v>
      </c>
      <c r="J77">
        <v>3.9</v>
      </c>
      <c r="K77">
        <f t="shared" si="27"/>
        <v>10.5</v>
      </c>
      <c r="L77">
        <v>0</v>
      </c>
      <c r="M77">
        <v>0</v>
      </c>
      <c r="N77">
        <v>1.5</v>
      </c>
      <c r="O77">
        <f t="shared" si="19"/>
        <v>1.5</v>
      </c>
      <c r="P77">
        <v>0</v>
      </c>
      <c r="Q77">
        <v>0</v>
      </c>
      <c r="R77">
        <v>25.4</v>
      </c>
      <c r="S77">
        <f t="shared" si="20"/>
        <v>25.4</v>
      </c>
      <c r="T77">
        <v>1.3</v>
      </c>
      <c r="U77">
        <v>0.2</v>
      </c>
      <c r="V77">
        <v>0</v>
      </c>
      <c r="W77">
        <v>0</v>
      </c>
      <c r="X77">
        <v>0</v>
      </c>
      <c r="Y77">
        <v>0.7</v>
      </c>
      <c r="Z77">
        <v>5.0999999999999996</v>
      </c>
      <c r="AA77">
        <f t="shared" si="21"/>
        <v>7.3</v>
      </c>
      <c r="AB77">
        <v>0</v>
      </c>
      <c r="AC77">
        <v>0</v>
      </c>
      <c r="AD77">
        <v>0</v>
      </c>
      <c r="AE77">
        <v>1.7</v>
      </c>
      <c r="AF77">
        <v>0</v>
      </c>
      <c r="AG77">
        <v>0</v>
      </c>
      <c r="AH77">
        <v>4.0999999999999996</v>
      </c>
      <c r="AI77">
        <v>0</v>
      </c>
      <c r="AJ77">
        <f t="shared" si="32"/>
        <v>5.8</v>
      </c>
      <c r="AK77">
        <v>1.7</v>
      </c>
      <c r="AL77">
        <v>0.47700000000000004</v>
      </c>
      <c r="AM77">
        <f t="shared" si="33"/>
        <v>0.50500000000000012</v>
      </c>
      <c r="AN77">
        <v>2786</v>
      </c>
      <c r="AO77" t="s">
        <v>13</v>
      </c>
      <c r="AP77" s="3">
        <f t="shared" si="31"/>
        <v>5628.2828282828295</v>
      </c>
      <c r="AQ77" t="s">
        <v>13</v>
      </c>
      <c r="AR77">
        <f t="shared" si="26"/>
        <v>0.11485148514851481</v>
      </c>
      <c r="AS77">
        <f t="shared" si="28"/>
        <v>0.44699999999999995</v>
      </c>
      <c r="AT77">
        <f t="shared" si="29"/>
        <v>2516</v>
      </c>
      <c r="AU77">
        <f t="shared" si="30"/>
        <v>326</v>
      </c>
      <c r="AV77">
        <f t="shared" si="34"/>
        <v>2220</v>
      </c>
      <c r="AW77">
        <f t="shared" si="35"/>
        <v>357</v>
      </c>
      <c r="AX77" s="3">
        <f t="shared" si="36"/>
        <v>3051.2828282828295</v>
      </c>
      <c r="AY77">
        <f t="shared" si="37"/>
        <v>1258</v>
      </c>
      <c r="AZ77">
        <f t="shared" si="38"/>
        <v>458</v>
      </c>
      <c r="BA77" s="3">
        <f t="shared" si="39"/>
        <v>3912.2828282828295</v>
      </c>
    </row>
    <row r="78" spans="1:53" x14ac:dyDescent="0.2">
      <c r="A78">
        <v>2012</v>
      </c>
      <c r="B78" t="s">
        <v>51</v>
      </c>
      <c r="C78" t="s">
        <v>57</v>
      </c>
      <c r="D78">
        <v>0.6</v>
      </c>
      <c r="E78">
        <v>0.1</v>
      </c>
      <c r="F78">
        <v>0.2</v>
      </c>
      <c r="G78">
        <v>0.5</v>
      </c>
      <c r="H78">
        <v>0</v>
      </c>
      <c r="I78">
        <v>3.5</v>
      </c>
      <c r="J78">
        <v>3.2</v>
      </c>
      <c r="K78">
        <f t="shared" si="27"/>
        <v>8.1000000000000014</v>
      </c>
      <c r="L78">
        <v>0</v>
      </c>
      <c r="M78">
        <v>0</v>
      </c>
      <c r="N78">
        <v>0.7</v>
      </c>
      <c r="O78">
        <f t="shared" si="19"/>
        <v>0.7</v>
      </c>
      <c r="P78">
        <v>0</v>
      </c>
      <c r="Q78">
        <v>0.1</v>
      </c>
      <c r="R78">
        <v>29.8</v>
      </c>
      <c r="S78">
        <f t="shared" si="20"/>
        <v>29.900000000000002</v>
      </c>
      <c r="T78">
        <v>2.5</v>
      </c>
      <c r="U78">
        <v>0.3</v>
      </c>
      <c r="V78">
        <v>0</v>
      </c>
      <c r="W78">
        <v>0</v>
      </c>
      <c r="X78">
        <v>0</v>
      </c>
      <c r="Y78">
        <v>0</v>
      </c>
      <c r="Z78">
        <v>7.1</v>
      </c>
      <c r="AA78">
        <f t="shared" si="21"/>
        <v>9.8999999999999986</v>
      </c>
      <c r="AB78">
        <v>0</v>
      </c>
      <c r="AC78">
        <v>0</v>
      </c>
      <c r="AD78">
        <v>0</v>
      </c>
      <c r="AE78">
        <v>11.3</v>
      </c>
      <c r="AF78">
        <v>0.1</v>
      </c>
      <c r="AG78">
        <v>0</v>
      </c>
      <c r="AH78">
        <v>3.4</v>
      </c>
      <c r="AI78">
        <v>0</v>
      </c>
      <c r="AJ78">
        <f t="shared" si="32"/>
        <v>14.8</v>
      </c>
      <c r="AK78">
        <v>1.6</v>
      </c>
      <c r="AL78">
        <v>0.34899999999999998</v>
      </c>
      <c r="AM78">
        <f t="shared" si="33"/>
        <v>0.63400000000000023</v>
      </c>
      <c r="AN78">
        <v>2668</v>
      </c>
      <c r="AO78" t="s">
        <v>13</v>
      </c>
      <c r="AP78" s="3">
        <f t="shared" si="31"/>
        <v>7289.6174863388023</v>
      </c>
      <c r="AQ78" t="s">
        <v>13</v>
      </c>
      <c r="AR78">
        <f t="shared" si="26"/>
        <v>0.23343848580441634</v>
      </c>
      <c r="AS78">
        <f t="shared" si="28"/>
        <v>0.48599999999999999</v>
      </c>
      <c r="AT78">
        <f t="shared" si="29"/>
        <v>3543</v>
      </c>
      <c r="AU78">
        <f t="shared" si="30"/>
        <v>1079</v>
      </c>
      <c r="AV78">
        <f t="shared" si="34"/>
        <v>3248</v>
      </c>
      <c r="AW78">
        <f t="shared" si="35"/>
        <v>1164</v>
      </c>
      <c r="AX78" s="3">
        <f t="shared" si="36"/>
        <v>2877.6174863388023</v>
      </c>
      <c r="AY78">
        <f t="shared" si="37"/>
        <v>1771</v>
      </c>
      <c r="AZ78">
        <f t="shared" si="38"/>
        <v>1589</v>
      </c>
      <c r="BA78" s="3">
        <f t="shared" si="39"/>
        <v>3929.6174863388023</v>
      </c>
    </row>
    <row r="79" spans="1:53" x14ac:dyDescent="0.2">
      <c r="A79">
        <v>2013</v>
      </c>
      <c r="B79" t="s">
        <v>51</v>
      </c>
      <c r="C79" t="s">
        <v>57</v>
      </c>
      <c r="D79">
        <v>0.3</v>
      </c>
      <c r="E79">
        <v>0.1</v>
      </c>
      <c r="F79">
        <v>0</v>
      </c>
      <c r="G79">
        <v>0</v>
      </c>
      <c r="H79">
        <v>0.2</v>
      </c>
      <c r="I79">
        <v>2.4</v>
      </c>
      <c r="J79">
        <v>3.6</v>
      </c>
      <c r="K79">
        <f t="shared" si="27"/>
        <v>6.6</v>
      </c>
      <c r="L79">
        <v>0</v>
      </c>
      <c r="M79">
        <v>0</v>
      </c>
      <c r="N79">
        <v>0.3</v>
      </c>
      <c r="O79">
        <f t="shared" si="19"/>
        <v>0.3</v>
      </c>
      <c r="P79">
        <v>0</v>
      </c>
      <c r="Q79">
        <v>0.1</v>
      </c>
      <c r="R79">
        <v>37.299999999999997</v>
      </c>
      <c r="S79">
        <f t="shared" si="20"/>
        <v>37.4</v>
      </c>
      <c r="T79">
        <v>2</v>
      </c>
      <c r="U79">
        <v>0.3</v>
      </c>
      <c r="V79">
        <v>0</v>
      </c>
      <c r="W79">
        <v>0</v>
      </c>
      <c r="X79">
        <v>0</v>
      </c>
      <c r="Y79">
        <v>0.9</v>
      </c>
      <c r="Z79">
        <v>4.9000000000000004</v>
      </c>
      <c r="AA79">
        <f t="shared" si="21"/>
        <v>8.1</v>
      </c>
      <c r="AB79">
        <v>0</v>
      </c>
      <c r="AC79">
        <v>0</v>
      </c>
      <c r="AD79">
        <v>0</v>
      </c>
      <c r="AE79">
        <v>1.9</v>
      </c>
      <c r="AF79">
        <v>0</v>
      </c>
      <c r="AG79">
        <v>0</v>
      </c>
      <c r="AH79">
        <v>4.8</v>
      </c>
      <c r="AI79">
        <v>0</v>
      </c>
      <c r="AJ79">
        <f t="shared" si="32"/>
        <v>6.6999999999999993</v>
      </c>
      <c r="AK79">
        <v>4.0999999999999996</v>
      </c>
      <c r="AL79">
        <v>0.36799999999999999</v>
      </c>
      <c r="AM79">
        <f t="shared" si="33"/>
        <v>0.59099999999999997</v>
      </c>
      <c r="AN79">
        <v>4362</v>
      </c>
      <c r="AO79" t="s">
        <v>13</v>
      </c>
      <c r="AP79" s="3">
        <f t="shared" si="31"/>
        <v>10665.036674816625</v>
      </c>
      <c r="AQ79" t="s">
        <v>13</v>
      </c>
      <c r="AR79">
        <f t="shared" si="26"/>
        <v>0.11336717428087985</v>
      </c>
      <c r="AS79">
        <f t="shared" si="28"/>
        <v>0.52400000000000002</v>
      </c>
      <c r="AT79">
        <f t="shared" si="29"/>
        <v>5588</v>
      </c>
      <c r="AU79">
        <f t="shared" si="30"/>
        <v>715</v>
      </c>
      <c r="AV79">
        <f t="shared" si="34"/>
        <v>5237</v>
      </c>
      <c r="AW79">
        <f t="shared" si="35"/>
        <v>764</v>
      </c>
      <c r="AX79" s="3">
        <f t="shared" si="36"/>
        <v>4664.0366748166252</v>
      </c>
      <c r="AY79">
        <f t="shared" si="37"/>
        <v>2794</v>
      </c>
      <c r="AZ79">
        <f t="shared" si="38"/>
        <v>1108</v>
      </c>
      <c r="BA79" s="3">
        <f t="shared" si="39"/>
        <v>6763.0366748166252</v>
      </c>
    </row>
    <row r="80" spans="1:53" x14ac:dyDescent="0.2">
      <c r="A80">
        <v>2014</v>
      </c>
      <c r="B80" t="s">
        <v>51</v>
      </c>
      <c r="C80" t="s">
        <v>57</v>
      </c>
      <c r="D80">
        <v>1.2</v>
      </c>
      <c r="E80">
        <v>0</v>
      </c>
      <c r="F80">
        <v>0.4</v>
      </c>
      <c r="G80">
        <v>0.7</v>
      </c>
      <c r="H80">
        <v>0</v>
      </c>
      <c r="I80">
        <v>5.8</v>
      </c>
      <c r="J80">
        <v>5.6</v>
      </c>
      <c r="K80">
        <f t="shared" si="27"/>
        <v>13.7</v>
      </c>
      <c r="L80">
        <v>0</v>
      </c>
      <c r="M80">
        <v>0</v>
      </c>
      <c r="N80">
        <v>0.6</v>
      </c>
      <c r="O80">
        <f t="shared" si="19"/>
        <v>0.6</v>
      </c>
      <c r="P80">
        <v>0</v>
      </c>
      <c r="Q80">
        <v>0</v>
      </c>
      <c r="R80">
        <v>46</v>
      </c>
      <c r="S80">
        <f t="shared" si="20"/>
        <v>46</v>
      </c>
      <c r="T80">
        <v>1.4</v>
      </c>
      <c r="U80">
        <v>0.1</v>
      </c>
      <c r="V80">
        <v>0</v>
      </c>
      <c r="W80">
        <v>0</v>
      </c>
      <c r="X80">
        <v>0</v>
      </c>
      <c r="Y80">
        <v>0.2</v>
      </c>
      <c r="Z80">
        <v>3.7</v>
      </c>
      <c r="AA80">
        <f t="shared" si="21"/>
        <v>5.4</v>
      </c>
      <c r="AB80">
        <v>0</v>
      </c>
      <c r="AC80">
        <v>0</v>
      </c>
      <c r="AD80">
        <v>0</v>
      </c>
      <c r="AE80">
        <v>4.3</v>
      </c>
      <c r="AF80">
        <v>0</v>
      </c>
      <c r="AG80">
        <v>0</v>
      </c>
      <c r="AH80">
        <v>1.1000000000000001</v>
      </c>
      <c r="AI80">
        <v>0</v>
      </c>
      <c r="AJ80">
        <f t="shared" si="32"/>
        <v>5.4</v>
      </c>
      <c r="AK80">
        <v>1.4</v>
      </c>
      <c r="AL80">
        <v>0.27500000000000002</v>
      </c>
      <c r="AM80">
        <f t="shared" si="33"/>
        <v>0.71099999999999997</v>
      </c>
      <c r="AN80">
        <v>4185</v>
      </c>
      <c r="AO80" t="s">
        <v>13</v>
      </c>
      <c r="AP80" s="3">
        <f t="shared" si="31"/>
        <v>14480.968858131486</v>
      </c>
      <c r="AQ80" t="s">
        <v>13</v>
      </c>
      <c r="AR80">
        <f t="shared" si="26"/>
        <v>7.5949367088607611E-2</v>
      </c>
      <c r="AS80">
        <f t="shared" si="28"/>
        <v>0.65700000000000003</v>
      </c>
      <c r="AT80">
        <f t="shared" si="29"/>
        <v>9514</v>
      </c>
      <c r="AU80">
        <f t="shared" si="30"/>
        <v>782</v>
      </c>
      <c r="AV80">
        <f t="shared" si="34"/>
        <v>8522</v>
      </c>
      <c r="AW80">
        <f t="shared" si="35"/>
        <v>938</v>
      </c>
      <c r="AX80" s="3">
        <f t="shared" si="36"/>
        <v>5020.9688581314858</v>
      </c>
      <c r="AY80">
        <f t="shared" si="37"/>
        <v>4757</v>
      </c>
      <c r="AZ80">
        <f t="shared" si="38"/>
        <v>1531</v>
      </c>
      <c r="BA80" s="3">
        <f t="shared" si="39"/>
        <v>8192.9688581314858</v>
      </c>
    </row>
    <row r="81" spans="1:53" x14ac:dyDescent="0.2">
      <c r="A81">
        <v>2015</v>
      </c>
      <c r="B81" t="s">
        <v>51</v>
      </c>
      <c r="C81" t="s">
        <v>57</v>
      </c>
      <c r="D81">
        <v>0.8</v>
      </c>
      <c r="E81">
        <v>0.5</v>
      </c>
      <c r="F81">
        <v>0</v>
      </c>
      <c r="G81">
        <v>0.3</v>
      </c>
      <c r="H81">
        <v>0</v>
      </c>
      <c r="I81">
        <v>0.5</v>
      </c>
      <c r="J81">
        <v>2.5</v>
      </c>
      <c r="K81">
        <f t="shared" si="27"/>
        <v>4.5999999999999996</v>
      </c>
      <c r="L81">
        <v>0</v>
      </c>
      <c r="M81">
        <v>0</v>
      </c>
      <c r="N81">
        <v>2.2000000000000002</v>
      </c>
      <c r="O81">
        <f t="shared" si="19"/>
        <v>2.2000000000000002</v>
      </c>
      <c r="P81">
        <v>0</v>
      </c>
      <c r="Q81">
        <v>0</v>
      </c>
      <c r="R81">
        <v>37</v>
      </c>
      <c r="S81">
        <f t="shared" si="20"/>
        <v>37</v>
      </c>
      <c r="T81">
        <v>1.3</v>
      </c>
      <c r="U81">
        <v>0</v>
      </c>
      <c r="V81">
        <v>0</v>
      </c>
      <c r="W81">
        <v>0</v>
      </c>
      <c r="X81">
        <v>0</v>
      </c>
      <c r="Y81">
        <v>0.2</v>
      </c>
      <c r="Z81">
        <v>1.8</v>
      </c>
      <c r="AA81">
        <f t="shared" si="21"/>
        <v>3.3</v>
      </c>
      <c r="AB81">
        <v>0</v>
      </c>
      <c r="AC81">
        <v>0</v>
      </c>
      <c r="AD81">
        <v>0</v>
      </c>
      <c r="AE81">
        <v>3.5</v>
      </c>
      <c r="AF81">
        <v>0</v>
      </c>
      <c r="AG81">
        <v>0</v>
      </c>
      <c r="AH81">
        <v>1.3</v>
      </c>
      <c r="AI81">
        <v>0</v>
      </c>
      <c r="AJ81">
        <f t="shared" si="32"/>
        <v>4.8</v>
      </c>
      <c r="AK81">
        <v>7.6</v>
      </c>
      <c r="AL81">
        <v>0.40600000000000003</v>
      </c>
      <c r="AM81">
        <f t="shared" si="33"/>
        <v>0.51900000000000002</v>
      </c>
      <c r="AN81">
        <v>5984</v>
      </c>
      <c r="AO81" t="s">
        <v>13</v>
      </c>
      <c r="AP81" s="3">
        <f t="shared" si="31"/>
        <v>12440.748440748441</v>
      </c>
      <c r="AQ81" t="s">
        <v>13</v>
      </c>
      <c r="AR81">
        <f t="shared" si="26"/>
        <v>9.2485549132947972E-2</v>
      </c>
      <c r="AS81">
        <f t="shared" si="28"/>
        <v>0.47099999999999992</v>
      </c>
      <c r="AT81">
        <f t="shared" si="29"/>
        <v>5860</v>
      </c>
      <c r="AU81">
        <f t="shared" si="30"/>
        <v>597</v>
      </c>
      <c r="AV81">
        <f t="shared" si="34"/>
        <v>5573</v>
      </c>
      <c r="AW81">
        <f t="shared" si="35"/>
        <v>623</v>
      </c>
      <c r="AX81" s="3">
        <f t="shared" si="36"/>
        <v>6244.7484407484408</v>
      </c>
      <c r="AY81">
        <f t="shared" si="37"/>
        <v>2930</v>
      </c>
      <c r="AZ81">
        <f t="shared" si="38"/>
        <v>863</v>
      </c>
      <c r="BA81" s="3">
        <f t="shared" si="39"/>
        <v>8647.7484407484408</v>
      </c>
    </row>
    <row r="82" spans="1:53" x14ac:dyDescent="0.2">
      <c r="A82">
        <v>2016</v>
      </c>
      <c r="B82" t="s">
        <v>51</v>
      </c>
      <c r="C82" t="s">
        <v>57</v>
      </c>
      <c r="D82">
        <v>0.3</v>
      </c>
      <c r="E82">
        <v>0</v>
      </c>
      <c r="F82">
        <v>0.1</v>
      </c>
      <c r="G82">
        <v>0.1</v>
      </c>
      <c r="H82">
        <v>0</v>
      </c>
      <c r="I82">
        <v>0.9</v>
      </c>
      <c r="J82">
        <v>1.3</v>
      </c>
      <c r="K82">
        <f t="shared" si="27"/>
        <v>2.7</v>
      </c>
      <c r="L82">
        <v>0</v>
      </c>
      <c r="M82">
        <v>0</v>
      </c>
      <c r="N82">
        <v>0.8</v>
      </c>
      <c r="O82">
        <f t="shared" si="19"/>
        <v>0.8</v>
      </c>
      <c r="P82">
        <v>0</v>
      </c>
      <c r="Q82">
        <v>0</v>
      </c>
      <c r="R82">
        <v>40.200000000000003</v>
      </c>
      <c r="S82">
        <f t="shared" si="20"/>
        <v>40.200000000000003</v>
      </c>
      <c r="T82">
        <v>0.6</v>
      </c>
      <c r="U82">
        <v>0.2</v>
      </c>
      <c r="V82">
        <v>0</v>
      </c>
      <c r="W82">
        <v>0</v>
      </c>
      <c r="X82">
        <v>0</v>
      </c>
      <c r="Y82">
        <v>0</v>
      </c>
      <c r="Z82">
        <v>1.3</v>
      </c>
      <c r="AA82">
        <f t="shared" si="21"/>
        <v>2.1</v>
      </c>
      <c r="AB82">
        <v>0</v>
      </c>
      <c r="AC82">
        <v>0</v>
      </c>
      <c r="AD82">
        <v>0</v>
      </c>
      <c r="AE82">
        <v>2.4</v>
      </c>
      <c r="AF82">
        <v>0</v>
      </c>
      <c r="AG82">
        <v>0</v>
      </c>
      <c r="AH82">
        <v>3.3</v>
      </c>
      <c r="AI82">
        <v>0</v>
      </c>
      <c r="AJ82">
        <f t="shared" si="32"/>
        <v>5.6999999999999993</v>
      </c>
      <c r="AK82">
        <v>1.4</v>
      </c>
      <c r="AL82">
        <v>0.46899999999999997</v>
      </c>
      <c r="AM82">
        <f t="shared" si="33"/>
        <v>0.5149999999999999</v>
      </c>
      <c r="AN82">
        <v>7787</v>
      </c>
      <c r="AO82" t="s">
        <v>13</v>
      </c>
      <c r="AP82" s="3">
        <f t="shared" si="31"/>
        <v>16055.67010309278</v>
      </c>
      <c r="AQ82" t="s">
        <v>13</v>
      </c>
      <c r="AR82">
        <f t="shared" si="26"/>
        <v>0.11067961165048545</v>
      </c>
      <c r="AS82">
        <f t="shared" si="28"/>
        <v>0.45800000000000002</v>
      </c>
      <c r="AT82">
        <f t="shared" si="29"/>
        <v>7353</v>
      </c>
      <c r="AU82">
        <f t="shared" si="30"/>
        <v>915</v>
      </c>
      <c r="AV82">
        <f t="shared" si="34"/>
        <v>7137</v>
      </c>
      <c r="AW82">
        <f t="shared" si="35"/>
        <v>938</v>
      </c>
      <c r="AX82" s="3">
        <f t="shared" si="36"/>
        <v>7980.6701030927798</v>
      </c>
      <c r="AY82">
        <f t="shared" si="37"/>
        <v>3677</v>
      </c>
      <c r="AZ82">
        <f t="shared" si="38"/>
        <v>1301</v>
      </c>
      <c r="BA82" s="3">
        <f t="shared" si="39"/>
        <v>11077.67010309278</v>
      </c>
    </row>
    <row r="83" spans="1:53" x14ac:dyDescent="0.2">
      <c r="A83">
        <v>2017</v>
      </c>
      <c r="B83" t="s">
        <v>51</v>
      </c>
      <c r="C83" t="s">
        <v>57</v>
      </c>
      <c r="D83">
        <v>0.2</v>
      </c>
      <c r="E83">
        <v>0.1</v>
      </c>
      <c r="F83">
        <v>0.8</v>
      </c>
      <c r="G83">
        <v>0.3</v>
      </c>
      <c r="H83">
        <v>0</v>
      </c>
      <c r="I83">
        <v>4.2</v>
      </c>
      <c r="J83">
        <v>4.2</v>
      </c>
      <c r="K83">
        <f t="shared" si="27"/>
        <v>9.8000000000000007</v>
      </c>
      <c r="L83">
        <v>0</v>
      </c>
      <c r="M83">
        <v>0</v>
      </c>
      <c r="N83">
        <v>0.9</v>
      </c>
      <c r="O83">
        <f t="shared" si="19"/>
        <v>0.9</v>
      </c>
      <c r="P83">
        <v>0</v>
      </c>
      <c r="Q83">
        <v>0</v>
      </c>
      <c r="R83">
        <v>28.7</v>
      </c>
      <c r="S83">
        <f t="shared" si="20"/>
        <v>28.7</v>
      </c>
      <c r="T83">
        <v>1</v>
      </c>
      <c r="U83">
        <v>0.1</v>
      </c>
      <c r="V83">
        <v>0</v>
      </c>
      <c r="W83">
        <v>0</v>
      </c>
      <c r="X83">
        <v>0</v>
      </c>
      <c r="Y83">
        <v>0.3</v>
      </c>
      <c r="Z83">
        <v>3.3</v>
      </c>
      <c r="AA83">
        <f t="shared" si="21"/>
        <v>4.7</v>
      </c>
      <c r="AB83">
        <v>0</v>
      </c>
      <c r="AC83">
        <v>0</v>
      </c>
      <c r="AD83">
        <v>0</v>
      </c>
      <c r="AE83">
        <v>3.5</v>
      </c>
      <c r="AF83">
        <v>0</v>
      </c>
      <c r="AG83">
        <v>0</v>
      </c>
      <c r="AH83">
        <v>3.6</v>
      </c>
      <c r="AI83">
        <v>0</v>
      </c>
      <c r="AJ83">
        <f t="shared" si="32"/>
        <v>7.1</v>
      </c>
      <c r="AK83">
        <v>1.2</v>
      </c>
      <c r="AL83">
        <v>0.47799999999999998</v>
      </c>
      <c r="AM83">
        <f t="shared" si="33"/>
        <v>0.51200000000000001</v>
      </c>
      <c r="AN83">
        <v>10590</v>
      </c>
      <c r="AO83" t="s">
        <v>13</v>
      </c>
      <c r="AP83" s="3">
        <f t="shared" si="31"/>
        <v>21700.819672131147</v>
      </c>
      <c r="AQ83" t="s">
        <v>13</v>
      </c>
      <c r="AR83">
        <f t="shared" si="26"/>
        <v>0.13867187499999997</v>
      </c>
      <c r="AS83">
        <f t="shared" si="28"/>
        <v>0.441</v>
      </c>
      <c r="AT83">
        <f t="shared" si="29"/>
        <v>9570</v>
      </c>
      <c r="AU83">
        <f t="shared" si="30"/>
        <v>1541</v>
      </c>
      <c r="AV83">
        <f t="shared" si="34"/>
        <v>8507</v>
      </c>
      <c r="AW83">
        <f t="shared" si="35"/>
        <v>1676</v>
      </c>
      <c r="AX83" s="3">
        <f t="shared" si="36"/>
        <v>11517.819672131147</v>
      </c>
      <c r="AY83">
        <f t="shared" si="37"/>
        <v>4785</v>
      </c>
      <c r="AZ83">
        <f t="shared" si="38"/>
        <v>2149</v>
      </c>
      <c r="BA83" s="3">
        <f t="shared" si="39"/>
        <v>14766.819672131147</v>
      </c>
    </row>
    <row r="84" spans="1:53" x14ac:dyDescent="0.2">
      <c r="A84">
        <v>2018</v>
      </c>
      <c r="B84" t="s">
        <v>51</v>
      </c>
      <c r="C84" t="s">
        <v>57</v>
      </c>
      <c r="D84">
        <v>0.7</v>
      </c>
      <c r="E84">
        <v>0.1</v>
      </c>
      <c r="F84">
        <v>0</v>
      </c>
      <c r="G84">
        <v>0.2</v>
      </c>
      <c r="H84">
        <v>0</v>
      </c>
      <c r="I84">
        <v>1</v>
      </c>
      <c r="J84">
        <v>3.3</v>
      </c>
      <c r="K84">
        <f t="shared" si="27"/>
        <v>5.3</v>
      </c>
      <c r="L84">
        <v>0</v>
      </c>
      <c r="M84">
        <v>0.3</v>
      </c>
      <c r="N84">
        <v>0.5</v>
      </c>
      <c r="O84">
        <f t="shared" si="19"/>
        <v>0.8</v>
      </c>
      <c r="P84">
        <v>0</v>
      </c>
      <c r="Q84">
        <v>0</v>
      </c>
      <c r="R84">
        <v>49.5</v>
      </c>
      <c r="S84">
        <f t="shared" si="20"/>
        <v>49.5</v>
      </c>
      <c r="T84">
        <v>0.6</v>
      </c>
      <c r="U84">
        <v>0</v>
      </c>
      <c r="V84">
        <v>0</v>
      </c>
      <c r="W84">
        <v>0</v>
      </c>
      <c r="X84">
        <v>0</v>
      </c>
      <c r="Y84">
        <v>0.2</v>
      </c>
      <c r="Z84">
        <v>1.7</v>
      </c>
      <c r="AA84">
        <f t="shared" si="21"/>
        <v>2.5</v>
      </c>
      <c r="AB84">
        <v>0</v>
      </c>
      <c r="AC84">
        <v>0</v>
      </c>
      <c r="AD84">
        <v>0</v>
      </c>
      <c r="AE84">
        <v>15</v>
      </c>
      <c r="AF84">
        <v>0</v>
      </c>
      <c r="AG84">
        <v>0</v>
      </c>
      <c r="AH84">
        <v>1.2</v>
      </c>
      <c r="AI84">
        <v>0</v>
      </c>
      <c r="AJ84">
        <f t="shared" si="32"/>
        <v>16.2</v>
      </c>
      <c r="AK84">
        <v>0.8</v>
      </c>
      <c r="AL84">
        <v>0.249</v>
      </c>
      <c r="AM84">
        <f t="shared" si="33"/>
        <v>0.74299999999999999</v>
      </c>
      <c r="AN84">
        <v>14353</v>
      </c>
      <c r="AO84" t="s">
        <v>13</v>
      </c>
      <c r="AP84" s="3">
        <f t="shared" si="31"/>
        <v>55848.249027237354</v>
      </c>
      <c r="AQ84" t="s">
        <v>13</v>
      </c>
      <c r="AR84">
        <f t="shared" si="26"/>
        <v>0.21803499327052492</v>
      </c>
      <c r="AS84">
        <f t="shared" si="28"/>
        <v>0.58099999999999996</v>
      </c>
      <c r="AT84">
        <f t="shared" si="29"/>
        <v>32448</v>
      </c>
      <c r="AU84">
        <f t="shared" si="30"/>
        <v>9047</v>
      </c>
      <c r="AV84">
        <f t="shared" si="34"/>
        <v>30968</v>
      </c>
      <c r="AW84">
        <f t="shared" si="35"/>
        <v>9619</v>
      </c>
      <c r="AX84" s="3">
        <f t="shared" si="36"/>
        <v>15261.249027237354</v>
      </c>
      <c r="AY84">
        <f t="shared" si="37"/>
        <v>16224</v>
      </c>
      <c r="AZ84">
        <f t="shared" si="38"/>
        <v>15320</v>
      </c>
      <c r="BA84" s="3">
        <f t="shared" si="39"/>
        <v>24304.249027237354</v>
      </c>
    </row>
    <row r="85" spans="1:53" x14ac:dyDescent="0.2">
      <c r="A85">
        <v>2019</v>
      </c>
      <c r="B85" t="s">
        <v>51</v>
      </c>
      <c r="C85" t="s">
        <v>57</v>
      </c>
      <c r="D85">
        <v>0.3</v>
      </c>
      <c r="E85">
        <v>0.4</v>
      </c>
      <c r="F85">
        <v>0.4</v>
      </c>
      <c r="G85">
        <v>0.4</v>
      </c>
      <c r="H85">
        <v>0</v>
      </c>
      <c r="I85">
        <v>1.5</v>
      </c>
      <c r="J85">
        <v>2.4</v>
      </c>
      <c r="K85">
        <f t="shared" si="27"/>
        <v>5.4</v>
      </c>
      <c r="L85">
        <v>0</v>
      </c>
      <c r="M85">
        <v>0</v>
      </c>
      <c r="N85">
        <v>4.3</v>
      </c>
      <c r="O85">
        <f t="shared" ref="O85:O148" si="40">SUM(L85:N85)</f>
        <v>4.3</v>
      </c>
      <c r="P85">
        <v>0</v>
      </c>
      <c r="Q85">
        <v>0</v>
      </c>
      <c r="R85">
        <v>56.4</v>
      </c>
      <c r="S85">
        <f t="shared" ref="S85:S148" si="41">SUM(P85:R85)</f>
        <v>56.4</v>
      </c>
      <c r="T85">
        <v>0.7</v>
      </c>
      <c r="U85">
        <v>0.2</v>
      </c>
      <c r="V85">
        <v>0</v>
      </c>
      <c r="W85">
        <v>0</v>
      </c>
      <c r="X85">
        <v>0</v>
      </c>
      <c r="Y85">
        <v>0.1</v>
      </c>
      <c r="Z85">
        <v>2.1</v>
      </c>
      <c r="AA85">
        <f t="shared" ref="AA85:AA148" si="42">SUM(T85:Z85)</f>
        <v>3.1</v>
      </c>
      <c r="AB85">
        <v>0</v>
      </c>
      <c r="AC85">
        <v>0</v>
      </c>
      <c r="AD85">
        <v>0</v>
      </c>
      <c r="AE85">
        <v>0.3</v>
      </c>
      <c r="AF85">
        <v>0</v>
      </c>
      <c r="AG85">
        <v>0</v>
      </c>
      <c r="AH85">
        <v>1.7</v>
      </c>
      <c r="AI85">
        <v>0</v>
      </c>
      <c r="AJ85">
        <f t="shared" si="32"/>
        <v>2</v>
      </c>
      <c r="AK85">
        <v>0.3</v>
      </c>
      <c r="AL85">
        <v>0.28499999999999998</v>
      </c>
      <c r="AM85">
        <f t="shared" si="33"/>
        <v>0.71200000000000019</v>
      </c>
      <c r="AN85">
        <v>15348</v>
      </c>
      <c r="AO85" t="s">
        <v>13</v>
      </c>
      <c r="AP85" s="3">
        <f t="shared" si="31"/>
        <v>53291.666666666701</v>
      </c>
      <c r="AQ85" t="s">
        <v>13</v>
      </c>
      <c r="AR85">
        <f t="shared" si="26"/>
        <v>2.808988764044943E-2</v>
      </c>
      <c r="AS85">
        <f t="shared" ref="AS85:AS116" si="43">SUM(K85,O85,S85,AA85)/100</f>
        <v>0.69199999999999984</v>
      </c>
      <c r="AT85">
        <f t="shared" ref="AT85:AT89" si="44">ROUND(AS85*AP85,0)</f>
        <v>36878</v>
      </c>
      <c r="AU85">
        <f t="shared" si="30"/>
        <v>1066</v>
      </c>
      <c r="AV85">
        <f t="shared" si="34"/>
        <v>35439</v>
      </c>
      <c r="AW85">
        <f t="shared" si="35"/>
        <v>1159</v>
      </c>
      <c r="AX85" s="3">
        <f t="shared" si="36"/>
        <v>16693.666666666701</v>
      </c>
      <c r="AY85">
        <f t="shared" si="37"/>
        <v>18439</v>
      </c>
      <c r="AZ85">
        <f t="shared" si="38"/>
        <v>2264</v>
      </c>
      <c r="BA85" s="3">
        <f t="shared" si="39"/>
        <v>32588.666666666701</v>
      </c>
    </row>
    <row r="86" spans="1:53" x14ac:dyDescent="0.2">
      <c r="A86">
        <v>2020</v>
      </c>
      <c r="B86" t="s">
        <v>51</v>
      </c>
      <c r="C86" t="s">
        <v>57</v>
      </c>
      <c r="D86">
        <v>0.1</v>
      </c>
      <c r="E86">
        <v>0</v>
      </c>
      <c r="F86">
        <v>0</v>
      </c>
      <c r="G86">
        <v>0.2</v>
      </c>
      <c r="H86">
        <v>0</v>
      </c>
      <c r="I86">
        <v>0.2</v>
      </c>
      <c r="J86">
        <v>0</v>
      </c>
      <c r="K86">
        <f t="shared" si="27"/>
        <v>0.5</v>
      </c>
      <c r="L86">
        <v>0</v>
      </c>
      <c r="M86">
        <v>0</v>
      </c>
      <c r="N86">
        <v>0.2</v>
      </c>
      <c r="O86">
        <f t="shared" si="40"/>
        <v>0.2</v>
      </c>
      <c r="P86">
        <v>0</v>
      </c>
      <c r="Q86">
        <v>0</v>
      </c>
      <c r="R86">
        <v>20.8</v>
      </c>
      <c r="S86">
        <f t="shared" si="41"/>
        <v>20.8</v>
      </c>
      <c r="T86">
        <v>0</v>
      </c>
      <c r="U86">
        <v>0</v>
      </c>
      <c r="V86">
        <v>0</v>
      </c>
      <c r="W86">
        <v>0</v>
      </c>
      <c r="X86">
        <v>0</v>
      </c>
      <c r="Y86">
        <v>0.1</v>
      </c>
      <c r="Z86">
        <v>1.3</v>
      </c>
      <c r="AA86">
        <f t="shared" si="42"/>
        <v>1.4000000000000001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1</v>
      </c>
      <c r="AI86">
        <v>0</v>
      </c>
      <c r="AJ86">
        <f t="shared" si="32"/>
        <v>1</v>
      </c>
      <c r="AK86">
        <v>0.5</v>
      </c>
      <c r="AL86">
        <v>0.755</v>
      </c>
      <c r="AM86">
        <f t="shared" si="33"/>
        <v>0.23900000000000002</v>
      </c>
      <c r="AN86">
        <v>8737</v>
      </c>
      <c r="AO86" t="s">
        <v>13</v>
      </c>
      <c r="AP86" s="3">
        <f t="shared" si="31"/>
        <v>11480.946123521682</v>
      </c>
      <c r="AQ86" t="s">
        <v>13</v>
      </c>
      <c r="AR86">
        <f t="shared" si="26"/>
        <v>4.1841004184100417E-2</v>
      </c>
      <c r="AS86">
        <f t="shared" si="43"/>
        <v>0.22899999999999998</v>
      </c>
      <c r="AT86">
        <f t="shared" si="44"/>
        <v>2629</v>
      </c>
      <c r="AU86">
        <f t="shared" si="30"/>
        <v>115</v>
      </c>
      <c r="AV86">
        <f t="shared" si="34"/>
        <v>2600</v>
      </c>
      <c r="AW86">
        <f t="shared" si="35"/>
        <v>115</v>
      </c>
      <c r="AX86" s="3">
        <f t="shared" si="36"/>
        <v>8765.9461235216822</v>
      </c>
      <c r="AY86">
        <f t="shared" si="37"/>
        <v>1315</v>
      </c>
      <c r="AZ86">
        <f t="shared" si="38"/>
        <v>132</v>
      </c>
      <c r="BA86" s="3">
        <f t="shared" si="39"/>
        <v>10033.946123521682</v>
      </c>
    </row>
    <row r="87" spans="1:53" x14ac:dyDescent="0.2">
      <c r="A87">
        <v>2021</v>
      </c>
      <c r="B87" t="s">
        <v>51</v>
      </c>
      <c r="C87" t="s">
        <v>57</v>
      </c>
      <c r="D87">
        <v>0</v>
      </c>
      <c r="E87">
        <v>0</v>
      </c>
      <c r="F87">
        <v>0</v>
      </c>
      <c r="G87">
        <v>0</v>
      </c>
      <c r="H87">
        <v>0</v>
      </c>
      <c r="I87">
        <v>0.5</v>
      </c>
      <c r="J87">
        <v>2.2999999999999998</v>
      </c>
      <c r="K87">
        <f t="shared" si="27"/>
        <v>2.8</v>
      </c>
      <c r="L87">
        <v>0</v>
      </c>
      <c r="M87">
        <v>0</v>
      </c>
      <c r="N87">
        <v>0.2</v>
      </c>
      <c r="O87">
        <f t="shared" si="40"/>
        <v>0.2</v>
      </c>
      <c r="P87">
        <v>0</v>
      </c>
      <c r="Q87">
        <v>0.1</v>
      </c>
      <c r="R87">
        <v>32.200000000000003</v>
      </c>
      <c r="S87">
        <f t="shared" si="41"/>
        <v>32.300000000000004</v>
      </c>
      <c r="T87">
        <v>0.2</v>
      </c>
      <c r="U87">
        <v>0.1</v>
      </c>
      <c r="V87">
        <v>0</v>
      </c>
      <c r="W87">
        <v>0</v>
      </c>
      <c r="X87">
        <v>0</v>
      </c>
      <c r="Y87">
        <v>0.3</v>
      </c>
      <c r="Z87">
        <v>0.4</v>
      </c>
      <c r="AA87">
        <f t="shared" si="42"/>
        <v>1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1.3</v>
      </c>
      <c r="AI87">
        <v>0</v>
      </c>
      <c r="AJ87">
        <f t="shared" si="32"/>
        <v>1.3</v>
      </c>
      <c r="AK87">
        <v>0.6</v>
      </c>
      <c r="AL87">
        <v>0.61799999999999999</v>
      </c>
      <c r="AM87">
        <f t="shared" si="33"/>
        <v>0.376</v>
      </c>
      <c r="AN87">
        <v>12902</v>
      </c>
      <c r="AO87" t="s">
        <v>13</v>
      </c>
      <c r="AP87" s="3">
        <f t="shared" si="31"/>
        <v>20676.282051282051</v>
      </c>
      <c r="AQ87" t="s">
        <v>13</v>
      </c>
      <c r="AR87">
        <f t="shared" si="26"/>
        <v>3.4574468085106384E-2</v>
      </c>
      <c r="AS87">
        <f t="shared" si="43"/>
        <v>0.36300000000000004</v>
      </c>
      <c r="AT87">
        <f t="shared" si="44"/>
        <v>7505</v>
      </c>
      <c r="AU87">
        <f t="shared" si="30"/>
        <v>269</v>
      </c>
      <c r="AV87">
        <f t="shared" si="34"/>
        <v>7216</v>
      </c>
      <c r="AW87">
        <f t="shared" si="35"/>
        <v>275</v>
      </c>
      <c r="AX87" s="3">
        <f t="shared" si="36"/>
        <v>13185.282051282051</v>
      </c>
      <c r="AY87">
        <f t="shared" si="37"/>
        <v>3753</v>
      </c>
      <c r="AZ87">
        <f t="shared" si="38"/>
        <v>346</v>
      </c>
      <c r="BA87" s="3">
        <f t="shared" si="39"/>
        <v>16577.282051282051</v>
      </c>
    </row>
    <row r="88" spans="1:53" x14ac:dyDescent="0.2">
      <c r="A88">
        <v>2022</v>
      </c>
      <c r="B88" t="s">
        <v>51</v>
      </c>
      <c r="C88" t="s">
        <v>57</v>
      </c>
      <c r="D88">
        <v>0</v>
      </c>
      <c r="E88">
        <v>0</v>
      </c>
      <c r="F88">
        <v>0</v>
      </c>
      <c r="G88">
        <v>0</v>
      </c>
      <c r="H88">
        <v>0</v>
      </c>
      <c r="I88">
        <v>1.6</v>
      </c>
      <c r="J88">
        <v>1.8</v>
      </c>
      <c r="K88">
        <f t="shared" si="27"/>
        <v>3.4000000000000004</v>
      </c>
      <c r="L88">
        <v>0</v>
      </c>
      <c r="M88">
        <v>0</v>
      </c>
      <c r="N88">
        <v>3.6</v>
      </c>
      <c r="O88">
        <f t="shared" si="40"/>
        <v>3.6</v>
      </c>
      <c r="P88">
        <v>0</v>
      </c>
      <c r="Q88">
        <v>0</v>
      </c>
      <c r="R88">
        <v>37</v>
      </c>
      <c r="S88">
        <f t="shared" si="41"/>
        <v>37</v>
      </c>
      <c r="T88">
        <v>0.5</v>
      </c>
      <c r="U88">
        <v>0</v>
      </c>
      <c r="V88">
        <v>0</v>
      </c>
      <c r="W88">
        <v>0</v>
      </c>
      <c r="X88">
        <v>0</v>
      </c>
      <c r="Y88">
        <v>0.2</v>
      </c>
      <c r="Z88">
        <v>0.6</v>
      </c>
      <c r="AA88">
        <f t="shared" si="42"/>
        <v>1.2999999999999998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0.9</v>
      </c>
      <c r="AI88">
        <v>0</v>
      </c>
      <c r="AJ88">
        <f t="shared" si="32"/>
        <v>0.9</v>
      </c>
      <c r="AK88">
        <v>0.3</v>
      </c>
      <c r="AL88">
        <v>0.53700000000000003</v>
      </c>
      <c r="AM88">
        <f t="shared" si="33"/>
        <v>0.46200000000000002</v>
      </c>
      <c r="AN88">
        <v>17574</v>
      </c>
      <c r="AO88" t="s">
        <v>13</v>
      </c>
      <c r="AP88" s="3">
        <f t="shared" si="31"/>
        <v>32665.427509293677</v>
      </c>
      <c r="AQ88" t="s">
        <v>13</v>
      </c>
      <c r="AR88">
        <f t="shared" si="26"/>
        <v>1.9480519480519484E-2</v>
      </c>
      <c r="AS88">
        <f t="shared" si="43"/>
        <v>0.45299999999999996</v>
      </c>
      <c r="AT88">
        <f t="shared" si="44"/>
        <v>14797</v>
      </c>
      <c r="AU88">
        <f t="shared" si="30"/>
        <v>294</v>
      </c>
      <c r="AV88">
        <f t="shared" si="34"/>
        <v>14242</v>
      </c>
      <c r="AW88">
        <f t="shared" si="35"/>
        <v>303</v>
      </c>
      <c r="AX88" s="3">
        <f t="shared" si="36"/>
        <v>18120.427509293677</v>
      </c>
      <c r="AY88">
        <f t="shared" si="37"/>
        <v>7399</v>
      </c>
      <c r="AZ88">
        <f t="shared" si="38"/>
        <v>416</v>
      </c>
      <c r="BA88" s="3">
        <f t="shared" si="39"/>
        <v>24850.427509293677</v>
      </c>
    </row>
    <row r="89" spans="1:53" x14ac:dyDescent="0.2">
      <c r="A89">
        <v>2023</v>
      </c>
      <c r="B89" t="s">
        <v>51</v>
      </c>
      <c r="C89" t="s">
        <v>57</v>
      </c>
      <c r="D89">
        <v>0</v>
      </c>
      <c r="E89">
        <v>1.2</v>
      </c>
      <c r="F89">
        <v>0</v>
      </c>
      <c r="G89">
        <v>0</v>
      </c>
      <c r="H89">
        <v>0</v>
      </c>
      <c r="I89">
        <v>2.4</v>
      </c>
      <c r="J89">
        <v>0.2</v>
      </c>
      <c r="K89">
        <f t="shared" si="27"/>
        <v>3.8</v>
      </c>
      <c r="L89">
        <v>0</v>
      </c>
      <c r="M89">
        <v>0</v>
      </c>
      <c r="N89">
        <v>3.3</v>
      </c>
      <c r="O89">
        <f t="shared" si="40"/>
        <v>3.3</v>
      </c>
      <c r="P89">
        <v>0</v>
      </c>
      <c r="Q89">
        <v>0</v>
      </c>
      <c r="R89">
        <v>29.1</v>
      </c>
      <c r="S89">
        <f t="shared" si="41"/>
        <v>29.1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f t="shared" si="42"/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f t="shared" si="32"/>
        <v>0</v>
      </c>
      <c r="AK89">
        <v>0</v>
      </c>
      <c r="AL89">
        <v>0.63800000000000001</v>
      </c>
      <c r="AM89">
        <f t="shared" si="33"/>
        <v>0.36200000000000004</v>
      </c>
      <c r="AN89">
        <v>19855</v>
      </c>
      <c r="AO89" t="s">
        <v>13</v>
      </c>
      <c r="AP89" s="3">
        <f t="shared" si="31"/>
        <v>31120.68965517242</v>
      </c>
      <c r="AQ89" t="s">
        <v>13</v>
      </c>
      <c r="AR89">
        <f t="shared" si="26"/>
        <v>0</v>
      </c>
      <c r="AS89">
        <f t="shared" si="43"/>
        <v>0.36200000000000004</v>
      </c>
      <c r="AT89">
        <f t="shared" si="44"/>
        <v>11266</v>
      </c>
      <c r="AU89">
        <f t="shared" si="30"/>
        <v>0</v>
      </c>
      <c r="AV89">
        <f t="shared" si="34"/>
        <v>10674</v>
      </c>
      <c r="AW89">
        <f t="shared" si="35"/>
        <v>0</v>
      </c>
      <c r="AX89" s="3">
        <f t="shared" si="36"/>
        <v>20446.68965517242</v>
      </c>
      <c r="AY89">
        <f t="shared" si="37"/>
        <v>5633</v>
      </c>
      <c r="AZ89">
        <f t="shared" si="38"/>
        <v>0</v>
      </c>
      <c r="BA89" s="3">
        <f t="shared" si="39"/>
        <v>25487.68965517242</v>
      </c>
    </row>
    <row r="90" spans="1:53" x14ac:dyDescent="0.2">
      <c r="A90">
        <v>1981</v>
      </c>
      <c r="B90" t="s">
        <v>54</v>
      </c>
      <c r="C90" t="s">
        <v>58</v>
      </c>
      <c r="D90">
        <v>6</v>
      </c>
      <c r="E90">
        <v>0</v>
      </c>
      <c r="F90">
        <v>0</v>
      </c>
      <c r="G90">
        <v>2.2999999999999998</v>
      </c>
      <c r="H90">
        <v>0</v>
      </c>
      <c r="I90">
        <v>17.399999999999999</v>
      </c>
      <c r="J90">
        <v>0</v>
      </c>
      <c r="K90">
        <f t="shared" si="27"/>
        <v>25.7</v>
      </c>
      <c r="L90">
        <v>0</v>
      </c>
      <c r="M90">
        <v>1.2</v>
      </c>
      <c r="N90">
        <v>0</v>
      </c>
      <c r="O90">
        <f t="shared" si="40"/>
        <v>1.2</v>
      </c>
      <c r="P90">
        <v>0</v>
      </c>
      <c r="Q90">
        <v>2.2000000000000002</v>
      </c>
      <c r="R90">
        <v>6.3</v>
      </c>
      <c r="S90">
        <f t="shared" si="41"/>
        <v>8.5</v>
      </c>
      <c r="T90">
        <v>8.6</v>
      </c>
      <c r="U90">
        <v>13</v>
      </c>
      <c r="V90">
        <v>4</v>
      </c>
      <c r="W90">
        <v>0</v>
      </c>
      <c r="X90">
        <v>0</v>
      </c>
      <c r="Y90">
        <v>0</v>
      </c>
      <c r="Z90">
        <v>0</v>
      </c>
      <c r="AA90">
        <f t="shared" si="42"/>
        <v>25.6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13.6</v>
      </c>
      <c r="AI90">
        <v>0</v>
      </c>
      <c r="AJ90">
        <f t="shared" si="32"/>
        <v>13.6</v>
      </c>
      <c r="AK90">
        <v>3.2</v>
      </c>
      <c r="AL90">
        <v>0.221</v>
      </c>
      <c r="AM90">
        <f t="shared" si="33"/>
        <v>0.746</v>
      </c>
      <c r="AN90" t="s">
        <v>13</v>
      </c>
      <c r="AO90" t="s">
        <v>13</v>
      </c>
      <c r="AP90" t="s">
        <v>13</v>
      </c>
      <c r="AQ90" t="s">
        <v>13</v>
      </c>
      <c r="AR90">
        <f t="shared" si="26"/>
        <v>0.18230563002680966</v>
      </c>
      <c r="AS90">
        <f t="shared" si="43"/>
        <v>0.61</v>
      </c>
      <c r="AT90" t="s">
        <v>13</v>
      </c>
      <c r="AU90" t="s">
        <v>13</v>
      </c>
      <c r="AV90" t="s">
        <v>13</v>
      </c>
      <c r="AW90" t="s">
        <v>13</v>
      </c>
      <c r="AX90" t="s">
        <v>13</v>
      </c>
      <c r="AY90" t="s">
        <v>13</v>
      </c>
      <c r="AZ90" t="s">
        <v>13</v>
      </c>
      <c r="BA90" t="s">
        <v>13</v>
      </c>
    </row>
    <row r="91" spans="1:53" x14ac:dyDescent="0.2">
      <c r="A91">
        <v>1982</v>
      </c>
      <c r="B91" t="s">
        <v>54</v>
      </c>
      <c r="C91" t="s">
        <v>58</v>
      </c>
      <c r="D91">
        <v>4.4000000000000004</v>
      </c>
      <c r="E91">
        <v>0</v>
      </c>
      <c r="F91">
        <v>0.3</v>
      </c>
      <c r="G91">
        <v>1.6</v>
      </c>
      <c r="H91">
        <v>0</v>
      </c>
      <c r="I91">
        <v>16.8</v>
      </c>
      <c r="J91">
        <v>0</v>
      </c>
      <c r="K91">
        <f t="shared" si="27"/>
        <v>23.1</v>
      </c>
      <c r="L91">
        <v>0.4</v>
      </c>
      <c r="M91">
        <v>2.1</v>
      </c>
      <c r="N91">
        <v>0</v>
      </c>
      <c r="O91">
        <f t="shared" si="40"/>
        <v>2.5</v>
      </c>
      <c r="P91">
        <v>0</v>
      </c>
      <c r="Q91">
        <v>1.3</v>
      </c>
      <c r="R91">
        <v>1</v>
      </c>
      <c r="S91">
        <f t="shared" si="41"/>
        <v>2.2999999999999998</v>
      </c>
      <c r="T91">
        <v>15.8</v>
      </c>
      <c r="U91">
        <v>11.1</v>
      </c>
      <c r="V91">
        <v>4.5</v>
      </c>
      <c r="W91">
        <v>0</v>
      </c>
      <c r="X91">
        <v>0</v>
      </c>
      <c r="Y91">
        <v>1.8</v>
      </c>
      <c r="Z91">
        <v>0</v>
      </c>
      <c r="AA91">
        <f t="shared" si="42"/>
        <v>33.199999999999996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6.7</v>
      </c>
      <c r="AI91">
        <v>1.7</v>
      </c>
      <c r="AJ91">
        <f t="shared" si="32"/>
        <v>8.4</v>
      </c>
      <c r="AK91">
        <v>1.4</v>
      </c>
      <c r="AL91">
        <v>0.28999999999999998</v>
      </c>
      <c r="AM91">
        <f t="shared" si="33"/>
        <v>0.69499999999999995</v>
      </c>
      <c r="AN91" t="s">
        <v>13</v>
      </c>
      <c r="AO91" t="s">
        <v>13</v>
      </c>
      <c r="AP91" t="s">
        <v>13</v>
      </c>
      <c r="AQ91" t="s">
        <v>13</v>
      </c>
      <c r="AR91">
        <f t="shared" si="26"/>
        <v>0.120863309352518</v>
      </c>
      <c r="AS91">
        <f t="shared" si="43"/>
        <v>0.61099999999999999</v>
      </c>
      <c r="AT91" t="s">
        <v>13</v>
      </c>
      <c r="AU91" t="s">
        <v>13</v>
      </c>
      <c r="AV91" t="s">
        <v>13</v>
      </c>
      <c r="AW91" t="s">
        <v>13</v>
      </c>
      <c r="AX91" t="s">
        <v>13</v>
      </c>
      <c r="AY91" t="s">
        <v>13</v>
      </c>
      <c r="AZ91" t="s">
        <v>13</v>
      </c>
      <c r="BA91" t="s">
        <v>13</v>
      </c>
    </row>
    <row r="92" spans="1:53" x14ac:dyDescent="0.2">
      <c r="A92">
        <v>1983</v>
      </c>
      <c r="B92" t="s">
        <v>54</v>
      </c>
      <c r="C92" t="s">
        <v>58</v>
      </c>
      <c r="D92">
        <v>4.3</v>
      </c>
      <c r="E92">
        <v>0</v>
      </c>
      <c r="F92">
        <v>0</v>
      </c>
      <c r="G92">
        <v>7.2</v>
      </c>
      <c r="H92">
        <v>0</v>
      </c>
      <c r="I92">
        <v>19</v>
      </c>
      <c r="J92">
        <v>0</v>
      </c>
      <c r="K92">
        <f t="shared" si="27"/>
        <v>30.5</v>
      </c>
      <c r="L92">
        <v>4</v>
      </c>
      <c r="M92">
        <v>0.5</v>
      </c>
      <c r="N92">
        <v>0</v>
      </c>
      <c r="O92">
        <f t="shared" si="40"/>
        <v>4.5</v>
      </c>
      <c r="P92">
        <v>0</v>
      </c>
      <c r="Q92">
        <v>0.5</v>
      </c>
      <c r="R92">
        <v>0.3</v>
      </c>
      <c r="S92">
        <f t="shared" si="41"/>
        <v>0.8</v>
      </c>
      <c r="T92">
        <v>7.4</v>
      </c>
      <c r="U92">
        <v>17.399999999999999</v>
      </c>
      <c r="V92">
        <v>0.5</v>
      </c>
      <c r="W92">
        <v>0.3</v>
      </c>
      <c r="X92">
        <v>0</v>
      </c>
      <c r="Y92">
        <v>0.4</v>
      </c>
      <c r="Z92">
        <v>0</v>
      </c>
      <c r="AA92">
        <f t="shared" si="42"/>
        <v>25.999999999999996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4.0999999999999996</v>
      </c>
      <c r="AI92">
        <v>1</v>
      </c>
      <c r="AJ92">
        <f t="shared" si="32"/>
        <v>5.0999999999999996</v>
      </c>
      <c r="AK92">
        <v>3.1</v>
      </c>
      <c r="AL92">
        <v>0.30199999999999999</v>
      </c>
      <c r="AM92">
        <f t="shared" si="33"/>
        <v>0.66900000000000004</v>
      </c>
      <c r="AN92" t="s">
        <v>13</v>
      </c>
      <c r="AO92" t="s">
        <v>13</v>
      </c>
      <c r="AP92" t="s">
        <v>13</v>
      </c>
      <c r="AQ92" t="s">
        <v>13</v>
      </c>
      <c r="AR92">
        <f t="shared" si="26"/>
        <v>7.6233183856502226E-2</v>
      </c>
      <c r="AS92">
        <f t="shared" si="43"/>
        <v>0.61799999999999999</v>
      </c>
      <c r="AT92" t="s">
        <v>13</v>
      </c>
      <c r="AU92" t="s">
        <v>13</v>
      </c>
      <c r="AV92" t="s">
        <v>13</v>
      </c>
      <c r="AW92" t="s">
        <v>13</v>
      </c>
      <c r="AX92" t="s">
        <v>13</v>
      </c>
      <c r="AY92" t="s">
        <v>13</v>
      </c>
      <c r="AZ92" t="s">
        <v>13</v>
      </c>
      <c r="BA92" t="s">
        <v>13</v>
      </c>
    </row>
    <row r="93" spans="1:53" x14ac:dyDescent="0.2">
      <c r="A93">
        <v>1984</v>
      </c>
      <c r="B93" t="s">
        <v>54</v>
      </c>
      <c r="C93" t="s">
        <v>58</v>
      </c>
      <c r="D93">
        <v>5.2</v>
      </c>
      <c r="E93">
        <v>0</v>
      </c>
      <c r="F93">
        <v>0</v>
      </c>
      <c r="G93">
        <v>7.5</v>
      </c>
      <c r="H93">
        <v>0</v>
      </c>
      <c r="I93">
        <v>25.5</v>
      </c>
      <c r="J93">
        <v>0</v>
      </c>
      <c r="K93">
        <f t="shared" si="27"/>
        <v>38.200000000000003</v>
      </c>
      <c r="L93">
        <v>2.2999999999999998</v>
      </c>
      <c r="M93">
        <v>0.1</v>
      </c>
      <c r="N93">
        <v>0.7</v>
      </c>
      <c r="O93">
        <f t="shared" si="40"/>
        <v>3.0999999999999996</v>
      </c>
      <c r="P93">
        <v>0</v>
      </c>
      <c r="Q93">
        <v>1.8</v>
      </c>
      <c r="R93">
        <v>0.2</v>
      </c>
      <c r="S93">
        <f t="shared" si="41"/>
        <v>2</v>
      </c>
      <c r="T93">
        <v>1.6</v>
      </c>
      <c r="U93">
        <v>0.1</v>
      </c>
      <c r="V93">
        <v>3.1</v>
      </c>
      <c r="W93">
        <v>0</v>
      </c>
      <c r="X93">
        <v>0</v>
      </c>
      <c r="Y93">
        <v>0.1</v>
      </c>
      <c r="Z93">
        <v>0</v>
      </c>
      <c r="AA93">
        <f t="shared" si="42"/>
        <v>4.9000000000000004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14.2</v>
      </c>
      <c r="AI93">
        <v>3.4</v>
      </c>
      <c r="AJ93">
        <f t="shared" si="32"/>
        <v>17.599999999999998</v>
      </c>
      <c r="AK93">
        <v>0.4</v>
      </c>
      <c r="AL93">
        <v>0.33799999999999997</v>
      </c>
      <c r="AM93">
        <f t="shared" si="33"/>
        <v>0.65800000000000014</v>
      </c>
      <c r="AN93" t="s">
        <v>13</v>
      </c>
      <c r="AO93" t="s">
        <v>13</v>
      </c>
      <c r="AP93" t="s">
        <v>13</v>
      </c>
      <c r="AQ93" t="s">
        <v>13</v>
      </c>
      <c r="AR93">
        <f t="shared" si="26"/>
        <v>0.26747720364741634</v>
      </c>
      <c r="AS93">
        <f t="shared" si="43"/>
        <v>0.48200000000000004</v>
      </c>
      <c r="AT93" t="s">
        <v>13</v>
      </c>
      <c r="AU93" t="s">
        <v>13</v>
      </c>
      <c r="AV93" t="s">
        <v>13</v>
      </c>
      <c r="AW93" t="s">
        <v>13</v>
      </c>
      <c r="AX93" t="s">
        <v>13</v>
      </c>
      <c r="AY93" t="s">
        <v>13</v>
      </c>
      <c r="AZ93" t="s">
        <v>13</v>
      </c>
      <c r="BA93" t="s">
        <v>13</v>
      </c>
    </row>
    <row r="94" spans="1:53" x14ac:dyDescent="0.2">
      <c r="A94">
        <v>1985</v>
      </c>
      <c r="B94" t="s">
        <v>54</v>
      </c>
      <c r="C94" t="s">
        <v>58</v>
      </c>
      <c r="D94">
        <v>4.0999999999999996</v>
      </c>
      <c r="E94">
        <v>0.8</v>
      </c>
      <c r="F94">
        <v>0</v>
      </c>
      <c r="G94">
        <v>4.5</v>
      </c>
      <c r="H94">
        <v>0</v>
      </c>
      <c r="I94">
        <v>12.8</v>
      </c>
      <c r="J94">
        <v>0</v>
      </c>
      <c r="K94">
        <f t="shared" si="27"/>
        <v>22.2</v>
      </c>
      <c r="L94">
        <v>0</v>
      </c>
      <c r="M94">
        <v>4.5</v>
      </c>
      <c r="N94">
        <v>0</v>
      </c>
      <c r="O94">
        <f t="shared" si="40"/>
        <v>4.5</v>
      </c>
      <c r="P94">
        <v>0</v>
      </c>
      <c r="Q94">
        <v>1.2</v>
      </c>
      <c r="R94">
        <v>0.5</v>
      </c>
      <c r="S94">
        <f t="shared" si="41"/>
        <v>1.7</v>
      </c>
      <c r="T94">
        <v>3.4</v>
      </c>
      <c r="U94">
        <v>4.8</v>
      </c>
      <c r="V94">
        <v>1.7</v>
      </c>
      <c r="W94">
        <v>0.9</v>
      </c>
      <c r="X94">
        <v>0</v>
      </c>
      <c r="Y94">
        <v>0.3</v>
      </c>
      <c r="Z94">
        <v>0.7</v>
      </c>
      <c r="AA94">
        <f t="shared" si="42"/>
        <v>11.799999999999999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5.6</v>
      </c>
      <c r="AI94">
        <v>7.8</v>
      </c>
      <c r="AJ94">
        <f t="shared" si="32"/>
        <v>13.399999999999999</v>
      </c>
      <c r="AK94">
        <v>0.7</v>
      </c>
      <c r="AL94">
        <v>0.45700000000000002</v>
      </c>
      <c r="AM94">
        <f t="shared" si="33"/>
        <v>0.53599999999999992</v>
      </c>
      <c r="AN94" t="s">
        <v>13</v>
      </c>
      <c r="AO94" t="s">
        <v>13</v>
      </c>
      <c r="AP94" t="s">
        <v>13</v>
      </c>
      <c r="AQ94" t="s">
        <v>13</v>
      </c>
      <c r="AR94">
        <f t="shared" si="26"/>
        <v>0.25</v>
      </c>
      <c r="AS94">
        <f t="shared" si="43"/>
        <v>0.40199999999999997</v>
      </c>
      <c r="AT94" t="s">
        <v>13</v>
      </c>
      <c r="AU94" t="s">
        <v>13</v>
      </c>
      <c r="AV94" t="s">
        <v>13</v>
      </c>
      <c r="AW94" t="s">
        <v>13</v>
      </c>
      <c r="AX94" t="s">
        <v>13</v>
      </c>
      <c r="AY94" t="s">
        <v>13</v>
      </c>
      <c r="AZ94" t="s">
        <v>13</v>
      </c>
      <c r="BA94" t="s">
        <v>13</v>
      </c>
    </row>
    <row r="95" spans="1:53" x14ac:dyDescent="0.2">
      <c r="A95">
        <v>1986</v>
      </c>
      <c r="B95" t="s">
        <v>54</v>
      </c>
      <c r="C95" t="s">
        <v>58</v>
      </c>
      <c r="D95">
        <v>0.5</v>
      </c>
      <c r="E95">
        <v>0.2</v>
      </c>
      <c r="F95">
        <v>0</v>
      </c>
      <c r="G95">
        <v>0.2</v>
      </c>
      <c r="H95">
        <v>0</v>
      </c>
      <c r="I95">
        <v>14.4</v>
      </c>
      <c r="J95">
        <v>0</v>
      </c>
      <c r="K95">
        <f t="shared" si="27"/>
        <v>15.3</v>
      </c>
      <c r="L95">
        <v>0.7</v>
      </c>
      <c r="M95">
        <v>0.8</v>
      </c>
      <c r="N95">
        <v>0</v>
      </c>
      <c r="O95">
        <f t="shared" si="40"/>
        <v>1.5</v>
      </c>
      <c r="P95">
        <v>0</v>
      </c>
      <c r="Q95">
        <v>1</v>
      </c>
      <c r="R95">
        <v>0.4</v>
      </c>
      <c r="S95">
        <f t="shared" si="41"/>
        <v>1.4</v>
      </c>
      <c r="T95">
        <v>6.8</v>
      </c>
      <c r="U95">
        <v>5.0999999999999996</v>
      </c>
      <c r="V95">
        <v>7.7</v>
      </c>
      <c r="W95">
        <v>0.5</v>
      </c>
      <c r="X95">
        <v>0</v>
      </c>
      <c r="Y95">
        <v>0.2</v>
      </c>
      <c r="Z95">
        <v>0.5</v>
      </c>
      <c r="AA95">
        <f t="shared" si="42"/>
        <v>20.799999999999997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28.8</v>
      </c>
      <c r="AI95">
        <v>6.6</v>
      </c>
      <c r="AJ95">
        <f t="shared" si="32"/>
        <v>35.4</v>
      </c>
      <c r="AK95">
        <v>2.2999999999999998</v>
      </c>
      <c r="AL95">
        <v>0.23199999999999998</v>
      </c>
      <c r="AM95">
        <f t="shared" si="33"/>
        <v>0.74400000000000011</v>
      </c>
      <c r="AN95" t="s">
        <v>13</v>
      </c>
      <c r="AO95" t="s">
        <v>13</v>
      </c>
      <c r="AP95" t="s">
        <v>13</v>
      </c>
      <c r="AQ95" t="s">
        <v>13</v>
      </c>
      <c r="AR95">
        <f t="shared" si="26"/>
        <v>0.47580645161290314</v>
      </c>
      <c r="AS95">
        <f t="shared" si="43"/>
        <v>0.39</v>
      </c>
      <c r="AT95" t="s">
        <v>13</v>
      </c>
      <c r="AU95" t="s">
        <v>13</v>
      </c>
      <c r="AV95" t="s">
        <v>13</v>
      </c>
      <c r="AW95" t="s">
        <v>13</v>
      </c>
      <c r="AX95" t="s">
        <v>13</v>
      </c>
      <c r="AY95" t="s">
        <v>13</v>
      </c>
      <c r="AZ95" t="s">
        <v>13</v>
      </c>
      <c r="BA95" t="s">
        <v>13</v>
      </c>
    </row>
    <row r="96" spans="1:53" x14ac:dyDescent="0.2">
      <c r="A96">
        <v>1987</v>
      </c>
      <c r="B96" t="s">
        <v>54</v>
      </c>
      <c r="C96" t="s">
        <v>58</v>
      </c>
      <c r="D96">
        <v>5.7</v>
      </c>
      <c r="E96">
        <v>0.6</v>
      </c>
      <c r="F96">
        <v>0</v>
      </c>
      <c r="G96">
        <v>4.7</v>
      </c>
      <c r="H96">
        <v>0</v>
      </c>
      <c r="I96">
        <v>11.5</v>
      </c>
      <c r="J96">
        <v>1</v>
      </c>
      <c r="K96">
        <f t="shared" si="27"/>
        <v>23.5</v>
      </c>
      <c r="L96">
        <v>1.4</v>
      </c>
      <c r="M96">
        <v>0</v>
      </c>
      <c r="N96">
        <v>0</v>
      </c>
      <c r="O96">
        <f t="shared" si="40"/>
        <v>1.4</v>
      </c>
      <c r="P96">
        <v>0</v>
      </c>
      <c r="Q96">
        <v>0.8</v>
      </c>
      <c r="R96">
        <v>0</v>
      </c>
      <c r="S96">
        <f t="shared" si="41"/>
        <v>0.8</v>
      </c>
      <c r="T96">
        <v>4.8</v>
      </c>
      <c r="U96">
        <v>6.7</v>
      </c>
      <c r="V96">
        <v>7</v>
      </c>
      <c r="W96">
        <v>0.5</v>
      </c>
      <c r="X96">
        <v>0</v>
      </c>
      <c r="Y96">
        <v>0.1</v>
      </c>
      <c r="Z96">
        <v>0.6</v>
      </c>
      <c r="AA96">
        <f t="shared" si="42"/>
        <v>19.700000000000003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20.6</v>
      </c>
      <c r="AI96">
        <v>7.8</v>
      </c>
      <c r="AJ96">
        <f t="shared" si="32"/>
        <v>28.400000000000002</v>
      </c>
      <c r="AK96">
        <v>0.6</v>
      </c>
      <c r="AL96">
        <v>0.25600000000000001</v>
      </c>
      <c r="AM96">
        <f t="shared" si="33"/>
        <v>0.7380000000000001</v>
      </c>
      <c r="AN96" t="s">
        <v>13</v>
      </c>
      <c r="AO96" t="s">
        <v>13</v>
      </c>
      <c r="AP96" t="s">
        <v>13</v>
      </c>
      <c r="AQ96" t="s">
        <v>13</v>
      </c>
      <c r="AR96">
        <f t="shared" si="26"/>
        <v>0.38482384823848237</v>
      </c>
      <c r="AS96">
        <f t="shared" si="43"/>
        <v>0.45400000000000007</v>
      </c>
      <c r="AT96" t="s">
        <v>13</v>
      </c>
      <c r="AU96" t="s">
        <v>13</v>
      </c>
      <c r="AV96" t="s">
        <v>13</v>
      </c>
      <c r="AW96" t="s">
        <v>13</v>
      </c>
      <c r="AX96" t="s">
        <v>13</v>
      </c>
      <c r="AY96" t="s">
        <v>13</v>
      </c>
      <c r="AZ96" t="s">
        <v>13</v>
      </c>
      <c r="BA96" t="s">
        <v>13</v>
      </c>
    </row>
    <row r="97" spans="1:53" x14ac:dyDescent="0.2">
      <c r="A97">
        <v>1988</v>
      </c>
      <c r="B97" t="s">
        <v>54</v>
      </c>
      <c r="C97" t="s">
        <v>58</v>
      </c>
      <c r="D97">
        <v>1.8</v>
      </c>
      <c r="E97">
        <v>0.6</v>
      </c>
      <c r="F97">
        <v>0</v>
      </c>
      <c r="G97">
        <v>2.1</v>
      </c>
      <c r="H97">
        <v>0</v>
      </c>
      <c r="I97">
        <v>18</v>
      </c>
      <c r="J97">
        <v>0</v>
      </c>
      <c r="K97">
        <f t="shared" si="27"/>
        <v>22.5</v>
      </c>
      <c r="L97">
        <v>0</v>
      </c>
      <c r="M97">
        <v>0.1</v>
      </c>
      <c r="N97">
        <v>0</v>
      </c>
      <c r="O97">
        <f t="shared" si="40"/>
        <v>0.1</v>
      </c>
      <c r="P97">
        <v>0</v>
      </c>
      <c r="Q97">
        <v>0.6</v>
      </c>
      <c r="R97">
        <v>0</v>
      </c>
      <c r="S97">
        <f t="shared" si="41"/>
        <v>0.6</v>
      </c>
      <c r="T97">
        <v>9.3000000000000007</v>
      </c>
      <c r="U97">
        <v>1.6</v>
      </c>
      <c r="V97">
        <v>6.5</v>
      </c>
      <c r="W97">
        <v>0.4</v>
      </c>
      <c r="X97">
        <v>0</v>
      </c>
      <c r="Y97">
        <v>0</v>
      </c>
      <c r="Z97">
        <v>0</v>
      </c>
      <c r="AA97">
        <f t="shared" si="42"/>
        <v>17.799999999999997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22.7</v>
      </c>
      <c r="AI97">
        <v>10.1</v>
      </c>
      <c r="AJ97">
        <f t="shared" si="32"/>
        <v>32.799999999999997</v>
      </c>
      <c r="AK97">
        <v>0.5</v>
      </c>
      <c r="AL97">
        <v>0.255</v>
      </c>
      <c r="AM97">
        <f t="shared" si="33"/>
        <v>0.73799999999999999</v>
      </c>
      <c r="AN97" t="s">
        <v>13</v>
      </c>
      <c r="AO97" t="s">
        <v>13</v>
      </c>
      <c r="AP97" t="s">
        <v>13</v>
      </c>
      <c r="AQ97" t="s">
        <v>13</v>
      </c>
      <c r="AR97">
        <f t="shared" si="26"/>
        <v>0.44444444444444442</v>
      </c>
      <c r="AS97">
        <f t="shared" si="43"/>
        <v>0.41</v>
      </c>
      <c r="AT97" t="s">
        <v>13</v>
      </c>
      <c r="AU97" t="s">
        <v>13</v>
      </c>
      <c r="AV97" t="s">
        <v>13</v>
      </c>
      <c r="AW97" t="s">
        <v>13</v>
      </c>
      <c r="AX97" t="s">
        <v>13</v>
      </c>
      <c r="AY97" t="s">
        <v>13</v>
      </c>
      <c r="AZ97" t="s">
        <v>13</v>
      </c>
      <c r="BA97" t="s">
        <v>13</v>
      </c>
    </row>
    <row r="98" spans="1:53" x14ac:dyDescent="0.2">
      <c r="A98">
        <v>1989</v>
      </c>
      <c r="B98" t="s">
        <v>54</v>
      </c>
      <c r="C98" t="s">
        <v>58</v>
      </c>
      <c r="D98">
        <v>4.0999999999999996</v>
      </c>
      <c r="E98">
        <v>0</v>
      </c>
      <c r="F98">
        <v>0.7</v>
      </c>
      <c r="G98">
        <v>4.8</v>
      </c>
      <c r="H98">
        <v>0</v>
      </c>
      <c r="I98">
        <v>7.2</v>
      </c>
      <c r="J98">
        <v>0</v>
      </c>
      <c r="K98">
        <f t="shared" si="27"/>
        <v>16.8</v>
      </c>
      <c r="L98">
        <v>0</v>
      </c>
      <c r="M98">
        <v>0.3</v>
      </c>
      <c r="N98">
        <v>0</v>
      </c>
      <c r="O98">
        <f t="shared" si="40"/>
        <v>0.3</v>
      </c>
      <c r="P98">
        <v>0</v>
      </c>
      <c r="Q98">
        <v>1</v>
      </c>
      <c r="R98">
        <v>0</v>
      </c>
      <c r="S98">
        <f t="shared" si="41"/>
        <v>1</v>
      </c>
      <c r="T98">
        <v>8.8000000000000007</v>
      </c>
      <c r="U98">
        <v>3.3</v>
      </c>
      <c r="V98">
        <v>9.9</v>
      </c>
      <c r="W98">
        <v>0</v>
      </c>
      <c r="X98">
        <v>0</v>
      </c>
      <c r="Y98">
        <v>0</v>
      </c>
      <c r="Z98">
        <v>0.4</v>
      </c>
      <c r="AA98">
        <f t="shared" si="42"/>
        <v>22.4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6.8</v>
      </c>
      <c r="AI98">
        <v>7</v>
      </c>
      <c r="AJ98">
        <f t="shared" si="32"/>
        <v>13.8</v>
      </c>
      <c r="AK98">
        <v>0.8</v>
      </c>
      <c r="AL98">
        <v>0.45</v>
      </c>
      <c r="AM98">
        <f t="shared" si="33"/>
        <v>0.54300000000000004</v>
      </c>
      <c r="AN98" t="s">
        <v>13</v>
      </c>
      <c r="AO98" t="s">
        <v>13</v>
      </c>
      <c r="AP98" t="s">
        <v>13</v>
      </c>
      <c r="AQ98" t="s">
        <v>13</v>
      </c>
      <c r="AR98">
        <f t="shared" si="26"/>
        <v>0.2541436464088398</v>
      </c>
      <c r="AS98">
        <f t="shared" si="43"/>
        <v>0.40500000000000003</v>
      </c>
      <c r="AT98" t="s">
        <v>13</v>
      </c>
      <c r="AU98" t="s">
        <v>13</v>
      </c>
      <c r="AV98" t="s">
        <v>13</v>
      </c>
      <c r="AW98" t="s">
        <v>13</v>
      </c>
      <c r="AX98" t="s">
        <v>13</v>
      </c>
      <c r="AY98" t="s">
        <v>13</v>
      </c>
      <c r="AZ98" t="s">
        <v>13</v>
      </c>
      <c r="BA98" t="s">
        <v>13</v>
      </c>
    </row>
    <row r="99" spans="1:53" x14ac:dyDescent="0.2">
      <c r="A99">
        <v>1990</v>
      </c>
      <c r="B99" t="s">
        <v>54</v>
      </c>
      <c r="C99" t="s">
        <v>58</v>
      </c>
      <c r="D99">
        <v>4.5999999999999996</v>
      </c>
      <c r="E99">
        <v>0</v>
      </c>
      <c r="F99">
        <v>0</v>
      </c>
      <c r="G99">
        <v>2.2000000000000002</v>
      </c>
      <c r="H99">
        <v>0</v>
      </c>
      <c r="I99">
        <v>15.7</v>
      </c>
      <c r="J99">
        <v>0</v>
      </c>
      <c r="K99">
        <f t="shared" si="27"/>
        <v>22.5</v>
      </c>
      <c r="L99">
        <v>3.2</v>
      </c>
      <c r="M99">
        <v>2.6</v>
      </c>
      <c r="N99">
        <v>0</v>
      </c>
      <c r="O99">
        <f t="shared" si="40"/>
        <v>5.8000000000000007</v>
      </c>
      <c r="P99">
        <v>0</v>
      </c>
      <c r="Q99">
        <v>0.9</v>
      </c>
      <c r="R99">
        <v>0</v>
      </c>
      <c r="S99">
        <f t="shared" si="41"/>
        <v>0.9</v>
      </c>
      <c r="T99">
        <v>7.4</v>
      </c>
      <c r="U99">
        <v>7.9</v>
      </c>
      <c r="V99">
        <v>2.2000000000000002</v>
      </c>
      <c r="W99">
        <v>0</v>
      </c>
      <c r="X99">
        <v>0</v>
      </c>
      <c r="Y99">
        <v>0</v>
      </c>
      <c r="Z99">
        <v>4</v>
      </c>
      <c r="AA99">
        <f t="shared" si="42"/>
        <v>21.5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1.1000000000000001</v>
      </c>
      <c r="AJ99">
        <f t="shared" si="32"/>
        <v>1.1000000000000001</v>
      </c>
      <c r="AK99">
        <v>6.8</v>
      </c>
      <c r="AL99">
        <v>0.41399999999999998</v>
      </c>
      <c r="AM99">
        <f t="shared" si="33"/>
        <v>0.51800000000000002</v>
      </c>
      <c r="AN99" t="s">
        <v>13</v>
      </c>
      <c r="AO99" t="s">
        <v>13</v>
      </c>
      <c r="AP99" t="s">
        <v>13</v>
      </c>
      <c r="AQ99" t="s">
        <v>13</v>
      </c>
      <c r="AR99">
        <f t="shared" si="26"/>
        <v>2.1235521235521238E-2</v>
      </c>
      <c r="AS99">
        <f t="shared" si="43"/>
        <v>0.50700000000000001</v>
      </c>
      <c r="AT99" t="s">
        <v>13</v>
      </c>
      <c r="AU99" t="s">
        <v>13</v>
      </c>
      <c r="AV99" t="s">
        <v>13</v>
      </c>
      <c r="AW99" t="s">
        <v>13</v>
      </c>
      <c r="AX99" t="s">
        <v>13</v>
      </c>
      <c r="AY99" t="s">
        <v>13</v>
      </c>
      <c r="AZ99" t="s">
        <v>13</v>
      </c>
      <c r="BA99" t="s">
        <v>13</v>
      </c>
    </row>
    <row r="100" spans="1:53" x14ac:dyDescent="0.2">
      <c r="A100">
        <v>1991</v>
      </c>
      <c r="B100" t="s">
        <v>54</v>
      </c>
      <c r="C100" t="s">
        <v>58</v>
      </c>
      <c r="D100">
        <v>11.1</v>
      </c>
      <c r="E100">
        <v>8</v>
      </c>
      <c r="F100">
        <v>0</v>
      </c>
      <c r="G100">
        <v>3.6</v>
      </c>
      <c r="H100">
        <v>0</v>
      </c>
      <c r="I100">
        <v>6.3</v>
      </c>
      <c r="J100">
        <v>3.6</v>
      </c>
      <c r="K100">
        <f t="shared" si="27"/>
        <v>32.6</v>
      </c>
      <c r="L100">
        <v>1.4</v>
      </c>
      <c r="M100">
        <v>0</v>
      </c>
      <c r="N100">
        <v>0</v>
      </c>
      <c r="O100">
        <f t="shared" si="40"/>
        <v>1.4</v>
      </c>
      <c r="P100">
        <v>0</v>
      </c>
      <c r="Q100">
        <v>0</v>
      </c>
      <c r="R100">
        <v>0</v>
      </c>
      <c r="S100">
        <f t="shared" si="41"/>
        <v>0</v>
      </c>
      <c r="T100">
        <v>3.1</v>
      </c>
      <c r="U100">
        <v>3.6</v>
      </c>
      <c r="V100">
        <v>7.4</v>
      </c>
      <c r="W100">
        <v>0</v>
      </c>
      <c r="X100">
        <v>0</v>
      </c>
      <c r="Y100">
        <v>0</v>
      </c>
      <c r="Z100">
        <v>0</v>
      </c>
      <c r="AA100">
        <f t="shared" si="42"/>
        <v>14.100000000000001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9.4</v>
      </c>
      <c r="AI100">
        <v>4.9000000000000004</v>
      </c>
      <c r="AJ100">
        <f t="shared" si="32"/>
        <v>14.3</v>
      </c>
      <c r="AK100">
        <v>0</v>
      </c>
      <c r="AL100">
        <v>0.376</v>
      </c>
      <c r="AM100">
        <f t="shared" si="33"/>
        <v>0.62400000000000011</v>
      </c>
      <c r="AN100" t="s">
        <v>13</v>
      </c>
      <c r="AO100" t="s">
        <v>13</v>
      </c>
      <c r="AP100" t="s">
        <v>13</v>
      </c>
      <c r="AQ100" t="s">
        <v>13</v>
      </c>
      <c r="AR100">
        <f t="shared" ref="AR100:AR163" si="45">(AJ100/100)/AM100</f>
        <v>0.22916666666666666</v>
      </c>
      <c r="AS100">
        <f t="shared" si="43"/>
        <v>0.48100000000000004</v>
      </c>
      <c r="AT100" t="s">
        <v>13</v>
      </c>
      <c r="AU100" t="s">
        <v>13</v>
      </c>
      <c r="AV100" t="s">
        <v>13</v>
      </c>
      <c r="AW100" t="s">
        <v>13</v>
      </c>
      <c r="AX100" t="s">
        <v>13</v>
      </c>
      <c r="AY100" t="s">
        <v>13</v>
      </c>
      <c r="AZ100" t="s">
        <v>13</v>
      </c>
      <c r="BA100" t="s">
        <v>13</v>
      </c>
    </row>
    <row r="101" spans="1:53" x14ac:dyDescent="0.2">
      <c r="A101">
        <v>1992</v>
      </c>
      <c r="B101" t="s">
        <v>54</v>
      </c>
      <c r="C101" t="s">
        <v>58</v>
      </c>
      <c r="D101">
        <v>2.2999999999999998</v>
      </c>
      <c r="E101">
        <v>0</v>
      </c>
      <c r="F101">
        <v>0</v>
      </c>
      <c r="G101">
        <v>0</v>
      </c>
      <c r="H101">
        <v>0</v>
      </c>
      <c r="I101">
        <v>20.2</v>
      </c>
      <c r="J101">
        <v>0</v>
      </c>
      <c r="K101">
        <f t="shared" ref="K101:K164" si="46">SUM(D101:J101)</f>
        <v>22.5</v>
      </c>
      <c r="L101">
        <v>2.4</v>
      </c>
      <c r="M101">
        <v>0</v>
      </c>
      <c r="N101">
        <v>0</v>
      </c>
      <c r="O101">
        <f t="shared" si="40"/>
        <v>2.4</v>
      </c>
      <c r="P101">
        <v>0</v>
      </c>
      <c r="Q101">
        <v>0</v>
      </c>
      <c r="R101">
        <v>1.9</v>
      </c>
      <c r="S101">
        <f t="shared" si="41"/>
        <v>1.9</v>
      </c>
      <c r="T101">
        <v>8.1</v>
      </c>
      <c r="U101">
        <v>5.3</v>
      </c>
      <c r="V101">
        <v>0</v>
      </c>
      <c r="W101">
        <v>0</v>
      </c>
      <c r="X101">
        <v>2</v>
      </c>
      <c r="Y101">
        <v>0</v>
      </c>
      <c r="Z101">
        <v>0</v>
      </c>
      <c r="AA101">
        <f t="shared" si="42"/>
        <v>15.399999999999999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3</v>
      </c>
      <c r="AI101">
        <v>0</v>
      </c>
      <c r="AJ101">
        <f t="shared" si="32"/>
        <v>3</v>
      </c>
      <c r="AK101">
        <v>3</v>
      </c>
      <c r="AL101">
        <v>0.51700000000000002</v>
      </c>
      <c r="AM101">
        <f t="shared" si="33"/>
        <v>0.45199999999999996</v>
      </c>
      <c r="AN101" t="s">
        <v>13</v>
      </c>
      <c r="AO101" t="s">
        <v>13</v>
      </c>
      <c r="AP101" t="s">
        <v>13</v>
      </c>
      <c r="AQ101" t="s">
        <v>13</v>
      </c>
      <c r="AR101">
        <f t="shared" si="45"/>
        <v>6.637168141592921E-2</v>
      </c>
      <c r="AS101">
        <f t="shared" si="43"/>
        <v>0.42199999999999993</v>
      </c>
      <c r="AT101" t="s">
        <v>13</v>
      </c>
      <c r="AU101" t="s">
        <v>13</v>
      </c>
      <c r="AV101" t="s">
        <v>13</v>
      </c>
      <c r="AW101" t="s">
        <v>13</v>
      </c>
      <c r="AX101" t="s">
        <v>13</v>
      </c>
      <c r="AY101" t="s">
        <v>13</v>
      </c>
      <c r="AZ101" t="s">
        <v>13</v>
      </c>
      <c r="BA101" t="s">
        <v>13</v>
      </c>
    </row>
    <row r="102" spans="1:53" x14ac:dyDescent="0.2">
      <c r="A102">
        <v>1993</v>
      </c>
      <c r="B102" t="s">
        <v>54</v>
      </c>
      <c r="C102" t="s">
        <v>58</v>
      </c>
      <c r="D102">
        <v>4.2</v>
      </c>
      <c r="E102">
        <v>0</v>
      </c>
      <c r="F102">
        <v>0</v>
      </c>
      <c r="G102">
        <v>3</v>
      </c>
      <c r="H102">
        <v>0</v>
      </c>
      <c r="I102">
        <v>7.7</v>
      </c>
      <c r="J102">
        <v>0</v>
      </c>
      <c r="K102">
        <f t="shared" si="46"/>
        <v>14.9</v>
      </c>
      <c r="L102">
        <v>0</v>
      </c>
      <c r="M102">
        <v>1</v>
      </c>
      <c r="N102">
        <v>0</v>
      </c>
      <c r="O102">
        <f t="shared" si="40"/>
        <v>1</v>
      </c>
      <c r="P102">
        <v>0</v>
      </c>
      <c r="Q102">
        <v>0</v>
      </c>
      <c r="R102">
        <v>0</v>
      </c>
      <c r="S102">
        <f t="shared" si="41"/>
        <v>0</v>
      </c>
      <c r="T102">
        <v>14.6</v>
      </c>
      <c r="U102">
        <v>7.5</v>
      </c>
      <c r="V102">
        <v>4.4000000000000004</v>
      </c>
      <c r="W102">
        <v>0.3</v>
      </c>
      <c r="X102">
        <v>0</v>
      </c>
      <c r="Y102">
        <v>0</v>
      </c>
      <c r="Z102">
        <v>0</v>
      </c>
      <c r="AA102">
        <f t="shared" si="42"/>
        <v>26.8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2.8</v>
      </c>
      <c r="AI102">
        <v>14.3</v>
      </c>
      <c r="AJ102">
        <f t="shared" si="32"/>
        <v>17.100000000000001</v>
      </c>
      <c r="AK102">
        <v>2.2999999999999998</v>
      </c>
      <c r="AL102">
        <v>0.379</v>
      </c>
      <c r="AM102">
        <f t="shared" si="33"/>
        <v>0.59800000000000009</v>
      </c>
      <c r="AN102" t="s">
        <v>13</v>
      </c>
      <c r="AO102" t="s">
        <v>13</v>
      </c>
      <c r="AP102" t="s">
        <v>13</v>
      </c>
      <c r="AQ102" t="s">
        <v>13</v>
      </c>
      <c r="AR102">
        <f t="shared" si="45"/>
        <v>0.28595317725752506</v>
      </c>
      <c r="AS102">
        <f t="shared" si="43"/>
        <v>0.42700000000000005</v>
      </c>
      <c r="AT102" t="s">
        <v>13</v>
      </c>
      <c r="AU102" t="s">
        <v>13</v>
      </c>
      <c r="AV102" t="s">
        <v>13</v>
      </c>
      <c r="AW102" t="s">
        <v>13</v>
      </c>
      <c r="AX102" t="s">
        <v>13</v>
      </c>
      <c r="AY102" t="s">
        <v>13</v>
      </c>
      <c r="AZ102" t="s">
        <v>13</v>
      </c>
      <c r="BA102" t="s">
        <v>13</v>
      </c>
    </row>
    <row r="103" spans="1:53" x14ac:dyDescent="0.2">
      <c r="A103">
        <v>1994</v>
      </c>
      <c r="B103" t="s">
        <v>54</v>
      </c>
      <c r="C103" t="s">
        <v>58</v>
      </c>
      <c r="D103">
        <v>5.2</v>
      </c>
      <c r="E103">
        <v>0</v>
      </c>
      <c r="F103">
        <v>0</v>
      </c>
      <c r="G103">
        <v>2.2000000000000002</v>
      </c>
      <c r="H103">
        <v>0</v>
      </c>
      <c r="I103">
        <v>2.1</v>
      </c>
      <c r="J103">
        <v>0</v>
      </c>
      <c r="K103">
        <f t="shared" si="46"/>
        <v>9.5</v>
      </c>
      <c r="L103">
        <v>0</v>
      </c>
      <c r="M103">
        <v>0</v>
      </c>
      <c r="N103">
        <v>0</v>
      </c>
      <c r="O103">
        <f t="shared" si="40"/>
        <v>0</v>
      </c>
      <c r="P103">
        <v>0</v>
      </c>
      <c r="Q103">
        <v>0</v>
      </c>
      <c r="R103">
        <v>0</v>
      </c>
      <c r="S103">
        <f t="shared" si="41"/>
        <v>0</v>
      </c>
      <c r="T103">
        <v>1.4</v>
      </c>
      <c r="U103">
        <v>0</v>
      </c>
      <c r="V103">
        <v>2</v>
      </c>
      <c r="W103">
        <v>0</v>
      </c>
      <c r="X103">
        <v>0</v>
      </c>
      <c r="Y103">
        <v>0</v>
      </c>
      <c r="Z103">
        <v>0</v>
      </c>
      <c r="AA103">
        <f t="shared" si="42"/>
        <v>3.4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f t="shared" si="32"/>
        <v>0</v>
      </c>
      <c r="AK103">
        <v>6</v>
      </c>
      <c r="AL103">
        <v>0.81</v>
      </c>
      <c r="AM103">
        <f t="shared" si="33"/>
        <v>0.129</v>
      </c>
      <c r="AN103" t="s">
        <v>13</v>
      </c>
      <c r="AO103" t="s">
        <v>13</v>
      </c>
      <c r="AP103" t="s">
        <v>13</v>
      </c>
      <c r="AQ103" t="s">
        <v>13</v>
      </c>
      <c r="AR103">
        <f t="shared" si="45"/>
        <v>0</v>
      </c>
      <c r="AS103">
        <f t="shared" si="43"/>
        <v>0.129</v>
      </c>
      <c r="AT103" t="s">
        <v>13</v>
      </c>
      <c r="AU103" t="s">
        <v>13</v>
      </c>
      <c r="AV103" t="s">
        <v>13</v>
      </c>
      <c r="AW103" t="s">
        <v>13</v>
      </c>
      <c r="AX103" t="s">
        <v>13</v>
      </c>
      <c r="AY103" t="s">
        <v>13</v>
      </c>
      <c r="AZ103" t="s">
        <v>13</v>
      </c>
      <c r="BA103" t="s">
        <v>13</v>
      </c>
    </row>
    <row r="104" spans="1:53" x14ac:dyDescent="0.2">
      <c r="A104">
        <v>1995</v>
      </c>
      <c r="B104" t="s">
        <v>54</v>
      </c>
      <c r="C104" t="s">
        <v>58</v>
      </c>
      <c r="D104">
        <v>1.4</v>
      </c>
      <c r="E104">
        <v>0</v>
      </c>
      <c r="F104">
        <v>0</v>
      </c>
      <c r="G104">
        <v>2.5</v>
      </c>
      <c r="H104">
        <v>0</v>
      </c>
      <c r="I104">
        <v>2.5</v>
      </c>
      <c r="J104">
        <v>2.8</v>
      </c>
      <c r="K104">
        <f t="shared" si="46"/>
        <v>9.1999999999999993</v>
      </c>
      <c r="L104">
        <v>0</v>
      </c>
      <c r="M104">
        <v>1.3</v>
      </c>
      <c r="N104">
        <v>0</v>
      </c>
      <c r="O104">
        <f t="shared" si="40"/>
        <v>1.3</v>
      </c>
      <c r="P104">
        <v>0</v>
      </c>
      <c r="Q104">
        <v>0.3</v>
      </c>
      <c r="R104">
        <v>0</v>
      </c>
      <c r="S104">
        <f t="shared" si="41"/>
        <v>0.3</v>
      </c>
      <c r="T104">
        <v>3</v>
      </c>
      <c r="U104">
        <v>0</v>
      </c>
      <c r="V104">
        <v>1.9</v>
      </c>
      <c r="W104">
        <v>0</v>
      </c>
      <c r="X104">
        <v>0</v>
      </c>
      <c r="Y104">
        <v>0.9</v>
      </c>
      <c r="Z104">
        <v>0</v>
      </c>
      <c r="AA104">
        <f t="shared" si="42"/>
        <v>5.8000000000000007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1.1000000000000001</v>
      </c>
      <c r="AI104">
        <v>1.8</v>
      </c>
      <c r="AJ104">
        <f t="shared" si="32"/>
        <v>2.9000000000000004</v>
      </c>
      <c r="AK104">
        <v>0</v>
      </c>
      <c r="AL104">
        <v>0.80400000000000005</v>
      </c>
      <c r="AM104">
        <f t="shared" si="33"/>
        <v>0.19500000000000003</v>
      </c>
      <c r="AN104" t="s">
        <v>13</v>
      </c>
      <c r="AO104" t="s">
        <v>13</v>
      </c>
      <c r="AP104" t="s">
        <v>13</v>
      </c>
      <c r="AQ104" t="s">
        <v>13</v>
      </c>
      <c r="AR104">
        <f t="shared" si="45"/>
        <v>0.14871794871794872</v>
      </c>
      <c r="AS104">
        <f t="shared" si="43"/>
        <v>0.16600000000000001</v>
      </c>
      <c r="AT104" t="s">
        <v>13</v>
      </c>
      <c r="AU104" t="s">
        <v>13</v>
      </c>
      <c r="AV104" t="s">
        <v>13</v>
      </c>
      <c r="AW104" t="s">
        <v>13</v>
      </c>
      <c r="AX104" t="s">
        <v>13</v>
      </c>
      <c r="AY104" t="s">
        <v>13</v>
      </c>
      <c r="AZ104" t="s">
        <v>13</v>
      </c>
      <c r="BA104" t="s">
        <v>13</v>
      </c>
    </row>
    <row r="105" spans="1:53" x14ac:dyDescent="0.2">
      <c r="A105">
        <v>1996</v>
      </c>
      <c r="B105" t="s">
        <v>54</v>
      </c>
      <c r="C105" t="s">
        <v>58</v>
      </c>
      <c r="D105">
        <v>5</v>
      </c>
      <c r="E105">
        <v>0</v>
      </c>
      <c r="F105">
        <v>0</v>
      </c>
      <c r="G105">
        <v>0.3</v>
      </c>
      <c r="H105">
        <v>0</v>
      </c>
      <c r="I105">
        <v>0.7</v>
      </c>
      <c r="J105">
        <v>0</v>
      </c>
      <c r="K105">
        <f t="shared" si="46"/>
        <v>6</v>
      </c>
      <c r="L105">
        <v>0</v>
      </c>
      <c r="M105">
        <v>0</v>
      </c>
      <c r="N105">
        <v>0</v>
      </c>
      <c r="O105">
        <f t="shared" si="40"/>
        <v>0</v>
      </c>
      <c r="P105">
        <v>0</v>
      </c>
      <c r="Q105">
        <v>0</v>
      </c>
      <c r="R105">
        <v>2.2999999999999998</v>
      </c>
      <c r="S105">
        <f t="shared" si="41"/>
        <v>2.2999999999999998</v>
      </c>
      <c r="T105">
        <v>0.7</v>
      </c>
      <c r="U105">
        <v>0</v>
      </c>
      <c r="V105">
        <v>5.7</v>
      </c>
      <c r="W105">
        <v>0</v>
      </c>
      <c r="X105">
        <v>0</v>
      </c>
      <c r="Y105">
        <v>0</v>
      </c>
      <c r="Z105">
        <v>0</v>
      </c>
      <c r="AA105">
        <f t="shared" si="42"/>
        <v>6.4</v>
      </c>
      <c r="AB105">
        <v>0</v>
      </c>
      <c r="AC105">
        <v>0</v>
      </c>
      <c r="AD105">
        <v>0</v>
      </c>
      <c r="AE105">
        <v>0</v>
      </c>
      <c r="AF105">
        <v>0.3</v>
      </c>
      <c r="AG105">
        <v>0</v>
      </c>
      <c r="AH105">
        <v>1.1000000000000001</v>
      </c>
      <c r="AI105">
        <v>3.4</v>
      </c>
      <c r="AJ105">
        <f t="shared" si="32"/>
        <v>4.8</v>
      </c>
      <c r="AK105">
        <v>0</v>
      </c>
      <c r="AL105">
        <v>0.80500000000000005</v>
      </c>
      <c r="AM105">
        <f t="shared" si="33"/>
        <v>0.19500000000000001</v>
      </c>
      <c r="AN105" t="s">
        <v>13</v>
      </c>
      <c r="AO105" t="s">
        <v>13</v>
      </c>
      <c r="AP105" t="s">
        <v>13</v>
      </c>
      <c r="AQ105" t="s">
        <v>13</v>
      </c>
      <c r="AR105">
        <f t="shared" si="45"/>
        <v>0.24615384615384614</v>
      </c>
      <c r="AS105">
        <f t="shared" si="43"/>
        <v>0.14700000000000002</v>
      </c>
      <c r="AT105" t="s">
        <v>13</v>
      </c>
      <c r="AU105" t="s">
        <v>13</v>
      </c>
      <c r="AV105" t="s">
        <v>13</v>
      </c>
      <c r="AW105" t="s">
        <v>13</v>
      </c>
      <c r="AX105" t="s">
        <v>13</v>
      </c>
      <c r="AY105" t="s">
        <v>13</v>
      </c>
      <c r="AZ105" t="s">
        <v>13</v>
      </c>
      <c r="BA105" t="s">
        <v>13</v>
      </c>
    </row>
    <row r="106" spans="1:53" x14ac:dyDescent="0.2">
      <c r="A106">
        <v>1997</v>
      </c>
      <c r="B106" t="s">
        <v>54</v>
      </c>
      <c r="C106" t="s">
        <v>58</v>
      </c>
      <c r="D106">
        <v>5.5</v>
      </c>
      <c r="E106">
        <v>0</v>
      </c>
      <c r="F106">
        <v>12.2</v>
      </c>
      <c r="G106">
        <v>2.6</v>
      </c>
      <c r="H106">
        <v>0</v>
      </c>
      <c r="I106">
        <v>6.2</v>
      </c>
      <c r="J106">
        <v>0</v>
      </c>
      <c r="K106">
        <f t="shared" si="46"/>
        <v>26.5</v>
      </c>
      <c r="L106">
        <v>0</v>
      </c>
      <c r="M106">
        <v>0</v>
      </c>
      <c r="N106">
        <v>0</v>
      </c>
      <c r="O106">
        <f t="shared" si="40"/>
        <v>0</v>
      </c>
      <c r="P106">
        <v>0</v>
      </c>
      <c r="Q106">
        <v>0.1</v>
      </c>
      <c r="R106">
        <v>2.5</v>
      </c>
      <c r="S106">
        <f t="shared" si="41"/>
        <v>2.6</v>
      </c>
      <c r="T106">
        <v>1.3</v>
      </c>
      <c r="U106">
        <v>0</v>
      </c>
      <c r="V106">
        <v>4.4000000000000004</v>
      </c>
      <c r="W106">
        <v>0</v>
      </c>
      <c r="X106">
        <v>0</v>
      </c>
      <c r="Y106">
        <v>0</v>
      </c>
      <c r="Z106">
        <v>0</v>
      </c>
      <c r="AA106">
        <f t="shared" si="42"/>
        <v>5.7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1.2</v>
      </c>
      <c r="AJ106">
        <f t="shared" si="32"/>
        <v>1.2</v>
      </c>
      <c r="AK106">
        <v>0</v>
      </c>
      <c r="AL106">
        <v>0.64</v>
      </c>
      <c r="AM106">
        <f t="shared" si="33"/>
        <v>0.36</v>
      </c>
      <c r="AN106" t="s">
        <v>13</v>
      </c>
      <c r="AO106" t="s">
        <v>13</v>
      </c>
      <c r="AP106" t="s">
        <v>13</v>
      </c>
      <c r="AQ106" t="s">
        <v>13</v>
      </c>
      <c r="AR106">
        <f t="shared" si="45"/>
        <v>3.3333333333333333E-2</v>
      </c>
      <c r="AS106">
        <f t="shared" si="43"/>
        <v>0.34800000000000003</v>
      </c>
      <c r="AT106" t="s">
        <v>13</v>
      </c>
      <c r="AU106" t="s">
        <v>13</v>
      </c>
      <c r="AV106" t="s">
        <v>13</v>
      </c>
      <c r="AW106" t="s">
        <v>13</v>
      </c>
      <c r="AX106" t="s">
        <v>13</v>
      </c>
      <c r="AY106" t="s">
        <v>13</v>
      </c>
      <c r="AZ106" t="s">
        <v>13</v>
      </c>
      <c r="BA106" t="s">
        <v>13</v>
      </c>
    </row>
    <row r="107" spans="1:53" x14ac:dyDescent="0.2">
      <c r="A107">
        <v>1998</v>
      </c>
      <c r="B107" t="s">
        <v>54</v>
      </c>
      <c r="C107" t="s">
        <v>58</v>
      </c>
      <c r="D107" t="s">
        <v>13</v>
      </c>
      <c r="E107" t="s">
        <v>13</v>
      </c>
      <c r="F107" t="s">
        <v>13</v>
      </c>
      <c r="G107" t="s">
        <v>13</v>
      </c>
      <c r="H107" t="s">
        <v>13</v>
      </c>
      <c r="I107" t="s">
        <v>13</v>
      </c>
      <c r="J107" t="s">
        <v>13</v>
      </c>
      <c r="K107" t="s">
        <v>13</v>
      </c>
      <c r="L107" t="s">
        <v>13</v>
      </c>
      <c r="M107" t="s">
        <v>13</v>
      </c>
      <c r="N107" t="s">
        <v>13</v>
      </c>
      <c r="O107" t="s">
        <v>13</v>
      </c>
      <c r="P107" t="s">
        <v>13</v>
      </c>
      <c r="Q107" t="s">
        <v>13</v>
      </c>
      <c r="R107" t="s">
        <v>13</v>
      </c>
      <c r="S107" t="s">
        <v>13</v>
      </c>
      <c r="T107" t="s">
        <v>13</v>
      </c>
      <c r="U107" t="s">
        <v>13</v>
      </c>
      <c r="V107" t="s">
        <v>13</v>
      </c>
      <c r="W107" t="s">
        <v>13</v>
      </c>
      <c r="X107" t="s">
        <v>13</v>
      </c>
      <c r="Y107" t="s">
        <v>13</v>
      </c>
      <c r="Z107" t="s">
        <v>13</v>
      </c>
      <c r="AA107" t="s">
        <v>13</v>
      </c>
      <c r="AB107" t="s">
        <v>13</v>
      </c>
      <c r="AC107" t="s">
        <v>13</v>
      </c>
      <c r="AD107" t="s">
        <v>13</v>
      </c>
      <c r="AE107" t="s">
        <v>13</v>
      </c>
      <c r="AF107" t="s">
        <v>13</v>
      </c>
      <c r="AG107" t="s">
        <v>13</v>
      </c>
      <c r="AH107" t="s">
        <v>13</v>
      </c>
      <c r="AI107" t="s">
        <v>13</v>
      </c>
      <c r="AJ107" t="s">
        <v>13</v>
      </c>
      <c r="AK107" t="s">
        <v>13</v>
      </c>
      <c r="AL107" t="s">
        <v>13</v>
      </c>
      <c r="AM107">
        <f t="shared" si="33"/>
        <v>0</v>
      </c>
      <c r="AN107" t="s">
        <v>13</v>
      </c>
      <c r="AO107" t="s">
        <v>13</v>
      </c>
      <c r="AP107" t="s">
        <v>13</v>
      </c>
      <c r="AQ107" t="s">
        <v>13</v>
      </c>
      <c r="AR107" t="e">
        <f t="shared" si="45"/>
        <v>#VALUE!</v>
      </c>
      <c r="AS107">
        <f t="shared" si="43"/>
        <v>0</v>
      </c>
      <c r="AT107" t="s">
        <v>13</v>
      </c>
      <c r="AU107" t="s">
        <v>13</v>
      </c>
      <c r="AV107" t="s">
        <v>13</v>
      </c>
      <c r="AW107" t="s">
        <v>13</v>
      </c>
      <c r="AX107" t="s">
        <v>13</v>
      </c>
      <c r="AY107" t="s">
        <v>13</v>
      </c>
      <c r="AZ107" t="s">
        <v>13</v>
      </c>
      <c r="BA107" t="s">
        <v>13</v>
      </c>
    </row>
    <row r="108" spans="1:53" x14ac:dyDescent="0.2">
      <c r="A108">
        <v>1999</v>
      </c>
      <c r="B108" t="s">
        <v>54</v>
      </c>
      <c r="C108" t="s">
        <v>58</v>
      </c>
      <c r="D108">
        <v>6.5</v>
      </c>
      <c r="E108">
        <v>0</v>
      </c>
      <c r="F108">
        <v>4.0999999999999996</v>
      </c>
      <c r="G108">
        <v>0</v>
      </c>
      <c r="H108">
        <v>6.6</v>
      </c>
      <c r="I108">
        <v>4.3</v>
      </c>
      <c r="J108">
        <v>0</v>
      </c>
      <c r="K108">
        <f t="shared" si="46"/>
        <v>21.5</v>
      </c>
      <c r="L108">
        <v>0</v>
      </c>
      <c r="M108">
        <v>0</v>
      </c>
      <c r="N108">
        <v>0</v>
      </c>
      <c r="O108">
        <f t="shared" si="40"/>
        <v>0</v>
      </c>
      <c r="P108">
        <v>0</v>
      </c>
      <c r="Q108">
        <v>0</v>
      </c>
      <c r="R108">
        <v>0</v>
      </c>
      <c r="S108">
        <f t="shared" si="41"/>
        <v>0</v>
      </c>
      <c r="T108">
        <v>4.5999999999999996</v>
      </c>
      <c r="U108">
        <v>3.1</v>
      </c>
      <c r="V108">
        <v>5.2</v>
      </c>
      <c r="W108">
        <v>0</v>
      </c>
      <c r="X108">
        <v>0</v>
      </c>
      <c r="Y108">
        <v>0</v>
      </c>
      <c r="Z108">
        <v>0</v>
      </c>
      <c r="AA108">
        <f t="shared" si="42"/>
        <v>12.899999999999999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13.8</v>
      </c>
      <c r="AJ108">
        <f t="shared" si="32"/>
        <v>13.8</v>
      </c>
      <c r="AK108">
        <v>0</v>
      </c>
      <c r="AL108">
        <v>0.51800000000000002</v>
      </c>
      <c r="AM108">
        <f t="shared" si="33"/>
        <v>0.48200000000000004</v>
      </c>
      <c r="AN108" t="s">
        <v>13</v>
      </c>
      <c r="AO108" t="s">
        <v>13</v>
      </c>
      <c r="AP108" t="s">
        <v>13</v>
      </c>
      <c r="AQ108" t="s">
        <v>13</v>
      </c>
      <c r="AR108">
        <f t="shared" si="45"/>
        <v>0.2863070539419087</v>
      </c>
      <c r="AS108">
        <f t="shared" si="43"/>
        <v>0.34399999999999997</v>
      </c>
      <c r="AT108" t="s">
        <v>13</v>
      </c>
      <c r="AU108" t="s">
        <v>13</v>
      </c>
      <c r="AV108" t="s">
        <v>13</v>
      </c>
      <c r="AW108" t="s">
        <v>13</v>
      </c>
      <c r="AX108" t="s">
        <v>13</v>
      </c>
      <c r="AY108" t="s">
        <v>13</v>
      </c>
      <c r="AZ108" t="s">
        <v>13</v>
      </c>
      <c r="BA108" t="s">
        <v>13</v>
      </c>
    </row>
    <row r="109" spans="1:53" x14ac:dyDescent="0.2">
      <c r="A109">
        <v>2000</v>
      </c>
      <c r="B109" t="s">
        <v>54</v>
      </c>
      <c r="C109" t="s">
        <v>58</v>
      </c>
      <c r="D109" t="s">
        <v>13</v>
      </c>
      <c r="E109" t="s">
        <v>13</v>
      </c>
      <c r="F109" t="s">
        <v>13</v>
      </c>
      <c r="G109" t="s">
        <v>13</v>
      </c>
      <c r="H109" t="s">
        <v>13</v>
      </c>
      <c r="I109" t="s">
        <v>13</v>
      </c>
      <c r="J109" t="s">
        <v>13</v>
      </c>
      <c r="K109" t="s">
        <v>13</v>
      </c>
      <c r="L109" t="s">
        <v>13</v>
      </c>
      <c r="M109" t="s">
        <v>13</v>
      </c>
      <c r="N109" t="s">
        <v>13</v>
      </c>
      <c r="O109" t="s">
        <v>13</v>
      </c>
      <c r="P109" t="s">
        <v>13</v>
      </c>
      <c r="Q109" t="s">
        <v>13</v>
      </c>
      <c r="R109" t="s">
        <v>13</v>
      </c>
      <c r="S109" t="s">
        <v>13</v>
      </c>
      <c r="T109" t="s">
        <v>13</v>
      </c>
      <c r="U109" t="s">
        <v>13</v>
      </c>
      <c r="V109" t="s">
        <v>13</v>
      </c>
      <c r="W109" t="s">
        <v>13</v>
      </c>
      <c r="X109" t="s">
        <v>13</v>
      </c>
      <c r="Y109" t="s">
        <v>13</v>
      </c>
      <c r="Z109" t="s">
        <v>13</v>
      </c>
      <c r="AA109" t="s">
        <v>13</v>
      </c>
      <c r="AB109" t="s">
        <v>13</v>
      </c>
      <c r="AC109" t="s">
        <v>13</v>
      </c>
      <c r="AD109" t="s">
        <v>13</v>
      </c>
      <c r="AE109" t="s">
        <v>13</v>
      </c>
      <c r="AF109" t="s">
        <v>13</v>
      </c>
      <c r="AG109" t="s">
        <v>13</v>
      </c>
      <c r="AH109" t="s">
        <v>13</v>
      </c>
      <c r="AI109" t="s">
        <v>13</v>
      </c>
      <c r="AJ109" t="s">
        <v>13</v>
      </c>
      <c r="AK109" t="s">
        <v>13</v>
      </c>
      <c r="AL109" t="s">
        <v>13</v>
      </c>
      <c r="AM109">
        <f t="shared" si="33"/>
        <v>0</v>
      </c>
      <c r="AN109" t="s">
        <v>13</v>
      </c>
      <c r="AO109" t="s">
        <v>13</v>
      </c>
      <c r="AP109" t="s">
        <v>13</v>
      </c>
      <c r="AQ109" t="s">
        <v>13</v>
      </c>
      <c r="AR109" t="e">
        <f t="shared" si="45"/>
        <v>#VALUE!</v>
      </c>
      <c r="AS109">
        <f t="shared" si="43"/>
        <v>0</v>
      </c>
      <c r="AT109" t="s">
        <v>13</v>
      </c>
      <c r="AU109" t="s">
        <v>13</v>
      </c>
      <c r="AV109" t="s">
        <v>13</v>
      </c>
      <c r="AW109" t="s">
        <v>13</v>
      </c>
      <c r="AX109" t="s">
        <v>13</v>
      </c>
      <c r="AY109" t="s">
        <v>13</v>
      </c>
      <c r="AZ109" t="s">
        <v>13</v>
      </c>
      <c r="BA109" t="s">
        <v>13</v>
      </c>
    </row>
    <row r="110" spans="1:53" x14ac:dyDescent="0.2">
      <c r="A110">
        <v>2001</v>
      </c>
      <c r="B110" t="s">
        <v>54</v>
      </c>
      <c r="C110" t="s">
        <v>58</v>
      </c>
      <c r="D110">
        <v>1</v>
      </c>
      <c r="E110">
        <v>0</v>
      </c>
      <c r="F110">
        <v>0</v>
      </c>
      <c r="G110">
        <v>0</v>
      </c>
      <c r="H110">
        <v>0</v>
      </c>
      <c r="I110">
        <v>1.3</v>
      </c>
      <c r="J110">
        <v>3.7</v>
      </c>
      <c r="K110">
        <f t="shared" si="46"/>
        <v>6</v>
      </c>
      <c r="L110">
        <v>0</v>
      </c>
      <c r="M110">
        <v>0</v>
      </c>
      <c r="N110">
        <v>0</v>
      </c>
      <c r="O110">
        <f t="shared" si="40"/>
        <v>0</v>
      </c>
      <c r="P110">
        <v>0</v>
      </c>
      <c r="Q110">
        <v>0</v>
      </c>
      <c r="R110">
        <v>0</v>
      </c>
      <c r="S110">
        <f t="shared" si="41"/>
        <v>0</v>
      </c>
      <c r="T110">
        <v>3.5</v>
      </c>
      <c r="U110">
        <v>9.8000000000000007</v>
      </c>
      <c r="V110">
        <v>8.1999999999999993</v>
      </c>
      <c r="W110">
        <v>0.4</v>
      </c>
      <c r="X110">
        <v>0</v>
      </c>
      <c r="Y110">
        <v>0</v>
      </c>
      <c r="Z110">
        <v>0</v>
      </c>
      <c r="AA110">
        <f t="shared" si="42"/>
        <v>21.9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1.5</v>
      </c>
      <c r="AI110">
        <v>2.4</v>
      </c>
      <c r="AJ110">
        <f t="shared" si="32"/>
        <v>3.9</v>
      </c>
      <c r="AK110">
        <v>0.4</v>
      </c>
      <c r="AL110">
        <v>0.67700000000000005</v>
      </c>
      <c r="AM110">
        <f t="shared" si="33"/>
        <v>0.318</v>
      </c>
      <c r="AN110" t="s">
        <v>13</v>
      </c>
      <c r="AO110" t="s">
        <v>13</v>
      </c>
      <c r="AP110" t="s">
        <v>13</v>
      </c>
      <c r="AQ110" t="s">
        <v>13</v>
      </c>
      <c r="AR110">
        <f t="shared" si="45"/>
        <v>0.12264150943396226</v>
      </c>
      <c r="AS110">
        <f t="shared" si="43"/>
        <v>0.27899999999999997</v>
      </c>
      <c r="AT110" t="s">
        <v>13</v>
      </c>
      <c r="AU110" t="s">
        <v>13</v>
      </c>
      <c r="AV110" t="s">
        <v>13</v>
      </c>
      <c r="AW110" t="s">
        <v>13</v>
      </c>
      <c r="AX110" t="s">
        <v>13</v>
      </c>
      <c r="AY110" t="s">
        <v>13</v>
      </c>
      <c r="AZ110" t="s">
        <v>13</v>
      </c>
      <c r="BA110" t="s">
        <v>13</v>
      </c>
    </row>
    <row r="111" spans="1:53" x14ac:dyDescent="0.2">
      <c r="A111">
        <v>2002</v>
      </c>
      <c r="B111" t="s">
        <v>54</v>
      </c>
      <c r="C111" t="s">
        <v>58</v>
      </c>
      <c r="D111">
        <v>7</v>
      </c>
      <c r="E111">
        <v>0</v>
      </c>
      <c r="F111">
        <v>0</v>
      </c>
      <c r="G111">
        <v>1</v>
      </c>
      <c r="H111">
        <v>0</v>
      </c>
      <c r="I111">
        <v>6.5</v>
      </c>
      <c r="J111">
        <v>3.3</v>
      </c>
      <c r="K111">
        <f t="shared" si="46"/>
        <v>17.8</v>
      </c>
      <c r="L111">
        <v>0</v>
      </c>
      <c r="M111">
        <v>0</v>
      </c>
      <c r="N111">
        <v>0</v>
      </c>
      <c r="O111">
        <f t="shared" si="40"/>
        <v>0</v>
      </c>
      <c r="P111">
        <v>0</v>
      </c>
      <c r="Q111">
        <v>0</v>
      </c>
      <c r="R111">
        <v>0</v>
      </c>
      <c r="S111">
        <f t="shared" si="41"/>
        <v>0</v>
      </c>
      <c r="T111">
        <v>19.3</v>
      </c>
      <c r="U111">
        <v>20.3</v>
      </c>
      <c r="V111">
        <v>8.1999999999999993</v>
      </c>
      <c r="W111">
        <v>1.5</v>
      </c>
      <c r="X111">
        <v>0</v>
      </c>
      <c r="Y111">
        <v>0</v>
      </c>
      <c r="Z111">
        <v>0</v>
      </c>
      <c r="AA111">
        <f t="shared" si="42"/>
        <v>49.3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3.2</v>
      </c>
      <c r="AI111">
        <v>3.7</v>
      </c>
      <c r="AJ111">
        <f t="shared" si="32"/>
        <v>6.9</v>
      </c>
      <c r="AK111">
        <v>0.4</v>
      </c>
      <c r="AL111">
        <v>0.25700000000000001</v>
      </c>
      <c r="AM111">
        <f t="shared" si="33"/>
        <v>0.74</v>
      </c>
      <c r="AN111" t="s">
        <v>13</v>
      </c>
      <c r="AO111" t="s">
        <v>13</v>
      </c>
      <c r="AP111" t="s">
        <v>13</v>
      </c>
      <c r="AQ111" t="s">
        <v>13</v>
      </c>
      <c r="AR111">
        <f t="shared" si="45"/>
        <v>9.3243243243243248E-2</v>
      </c>
      <c r="AS111">
        <f t="shared" si="43"/>
        <v>0.67099999999999993</v>
      </c>
      <c r="AT111" t="s">
        <v>13</v>
      </c>
      <c r="AU111" t="s">
        <v>13</v>
      </c>
      <c r="AV111" t="s">
        <v>13</v>
      </c>
      <c r="AW111" t="s">
        <v>13</v>
      </c>
      <c r="AX111" t="s">
        <v>13</v>
      </c>
      <c r="AY111" t="s">
        <v>13</v>
      </c>
      <c r="AZ111" t="s">
        <v>13</v>
      </c>
      <c r="BA111" t="s">
        <v>13</v>
      </c>
    </row>
    <row r="112" spans="1:53" x14ac:dyDescent="0.2">
      <c r="A112">
        <v>2003</v>
      </c>
      <c r="B112" t="s">
        <v>54</v>
      </c>
      <c r="C112" t="s">
        <v>58</v>
      </c>
      <c r="D112">
        <v>5.4</v>
      </c>
      <c r="E112">
        <v>0</v>
      </c>
      <c r="F112">
        <v>0</v>
      </c>
      <c r="G112">
        <v>1.4</v>
      </c>
      <c r="H112">
        <v>0</v>
      </c>
      <c r="I112">
        <v>9.6</v>
      </c>
      <c r="J112">
        <v>2.2999999999999998</v>
      </c>
      <c r="K112">
        <f t="shared" si="46"/>
        <v>18.7</v>
      </c>
      <c r="L112">
        <v>0</v>
      </c>
      <c r="M112">
        <v>0</v>
      </c>
      <c r="N112">
        <v>0</v>
      </c>
      <c r="O112">
        <f t="shared" si="40"/>
        <v>0</v>
      </c>
      <c r="P112">
        <v>0</v>
      </c>
      <c r="Q112">
        <v>0</v>
      </c>
      <c r="R112">
        <v>1.4</v>
      </c>
      <c r="S112">
        <f t="shared" si="41"/>
        <v>1.4</v>
      </c>
      <c r="T112">
        <v>9.4</v>
      </c>
      <c r="U112">
        <v>7.3</v>
      </c>
      <c r="V112">
        <v>9</v>
      </c>
      <c r="W112">
        <v>0</v>
      </c>
      <c r="X112">
        <v>0</v>
      </c>
      <c r="Y112">
        <v>0</v>
      </c>
      <c r="Z112">
        <v>0</v>
      </c>
      <c r="AA112">
        <f t="shared" si="42"/>
        <v>25.7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8.4</v>
      </c>
      <c r="AI112">
        <v>5</v>
      </c>
      <c r="AJ112">
        <f t="shared" si="32"/>
        <v>13.4</v>
      </c>
      <c r="AK112">
        <v>2</v>
      </c>
      <c r="AL112">
        <v>0.38600000000000001</v>
      </c>
      <c r="AM112">
        <f t="shared" si="33"/>
        <v>0.59199999999999997</v>
      </c>
      <c r="AN112" t="s">
        <v>13</v>
      </c>
      <c r="AO112" t="s">
        <v>13</v>
      </c>
      <c r="AP112" t="s">
        <v>13</v>
      </c>
      <c r="AQ112" t="s">
        <v>13</v>
      </c>
      <c r="AR112">
        <f t="shared" si="45"/>
        <v>0.22635135135135137</v>
      </c>
      <c r="AS112">
        <f t="shared" si="43"/>
        <v>0.45799999999999996</v>
      </c>
      <c r="AT112" t="s">
        <v>13</v>
      </c>
      <c r="AU112" t="s">
        <v>13</v>
      </c>
      <c r="AV112" t="s">
        <v>13</v>
      </c>
      <c r="AW112" t="s">
        <v>13</v>
      </c>
      <c r="AX112" t="s">
        <v>13</v>
      </c>
      <c r="AY112" t="s">
        <v>13</v>
      </c>
      <c r="AZ112" t="s">
        <v>13</v>
      </c>
      <c r="BA112" t="s">
        <v>13</v>
      </c>
    </row>
    <row r="113" spans="1:53" x14ac:dyDescent="0.2">
      <c r="A113">
        <v>2004</v>
      </c>
      <c r="B113" t="s">
        <v>54</v>
      </c>
      <c r="C113" t="s">
        <v>58</v>
      </c>
      <c r="D113">
        <v>5.0999999999999996</v>
      </c>
      <c r="E113">
        <v>0</v>
      </c>
      <c r="F113">
        <v>0</v>
      </c>
      <c r="G113">
        <v>1.1000000000000001</v>
      </c>
      <c r="H113">
        <v>0</v>
      </c>
      <c r="I113">
        <v>6.1</v>
      </c>
      <c r="J113">
        <v>0</v>
      </c>
      <c r="K113">
        <f t="shared" si="46"/>
        <v>12.299999999999999</v>
      </c>
      <c r="L113">
        <v>0</v>
      </c>
      <c r="M113">
        <v>0</v>
      </c>
      <c r="N113">
        <v>0</v>
      </c>
      <c r="O113">
        <f t="shared" si="40"/>
        <v>0</v>
      </c>
      <c r="P113">
        <v>0</v>
      </c>
      <c r="Q113">
        <v>0</v>
      </c>
      <c r="R113">
        <v>0</v>
      </c>
      <c r="S113">
        <f t="shared" si="41"/>
        <v>0</v>
      </c>
      <c r="T113">
        <v>9.9</v>
      </c>
      <c r="U113">
        <v>10.3</v>
      </c>
      <c r="V113">
        <v>9</v>
      </c>
      <c r="W113">
        <v>0</v>
      </c>
      <c r="X113">
        <v>0</v>
      </c>
      <c r="Y113">
        <v>0</v>
      </c>
      <c r="Z113">
        <v>2</v>
      </c>
      <c r="AA113">
        <f t="shared" si="42"/>
        <v>31.200000000000003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8.6999999999999993</v>
      </c>
      <c r="AI113">
        <v>2.4</v>
      </c>
      <c r="AJ113">
        <f t="shared" si="32"/>
        <v>11.1</v>
      </c>
      <c r="AK113">
        <v>6.4</v>
      </c>
      <c r="AL113">
        <v>0.38900000000000001</v>
      </c>
      <c r="AM113">
        <f t="shared" si="33"/>
        <v>0.54600000000000004</v>
      </c>
      <c r="AN113" t="s">
        <v>13</v>
      </c>
      <c r="AO113" t="s">
        <v>13</v>
      </c>
      <c r="AP113" t="s">
        <v>13</v>
      </c>
      <c r="AQ113" t="s">
        <v>13</v>
      </c>
      <c r="AR113">
        <f t="shared" si="45"/>
        <v>0.2032967032967033</v>
      </c>
      <c r="AS113">
        <f t="shared" si="43"/>
        <v>0.435</v>
      </c>
      <c r="AT113" t="s">
        <v>13</v>
      </c>
      <c r="AU113" t="s">
        <v>13</v>
      </c>
      <c r="AV113" t="s">
        <v>13</v>
      </c>
      <c r="AW113" t="s">
        <v>13</v>
      </c>
      <c r="AX113" t="s">
        <v>13</v>
      </c>
      <c r="AY113" t="s">
        <v>13</v>
      </c>
      <c r="AZ113" t="s">
        <v>13</v>
      </c>
      <c r="BA113" t="s">
        <v>13</v>
      </c>
    </row>
    <row r="114" spans="1:53" x14ac:dyDescent="0.2">
      <c r="A114">
        <v>2005</v>
      </c>
      <c r="B114" t="s">
        <v>54</v>
      </c>
      <c r="C114" t="s">
        <v>58</v>
      </c>
      <c r="D114">
        <v>2.8</v>
      </c>
      <c r="E114">
        <v>7.7</v>
      </c>
      <c r="F114">
        <v>0</v>
      </c>
      <c r="G114">
        <v>2.9</v>
      </c>
      <c r="H114">
        <v>0</v>
      </c>
      <c r="I114">
        <v>4.3</v>
      </c>
      <c r="J114">
        <v>3.5</v>
      </c>
      <c r="K114">
        <f t="shared" si="46"/>
        <v>21.2</v>
      </c>
      <c r="L114">
        <v>0</v>
      </c>
      <c r="M114">
        <v>0</v>
      </c>
      <c r="N114">
        <v>0</v>
      </c>
      <c r="O114">
        <f t="shared" si="40"/>
        <v>0</v>
      </c>
      <c r="P114">
        <v>0</v>
      </c>
      <c r="Q114">
        <v>0</v>
      </c>
      <c r="R114">
        <v>0</v>
      </c>
      <c r="S114">
        <f t="shared" si="41"/>
        <v>0</v>
      </c>
      <c r="T114">
        <v>4.5999999999999996</v>
      </c>
      <c r="U114">
        <v>5.4</v>
      </c>
      <c r="V114">
        <v>3.8</v>
      </c>
      <c r="W114">
        <v>0</v>
      </c>
      <c r="X114">
        <v>0</v>
      </c>
      <c r="Y114">
        <v>0</v>
      </c>
      <c r="Z114">
        <v>0</v>
      </c>
      <c r="AA114">
        <f t="shared" si="42"/>
        <v>13.8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3.3</v>
      </c>
      <c r="AI114">
        <v>3.9</v>
      </c>
      <c r="AJ114">
        <f t="shared" si="32"/>
        <v>7.1999999999999993</v>
      </c>
      <c r="AK114">
        <v>0.8</v>
      </c>
      <c r="AL114">
        <v>0.56799999999999995</v>
      </c>
      <c r="AM114">
        <f t="shared" si="33"/>
        <v>0.42199999999999993</v>
      </c>
      <c r="AN114" t="s">
        <v>13</v>
      </c>
      <c r="AO114" t="s">
        <v>13</v>
      </c>
      <c r="AP114" t="s">
        <v>13</v>
      </c>
      <c r="AQ114" t="s">
        <v>13</v>
      </c>
      <c r="AR114">
        <f t="shared" si="45"/>
        <v>0.17061611374407584</v>
      </c>
      <c r="AS114">
        <f t="shared" si="43"/>
        <v>0.35</v>
      </c>
      <c r="AT114" t="s">
        <v>13</v>
      </c>
      <c r="AU114" t="s">
        <v>13</v>
      </c>
      <c r="AV114" t="s">
        <v>13</v>
      </c>
      <c r="AW114" t="s">
        <v>13</v>
      </c>
      <c r="AX114" t="s">
        <v>13</v>
      </c>
      <c r="AY114" t="s">
        <v>13</v>
      </c>
      <c r="AZ114" t="s">
        <v>13</v>
      </c>
      <c r="BA114" t="s">
        <v>13</v>
      </c>
    </row>
    <row r="115" spans="1:53" x14ac:dyDescent="0.2">
      <c r="A115">
        <v>2006</v>
      </c>
      <c r="B115" t="s">
        <v>54</v>
      </c>
      <c r="C115" t="s">
        <v>58</v>
      </c>
      <c r="D115">
        <v>6.7</v>
      </c>
      <c r="E115">
        <v>0</v>
      </c>
      <c r="F115">
        <v>0</v>
      </c>
      <c r="G115">
        <v>3.3</v>
      </c>
      <c r="H115">
        <v>0</v>
      </c>
      <c r="I115">
        <v>4.9000000000000004</v>
      </c>
      <c r="J115">
        <v>0</v>
      </c>
      <c r="K115">
        <f t="shared" si="46"/>
        <v>14.9</v>
      </c>
      <c r="L115">
        <v>0</v>
      </c>
      <c r="M115">
        <v>0</v>
      </c>
      <c r="N115">
        <v>0</v>
      </c>
      <c r="O115">
        <f t="shared" si="40"/>
        <v>0</v>
      </c>
      <c r="P115">
        <v>0</v>
      </c>
      <c r="Q115">
        <v>0</v>
      </c>
      <c r="R115">
        <v>0</v>
      </c>
      <c r="S115">
        <f t="shared" si="41"/>
        <v>0</v>
      </c>
      <c r="T115">
        <v>6.2</v>
      </c>
      <c r="U115">
        <v>2</v>
      </c>
      <c r="V115">
        <v>1.5</v>
      </c>
      <c r="W115">
        <v>0</v>
      </c>
      <c r="X115">
        <v>0</v>
      </c>
      <c r="Y115">
        <v>0</v>
      </c>
      <c r="Z115">
        <v>0</v>
      </c>
      <c r="AA115">
        <f t="shared" si="42"/>
        <v>9.6999999999999993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2.1</v>
      </c>
      <c r="AI115">
        <v>10.9</v>
      </c>
      <c r="AJ115">
        <f t="shared" si="32"/>
        <v>13</v>
      </c>
      <c r="AK115">
        <v>0</v>
      </c>
      <c r="AL115">
        <v>0.624</v>
      </c>
      <c r="AM115">
        <f t="shared" si="33"/>
        <v>0.37599999999999995</v>
      </c>
      <c r="AN115" t="s">
        <v>13</v>
      </c>
      <c r="AO115" t="s">
        <v>13</v>
      </c>
      <c r="AP115" t="s">
        <v>13</v>
      </c>
      <c r="AQ115" t="s">
        <v>13</v>
      </c>
      <c r="AR115">
        <f t="shared" si="45"/>
        <v>0.34574468085106391</v>
      </c>
      <c r="AS115">
        <f t="shared" si="43"/>
        <v>0.24600000000000002</v>
      </c>
      <c r="AT115" t="s">
        <v>13</v>
      </c>
      <c r="AU115" t="s">
        <v>13</v>
      </c>
      <c r="AV115" t="s">
        <v>13</v>
      </c>
      <c r="AW115" t="s">
        <v>13</v>
      </c>
      <c r="AX115" t="s">
        <v>13</v>
      </c>
      <c r="AY115" t="s">
        <v>13</v>
      </c>
      <c r="AZ115" t="s">
        <v>13</v>
      </c>
      <c r="BA115" t="s">
        <v>13</v>
      </c>
    </row>
    <row r="116" spans="1:53" x14ac:dyDescent="0.2">
      <c r="A116">
        <v>2007</v>
      </c>
      <c r="B116" t="s">
        <v>54</v>
      </c>
      <c r="C116" t="s">
        <v>58</v>
      </c>
      <c r="D116">
        <v>3.2</v>
      </c>
      <c r="E116">
        <v>2.5</v>
      </c>
      <c r="F116">
        <v>0</v>
      </c>
      <c r="G116">
        <v>5.7</v>
      </c>
      <c r="H116">
        <v>0</v>
      </c>
      <c r="I116">
        <v>10.6</v>
      </c>
      <c r="J116">
        <v>4.0999999999999996</v>
      </c>
      <c r="K116">
        <f t="shared" si="46"/>
        <v>26.1</v>
      </c>
      <c r="L116">
        <v>0</v>
      </c>
      <c r="M116">
        <v>0</v>
      </c>
      <c r="N116">
        <v>0</v>
      </c>
      <c r="O116">
        <f t="shared" si="40"/>
        <v>0</v>
      </c>
      <c r="P116">
        <v>0</v>
      </c>
      <c r="Q116">
        <v>0</v>
      </c>
      <c r="R116">
        <v>0</v>
      </c>
      <c r="S116">
        <f t="shared" si="41"/>
        <v>0</v>
      </c>
      <c r="T116">
        <v>14.4</v>
      </c>
      <c r="U116">
        <v>2.9</v>
      </c>
      <c r="V116">
        <v>0</v>
      </c>
      <c r="W116">
        <v>1.4</v>
      </c>
      <c r="X116">
        <v>0</v>
      </c>
      <c r="Y116">
        <v>0</v>
      </c>
      <c r="Z116">
        <v>0</v>
      </c>
      <c r="AA116">
        <f t="shared" si="42"/>
        <v>18.7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f t="shared" si="32"/>
        <v>0</v>
      </c>
      <c r="AK116">
        <v>0</v>
      </c>
      <c r="AL116">
        <v>0.55100000000000005</v>
      </c>
      <c r="AM116">
        <f t="shared" si="33"/>
        <v>0.44799999999999995</v>
      </c>
      <c r="AN116" t="s">
        <v>13</v>
      </c>
      <c r="AO116" t="s">
        <v>13</v>
      </c>
      <c r="AP116" t="s">
        <v>13</v>
      </c>
      <c r="AQ116" t="s">
        <v>13</v>
      </c>
      <c r="AR116">
        <f t="shared" si="45"/>
        <v>0</v>
      </c>
      <c r="AS116">
        <f t="shared" si="43"/>
        <v>0.44799999999999995</v>
      </c>
      <c r="AT116" t="s">
        <v>13</v>
      </c>
      <c r="AU116" t="s">
        <v>13</v>
      </c>
      <c r="AV116" t="s">
        <v>13</v>
      </c>
      <c r="AW116" t="s">
        <v>13</v>
      </c>
      <c r="AX116" t="s">
        <v>13</v>
      </c>
      <c r="AY116" t="s">
        <v>13</v>
      </c>
      <c r="AZ116" t="s">
        <v>13</v>
      </c>
      <c r="BA116" t="s">
        <v>13</v>
      </c>
    </row>
    <row r="117" spans="1:53" x14ac:dyDescent="0.2">
      <c r="A117">
        <v>2008</v>
      </c>
      <c r="B117" t="s">
        <v>54</v>
      </c>
      <c r="C117" t="s">
        <v>58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9.5</v>
      </c>
      <c r="J117">
        <v>0</v>
      </c>
      <c r="K117">
        <f t="shared" si="46"/>
        <v>9.5</v>
      </c>
      <c r="L117">
        <v>0</v>
      </c>
      <c r="M117">
        <v>0</v>
      </c>
      <c r="N117">
        <v>0</v>
      </c>
      <c r="O117">
        <f t="shared" si="40"/>
        <v>0</v>
      </c>
      <c r="P117">
        <v>0</v>
      </c>
      <c r="Q117">
        <v>0</v>
      </c>
      <c r="R117">
        <v>0</v>
      </c>
      <c r="S117">
        <f t="shared" si="41"/>
        <v>0</v>
      </c>
      <c r="T117">
        <v>2.8</v>
      </c>
      <c r="U117">
        <v>6.1</v>
      </c>
      <c r="V117">
        <v>0</v>
      </c>
      <c r="W117">
        <v>0</v>
      </c>
      <c r="X117">
        <v>0</v>
      </c>
      <c r="Y117">
        <v>0</v>
      </c>
      <c r="Z117">
        <v>2.2999999999999998</v>
      </c>
      <c r="AA117">
        <f t="shared" si="42"/>
        <v>11.2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2.6</v>
      </c>
      <c r="AI117">
        <v>9.1999999999999993</v>
      </c>
      <c r="AJ117">
        <f t="shared" si="32"/>
        <v>11.799999999999999</v>
      </c>
      <c r="AK117">
        <v>1</v>
      </c>
      <c r="AL117">
        <v>0.66500000000000004</v>
      </c>
      <c r="AM117">
        <f t="shared" si="33"/>
        <v>0.32500000000000001</v>
      </c>
      <c r="AN117" t="s">
        <v>13</v>
      </c>
      <c r="AO117" t="s">
        <v>13</v>
      </c>
      <c r="AP117" t="s">
        <v>13</v>
      </c>
      <c r="AQ117" t="s">
        <v>13</v>
      </c>
      <c r="AR117">
        <f t="shared" si="45"/>
        <v>0.36307692307692302</v>
      </c>
      <c r="AS117">
        <f t="shared" ref="AS117:AS148" si="47">SUM(K117,O117,S117,AA117)/100</f>
        <v>0.20699999999999999</v>
      </c>
      <c r="AT117" t="s">
        <v>13</v>
      </c>
      <c r="AU117" t="s">
        <v>13</v>
      </c>
      <c r="AV117" t="s">
        <v>13</v>
      </c>
      <c r="AW117" t="s">
        <v>13</v>
      </c>
      <c r="AX117" t="s">
        <v>13</v>
      </c>
      <c r="AY117" t="s">
        <v>13</v>
      </c>
      <c r="AZ117" t="s">
        <v>13</v>
      </c>
      <c r="BA117" t="s">
        <v>13</v>
      </c>
    </row>
    <row r="118" spans="1:53" x14ac:dyDescent="0.2">
      <c r="A118">
        <v>2009</v>
      </c>
      <c r="B118" t="s">
        <v>54</v>
      </c>
      <c r="C118" t="s">
        <v>58</v>
      </c>
      <c r="D118">
        <v>2.7</v>
      </c>
      <c r="E118">
        <v>0</v>
      </c>
      <c r="F118">
        <v>2.9</v>
      </c>
      <c r="G118">
        <v>0</v>
      </c>
      <c r="H118">
        <v>1.4</v>
      </c>
      <c r="I118">
        <v>1.5</v>
      </c>
      <c r="J118">
        <v>1.6</v>
      </c>
      <c r="K118">
        <f t="shared" si="46"/>
        <v>10.1</v>
      </c>
      <c r="L118">
        <v>0</v>
      </c>
      <c r="M118">
        <v>0</v>
      </c>
      <c r="N118">
        <v>0</v>
      </c>
      <c r="O118">
        <f t="shared" si="40"/>
        <v>0</v>
      </c>
      <c r="P118">
        <v>0</v>
      </c>
      <c r="Q118">
        <v>0</v>
      </c>
      <c r="R118">
        <v>3.5</v>
      </c>
      <c r="S118">
        <f t="shared" si="41"/>
        <v>3.5</v>
      </c>
      <c r="T118">
        <v>6.2</v>
      </c>
      <c r="U118">
        <v>3.9</v>
      </c>
      <c r="V118">
        <v>0</v>
      </c>
      <c r="W118">
        <v>0</v>
      </c>
      <c r="X118">
        <v>0</v>
      </c>
      <c r="Y118">
        <v>0</v>
      </c>
      <c r="Z118">
        <v>2.2000000000000002</v>
      </c>
      <c r="AA118">
        <f t="shared" si="42"/>
        <v>12.3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1.3</v>
      </c>
      <c r="AI118">
        <v>7</v>
      </c>
      <c r="AJ118">
        <f t="shared" si="32"/>
        <v>8.3000000000000007</v>
      </c>
      <c r="AK118">
        <v>1.1000000000000001</v>
      </c>
      <c r="AL118">
        <v>0.64700000000000002</v>
      </c>
      <c r="AM118">
        <f t="shared" si="33"/>
        <v>0.34199999999999997</v>
      </c>
      <c r="AN118" t="s">
        <v>13</v>
      </c>
      <c r="AO118" t="s">
        <v>13</v>
      </c>
      <c r="AP118" t="s">
        <v>13</v>
      </c>
      <c r="AQ118" t="s">
        <v>13</v>
      </c>
      <c r="AR118">
        <f t="shared" si="45"/>
        <v>0.24269005847953221</v>
      </c>
      <c r="AS118">
        <f t="shared" si="47"/>
        <v>0.25900000000000001</v>
      </c>
      <c r="AT118" t="s">
        <v>13</v>
      </c>
      <c r="AU118" t="s">
        <v>13</v>
      </c>
      <c r="AV118" t="s">
        <v>13</v>
      </c>
      <c r="AW118" t="s">
        <v>13</v>
      </c>
      <c r="AX118" t="s">
        <v>13</v>
      </c>
      <c r="AY118" t="s">
        <v>13</v>
      </c>
      <c r="AZ118" t="s">
        <v>13</v>
      </c>
      <c r="BA118" t="s">
        <v>13</v>
      </c>
    </row>
    <row r="119" spans="1:53" x14ac:dyDescent="0.2">
      <c r="A119">
        <v>2010</v>
      </c>
      <c r="B119" t="s">
        <v>54</v>
      </c>
      <c r="C119" t="s">
        <v>58</v>
      </c>
      <c r="D119">
        <v>3.4</v>
      </c>
      <c r="E119">
        <v>0.5</v>
      </c>
      <c r="F119">
        <v>0</v>
      </c>
      <c r="G119">
        <v>1.2</v>
      </c>
      <c r="H119">
        <v>0.3</v>
      </c>
      <c r="I119">
        <v>3</v>
      </c>
      <c r="J119">
        <v>1.6</v>
      </c>
      <c r="K119">
        <f t="shared" si="46"/>
        <v>9.9999999999999982</v>
      </c>
      <c r="L119">
        <v>0</v>
      </c>
      <c r="M119">
        <v>0</v>
      </c>
      <c r="N119">
        <v>0</v>
      </c>
      <c r="O119">
        <f t="shared" si="40"/>
        <v>0</v>
      </c>
      <c r="P119">
        <v>0</v>
      </c>
      <c r="Q119">
        <v>0</v>
      </c>
      <c r="R119">
        <v>0</v>
      </c>
      <c r="S119">
        <f t="shared" si="41"/>
        <v>0</v>
      </c>
      <c r="T119">
        <v>10</v>
      </c>
      <c r="U119">
        <v>10.4</v>
      </c>
      <c r="V119">
        <v>1.6</v>
      </c>
      <c r="W119">
        <v>0.4</v>
      </c>
      <c r="X119">
        <v>0</v>
      </c>
      <c r="Y119">
        <v>0</v>
      </c>
      <c r="Z119">
        <v>0</v>
      </c>
      <c r="AA119">
        <f t="shared" si="42"/>
        <v>22.4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1.7</v>
      </c>
      <c r="AI119">
        <v>1.3</v>
      </c>
      <c r="AJ119">
        <f t="shared" si="32"/>
        <v>3</v>
      </c>
      <c r="AK119">
        <v>1.3</v>
      </c>
      <c r="AL119">
        <v>0.63200000000000001</v>
      </c>
      <c r="AM119">
        <f t="shared" si="33"/>
        <v>0.35399999999999998</v>
      </c>
      <c r="AN119" t="s">
        <v>13</v>
      </c>
      <c r="AO119" t="s">
        <v>13</v>
      </c>
      <c r="AP119" t="s">
        <v>13</v>
      </c>
      <c r="AQ119" t="s">
        <v>13</v>
      </c>
      <c r="AR119">
        <f t="shared" si="45"/>
        <v>8.4745762711864403E-2</v>
      </c>
      <c r="AS119">
        <f t="shared" si="47"/>
        <v>0.32400000000000001</v>
      </c>
      <c r="AT119" t="s">
        <v>13</v>
      </c>
      <c r="AU119" t="s">
        <v>13</v>
      </c>
      <c r="AV119" t="s">
        <v>13</v>
      </c>
      <c r="AW119" t="s">
        <v>13</v>
      </c>
      <c r="AX119" t="s">
        <v>13</v>
      </c>
      <c r="AY119" t="s">
        <v>13</v>
      </c>
      <c r="AZ119" t="s">
        <v>13</v>
      </c>
      <c r="BA119" t="s">
        <v>13</v>
      </c>
    </row>
    <row r="120" spans="1:53" x14ac:dyDescent="0.2">
      <c r="A120">
        <v>2011</v>
      </c>
      <c r="B120" t="s">
        <v>54</v>
      </c>
      <c r="C120" t="s">
        <v>58</v>
      </c>
      <c r="D120">
        <v>1.2</v>
      </c>
      <c r="E120">
        <v>0.1</v>
      </c>
      <c r="F120">
        <v>0.1</v>
      </c>
      <c r="G120">
        <v>0.4</v>
      </c>
      <c r="H120">
        <v>0.5</v>
      </c>
      <c r="I120">
        <v>1.3</v>
      </c>
      <c r="J120">
        <v>0.4</v>
      </c>
      <c r="K120">
        <f t="shared" si="46"/>
        <v>4.0000000000000009</v>
      </c>
      <c r="L120">
        <v>0</v>
      </c>
      <c r="M120">
        <v>0</v>
      </c>
      <c r="N120">
        <v>0.4</v>
      </c>
      <c r="O120">
        <f t="shared" si="40"/>
        <v>0.4</v>
      </c>
      <c r="P120">
        <v>0</v>
      </c>
      <c r="Q120">
        <v>0</v>
      </c>
      <c r="R120">
        <v>0</v>
      </c>
      <c r="S120">
        <f t="shared" si="41"/>
        <v>0</v>
      </c>
      <c r="T120">
        <v>1.4</v>
      </c>
      <c r="U120">
        <v>2.5</v>
      </c>
      <c r="V120">
        <v>0.2</v>
      </c>
      <c r="W120">
        <v>0.2</v>
      </c>
      <c r="X120">
        <v>0</v>
      </c>
      <c r="Y120">
        <v>0</v>
      </c>
      <c r="Z120">
        <v>0</v>
      </c>
      <c r="AA120">
        <f t="shared" si="42"/>
        <v>4.3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0.4</v>
      </c>
      <c r="AI120">
        <v>0.8</v>
      </c>
      <c r="AJ120">
        <f t="shared" si="32"/>
        <v>1.2000000000000002</v>
      </c>
      <c r="AK120">
        <v>0.1</v>
      </c>
      <c r="AL120">
        <v>0.90099999999999991</v>
      </c>
      <c r="AM120">
        <f t="shared" si="33"/>
        <v>9.9000000000000005E-2</v>
      </c>
      <c r="AN120" t="s">
        <v>13</v>
      </c>
      <c r="AO120" t="s">
        <v>13</v>
      </c>
      <c r="AP120" t="s">
        <v>13</v>
      </c>
      <c r="AQ120" t="s">
        <v>13</v>
      </c>
      <c r="AR120">
        <f t="shared" si="45"/>
        <v>0.12121212121212123</v>
      </c>
      <c r="AS120">
        <f t="shared" si="47"/>
        <v>8.7000000000000008E-2</v>
      </c>
      <c r="AT120" t="s">
        <v>13</v>
      </c>
      <c r="AU120" t="s">
        <v>13</v>
      </c>
      <c r="AV120" t="s">
        <v>13</v>
      </c>
      <c r="AW120" t="s">
        <v>13</v>
      </c>
      <c r="AX120" t="s">
        <v>13</v>
      </c>
      <c r="AY120" t="s">
        <v>13</v>
      </c>
      <c r="AZ120" t="s">
        <v>13</v>
      </c>
      <c r="BA120" t="s">
        <v>13</v>
      </c>
    </row>
    <row r="121" spans="1:53" x14ac:dyDescent="0.2">
      <c r="A121">
        <v>2012</v>
      </c>
      <c r="B121" t="s">
        <v>54</v>
      </c>
      <c r="C121" t="s">
        <v>58</v>
      </c>
      <c r="D121">
        <v>0</v>
      </c>
      <c r="E121">
        <v>0</v>
      </c>
      <c r="F121">
        <v>0</v>
      </c>
      <c r="G121">
        <v>1.2</v>
      </c>
      <c r="H121">
        <v>0.5</v>
      </c>
      <c r="I121">
        <v>2.6</v>
      </c>
      <c r="J121">
        <v>0</v>
      </c>
      <c r="K121">
        <f t="shared" si="46"/>
        <v>4.3</v>
      </c>
      <c r="L121">
        <v>0</v>
      </c>
      <c r="M121">
        <v>0</v>
      </c>
      <c r="N121">
        <v>0</v>
      </c>
      <c r="O121">
        <f t="shared" si="40"/>
        <v>0</v>
      </c>
      <c r="P121">
        <v>0</v>
      </c>
      <c r="Q121">
        <v>0</v>
      </c>
      <c r="R121">
        <v>0.8</v>
      </c>
      <c r="S121">
        <f t="shared" si="41"/>
        <v>0.8</v>
      </c>
      <c r="T121">
        <v>3.9</v>
      </c>
      <c r="U121">
        <v>6.2</v>
      </c>
      <c r="V121">
        <v>1.1000000000000001</v>
      </c>
      <c r="W121">
        <v>0.6</v>
      </c>
      <c r="X121">
        <v>0.3</v>
      </c>
      <c r="Y121">
        <v>0</v>
      </c>
      <c r="Z121">
        <v>0</v>
      </c>
      <c r="AA121">
        <f t="shared" si="42"/>
        <v>12.1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1.8</v>
      </c>
      <c r="AI121">
        <v>6.1</v>
      </c>
      <c r="AJ121">
        <f t="shared" si="32"/>
        <v>7.8999999999999995</v>
      </c>
      <c r="AK121">
        <v>0</v>
      </c>
      <c r="AL121">
        <v>0.74900000000000011</v>
      </c>
      <c r="AM121">
        <f t="shared" si="33"/>
        <v>0.25100000000000006</v>
      </c>
      <c r="AN121" t="s">
        <v>13</v>
      </c>
      <c r="AO121" t="s">
        <v>13</v>
      </c>
      <c r="AP121" t="s">
        <v>13</v>
      </c>
      <c r="AQ121" t="s">
        <v>13</v>
      </c>
      <c r="AR121">
        <f t="shared" si="45"/>
        <v>0.31474103585657365</v>
      </c>
      <c r="AS121">
        <f t="shared" si="47"/>
        <v>0.17199999999999999</v>
      </c>
      <c r="AT121" t="s">
        <v>13</v>
      </c>
      <c r="AU121" t="s">
        <v>13</v>
      </c>
      <c r="AV121" t="s">
        <v>13</v>
      </c>
      <c r="AW121" t="s">
        <v>13</v>
      </c>
      <c r="AX121" t="s">
        <v>13</v>
      </c>
      <c r="AY121" t="s">
        <v>13</v>
      </c>
      <c r="AZ121" t="s">
        <v>13</v>
      </c>
      <c r="BA121" t="s">
        <v>13</v>
      </c>
    </row>
    <row r="122" spans="1:53" x14ac:dyDescent="0.2">
      <c r="A122">
        <v>2013</v>
      </c>
      <c r="B122" t="s">
        <v>54</v>
      </c>
      <c r="C122" t="s">
        <v>58</v>
      </c>
      <c r="D122">
        <v>1.8</v>
      </c>
      <c r="E122">
        <v>0</v>
      </c>
      <c r="F122">
        <v>0</v>
      </c>
      <c r="G122">
        <v>0</v>
      </c>
      <c r="H122">
        <v>0</v>
      </c>
      <c r="I122">
        <v>0.7</v>
      </c>
      <c r="J122">
        <v>1.3</v>
      </c>
      <c r="K122">
        <f t="shared" si="46"/>
        <v>3.8</v>
      </c>
      <c r="L122">
        <v>0</v>
      </c>
      <c r="M122">
        <v>0</v>
      </c>
      <c r="N122">
        <v>0</v>
      </c>
      <c r="O122">
        <f t="shared" si="40"/>
        <v>0</v>
      </c>
      <c r="P122">
        <v>0</v>
      </c>
      <c r="Q122">
        <v>0</v>
      </c>
      <c r="R122">
        <v>0</v>
      </c>
      <c r="S122">
        <f t="shared" si="41"/>
        <v>0</v>
      </c>
      <c r="T122">
        <v>4.0999999999999996</v>
      </c>
      <c r="U122">
        <v>4.7</v>
      </c>
      <c r="V122">
        <v>1.2</v>
      </c>
      <c r="W122">
        <v>0.4</v>
      </c>
      <c r="X122">
        <v>0</v>
      </c>
      <c r="Y122">
        <v>0</v>
      </c>
      <c r="Z122">
        <v>0</v>
      </c>
      <c r="AA122">
        <f t="shared" si="42"/>
        <v>10.4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0.8</v>
      </c>
      <c r="AI122">
        <v>2.1</v>
      </c>
      <c r="AJ122">
        <f t="shared" si="32"/>
        <v>2.9000000000000004</v>
      </c>
      <c r="AK122">
        <v>1.1000000000000001</v>
      </c>
      <c r="AL122">
        <v>0.81799999999999995</v>
      </c>
      <c r="AM122">
        <f t="shared" si="33"/>
        <v>0.17099999999999999</v>
      </c>
      <c r="AN122" t="s">
        <v>13</v>
      </c>
      <c r="AO122" t="s">
        <v>13</v>
      </c>
      <c r="AP122" t="s">
        <v>13</v>
      </c>
      <c r="AQ122" t="s">
        <v>13</v>
      </c>
      <c r="AR122">
        <f t="shared" si="45"/>
        <v>0.16959064327485385</v>
      </c>
      <c r="AS122">
        <f t="shared" si="47"/>
        <v>0.14199999999999999</v>
      </c>
      <c r="AT122" t="s">
        <v>13</v>
      </c>
      <c r="AU122" t="s">
        <v>13</v>
      </c>
      <c r="AV122" t="s">
        <v>13</v>
      </c>
      <c r="AW122" t="s">
        <v>13</v>
      </c>
      <c r="AX122" t="s">
        <v>13</v>
      </c>
      <c r="AY122" t="s">
        <v>13</v>
      </c>
      <c r="AZ122" t="s">
        <v>13</v>
      </c>
      <c r="BA122" t="s">
        <v>13</v>
      </c>
    </row>
    <row r="123" spans="1:53" x14ac:dyDescent="0.2">
      <c r="A123">
        <v>2014</v>
      </c>
      <c r="B123" t="s">
        <v>54</v>
      </c>
      <c r="C123" t="s">
        <v>58</v>
      </c>
      <c r="D123">
        <v>4.2</v>
      </c>
      <c r="E123">
        <v>0</v>
      </c>
      <c r="F123">
        <v>1.1000000000000001</v>
      </c>
      <c r="G123">
        <v>2.1</v>
      </c>
      <c r="H123">
        <v>0</v>
      </c>
      <c r="I123">
        <v>1.9</v>
      </c>
      <c r="J123">
        <v>1.5</v>
      </c>
      <c r="K123">
        <f t="shared" si="46"/>
        <v>10.8</v>
      </c>
      <c r="L123">
        <v>0</v>
      </c>
      <c r="M123">
        <v>0</v>
      </c>
      <c r="N123">
        <v>0</v>
      </c>
      <c r="O123">
        <f t="shared" si="40"/>
        <v>0</v>
      </c>
      <c r="P123">
        <v>0</v>
      </c>
      <c r="Q123">
        <v>0</v>
      </c>
      <c r="R123">
        <v>0</v>
      </c>
      <c r="S123">
        <f t="shared" si="41"/>
        <v>0</v>
      </c>
      <c r="T123">
        <v>3</v>
      </c>
      <c r="U123">
        <v>1.9</v>
      </c>
      <c r="V123">
        <v>0.8</v>
      </c>
      <c r="W123">
        <v>0.8</v>
      </c>
      <c r="X123">
        <v>0</v>
      </c>
      <c r="Y123">
        <v>0</v>
      </c>
      <c r="Z123">
        <v>0</v>
      </c>
      <c r="AA123">
        <f t="shared" si="42"/>
        <v>6.5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1.3</v>
      </c>
      <c r="AI123">
        <v>18.5</v>
      </c>
      <c r="AJ123">
        <f t="shared" si="32"/>
        <v>19.8</v>
      </c>
      <c r="AK123">
        <v>1.5</v>
      </c>
      <c r="AL123">
        <v>0.61399999999999999</v>
      </c>
      <c r="AM123">
        <f t="shared" si="33"/>
        <v>0.371</v>
      </c>
      <c r="AN123" t="s">
        <v>13</v>
      </c>
      <c r="AO123" t="s">
        <v>13</v>
      </c>
      <c r="AP123" t="s">
        <v>13</v>
      </c>
      <c r="AQ123" t="s">
        <v>13</v>
      </c>
      <c r="AR123">
        <f t="shared" si="45"/>
        <v>0.53369272237196763</v>
      </c>
      <c r="AS123">
        <f t="shared" si="47"/>
        <v>0.17300000000000001</v>
      </c>
      <c r="AT123" t="s">
        <v>13</v>
      </c>
      <c r="AU123" t="s">
        <v>13</v>
      </c>
      <c r="AV123" t="s">
        <v>13</v>
      </c>
      <c r="AW123" t="s">
        <v>13</v>
      </c>
      <c r="AX123" t="s">
        <v>13</v>
      </c>
      <c r="AY123" t="s">
        <v>13</v>
      </c>
      <c r="AZ123" t="s">
        <v>13</v>
      </c>
      <c r="BA123" t="s">
        <v>13</v>
      </c>
    </row>
    <row r="124" spans="1:53" x14ac:dyDescent="0.2">
      <c r="A124">
        <v>2015</v>
      </c>
      <c r="B124" t="s">
        <v>54</v>
      </c>
      <c r="C124" t="s">
        <v>58</v>
      </c>
      <c r="D124">
        <v>4.2</v>
      </c>
      <c r="E124">
        <v>5.0999999999999996</v>
      </c>
      <c r="F124">
        <v>0</v>
      </c>
      <c r="G124">
        <v>2.6</v>
      </c>
      <c r="H124">
        <v>3.4</v>
      </c>
      <c r="I124">
        <v>0</v>
      </c>
      <c r="J124">
        <v>0</v>
      </c>
      <c r="K124">
        <f t="shared" si="46"/>
        <v>15.3</v>
      </c>
      <c r="L124">
        <v>0</v>
      </c>
      <c r="M124">
        <v>0</v>
      </c>
      <c r="N124">
        <v>0</v>
      </c>
      <c r="O124">
        <f t="shared" si="40"/>
        <v>0</v>
      </c>
      <c r="P124">
        <v>0</v>
      </c>
      <c r="Q124">
        <v>0</v>
      </c>
      <c r="R124">
        <v>0</v>
      </c>
      <c r="S124">
        <f t="shared" si="41"/>
        <v>0</v>
      </c>
      <c r="T124">
        <v>5.4</v>
      </c>
      <c r="U124">
        <v>8.6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f t="shared" si="42"/>
        <v>14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2.5</v>
      </c>
      <c r="AI124">
        <v>17</v>
      </c>
      <c r="AJ124">
        <f t="shared" si="32"/>
        <v>19.5</v>
      </c>
      <c r="AK124">
        <v>4</v>
      </c>
      <c r="AL124">
        <v>0.47399999999999998</v>
      </c>
      <c r="AM124">
        <f t="shared" si="33"/>
        <v>0.48800000000000004</v>
      </c>
      <c r="AN124" t="s">
        <v>13</v>
      </c>
      <c r="AO124" t="s">
        <v>13</v>
      </c>
      <c r="AP124" t="s">
        <v>13</v>
      </c>
      <c r="AQ124" t="s">
        <v>13</v>
      </c>
      <c r="AR124">
        <f t="shared" si="45"/>
        <v>0.3995901639344262</v>
      </c>
      <c r="AS124">
        <f t="shared" si="47"/>
        <v>0.29299999999999998</v>
      </c>
      <c r="AT124" t="s">
        <v>13</v>
      </c>
      <c r="AU124" t="s">
        <v>13</v>
      </c>
      <c r="AV124" t="s">
        <v>13</v>
      </c>
      <c r="AW124" t="s">
        <v>13</v>
      </c>
      <c r="AX124" t="s">
        <v>13</v>
      </c>
      <c r="AY124" t="s">
        <v>13</v>
      </c>
      <c r="AZ124" t="s">
        <v>13</v>
      </c>
      <c r="BA124" t="s">
        <v>13</v>
      </c>
    </row>
    <row r="125" spans="1:53" x14ac:dyDescent="0.2">
      <c r="A125">
        <v>2016</v>
      </c>
      <c r="B125" t="s">
        <v>54</v>
      </c>
      <c r="C125" t="s">
        <v>58</v>
      </c>
      <c r="D125">
        <v>4.0999999999999996</v>
      </c>
      <c r="E125">
        <v>0</v>
      </c>
      <c r="F125">
        <v>0</v>
      </c>
      <c r="G125">
        <v>2.5</v>
      </c>
      <c r="H125">
        <v>1.2</v>
      </c>
      <c r="I125">
        <v>2.4</v>
      </c>
      <c r="J125">
        <v>3.2</v>
      </c>
      <c r="K125">
        <f t="shared" si="46"/>
        <v>13.399999999999999</v>
      </c>
      <c r="L125">
        <v>0</v>
      </c>
      <c r="M125">
        <v>0</v>
      </c>
      <c r="N125">
        <v>0</v>
      </c>
      <c r="O125">
        <f t="shared" si="40"/>
        <v>0</v>
      </c>
      <c r="P125">
        <v>0</v>
      </c>
      <c r="Q125">
        <v>0</v>
      </c>
      <c r="R125">
        <v>8.4</v>
      </c>
      <c r="S125">
        <f t="shared" si="41"/>
        <v>8.4</v>
      </c>
      <c r="T125">
        <v>3.3</v>
      </c>
      <c r="U125">
        <v>6.1</v>
      </c>
      <c r="V125">
        <v>3.2</v>
      </c>
      <c r="W125">
        <v>0</v>
      </c>
      <c r="X125">
        <v>0</v>
      </c>
      <c r="Y125">
        <v>0</v>
      </c>
      <c r="Z125">
        <v>1.6</v>
      </c>
      <c r="AA125">
        <f t="shared" si="42"/>
        <v>14.199999999999998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3</v>
      </c>
      <c r="AI125">
        <v>8.3000000000000007</v>
      </c>
      <c r="AJ125">
        <f t="shared" si="32"/>
        <v>11.3</v>
      </c>
      <c r="AK125">
        <v>1.2</v>
      </c>
      <c r="AL125">
        <v>0.51400000000000001</v>
      </c>
      <c r="AM125">
        <f t="shared" si="33"/>
        <v>0.47300000000000009</v>
      </c>
      <c r="AN125" t="s">
        <v>13</v>
      </c>
      <c r="AO125" t="s">
        <v>13</v>
      </c>
      <c r="AP125" t="s">
        <v>13</v>
      </c>
      <c r="AQ125" t="s">
        <v>13</v>
      </c>
      <c r="AR125">
        <f t="shared" si="45"/>
        <v>0.23890063424947142</v>
      </c>
      <c r="AS125">
        <f t="shared" si="47"/>
        <v>0.35999999999999993</v>
      </c>
      <c r="AT125" t="s">
        <v>13</v>
      </c>
      <c r="AU125" t="s">
        <v>13</v>
      </c>
      <c r="AV125" t="s">
        <v>13</v>
      </c>
      <c r="AW125" t="s">
        <v>13</v>
      </c>
      <c r="AX125" t="s">
        <v>13</v>
      </c>
      <c r="AY125" t="s">
        <v>13</v>
      </c>
      <c r="AZ125" t="s">
        <v>13</v>
      </c>
      <c r="BA125" t="s">
        <v>13</v>
      </c>
    </row>
    <row r="126" spans="1:53" x14ac:dyDescent="0.2">
      <c r="A126">
        <v>2017</v>
      </c>
      <c r="B126" t="s">
        <v>54</v>
      </c>
      <c r="C126" t="s">
        <v>58</v>
      </c>
      <c r="D126">
        <v>3.8</v>
      </c>
      <c r="E126">
        <v>0</v>
      </c>
      <c r="F126">
        <v>0</v>
      </c>
      <c r="G126">
        <v>2.2000000000000002</v>
      </c>
      <c r="H126">
        <v>1.5</v>
      </c>
      <c r="I126">
        <v>2.2999999999999998</v>
      </c>
      <c r="J126">
        <v>5.7</v>
      </c>
      <c r="K126">
        <f t="shared" si="46"/>
        <v>15.5</v>
      </c>
      <c r="L126">
        <v>0</v>
      </c>
      <c r="M126">
        <v>0</v>
      </c>
      <c r="N126">
        <v>3.2</v>
      </c>
      <c r="O126">
        <f t="shared" si="40"/>
        <v>3.2</v>
      </c>
      <c r="P126">
        <v>0</v>
      </c>
      <c r="Q126">
        <v>0</v>
      </c>
      <c r="R126">
        <v>0</v>
      </c>
      <c r="S126">
        <f t="shared" si="41"/>
        <v>0</v>
      </c>
      <c r="T126">
        <v>3.6</v>
      </c>
      <c r="U126">
        <v>8.8000000000000007</v>
      </c>
      <c r="V126">
        <v>1</v>
      </c>
      <c r="W126">
        <v>0</v>
      </c>
      <c r="X126">
        <v>0</v>
      </c>
      <c r="Y126">
        <v>0</v>
      </c>
      <c r="Z126">
        <v>0</v>
      </c>
      <c r="AA126">
        <f t="shared" si="42"/>
        <v>13.4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1.1000000000000001</v>
      </c>
      <c r="AI126">
        <v>7.5</v>
      </c>
      <c r="AJ126">
        <f t="shared" si="32"/>
        <v>8.6</v>
      </c>
      <c r="AK126">
        <v>0.2</v>
      </c>
      <c r="AL126">
        <v>0.59200000000000008</v>
      </c>
      <c r="AM126">
        <f t="shared" si="33"/>
        <v>0.40700000000000003</v>
      </c>
      <c r="AN126" t="s">
        <v>13</v>
      </c>
      <c r="AO126" t="s">
        <v>13</v>
      </c>
      <c r="AP126" t="s">
        <v>13</v>
      </c>
      <c r="AQ126" t="s">
        <v>13</v>
      </c>
      <c r="AR126">
        <f t="shared" si="45"/>
        <v>0.21130221130221127</v>
      </c>
      <c r="AS126">
        <f t="shared" si="47"/>
        <v>0.32100000000000001</v>
      </c>
      <c r="AT126" t="s">
        <v>13</v>
      </c>
      <c r="AU126" t="s">
        <v>13</v>
      </c>
      <c r="AV126" t="s">
        <v>13</v>
      </c>
      <c r="AW126" t="s">
        <v>13</v>
      </c>
      <c r="AX126" t="s">
        <v>13</v>
      </c>
      <c r="AY126" t="s">
        <v>13</v>
      </c>
      <c r="AZ126" t="s">
        <v>13</v>
      </c>
      <c r="BA126" t="s">
        <v>13</v>
      </c>
    </row>
    <row r="127" spans="1:53" x14ac:dyDescent="0.2">
      <c r="A127">
        <v>2018</v>
      </c>
      <c r="B127" t="s">
        <v>54</v>
      </c>
      <c r="C127" t="s">
        <v>58</v>
      </c>
      <c r="D127">
        <v>0</v>
      </c>
      <c r="E127">
        <v>0</v>
      </c>
      <c r="F127">
        <v>0</v>
      </c>
      <c r="G127">
        <v>4.7</v>
      </c>
      <c r="H127">
        <v>1.4</v>
      </c>
      <c r="I127">
        <v>0</v>
      </c>
      <c r="J127">
        <v>0</v>
      </c>
      <c r="K127">
        <f t="shared" si="46"/>
        <v>6.1</v>
      </c>
      <c r="L127">
        <v>0</v>
      </c>
      <c r="M127">
        <v>0</v>
      </c>
      <c r="N127">
        <v>0</v>
      </c>
      <c r="O127">
        <f t="shared" si="40"/>
        <v>0</v>
      </c>
      <c r="P127">
        <v>0</v>
      </c>
      <c r="Q127">
        <v>0</v>
      </c>
      <c r="R127">
        <v>0</v>
      </c>
      <c r="S127">
        <f t="shared" si="41"/>
        <v>0</v>
      </c>
      <c r="T127">
        <v>5</v>
      </c>
      <c r="U127">
        <v>4.2</v>
      </c>
      <c r="V127">
        <v>0.3</v>
      </c>
      <c r="W127">
        <v>0</v>
      </c>
      <c r="X127">
        <v>0</v>
      </c>
      <c r="Y127">
        <v>0</v>
      </c>
      <c r="Z127">
        <v>0</v>
      </c>
      <c r="AA127">
        <f t="shared" si="42"/>
        <v>9.5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1.3</v>
      </c>
      <c r="AI127">
        <v>13.2</v>
      </c>
      <c r="AJ127">
        <f t="shared" si="32"/>
        <v>14.5</v>
      </c>
      <c r="AK127">
        <v>0.4</v>
      </c>
      <c r="AL127">
        <v>0.69499999999999995</v>
      </c>
      <c r="AM127">
        <f t="shared" si="33"/>
        <v>0.30099999999999999</v>
      </c>
      <c r="AN127" t="s">
        <v>13</v>
      </c>
      <c r="AO127" t="s">
        <v>13</v>
      </c>
      <c r="AP127" t="s">
        <v>13</v>
      </c>
      <c r="AQ127" t="s">
        <v>13</v>
      </c>
      <c r="AR127">
        <f t="shared" si="45"/>
        <v>0.48172757475083056</v>
      </c>
      <c r="AS127">
        <f t="shared" si="47"/>
        <v>0.156</v>
      </c>
      <c r="AT127" t="s">
        <v>13</v>
      </c>
      <c r="AU127" t="s">
        <v>13</v>
      </c>
      <c r="AV127" t="s">
        <v>13</v>
      </c>
      <c r="AW127" t="s">
        <v>13</v>
      </c>
      <c r="AX127" t="s">
        <v>13</v>
      </c>
      <c r="AY127" t="s">
        <v>13</v>
      </c>
      <c r="AZ127" t="s">
        <v>13</v>
      </c>
      <c r="BA127" t="s">
        <v>13</v>
      </c>
    </row>
    <row r="128" spans="1:53" x14ac:dyDescent="0.2">
      <c r="A128">
        <v>2019</v>
      </c>
      <c r="B128" t="s">
        <v>54</v>
      </c>
      <c r="C128" t="s">
        <v>58</v>
      </c>
      <c r="D128">
        <v>2.4</v>
      </c>
      <c r="E128">
        <v>1.8</v>
      </c>
      <c r="F128">
        <v>0</v>
      </c>
      <c r="G128">
        <v>0</v>
      </c>
      <c r="H128">
        <v>0</v>
      </c>
      <c r="I128">
        <v>0.4</v>
      </c>
      <c r="J128">
        <v>1.2</v>
      </c>
      <c r="K128">
        <f t="shared" si="46"/>
        <v>5.8000000000000007</v>
      </c>
      <c r="L128">
        <v>0</v>
      </c>
      <c r="M128">
        <v>0</v>
      </c>
      <c r="N128">
        <v>0.9</v>
      </c>
      <c r="O128">
        <f t="shared" si="40"/>
        <v>0.9</v>
      </c>
      <c r="P128">
        <v>0</v>
      </c>
      <c r="Q128">
        <v>0</v>
      </c>
      <c r="R128">
        <v>0</v>
      </c>
      <c r="S128">
        <f t="shared" si="41"/>
        <v>0</v>
      </c>
      <c r="T128">
        <v>2.2999999999999998</v>
      </c>
      <c r="U128">
        <v>1.9</v>
      </c>
      <c r="V128">
        <v>1.3</v>
      </c>
      <c r="W128">
        <v>0</v>
      </c>
      <c r="X128">
        <v>0</v>
      </c>
      <c r="Y128">
        <v>0</v>
      </c>
      <c r="Z128">
        <v>1.7</v>
      </c>
      <c r="AA128">
        <f t="shared" si="42"/>
        <v>7.1999999999999993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1.1000000000000001</v>
      </c>
      <c r="AI128">
        <v>4</v>
      </c>
      <c r="AJ128">
        <f t="shared" si="32"/>
        <v>5.0999999999999996</v>
      </c>
      <c r="AK128">
        <v>0.8</v>
      </c>
      <c r="AL128">
        <v>0.80200000000000005</v>
      </c>
      <c r="AM128">
        <f t="shared" si="33"/>
        <v>0.18999999999999997</v>
      </c>
      <c r="AN128" t="s">
        <v>13</v>
      </c>
      <c r="AO128" t="s">
        <v>13</v>
      </c>
      <c r="AP128" t="s">
        <v>13</v>
      </c>
      <c r="AQ128" t="s">
        <v>13</v>
      </c>
      <c r="AR128">
        <f t="shared" si="45"/>
        <v>0.26842105263157895</v>
      </c>
      <c r="AS128">
        <f t="shared" si="47"/>
        <v>0.13900000000000001</v>
      </c>
      <c r="AT128" t="s">
        <v>13</v>
      </c>
      <c r="AU128" t="s">
        <v>13</v>
      </c>
      <c r="AV128" t="s">
        <v>13</v>
      </c>
      <c r="AW128" t="s">
        <v>13</v>
      </c>
      <c r="AX128" t="s">
        <v>13</v>
      </c>
      <c r="AY128" t="s">
        <v>13</v>
      </c>
      <c r="AZ128" t="s">
        <v>13</v>
      </c>
      <c r="BA128" t="s">
        <v>13</v>
      </c>
    </row>
    <row r="129" spans="1:53" x14ac:dyDescent="0.2">
      <c r="A129">
        <v>2020</v>
      </c>
      <c r="B129" t="s">
        <v>54</v>
      </c>
      <c r="C129" t="s">
        <v>58</v>
      </c>
      <c r="D129">
        <v>3.7</v>
      </c>
      <c r="E129">
        <v>0.5</v>
      </c>
      <c r="F129">
        <v>0</v>
      </c>
      <c r="G129">
        <v>0.8</v>
      </c>
      <c r="H129">
        <v>0</v>
      </c>
      <c r="I129">
        <v>0.9</v>
      </c>
      <c r="J129">
        <v>0</v>
      </c>
      <c r="K129">
        <f t="shared" si="46"/>
        <v>5.9</v>
      </c>
      <c r="L129">
        <v>0</v>
      </c>
      <c r="M129">
        <v>0</v>
      </c>
      <c r="N129">
        <v>0</v>
      </c>
      <c r="O129">
        <f t="shared" si="40"/>
        <v>0</v>
      </c>
      <c r="P129">
        <v>0</v>
      </c>
      <c r="Q129">
        <v>0</v>
      </c>
      <c r="R129">
        <v>4.9000000000000004</v>
      </c>
      <c r="S129">
        <f t="shared" si="41"/>
        <v>4.9000000000000004</v>
      </c>
      <c r="T129">
        <v>1.2</v>
      </c>
      <c r="U129">
        <v>1.7</v>
      </c>
      <c r="V129">
        <v>0.3</v>
      </c>
      <c r="W129">
        <v>0.4</v>
      </c>
      <c r="X129">
        <v>0.1</v>
      </c>
      <c r="Y129">
        <v>0</v>
      </c>
      <c r="Z129">
        <v>1.2</v>
      </c>
      <c r="AA129">
        <f t="shared" si="42"/>
        <v>4.8999999999999995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0.6</v>
      </c>
      <c r="AI129">
        <v>2.5</v>
      </c>
      <c r="AJ129">
        <f t="shared" si="32"/>
        <v>3.1</v>
      </c>
      <c r="AK129">
        <v>0.3</v>
      </c>
      <c r="AL129">
        <v>0.80799999999999994</v>
      </c>
      <c r="AM129">
        <f t="shared" si="33"/>
        <v>0.188</v>
      </c>
      <c r="AN129" t="s">
        <v>13</v>
      </c>
      <c r="AO129" t="s">
        <v>13</v>
      </c>
      <c r="AP129" t="s">
        <v>13</v>
      </c>
      <c r="AQ129" t="s">
        <v>13</v>
      </c>
      <c r="AR129">
        <f t="shared" si="45"/>
        <v>0.16489361702127658</v>
      </c>
      <c r="AS129">
        <f t="shared" si="47"/>
        <v>0.157</v>
      </c>
      <c r="AT129" t="s">
        <v>13</v>
      </c>
      <c r="AU129" t="s">
        <v>13</v>
      </c>
      <c r="AV129" t="s">
        <v>13</v>
      </c>
      <c r="AW129" t="s">
        <v>13</v>
      </c>
      <c r="AX129" t="s">
        <v>13</v>
      </c>
      <c r="AY129" t="s">
        <v>13</v>
      </c>
      <c r="AZ129" t="s">
        <v>13</v>
      </c>
      <c r="BA129" t="s">
        <v>13</v>
      </c>
    </row>
    <row r="130" spans="1:53" x14ac:dyDescent="0.2">
      <c r="A130">
        <v>2021</v>
      </c>
      <c r="B130" t="s">
        <v>54</v>
      </c>
      <c r="C130" t="s">
        <v>58</v>
      </c>
      <c r="D130">
        <v>5.5</v>
      </c>
      <c r="E130">
        <v>0.9</v>
      </c>
      <c r="F130">
        <v>0</v>
      </c>
      <c r="G130">
        <v>4.5999999999999996</v>
      </c>
      <c r="H130">
        <v>1.4</v>
      </c>
      <c r="I130">
        <v>2.1</v>
      </c>
      <c r="J130">
        <v>0.1</v>
      </c>
      <c r="K130">
        <f t="shared" si="46"/>
        <v>14.6</v>
      </c>
      <c r="L130">
        <v>0</v>
      </c>
      <c r="M130">
        <v>0</v>
      </c>
      <c r="N130">
        <v>1.9</v>
      </c>
      <c r="O130">
        <f t="shared" si="40"/>
        <v>1.9</v>
      </c>
      <c r="P130">
        <v>0</v>
      </c>
      <c r="Q130">
        <v>0</v>
      </c>
      <c r="R130">
        <v>3</v>
      </c>
      <c r="S130">
        <f t="shared" si="41"/>
        <v>3</v>
      </c>
      <c r="T130">
        <v>3.2</v>
      </c>
      <c r="U130">
        <v>4</v>
      </c>
      <c r="V130">
        <v>0.6</v>
      </c>
      <c r="W130">
        <v>0.7</v>
      </c>
      <c r="X130">
        <v>0</v>
      </c>
      <c r="Y130">
        <v>0</v>
      </c>
      <c r="Z130">
        <v>0.8</v>
      </c>
      <c r="AA130">
        <f t="shared" si="42"/>
        <v>9.3000000000000007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1.9</v>
      </c>
      <c r="AI130">
        <v>3.2</v>
      </c>
      <c r="AJ130">
        <f t="shared" si="32"/>
        <v>5.0999999999999996</v>
      </c>
      <c r="AK130">
        <v>0.1</v>
      </c>
      <c r="AL130">
        <v>0.66</v>
      </c>
      <c r="AM130">
        <f t="shared" si="33"/>
        <v>0.33899999999999997</v>
      </c>
      <c r="AN130" t="s">
        <v>13</v>
      </c>
      <c r="AO130" t="s">
        <v>13</v>
      </c>
      <c r="AP130" t="s">
        <v>13</v>
      </c>
      <c r="AQ130" t="s">
        <v>13</v>
      </c>
      <c r="AR130">
        <f t="shared" si="45"/>
        <v>0.15044247787610621</v>
      </c>
      <c r="AS130">
        <f t="shared" si="47"/>
        <v>0.28800000000000003</v>
      </c>
      <c r="AT130" t="s">
        <v>13</v>
      </c>
      <c r="AU130" t="s">
        <v>13</v>
      </c>
      <c r="AV130" t="s">
        <v>13</v>
      </c>
      <c r="AW130" t="s">
        <v>13</v>
      </c>
      <c r="AX130" t="s">
        <v>13</v>
      </c>
      <c r="AY130" t="s">
        <v>13</v>
      </c>
      <c r="AZ130" t="s">
        <v>13</v>
      </c>
      <c r="BA130" t="s">
        <v>13</v>
      </c>
    </row>
    <row r="131" spans="1:53" x14ac:dyDescent="0.2">
      <c r="A131">
        <v>2022</v>
      </c>
      <c r="B131" t="s">
        <v>54</v>
      </c>
      <c r="C131" t="s">
        <v>58</v>
      </c>
      <c r="D131">
        <v>14.9</v>
      </c>
      <c r="E131">
        <v>0</v>
      </c>
      <c r="F131">
        <v>1.2</v>
      </c>
      <c r="G131">
        <v>3.2</v>
      </c>
      <c r="H131">
        <v>0</v>
      </c>
      <c r="I131">
        <v>1</v>
      </c>
      <c r="J131">
        <v>0</v>
      </c>
      <c r="K131">
        <f t="shared" si="46"/>
        <v>20.3</v>
      </c>
      <c r="L131">
        <v>0</v>
      </c>
      <c r="M131">
        <v>0</v>
      </c>
      <c r="N131">
        <v>0</v>
      </c>
      <c r="O131">
        <f t="shared" si="40"/>
        <v>0</v>
      </c>
      <c r="P131">
        <v>0</v>
      </c>
      <c r="Q131">
        <v>0</v>
      </c>
      <c r="R131">
        <v>0</v>
      </c>
      <c r="S131">
        <f t="shared" si="41"/>
        <v>0</v>
      </c>
      <c r="T131">
        <v>2.7</v>
      </c>
      <c r="U131">
        <v>0.8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f t="shared" si="42"/>
        <v>3.5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0.1</v>
      </c>
      <c r="AI131">
        <v>14.6</v>
      </c>
      <c r="AJ131">
        <f t="shared" ref="AJ131:AJ194" si="48">SUM(AB131:AI131)</f>
        <v>14.7</v>
      </c>
      <c r="AK131">
        <v>1.6</v>
      </c>
      <c r="AL131">
        <v>0.59699999999999998</v>
      </c>
      <c r="AM131">
        <f t="shared" ref="AM131:AM194" si="49">SUM(AB131:AI131,T131:Z131,P131:R131,L131:N131,D131:J131)/100</f>
        <v>0.38500000000000006</v>
      </c>
      <c r="AN131" t="s">
        <v>13</v>
      </c>
      <c r="AO131" t="s">
        <v>13</v>
      </c>
      <c r="AP131" t="s">
        <v>13</v>
      </c>
      <c r="AQ131" t="s">
        <v>13</v>
      </c>
      <c r="AR131">
        <f t="shared" si="45"/>
        <v>0.38181818181818172</v>
      </c>
      <c r="AS131">
        <f t="shared" si="47"/>
        <v>0.23800000000000002</v>
      </c>
      <c r="AT131" t="s">
        <v>13</v>
      </c>
      <c r="AU131" t="s">
        <v>13</v>
      </c>
      <c r="AV131" t="s">
        <v>13</v>
      </c>
      <c r="AW131" t="s">
        <v>13</v>
      </c>
      <c r="AX131" t="s">
        <v>13</v>
      </c>
      <c r="AY131" t="s">
        <v>13</v>
      </c>
      <c r="AZ131" t="s">
        <v>13</v>
      </c>
      <c r="BA131" t="s">
        <v>13</v>
      </c>
    </row>
    <row r="132" spans="1:53" x14ac:dyDescent="0.2">
      <c r="A132">
        <v>2023</v>
      </c>
      <c r="B132" t="s">
        <v>54</v>
      </c>
      <c r="C132" t="s">
        <v>58</v>
      </c>
      <c r="D132" t="s">
        <v>13</v>
      </c>
      <c r="E132" t="s">
        <v>13</v>
      </c>
      <c r="F132" t="s">
        <v>13</v>
      </c>
      <c r="G132" t="s">
        <v>13</v>
      </c>
      <c r="H132" t="s">
        <v>13</v>
      </c>
      <c r="I132" t="s">
        <v>13</v>
      </c>
      <c r="J132" t="s">
        <v>13</v>
      </c>
      <c r="K132" t="s">
        <v>13</v>
      </c>
      <c r="L132" t="s">
        <v>13</v>
      </c>
      <c r="M132" t="s">
        <v>13</v>
      </c>
      <c r="N132" t="s">
        <v>13</v>
      </c>
      <c r="O132" t="s">
        <v>13</v>
      </c>
      <c r="P132" t="s">
        <v>13</v>
      </c>
      <c r="Q132" t="s">
        <v>13</v>
      </c>
      <c r="R132" t="s">
        <v>13</v>
      </c>
      <c r="S132" t="s">
        <v>13</v>
      </c>
      <c r="T132" t="s">
        <v>13</v>
      </c>
      <c r="U132" t="s">
        <v>13</v>
      </c>
      <c r="V132" t="s">
        <v>13</v>
      </c>
      <c r="W132" t="s">
        <v>13</v>
      </c>
      <c r="X132" t="s">
        <v>13</v>
      </c>
      <c r="Y132" t="s">
        <v>13</v>
      </c>
      <c r="Z132" t="s">
        <v>13</v>
      </c>
      <c r="AA132" t="s">
        <v>13</v>
      </c>
      <c r="AB132" t="s">
        <v>13</v>
      </c>
      <c r="AC132" t="s">
        <v>13</v>
      </c>
      <c r="AD132" t="s">
        <v>13</v>
      </c>
      <c r="AE132" t="s">
        <v>13</v>
      </c>
      <c r="AF132" t="s">
        <v>13</v>
      </c>
      <c r="AG132" t="s">
        <v>13</v>
      </c>
      <c r="AH132" t="s">
        <v>13</v>
      </c>
      <c r="AI132" t="s">
        <v>13</v>
      </c>
      <c r="AJ132" t="s">
        <v>13</v>
      </c>
      <c r="AK132" t="s">
        <v>13</v>
      </c>
      <c r="AL132" t="s">
        <v>13</v>
      </c>
      <c r="AM132">
        <f t="shared" si="49"/>
        <v>0</v>
      </c>
      <c r="AN132" t="s">
        <v>13</v>
      </c>
      <c r="AO132" t="s">
        <v>13</v>
      </c>
      <c r="AP132" t="s">
        <v>13</v>
      </c>
      <c r="AQ132" t="s">
        <v>13</v>
      </c>
      <c r="AR132" t="e">
        <f t="shared" si="45"/>
        <v>#VALUE!</v>
      </c>
      <c r="AS132">
        <f t="shared" si="47"/>
        <v>0</v>
      </c>
      <c r="AT132" t="s">
        <v>13</v>
      </c>
      <c r="AU132" t="s">
        <v>13</v>
      </c>
      <c r="AV132" t="s">
        <v>13</v>
      </c>
      <c r="AW132" t="s">
        <v>13</v>
      </c>
      <c r="AX132" t="s">
        <v>13</v>
      </c>
      <c r="AY132" t="s">
        <v>13</v>
      </c>
      <c r="AZ132" t="s">
        <v>13</v>
      </c>
      <c r="BA132" t="s">
        <v>13</v>
      </c>
    </row>
    <row r="133" spans="1:53" x14ac:dyDescent="0.2">
      <c r="A133" s="4">
        <v>1983</v>
      </c>
      <c r="B133" t="s">
        <v>55</v>
      </c>
      <c r="C133" t="s">
        <v>59</v>
      </c>
      <c r="D133">
        <v>3.5</v>
      </c>
      <c r="E133">
        <v>0.1</v>
      </c>
      <c r="F133">
        <v>0</v>
      </c>
      <c r="G133">
        <v>6</v>
      </c>
      <c r="H133">
        <v>0</v>
      </c>
      <c r="I133">
        <v>7.3</v>
      </c>
      <c r="J133">
        <v>0</v>
      </c>
      <c r="K133">
        <f t="shared" si="46"/>
        <v>16.899999999999999</v>
      </c>
      <c r="L133">
        <v>1.3</v>
      </c>
      <c r="M133">
        <v>0</v>
      </c>
      <c r="N133">
        <v>0</v>
      </c>
      <c r="O133">
        <f t="shared" si="40"/>
        <v>1.3</v>
      </c>
      <c r="P133">
        <v>0</v>
      </c>
      <c r="Q133">
        <v>0</v>
      </c>
      <c r="R133">
        <v>0.2</v>
      </c>
      <c r="S133">
        <f t="shared" si="41"/>
        <v>0.2</v>
      </c>
      <c r="T133">
        <v>2.2999999999999998</v>
      </c>
      <c r="U133">
        <v>0.2</v>
      </c>
      <c r="V133">
        <v>3.9</v>
      </c>
      <c r="W133">
        <v>0.3</v>
      </c>
      <c r="X133">
        <v>0</v>
      </c>
      <c r="Y133">
        <v>0</v>
      </c>
      <c r="Z133">
        <v>0.3</v>
      </c>
      <c r="AA133">
        <f t="shared" si="42"/>
        <v>7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5.8</v>
      </c>
      <c r="AH133">
        <v>0</v>
      </c>
      <c r="AI133">
        <v>29.2</v>
      </c>
      <c r="AJ133">
        <f t="shared" si="48"/>
        <v>35</v>
      </c>
      <c r="AK133">
        <v>0</v>
      </c>
      <c r="AL133">
        <v>0.39600000000000002</v>
      </c>
      <c r="AM133">
        <f t="shared" si="49"/>
        <v>0.60399999999999987</v>
      </c>
      <c r="AN133" t="s">
        <v>13</v>
      </c>
      <c r="AO133" t="s">
        <v>13</v>
      </c>
      <c r="AP133" t="s">
        <v>13</v>
      </c>
      <c r="AQ133" t="s">
        <v>13</v>
      </c>
      <c r="AR133">
        <f t="shared" si="45"/>
        <v>0.57947019867549676</v>
      </c>
      <c r="AS133">
        <f t="shared" si="47"/>
        <v>0.254</v>
      </c>
      <c r="AT133" t="s">
        <v>13</v>
      </c>
      <c r="AU133" t="s">
        <v>13</v>
      </c>
      <c r="AV133" t="s">
        <v>13</v>
      </c>
      <c r="AW133" t="s">
        <v>13</v>
      </c>
      <c r="AX133" t="s">
        <v>13</v>
      </c>
      <c r="AY133" t="s">
        <v>13</v>
      </c>
      <c r="AZ133" t="s">
        <v>13</v>
      </c>
      <c r="BA133" t="s">
        <v>13</v>
      </c>
    </row>
    <row r="134" spans="1:53" x14ac:dyDescent="0.2">
      <c r="A134" s="4">
        <v>1984</v>
      </c>
      <c r="B134" t="s">
        <v>55</v>
      </c>
      <c r="C134" t="s">
        <v>59</v>
      </c>
      <c r="D134">
        <v>2.9</v>
      </c>
      <c r="E134">
        <v>0</v>
      </c>
      <c r="F134">
        <v>0</v>
      </c>
      <c r="G134">
        <v>4.0999999999999996</v>
      </c>
      <c r="H134">
        <v>0.1</v>
      </c>
      <c r="I134">
        <v>5.3</v>
      </c>
      <c r="J134">
        <v>0</v>
      </c>
      <c r="K134">
        <f t="shared" si="46"/>
        <v>12.399999999999999</v>
      </c>
      <c r="L134">
        <v>0.5</v>
      </c>
      <c r="M134">
        <v>0.2</v>
      </c>
      <c r="N134">
        <v>0</v>
      </c>
      <c r="O134">
        <f t="shared" si="40"/>
        <v>0.7</v>
      </c>
      <c r="P134">
        <v>0</v>
      </c>
      <c r="Q134">
        <v>0</v>
      </c>
      <c r="R134">
        <v>0</v>
      </c>
      <c r="S134">
        <f t="shared" si="41"/>
        <v>0</v>
      </c>
      <c r="T134">
        <v>0.4</v>
      </c>
      <c r="U134">
        <v>0</v>
      </c>
      <c r="V134">
        <v>1.8</v>
      </c>
      <c r="W134">
        <v>0</v>
      </c>
      <c r="X134">
        <v>0</v>
      </c>
      <c r="Y134">
        <v>0</v>
      </c>
      <c r="Z134">
        <v>0</v>
      </c>
      <c r="AA134">
        <f t="shared" si="42"/>
        <v>2.2000000000000002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5.9</v>
      </c>
      <c r="AH134">
        <v>0</v>
      </c>
      <c r="AI134">
        <v>20.3</v>
      </c>
      <c r="AJ134">
        <f t="shared" si="48"/>
        <v>26.200000000000003</v>
      </c>
      <c r="AK134">
        <v>0</v>
      </c>
      <c r="AL134">
        <v>0.58399999999999996</v>
      </c>
      <c r="AM134">
        <f t="shared" si="49"/>
        <v>0.41499999999999998</v>
      </c>
      <c r="AN134" t="s">
        <v>13</v>
      </c>
      <c r="AO134" t="s">
        <v>13</v>
      </c>
      <c r="AP134" t="s">
        <v>13</v>
      </c>
      <c r="AQ134" t="s">
        <v>13</v>
      </c>
      <c r="AR134">
        <f t="shared" si="45"/>
        <v>0.63132530120481933</v>
      </c>
      <c r="AS134">
        <f t="shared" si="47"/>
        <v>0.15299999999999997</v>
      </c>
      <c r="AT134" t="s">
        <v>13</v>
      </c>
      <c r="AU134" t="s">
        <v>13</v>
      </c>
      <c r="AV134" t="s">
        <v>13</v>
      </c>
      <c r="AW134" t="s">
        <v>13</v>
      </c>
      <c r="AX134" t="s">
        <v>13</v>
      </c>
      <c r="AY134" t="s">
        <v>13</v>
      </c>
      <c r="AZ134" t="s">
        <v>13</v>
      </c>
      <c r="BA134" t="s">
        <v>13</v>
      </c>
    </row>
    <row r="135" spans="1:53" x14ac:dyDescent="0.2">
      <c r="A135" s="4">
        <v>1985</v>
      </c>
      <c r="B135" t="s">
        <v>55</v>
      </c>
      <c r="C135" t="s">
        <v>59</v>
      </c>
      <c r="D135">
        <v>1.7</v>
      </c>
      <c r="E135">
        <v>0</v>
      </c>
      <c r="F135">
        <v>0</v>
      </c>
      <c r="G135">
        <v>2.1</v>
      </c>
      <c r="H135">
        <v>0</v>
      </c>
      <c r="I135">
        <v>1.1000000000000001</v>
      </c>
      <c r="J135">
        <v>0</v>
      </c>
      <c r="K135">
        <f t="shared" si="46"/>
        <v>4.9000000000000004</v>
      </c>
      <c r="L135">
        <v>0</v>
      </c>
      <c r="M135">
        <v>0</v>
      </c>
      <c r="N135">
        <v>0</v>
      </c>
      <c r="O135">
        <f t="shared" si="40"/>
        <v>0</v>
      </c>
      <c r="P135">
        <v>0</v>
      </c>
      <c r="Q135">
        <v>0.1</v>
      </c>
      <c r="R135">
        <v>0</v>
      </c>
      <c r="S135">
        <f t="shared" si="41"/>
        <v>0.1</v>
      </c>
      <c r="T135">
        <v>0.2</v>
      </c>
      <c r="U135">
        <v>0.2</v>
      </c>
      <c r="V135">
        <v>1.2</v>
      </c>
      <c r="W135">
        <v>0.7</v>
      </c>
      <c r="X135">
        <v>0</v>
      </c>
      <c r="Y135">
        <v>0</v>
      </c>
      <c r="Z135">
        <v>0</v>
      </c>
      <c r="AA135">
        <f t="shared" si="42"/>
        <v>2.2999999999999998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3.9</v>
      </c>
      <c r="AH135">
        <v>0</v>
      </c>
      <c r="AI135">
        <v>32.5</v>
      </c>
      <c r="AJ135">
        <f t="shared" si="48"/>
        <v>36.4</v>
      </c>
      <c r="AK135">
        <v>0.8</v>
      </c>
      <c r="AL135">
        <v>0.55600000000000005</v>
      </c>
      <c r="AM135">
        <f t="shared" si="49"/>
        <v>0.43700000000000017</v>
      </c>
      <c r="AN135" t="s">
        <v>13</v>
      </c>
      <c r="AO135" t="s">
        <v>13</v>
      </c>
      <c r="AP135" t="s">
        <v>13</v>
      </c>
      <c r="AQ135" t="s">
        <v>13</v>
      </c>
      <c r="AR135">
        <f t="shared" si="45"/>
        <v>0.83295194508009118</v>
      </c>
      <c r="AS135">
        <f t="shared" si="47"/>
        <v>7.2999999999999995E-2</v>
      </c>
      <c r="AT135" t="s">
        <v>13</v>
      </c>
      <c r="AU135" t="s">
        <v>13</v>
      </c>
      <c r="AV135" t="s">
        <v>13</v>
      </c>
      <c r="AW135" t="s">
        <v>13</v>
      </c>
      <c r="AX135" t="s">
        <v>13</v>
      </c>
      <c r="AY135" t="s">
        <v>13</v>
      </c>
      <c r="AZ135" t="s">
        <v>13</v>
      </c>
      <c r="BA135" t="s">
        <v>13</v>
      </c>
    </row>
    <row r="136" spans="1:53" x14ac:dyDescent="0.2">
      <c r="A136" s="4">
        <v>1986</v>
      </c>
      <c r="B136" t="s">
        <v>55</v>
      </c>
      <c r="C136" t="s">
        <v>59</v>
      </c>
      <c r="D136">
        <v>1.6</v>
      </c>
      <c r="E136">
        <v>0</v>
      </c>
      <c r="F136">
        <v>0</v>
      </c>
      <c r="G136">
        <v>2.8</v>
      </c>
      <c r="H136">
        <v>0</v>
      </c>
      <c r="I136">
        <v>10.9</v>
      </c>
      <c r="J136">
        <v>0.4</v>
      </c>
      <c r="K136">
        <f t="shared" si="46"/>
        <v>15.700000000000001</v>
      </c>
      <c r="L136">
        <v>1.9</v>
      </c>
      <c r="M136">
        <v>0</v>
      </c>
      <c r="N136">
        <v>0</v>
      </c>
      <c r="O136">
        <f t="shared" si="40"/>
        <v>1.9</v>
      </c>
      <c r="P136">
        <v>0</v>
      </c>
      <c r="Q136">
        <v>0</v>
      </c>
      <c r="R136">
        <v>0.4</v>
      </c>
      <c r="S136">
        <f t="shared" si="41"/>
        <v>0.4</v>
      </c>
      <c r="T136">
        <v>0.5</v>
      </c>
      <c r="U136">
        <v>0.2</v>
      </c>
      <c r="V136">
        <v>21.1</v>
      </c>
      <c r="W136">
        <v>0.7</v>
      </c>
      <c r="X136">
        <v>0</v>
      </c>
      <c r="Y136">
        <v>0</v>
      </c>
      <c r="Z136">
        <v>0</v>
      </c>
      <c r="AA136">
        <f t="shared" si="42"/>
        <v>22.5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8.9</v>
      </c>
      <c r="AH136">
        <v>0</v>
      </c>
      <c r="AI136">
        <v>15.1</v>
      </c>
      <c r="AJ136">
        <f t="shared" si="48"/>
        <v>24</v>
      </c>
      <c r="AK136">
        <v>0.1</v>
      </c>
      <c r="AL136">
        <v>0.35399999999999998</v>
      </c>
      <c r="AM136">
        <f t="shared" si="49"/>
        <v>0.64500000000000002</v>
      </c>
      <c r="AN136" t="s">
        <v>13</v>
      </c>
      <c r="AO136" t="s">
        <v>13</v>
      </c>
      <c r="AP136" t="s">
        <v>13</v>
      </c>
      <c r="AQ136" t="s">
        <v>13</v>
      </c>
      <c r="AR136">
        <f t="shared" si="45"/>
        <v>0.37209302325581395</v>
      </c>
      <c r="AS136">
        <f t="shared" si="47"/>
        <v>0.40500000000000003</v>
      </c>
      <c r="AT136" t="s">
        <v>13</v>
      </c>
      <c r="AU136" t="s">
        <v>13</v>
      </c>
      <c r="AV136" t="s">
        <v>13</v>
      </c>
      <c r="AW136" t="s">
        <v>13</v>
      </c>
      <c r="AX136" t="s">
        <v>13</v>
      </c>
      <c r="AY136" t="s">
        <v>13</v>
      </c>
      <c r="AZ136" t="s">
        <v>13</v>
      </c>
      <c r="BA136" t="s">
        <v>13</v>
      </c>
    </row>
    <row r="137" spans="1:53" x14ac:dyDescent="0.2">
      <c r="A137" s="4">
        <v>1987</v>
      </c>
      <c r="B137" t="s">
        <v>55</v>
      </c>
      <c r="C137" t="s">
        <v>59</v>
      </c>
      <c r="D137">
        <v>0.8</v>
      </c>
      <c r="E137">
        <v>0</v>
      </c>
      <c r="F137">
        <v>0</v>
      </c>
      <c r="G137">
        <v>3.5</v>
      </c>
      <c r="H137">
        <v>0</v>
      </c>
      <c r="I137">
        <v>5.7</v>
      </c>
      <c r="J137">
        <v>0</v>
      </c>
      <c r="K137">
        <f t="shared" si="46"/>
        <v>10</v>
      </c>
      <c r="L137">
        <v>0.7</v>
      </c>
      <c r="M137">
        <v>0</v>
      </c>
      <c r="N137">
        <v>0</v>
      </c>
      <c r="O137">
        <f t="shared" si="40"/>
        <v>0.7</v>
      </c>
      <c r="P137">
        <v>0</v>
      </c>
      <c r="Q137">
        <v>0</v>
      </c>
      <c r="R137">
        <v>0.4</v>
      </c>
      <c r="S137">
        <f t="shared" si="41"/>
        <v>0.4</v>
      </c>
      <c r="T137">
        <v>1.1000000000000001</v>
      </c>
      <c r="U137">
        <v>0.1</v>
      </c>
      <c r="V137">
        <v>15.5</v>
      </c>
      <c r="W137">
        <v>0.7</v>
      </c>
      <c r="X137">
        <v>0</v>
      </c>
      <c r="Y137">
        <v>0</v>
      </c>
      <c r="Z137">
        <v>0</v>
      </c>
      <c r="AA137">
        <f t="shared" si="42"/>
        <v>17.399999999999999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6</v>
      </c>
      <c r="AH137">
        <v>0</v>
      </c>
      <c r="AI137">
        <v>24.9</v>
      </c>
      <c r="AJ137">
        <f t="shared" si="48"/>
        <v>30.9</v>
      </c>
      <c r="AK137">
        <v>0</v>
      </c>
      <c r="AL137">
        <v>0.40399999999999997</v>
      </c>
      <c r="AM137">
        <f t="shared" si="49"/>
        <v>0.59400000000000008</v>
      </c>
      <c r="AN137" t="s">
        <v>13</v>
      </c>
      <c r="AO137" t="s">
        <v>13</v>
      </c>
      <c r="AP137" t="s">
        <v>13</v>
      </c>
      <c r="AQ137" t="s">
        <v>13</v>
      </c>
      <c r="AR137">
        <f t="shared" si="45"/>
        <v>0.52020202020202011</v>
      </c>
      <c r="AS137">
        <f t="shared" si="47"/>
        <v>0.28499999999999998</v>
      </c>
      <c r="AT137" t="s">
        <v>13</v>
      </c>
      <c r="AU137" t="s">
        <v>13</v>
      </c>
      <c r="AV137" t="s">
        <v>13</v>
      </c>
      <c r="AW137" t="s">
        <v>13</v>
      </c>
      <c r="AX137" t="s">
        <v>13</v>
      </c>
      <c r="AY137" t="s">
        <v>13</v>
      </c>
      <c r="AZ137" t="s">
        <v>13</v>
      </c>
      <c r="BA137" t="s">
        <v>13</v>
      </c>
    </row>
    <row r="138" spans="1:53" x14ac:dyDescent="0.2">
      <c r="A138" s="4">
        <v>1988</v>
      </c>
      <c r="B138" t="s">
        <v>55</v>
      </c>
      <c r="C138" t="s">
        <v>59</v>
      </c>
      <c r="D138">
        <v>0.5</v>
      </c>
      <c r="E138">
        <v>0</v>
      </c>
      <c r="F138">
        <v>0</v>
      </c>
      <c r="G138">
        <v>2.7</v>
      </c>
      <c r="H138">
        <v>0</v>
      </c>
      <c r="I138">
        <v>3.7</v>
      </c>
      <c r="J138">
        <v>0</v>
      </c>
      <c r="K138">
        <f t="shared" si="46"/>
        <v>6.9</v>
      </c>
      <c r="L138">
        <v>0.1</v>
      </c>
      <c r="M138">
        <v>0</v>
      </c>
      <c r="N138">
        <v>0</v>
      </c>
      <c r="O138">
        <f t="shared" si="40"/>
        <v>0.1</v>
      </c>
      <c r="P138">
        <v>0</v>
      </c>
      <c r="Q138">
        <v>0.1</v>
      </c>
      <c r="R138">
        <v>0</v>
      </c>
      <c r="S138">
        <f t="shared" si="41"/>
        <v>0.1</v>
      </c>
      <c r="T138">
        <v>0.6</v>
      </c>
      <c r="U138">
        <v>0</v>
      </c>
      <c r="V138">
        <v>15.7</v>
      </c>
      <c r="W138">
        <v>0.5</v>
      </c>
      <c r="X138">
        <v>0</v>
      </c>
      <c r="Y138">
        <v>0</v>
      </c>
      <c r="Z138">
        <v>0.2</v>
      </c>
      <c r="AA138">
        <f t="shared" si="42"/>
        <v>17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0.2</v>
      </c>
      <c r="AH138">
        <v>0</v>
      </c>
      <c r="AI138">
        <v>35.9</v>
      </c>
      <c r="AJ138">
        <f t="shared" si="48"/>
        <v>36.1</v>
      </c>
      <c r="AK138">
        <v>0</v>
      </c>
      <c r="AL138">
        <v>0.39799999999999996</v>
      </c>
      <c r="AM138">
        <f t="shared" si="49"/>
        <v>0.6020000000000002</v>
      </c>
      <c r="AN138" t="s">
        <v>13</v>
      </c>
      <c r="AO138" t="s">
        <v>13</v>
      </c>
      <c r="AP138" t="s">
        <v>13</v>
      </c>
      <c r="AQ138" t="s">
        <v>13</v>
      </c>
      <c r="AR138">
        <f t="shared" si="45"/>
        <v>0.5996677740863785</v>
      </c>
      <c r="AS138">
        <f t="shared" si="47"/>
        <v>0.24100000000000002</v>
      </c>
      <c r="AT138" t="s">
        <v>13</v>
      </c>
      <c r="AU138" t="s">
        <v>13</v>
      </c>
      <c r="AV138" t="s">
        <v>13</v>
      </c>
      <c r="AW138" t="s">
        <v>13</v>
      </c>
      <c r="AX138" t="s">
        <v>13</v>
      </c>
      <c r="AY138" t="s">
        <v>13</v>
      </c>
      <c r="AZ138" t="s">
        <v>13</v>
      </c>
      <c r="BA138" t="s">
        <v>13</v>
      </c>
    </row>
    <row r="139" spans="1:53" x14ac:dyDescent="0.2">
      <c r="A139" s="4">
        <v>1989</v>
      </c>
      <c r="B139" t="s">
        <v>55</v>
      </c>
      <c r="C139" t="s">
        <v>59</v>
      </c>
      <c r="D139">
        <v>0.7</v>
      </c>
      <c r="E139">
        <v>0</v>
      </c>
      <c r="F139">
        <v>0.3</v>
      </c>
      <c r="G139">
        <v>1.3</v>
      </c>
      <c r="H139">
        <v>0.4</v>
      </c>
      <c r="I139">
        <v>1.8</v>
      </c>
      <c r="J139">
        <v>0</v>
      </c>
      <c r="K139">
        <f t="shared" si="46"/>
        <v>4.5</v>
      </c>
      <c r="L139">
        <v>0.2</v>
      </c>
      <c r="M139">
        <v>0</v>
      </c>
      <c r="N139">
        <v>0</v>
      </c>
      <c r="O139">
        <f t="shared" si="40"/>
        <v>0.2</v>
      </c>
      <c r="P139">
        <v>0</v>
      </c>
      <c r="Q139">
        <v>0</v>
      </c>
      <c r="R139">
        <v>0</v>
      </c>
      <c r="S139">
        <f t="shared" si="41"/>
        <v>0</v>
      </c>
      <c r="T139">
        <v>0.3</v>
      </c>
      <c r="U139">
        <v>0</v>
      </c>
      <c r="V139">
        <v>14.7</v>
      </c>
      <c r="W139">
        <v>0.5</v>
      </c>
      <c r="X139">
        <v>0</v>
      </c>
      <c r="Y139">
        <v>0</v>
      </c>
      <c r="Z139">
        <v>0</v>
      </c>
      <c r="AA139">
        <f t="shared" si="42"/>
        <v>15.5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11.6</v>
      </c>
      <c r="AH139">
        <v>0</v>
      </c>
      <c r="AI139">
        <v>32.200000000000003</v>
      </c>
      <c r="AJ139">
        <f t="shared" si="48"/>
        <v>43.800000000000004</v>
      </c>
      <c r="AK139">
        <v>0.4</v>
      </c>
      <c r="AL139">
        <v>0.35499999999999998</v>
      </c>
      <c r="AM139">
        <f t="shared" si="49"/>
        <v>0.6399999999999999</v>
      </c>
      <c r="AN139" t="s">
        <v>13</v>
      </c>
      <c r="AO139" t="s">
        <v>13</v>
      </c>
      <c r="AP139" t="s">
        <v>13</v>
      </c>
      <c r="AQ139" t="s">
        <v>13</v>
      </c>
      <c r="AR139">
        <f t="shared" si="45"/>
        <v>0.68437500000000018</v>
      </c>
      <c r="AS139">
        <f t="shared" si="47"/>
        <v>0.20199999999999999</v>
      </c>
      <c r="AT139" t="s">
        <v>13</v>
      </c>
      <c r="AU139" t="s">
        <v>13</v>
      </c>
      <c r="AV139" t="s">
        <v>13</v>
      </c>
      <c r="AW139" t="s">
        <v>13</v>
      </c>
      <c r="AX139" t="s">
        <v>13</v>
      </c>
      <c r="AY139" t="s">
        <v>13</v>
      </c>
      <c r="AZ139" t="s">
        <v>13</v>
      </c>
      <c r="BA139" t="s">
        <v>13</v>
      </c>
    </row>
    <row r="140" spans="1:53" x14ac:dyDescent="0.2">
      <c r="A140" s="4">
        <v>1990</v>
      </c>
      <c r="B140" t="s">
        <v>55</v>
      </c>
      <c r="C140" t="s">
        <v>59</v>
      </c>
      <c r="D140">
        <v>1</v>
      </c>
      <c r="E140">
        <v>0</v>
      </c>
      <c r="F140">
        <v>0</v>
      </c>
      <c r="G140">
        <v>0</v>
      </c>
      <c r="H140">
        <v>0</v>
      </c>
      <c r="I140">
        <v>2.6</v>
      </c>
      <c r="J140">
        <v>0</v>
      </c>
      <c r="K140">
        <f t="shared" si="46"/>
        <v>3.6</v>
      </c>
      <c r="L140">
        <v>0.5</v>
      </c>
      <c r="M140">
        <v>0</v>
      </c>
      <c r="N140">
        <v>0</v>
      </c>
      <c r="O140">
        <f t="shared" si="40"/>
        <v>0.5</v>
      </c>
      <c r="P140">
        <v>0</v>
      </c>
      <c r="Q140">
        <v>0</v>
      </c>
      <c r="R140">
        <v>0</v>
      </c>
      <c r="S140">
        <f t="shared" si="41"/>
        <v>0</v>
      </c>
      <c r="T140">
        <v>3.6</v>
      </c>
      <c r="U140">
        <v>0</v>
      </c>
      <c r="V140">
        <v>7.1</v>
      </c>
      <c r="W140">
        <v>0</v>
      </c>
      <c r="X140">
        <v>0</v>
      </c>
      <c r="Y140">
        <v>0</v>
      </c>
      <c r="Z140">
        <v>0</v>
      </c>
      <c r="AA140">
        <f t="shared" si="42"/>
        <v>10.7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5</v>
      </c>
      <c r="AH140">
        <v>0</v>
      </c>
      <c r="AI140">
        <v>38.4</v>
      </c>
      <c r="AJ140">
        <f t="shared" si="48"/>
        <v>43.4</v>
      </c>
      <c r="AK140">
        <v>0.4</v>
      </c>
      <c r="AL140">
        <v>0.41299999999999998</v>
      </c>
      <c r="AM140">
        <f t="shared" si="49"/>
        <v>0.58200000000000007</v>
      </c>
      <c r="AN140" t="s">
        <v>13</v>
      </c>
      <c r="AO140" t="s">
        <v>13</v>
      </c>
      <c r="AP140" t="s">
        <v>13</v>
      </c>
      <c r="AQ140" t="s">
        <v>13</v>
      </c>
      <c r="AR140">
        <f t="shared" si="45"/>
        <v>0.74570446735395179</v>
      </c>
      <c r="AS140">
        <f t="shared" si="47"/>
        <v>0.14799999999999999</v>
      </c>
      <c r="AT140" t="s">
        <v>13</v>
      </c>
      <c r="AU140" t="s">
        <v>13</v>
      </c>
      <c r="AV140" t="s">
        <v>13</v>
      </c>
      <c r="AW140" t="s">
        <v>13</v>
      </c>
      <c r="AX140" t="s">
        <v>13</v>
      </c>
      <c r="AY140" t="s">
        <v>13</v>
      </c>
      <c r="AZ140" t="s">
        <v>13</v>
      </c>
      <c r="BA140" t="s">
        <v>13</v>
      </c>
    </row>
    <row r="141" spans="1:53" x14ac:dyDescent="0.2">
      <c r="A141" s="4">
        <v>1991</v>
      </c>
      <c r="B141" t="s">
        <v>55</v>
      </c>
      <c r="C141" t="s">
        <v>59</v>
      </c>
      <c r="D141">
        <v>0</v>
      </c>
      <c r="E141">
        <v>0.7</v>
      </c>
      <c r="F141">
        <v>0</v>
      </c>
      <c r="G141">
        <v>2.4</v>
      </c>
      <c r="H141">
        <v>0</v>
      </c>
      <c r="I141">
        <v>5.2</v>
      </c>
      <c r="J141">
        <v>0</v>
      </c>
      <c r="K141">
        <f t="shared" si="46"/>
        <v>8.3000000000000007</v>
      </c>
      <c r="L141">
        <v>0</v>
      </c>
      <c r="M141">
        <v>0.7</v>
      </c>
      <c r="N141">
        <v>0</v>
      </c>
      <c r="O141">
        <f t="shared" si="40"/>
        <v>0.7</v>
      </c>
      <c r="P141">
        <v>0</v>
      </c>
      <c r="Q141">
        <v>0</v>
      </c>
      <c r="R141">
        <v>0</v>
      </c>
      <c r="S141">
        <f t="shared" si="41"/>
        <v>0</v>
      </c>
      <c r="T141">
        <v>0.4</v>
      </c>
      <c r="U141">
        <v>0</v>
      </c>
      <c r="V141">
        <v>4.3</v>
      </c>
      <c r="W141">
        <v>0</v>
      </c>
      <c r="X141">
        <v>0</v>
      </c>
      <c r="Y141">
        <v>0</v>
      </c>
      <c r="Z141">
        <v>0</v>
      </c>
      <c r="AA141">
        <f t="shared" si="42"/>
        <v>4.7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27.9</v>
      </c>
      <c r="AJ141">
        <f t="shared" si="48"/>
        <v>27.9</v>
      </c>
      <c r="AK141">
        <v>0.2</v>
      </c>
      <c r="AL141">
        <v>0.58200000000000007</v>
      </c>
      <c r="AM141">
        <f t="shared" si="49"/>
        <v>0.41600000000000004</v>
      </c>
      <c r="AN141" t="s">
        <v>13</v>
      </c>
      <c r="AO141" t="s">
        <v>13</v>
      </c>
      <c r="AP141" t="s">
        <v>13</v>
      </c>
      <c r="AQ141" t="s">
        <v>13</v>
      </c>
      <c r="AR141">
        <f t="shared" si="45"/>
        <v>0.67067307692307676</v>
      </c>
      <c r="AS141">
        <f t="shared" si="47"/>
        <v>0.13699999999999998</v>
      </c>
      <c r="AT141" t="s">
        <v>13</v>
      </c>
      <c r="AU141" t="s">
        <v>13</v>
      </c>
      <c r="AV141" t="s">
        <v>13</v>
      </c>
      <c r="AW141" t="s">
        <v>13</v>
      </c>
      <c r="AX141" t="s">
        <v>13</v>
      </c>
      <c r="AY141" t="s">
        <v>13</v>
      </c>
      <c r="AZ141" t="s">
        <v>13</v>
      </c>
      <c r="BA141" t="s">
        <v>13</v>
      </c>
    </row>
    <row r="142" spans="1:53" x14ac:dyDescent="0.2">
      <c r="A142" s="4">
        <v>1992</v>
      </c>
      <c r="B142" t="s">
        <v>55</v>
      </c>
      <c r="C142" t="s">
        <v>59</v>
      </c>
      <c r="D142">
        <v>2.8</v>
      </c>
      <c r="E142">
        <v>3</v>
      </c>
      <c r="F142">
        <v>0</v>
      </c>
      <c r="G142">
        <v>0</v>
      </c>
      <c r="H142">
        <v>0</v>
      </c>
      <c r="I142">
        <v>6.9</v>
      </c>
      <c r="J142">
        <v>0.7</v>
      </c>
      <c r="K142">
        <f t="shared" si="46"/>
        <v>13.399999999999999</v>
      </c>
      <c r="L142">
        <v>0</v>
      </c>
      <c r="M142">
        <v>0.2</v>
      </c>
      <c r="N142">
        <v>0</v>
      </c>
      <c r="O142">
        <f t="shared" si="40"/>
        <v>0.2</v>
      </c>
      <c r="P142">
        <v>0</v>
      </c>
      <c r="Q142">
        <v>0</v>
      </c>
      <c r="R142">
        <v>0</v>
      </c>
      <c r="S142">
        <f t="shared" si="41"/>
        <v>0</v>
      </c>
      <c r="T142">
        <v>0</v>
      </c>
      <c r="U142">
        <v>0</v>
      </c>
      <c r="V142">
        <v>6</v>
      </c>
      <c r="W142">
        <v>0.3</v>
      </c>
      <c r="X142">
        <v>0</v>
      </c>
      <c r="Y142">
        <v>0.4</v>
      </c>
      <c r="Z142">
        <v>0</v>
      </c>
      <c r="AA142">
        <f t="shared" si="42"/>
        <v>6.7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4.0999999999999996</v>
      </c>
      <c r="AH142">
        <v>0</v>
      </c>
      <c r="AI142">
        <v>35.5</v>
      </c>
      <c r="AJ142">
        <f t="shared" si="48"/>
        <v>39.6</v>
      </c>
      <c r="AK142">
        <v>0.2</v>
      </c>
      <c r="AL142">
        <v>0.4</v>
      </c>
      <c r="AM142">
        <f t="shared" si="49"/>
        <v>0.59899999999999998</v>
      </c>
      <c r="AN142" t="s">
        <v>13</v>
      </c>
      <c r="AO142" t="s">
        <v>13</v>
      </c>
      <c r="AP142" t="s">
        <v>13</v>
      </c>
      <c r="AQ142" t="s">
        <v>13</v>
      </c>
      <c r="AR142">
        <f t="shared" si="45"/>
        <v>0.66110183639399001</v>
      </c>
      <c r="AS142">
        <f t="shared" si="47"/>
        <v>0.20299999999999996</v>
      </c>
      <c r="AT142" t="s">
        <v>13</v>
      </c>
      <c r="AU142" t="s">
        <v>13</v>
      </c>
      <c r="AV142" t="s">
        <v>13</v>
      </c>
      <c r="AW142" t="s">
        <v>13</v>
      </c>
      <c r="AX142" t="s">
        <v>13</v>
      </c>
      <c r="AY142" t="s">
        <v>13</v>
      </c>
      <c r="AZ142" t="s">
        <v>13</v>
      </c>
      <c r="BA142" t="s">
        <v>13</v>
      </c>
    </row>
    <row r="143" spans="1:53" x14ac:dyDescent="0.2">
      <c r="A143" s="4">
        <v>1993</v>
      </c>
      <c r="B143" t="s">
        <v>55</v>
      </c>
      <c r="C143" t="s">
        <v>59</v>
      </c>
      <c r="D143">
        <v>2.5</v>
      </c>
      <c r="E143">
        <v>0</v>
      </c>
      <c r="F143">
        <v>0</v>
      </c>
      <c r="G143">
        <v>2.4</v>
      </c>
      <c r="H143">
        <v>0</v>
      </c>
      <c r="I143">
        <v>5.5</v>
      </c>
      <c r="J143">
        <v>0.9</v>
      </c>
      <c r="K143">
        <f t="shared" si="46"/>
        <v>11.3</v>
      </c>
      <c r="L143">
        <v>0</v>
      </c>
      <c r="M143">
        <v>0</v>
      </c>
      <c r="N143">
        <v>0</v>
      </c>
      <c r="O143">
        <f t="shared" si="40"/>
        <v>0</v>
      </c>
      <c r="P143">
        <v>0</v>
      </c>
      <c r="Q143">
        <v>0</v>
      </c>
      <c r="R143">
        <v>0.3</v>
      </c>
      <c r="S143">
        <f t="shared" si="41"/>
        <v>0.3</v>
      </c>
      <c r="T143">
        <v>1.7</v>
      </c>
      <c r="U143">
        <v>0.2</v>
      </c>
      <c r="V143">
        <v>6.5</v>
      </c>
      <c r="W143">
        <v>0</v>
      </c>
      <c r="X143">
        <v>0</v>
      </c>
      <c r="Y143">
        <v>0</v>
      </c>
      <c r="Z143">
        <v>0</v>
      </c>
      <c r="AA143">
        <f t="shared" si="42"/>
        <v>8.4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12.1</v>
      </c>
      <c r="AH143">
        <v>0</v>
      </c>
      <c r="AI143">
        <v>21.2</v>
      </c>
      <c r="AJ143">
        <f t="shared" si="48"/>
        <v>33.299999999999997</v>
      </c>
      <c r="AK143">
        <v>0.2</v>
      </c>
      <c r="AL143">
        <v>0.46500000000000002</v>
      </c>
      <c r="AM143">
        <f t="shared" si="49"/>
        <v>0.53299999999999992</v>
      </c>
      <c r="AN143" t="s">
        <v>13</v>
      </c>
      <c r="AO143" t="s">
        <v>13</v>
      </c>
      <c r="AP143" t="s">
        <v>13</v>
      </c>
      <c r="AQ143" t="s">
        <v>13</v>
      </c>
      <c r="AR143">
        <f t="shared" si="45"/>
        <v>0.62476547842401509</v>
      </c>
      <c r="AS143">
        <f t="shared" si="47"/>
        <v>0.2</v>
      </c>
      <c r="AT143" t="s">
        <v>13</v>
      </c>
      <c r="AU143" t="s">
        <v>13</v>
      </c>
      <c r="AV143" t="s">
        <v>13</v>
      </c>
      <c r="AW143" t="s">
        <v>13</v>
      </c>
      <c r="AX143" t="s">
        <v>13</v>
      </c>
      <c r="AY143" t="s">
        <v>13</v>
      </c>
      <c r="AZ143" t="s">
        <v>13</v>
      </c>
      <c r="BA143" t="s">
        <v>13</v>
      </c>
    </row>
    <row r="144" spans="1:53" x14ac:dyDescent="0.2">
      <c r="A144" s="4">
        <v>1994</v>
      </c>
      <c r="B144" t="s">
        <v>55</v>
      </c>
      <c r="C144" t="s">
        <v>59</v>
      </c>
      <c r="D144">
        <v>3.2</v>
      </c>
      <c r="E144">
        <v>0.5</v>
      </c>
      <c r="F144">
        <v>0</v>
      </c>
      <c r="G144">
        <v>1.6</v>
      </c>
      <c r="H144">
        <v>0.4</v>
      </c>
      <c r="I144">
        <v>2.5</v>
      </c>
      <c r="J144">
        <v>0</v>
      </c>
      <c r="K144">
        <f t="shared" si="46"/>
        <v>8.2000000000000011</v>
      </c>
      <c r="L144">
        <v>0.1</v>
      </c>
      <c r="M144">
        <v>0.2</v>
      </c>
      <c r="N144">
        <v>0</v>
      </c>
      <c r="O144">
        <f t="shared" si="40"/>
        <v>0.30000000000000004</v>
      </c>
      <c r="P144">
        <v>0</v>
      </c>
      <c r="Q144">
        <v>0.2</v>
      </c>
      <c r="R144">
        <v>0</v>
      </c>
      <c r="S144">
        <f t="shared" si="41"/>
        <v>0.2</v>
      </c>
      <c r="T144">
        <v>0.4</v>
      </c>
      <c r="U144">
        <v>0</v>
      </c>
      <c r="V144">
        <v>7.3</v>
      </c>
      <c r="W144">
        <v>0</v>
      </c>
      <c r="X144">
        <v>0</v>
      </c>
      <c r="Y144">
        <v>0</v>
      </c>
      <c r="Z144">
        <v>0</v>
      </c>
      <c r="AA144">
        <f t="shared" si="42"/>
        <v>7.7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10</v>
      </c>
      <c r="AH144">
        <v>0</v>
      </c>
      <c r="AI144">
        <v>34.299999999999997</v>
      </c>
      <c r="AJ144">
        <f t="shared" si="48"/>
        <v>44.3</v>
      </c>
      <c r="AK144">
        <v>0.2</v>
      </c>
      <c r="AL144">
        <v>0.39</v>
      </c>
      <c r="AM144">
        <f t="shared" si="49"/>
        <v>0.60699999999999998</v>
      </c>
      <c r="AN144" t="s">
        <v>13</v>
      </c>
      <c r="AO144" t="s">
        <v>13</v>
      </c>
      <c r="AP144" t="s">
        <v>13</v>
      </c>
      <c r="AQ144" t="s">
        <v>13</v>
      </c>
      <c r="AR144">
        <f t="shared" si="45"/>
        <v>0.72981878088962104</v>
      </c>
      <c r="AS144">
        <f t="shared" si="47"/>
        <v>0.16400000000000003</v>
      </c>
      <c r="AT144" t="s">
        <v>13</v>
      </c>
      <c r="AU144" t="s">
        <v>13</v>
      </c>
      <c r="AV144" t="s">
        <v>13</v>
      </c>
      <c r="AW144" t="s">
        <v>13</v>
      </c>
      <c r="AX144" t="s">
        <v>13</v>
      </c>
      <c r="AY144" t="s">
        <v>13</v>
      </c>
      <c r="AZ144" t="s">
        <v>13</v>
      </c>
      <c r="BA144" t="s">
        <v>13</v>
      </c>
    </row>
    <row r="145" spans="1:53" x14ac:dyDescent="0.2">
      <c r="A145" s="4">
        <v>1995</v>
      </c>
      <c r="B145" t="s">
        <v>55</v>
      </c>
      <c r="C145" t="s">
        <v>59</v>
      </c>
      <c r="D145">
        <v>2.1</v>
      </c>
      <c r="E145">
        <v>0.2</v>
      </c>
      <c r="F145">
        <v>0.5</v>
      </c>
      <c r="G145">
        <v>1</v>
      </c>
      <c r="H145">
        <v>0.2</v>
      </c>
      <c r="I145">
        <v>1.9</v>
      </c>
      <c r="J145">
        <v>0.2</v>
      </c>
      <c r="K145">
        <f t="shared" si="46"/>
        <v>6.1000000000000005</v>
      </c>
      <c r="L145">
        <v>0</v>
      </c>
      <c r="M145">
        <v>0.5</v>
      </c>
      <c r="N145">
        <v>0</v>
      </c>
      <c r="O145">
        <f t="shared" si="40"/>
        <v>0.5</v>
      </c>
      <c r="P145">
        <v>0</v>
      </c>
      <c r="Q145">
        <v>0.1</v>
      </c>
      <c r="R145">
        <v>0</v>
      </c>
      <c r="S145">
        <f t="shared" si="41"/>
        <v>0.1</v>
      </c>
      <c r="T145">
        <v>0.1</v>
      </c>
      <c r="U145">
        <v>0</v>
      </c>
      <c r="V145">
        <v>5.4</v>
      </c>
      <c r="W145">
        <v>0.1</v>
      </c>
      <c r="X145">
        <v>0</v>
      </c>
      <c r="Y145">
        <v>0</v>
      </c>
      <c r="Z145">
        <v>0</v>
      </c>
      <c r="AA145">
        <f t="shared" si="42"/>
        <v>5.6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8.1</v>
      </c>
      <c r="AH145">
        <v>0</v>
      </c>
      <c r="AI145">
        <v>32.200000000000003</v>
      </c>
      <c r="AJ145">
        <f t="shared" si="48"/>
        <v>40.300000000000004</v>
      </c>
      <c r="AK145">
        <v>0</v>
      </c>
      <c r="AL145">
        <v>0.47100000000000003</v>
      </c>
      <c r="AM145">
        <f t="shared" si="49"/>
        <v>0.52600000000000013</v>
      </c>
      <c r="AN145" t="s">
        <v>13</v>
      </c>
      <c r="AO145" t="s">
        <v>13</v>
      </c>
      <c r="AP145" t="s">
        <v>13</v>
      </c>
      <c r="AQ145" t="s">
        <v>13</v>
      </c>
      <c r="AR145">
        <f t="shared" si="45"/>
        <v>0.76615969581749033</v>
      </c>
      <c r="AS145">
        <f t="shared" si="47"/>
        <v>0.12300000000000001</v>
      </c>
      <c r="AT145" t="s">
        <v>13</v>
      </c>
      <c r="AU145" t="s">
        <v>13</v>
      </c>
      <c r="AV145" t="s">
        <v>13</v>
      </c>
      <c r="AW145" t="s">
        <v>13</v>
      </c>
      <c r="AX145" t="s">
        <v>13</v>
      </c>
      <c r="AY145" t="s">
        <v>13</v>
      </c>
      <c r="AZ145" t="s">
        <v>13</v>
      </c>
      <c r="BA145" t="s">
        <v>13</v>
      </c>
    </row>
    <row r="146" spans="1:53" x14ac:dyDescent="0.2">
      <c r="A146" s="4">
        <v>1996</v>
      </c>
      <c r="B146" t="s">
        <v>55</v>
      </c>
      <c r="C146" t="s">
        <v>59</v>
      </c>
      <c r="D146">
        <v>1.9</v>
      </c>
      <c r="E146">
        <v>0</v>
      </c>
      <c r="F146">
        <v>0</v>
      </c>
      <c r="G146">
        <v>1.3</v>
      </c>
      <c r="H146">
        <v>0.1</v>
      </c>
      <c r="I146">
        <v>0.4</v>
      </c>
      <c r="J146">
        <v>0</v>
      </c>
      <c r="K146">
        <f t="shared" si="46"/>
        <v>3.7</v>
      </c>
      <c r="L146">
        <v>0</v>
      </c>
      <c r="M146">
        <v>0.2</v>
      </c>
      <c r="N146">
        <v>0.1</v>
      </c>
      <c r="O146">
        <f t="shared" si="40"/>
        <v>0.30000000000000004</v>
      </c>
      <c r="P146">
        <v>0</v>
      </c>
      <c r="Q146">
        <v>0</v>
      </c>
      <c r="R146">
        <v>0</v>
      </c>
      <c r="S146">
        <f t="shared" si="41"/>
        <v>0</v>
      </c>
      <c r="T146">
        <v>0.2</v>
      </c>
      <c r="U146">
        <v>0</v>
      </c>
      <c r="V146">
        <v>13.1</v>
      </c>
      <c r="W146">
        <v>0.2</v>
      </c>
      <c r="X146">
        <v>0</v>
      </c>
      <c r="Y146">
        <v>0</v>
      </c>
      <c r="Z146">
        <v>0.1</v>
      </c>
      <c r="AA146">
        <f t="shared" si="42"/>
        <v>13.599999999999998</v>
      </c>
      <c r="AB146">
        <v>0</v>
      </c>
      <c r="AC146">
        <v>0</v>
      </c>
      <c r="AD146">
        <v>0</v>
      </c>
      <c r="AE146">
        <v>0</v>
      </c>
      <c r="AF146">
        <v>0.1</v>
      </c>
      <c r="AG146">
        <v>16</v>
      </c>
      <c r="AH146">
        <v>0</v>
      </c>
      <c r="AI146">
        <v>11.7</v>
      </c>
      <c r="AJ146">
        <f t="shared" si="48"/>
        <v>27.8</v>
      </c>
      <c r="AK146">
        <v>0.3</v>
      </c>
      <c r="AL146">
        <v>0.54500000000000004</v>
      </c>
      <c r="AM146">
        <f t="shared" si="49"/>
        <v>0.45400000000000007</v>
      </c>
      <c r="AN146" t="s">
        <v>13</v>
      </c>
      <c r="AO146" t="s">
        <v>13</v>
      </c>
      <c r="AP146" t="s">
        <v>13</v>
      </c>
      <c r="AQ146" t="s">
        <v>13</v>
      </c>
      <c r="AR146">
        <f t="shared" si="45"/>
        <v>0.61233480176211452</v>
      </c>
      <c r="AS146">
        <f t="shared" si="47"/>
        <v>0.17599999999999999</v>
      </c>
      <c r="AT146" t="s">
        <v>13</v>
      </c>
      <c r="AU146" t="s">
        <v>13</v>
      </c>
      <c r="AV146" t="s">
        <v>13</v>
      </c>
      <c r="AW146" t="s">
        <v>13</v>
      </c>
      <c r="AX146" t="s">
        <v>13</v>
      </c>
      <c r="AY146" t="s">
        <v>13</v>
      </c>
      <c r="AZ146" t="s">
        <v>13</v>
      </c>
      <c r="BA146" t="s">
        <v>13</v>
      </c>
    </row>
    <row r="147" spans="1:53" x14ac:dyDescent="0.2">
      <c r="A147" s="4">
        <v>1997</v>
      </c>
      <c r="B147" t="s">
        <v>55</v>
      </c>
      <c r="C147" t="s">
        <v>59</v>
      </c>
      <c r="D147">
        <v>14.8</v>
      </c>
      <c r="E147">
        <v>0</v>
      </c>
      <c r="F147">
        <v>0.1</v>
      </c>
      <c r="G147">
        <v>1.8</v>
      </c>
      <c r="H147">
        <v>0.2</v>
      </c>
      <c r="I147">
        <v>1.2</v>
      </c>
      <c r="J147">
        <v>0</v>
      </c>
      <c r="K147">
        <f t="shared" si="46"/>
        <v>18.099999999999998</v>
      </c>
      <c r="L147">
        <v>0</v>
      </c>
      <c r="M147">
        <v>0.1</v>
      </c>
      <c r="N147">
        <v>0.2</v>
      </c>
      <c r="O147">
        <f t="shared" si="40"/>
        <v>0.30000000000000004</v>
      </c>
      <c r="P147">
        <v>0</v>
      </c>
      <c r="Q147">
        <v>0</v>
      </c>
      <c r="R147">
        <v>0</v>
      </c>
      <c r="S147">
        <f t="shared" si="41"/>
        <v>0</v>
      </c>
      <c r="T147">
        <v>0.6</v>
      </c>
      <c r="U147">
        <v>0</v>
      </c>
      <c r="V147">
        <v>6.7</v>
      </c>
      <c r="W147">
        <v>0</v>
      </c>
      <c r="X147">
        <v>0</v>
      </c>
      <c r="Y147">
        <v>0</v>
      </c>
      <c r="Z147">
        <v>0</v>
      </c>
      <c r="AA147">
        <f t="shared" si="42"/>
        <v>7.3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12</v>
      </c>
      <c r="AH147">
        <v>0</v>
      </c>
      <c r="AI147">
        <v>18.3</v>
      </c>
      <c r="AJ147">
        <f t="shared" si="48"/>
        <v>30.3</v>
      </c>
      <c r="AK147">
        <v>0.2</v>
      </c>
      <c r="AL147">
        <v>0.43700000000000006</v>
      </c>
      <c r="AM147">
        <f t="shared" si="49"/>
        <v>0.56000000000000005</v>
      </c>
      <c r="AN147" t="s">
        <v>13</v>
      </c>
      <c r="AO147" t="s">
        <v>13</v>
      </c>
      <c r="AP147" t="s">
        <v>13</v>
      </c>
      <c r="AQ147" t="s">
        <v>13</v>
      </c>
      <c r="AR147">
        <f t="shared" si="45"/>
        <v>0.54107142857142854</v>
      </c>
      <c r="AS147">
        <f t="shared" si="47"/>
        <v>0.25700000000000001</v>
      </c>
      <c r="AT147" t="s">
        <v>13</v>
      </c>
      <c r="AU147" t="s">
        <v>13</v>
      </c>
      <c r="AV147" t="s">
        <v>13</v>
      </c>
      <c r="AW147" t="s">
        <v>13</v>
      </c>
      <c r="AX147" t="s">
        <v>13</v>
      </c>
      <c r="AY147" t="s">
        <v>13</v>
      </c>
      <c r="AZ147" t="s">
        <v>13</v>
      </c>
      <c r="BA147" t="s">
        <v>13</v>
      </c>
    </row>
    <row r="148" spans="1:53" x14ac:dyDescent="0.2">
      <c r="A148" s="4">
        <v>1998</v>
      </c>
      <c r="B148" t="s">
        <v>55</v>
      </c>
      <c r="C148" t="s">
        <v>59</v>
      </c>
      <c r="D148">
        <v>7.9</v>
      </c>
      <c r="E148">
        <v>0</v>
      </c>
      <c r="F148">
        <v>0</v>
      </c>
      <c r="G148">
        <v>3.2</v>
      </c>
      <c r="H148">
        <v>0.2</v>
      </c>
      <c r="I148">
        <v>0</v>
      </c>
      <c r="J148">
        <v>0</v>
      </c>
      <c r="K148">
        <f t="shared" si="46"/>
        <v>11.3</v>
      </c>
      <c r="L148">
        <v>0</v>
      </c>
      <c r="M148">
        <v>0</v>
      </c>
      <c r="N148">
        <v>0.1</v>
      </c>
      <c r="O148">
        <f t="shared" si="40"/>
        <v>0.1</v>
      </c>
      <c r="P148">
        <v>0</v>
      </c>
      <c r="Q148">
        <v>0</v>
      </c>
      <c r="R148">
        <v>0</v>
      </c>
      <c r="S148">
        <f t="shared" si="41"/>
        <v>0</v>
      </c>
      <c r="T148">
        <v>0.2</v>
      </c>
      <c r="U148">
        <v>0</v>
      </c>
      <c r="V148">
        <v>4.9000000000000004</v>
      </c>
      <c r="W148">
        <v>0.1</v>
      </c>
      <c r="X148">
        <v>0</v>
      </c>
      <c r="Y148">
        <v>0</v>
      </c>
      <c r="Z148">
        <v>0</v>
      </c>
      <c r="AA148">
        <f t="shared" si="42"/>
        <v>5.2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7.9</v>
      </c>
      <c r="AH148">
        <v>0</v>
      </c>
      <c r="AI148">
        <v>9.6</v>
      </c>
      <c r="AJ148">
        <f t="shared" si="48"/>
        <v>17.5</v>
      </c>
      <c r="AK148">
        <v>0</v>
      </c>
      <c r="AL148">
        <v>0.66</v>
      </c>
      <c r="AM148">
        <f t="shared" si="49"/>
        <v>0.34100000000000008</v>
      </c>
      <c r="AN148" t="s">
        <v>13</v>
      </c>
      <c r="AO148" t="s">
        <v>13</v>
      </c>
      <c r="AP148" t="s">
        <v>13</v>
      </c>
      <c r="AQ148" t="s">
        <v>13</v>
      </c>
      <c r="AR148">
        <f t="shared" si="45"/>
        <v>0.5131964809384163</v>
      </c>
      <c r="AS148">
        <f t="shared" si="47"/>
        <v>0.16600000000000001</v>
      </c>
      <c r="AT148" t="s">
        <v>13</v>
      </c>
      <c r="AU148" t="s">
        <v>13</v>
      </c>
      <c r="AV148" t="s">
        <v>13</v>
      </c>
      <c r="AW148" t="s">
        <v>13</v>
      </c>
      <c r="AX148" t="s">
        <v>13</v>
      </c>
      <c r="AY148" t="s">
        <v>13</v>
      </c>
      <c r="AZ148" t="s">
        <v>13</v>
      </c>
      <c r="BA148" t="s">
        <v>13</v>
      </c>
    </row>
    <row r="149" spans="1:53" x14ac:dyDescent="0.2">
      <c r="A149" s="4">
        <v>1999</v>
      </c>
      <c r="B149" t="s">
        <v>55</v>
      </c>
      <c r="C149" t="s">
        <v>59</v>
      </c>
      <c r="D149">
        <v>8.6</v>
      </c>
      <c r="E149">
        <v>0</v>
      </c>
      <c r="F149">
        <v>0.5</v>
      </c>
      <c r="G149">
        <v>2.8</v>
      </c>
      <c r="H149">
        <v>0.3</v>
      </c>
      <c r="I149">
        <v>0</v>
      </c>
      <c r="J149">
        <v>0.1</v>
      </c>
      <c r="K149">
        <f t="shared" si="46"/>
        <v>12.299999999999999</v>
      </c>
      <c r="L149">
        <v>0</v>
      </c>
      <c r="M149">
        <v>0</v>
      </c>
      <c r="N149">
        <v>0.1</v>
      </c>
      <c r="O149">
        <f t="shared" ref="O149:O172" si="50">SUM(L149:N149)</f>
        <v>0.1</v>
      </c>
      <c r="P149">
        <v>0</v>
      </c>
      <c r="Q149">
        <v>0</v>
      </c>
      <c r="R149">
        <v>0.1</v>
      </c>
      <c r="S149">
        <f t="shared" ref="S149:S172" si="51">SUM(P149:R149)</f>
        <v>0.1</v>
      </c>
      <c r="T149">
        <v>0.8</v>
      </c>
      <c r="U149">
        <v>0.1</v>
      </c>
      <c r="V149">
        <v>1.8</v>
      </c>
      <c r="W149">
        <v>0</v>
      </c>
      <c r="X149">
        <v>0</v>
      </c>
      <c r="Y149">
        <v>0</v>
      </c>
      <c r="Z149">
        <v>0</v>
      </c>
      <c r="AA149">
        <f t="shared" ref="AA149:AA172" si="52">SUM(T149:Z149)</f>
        <v>2.7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16.2</v>
      </c>
      <c r="AH149">
        <v>0</v>
      </c>
      <c r="AI149">
        <v>19.5</v>
      </c>
      <c r="AJ149">
        <f t="shared" si="48"/>
        <v>35.700000000000003</v>
      </c>
      <c r="AK149">
        <v>0.1</v>
      </c>
      <c r="AL149">
        <v>0.49</v>
      </c>
      <c r="AM149">
        <f t="shared" si="49"/>
        <v>0.50900000000000001</v>
      </c>
      <c r="AN149" t="s">
        <v>13</v>
      </c>
      <c r="AO149" t="s">
        <v>13</v>
      </c>
      <c r="AP149" t="s">
        <v>13</v>
      </c>
      <c r="AQ149" t="s">
        <v>13</v>
      </c>
      <c r="AR149">
        <f t="shared" si="45"/>
        <v>0.70137524557956787</v>
      </c>
      <c r="AS149">
        <f t="shared" ref="AS149:AS180" si="53">SUM(K149,O149,S149,AA149)/100</f>
        <v>0.152</v>
      </c>
      <c r="AT149" t="s">
        <v>13</v>
      </c>
      <c r="AU149" t="s">
        <v>13</v>
      </c>
      <c r="AV149" t="s">
        <v>13</v>
      </c>
      <c r="AW149" t="s">
        <v>13</v>
      </c>
      <c r="AX149" t="s">
        <v>13</v>
      </c>
      <c r="AY149" t="s">
        <v>13</v>
      </c>
      <c r="AZ149" t="s">
        <v>13</v>
      </c>
      <c r="BA149" t="s">
        <v>13</v>
      </c>
    </row>
    <row r="150" spans="1:53" x14ac:dyDescent="0.2">
      <c r="A150" s="4">
        <v>2000</v>
      </c>
      <c r="B150" t="s">
        <v>55</v>
      </c>
      <c r="C150" t="s">
        <v>59</v>
      </c>
      <c r="D150">
        <v>8.3000000000000007</v>
      </c>
      <c r="E150">
        <v>0.1</v>
      </c>
      <c r="F150">
        <v>0</v>
      </c>
      <c r="G150">
        <v>1.7</v>
      </c>
      <c r="H150">
        <v>0.6</v>
      </c>
      <c r="I150">
        <v>0.8</v>
      </c>
      <c r="J150">
        <v>0.1</v>
      </c>
      <c r="K150">
        <f t="shared" si="46"/>
        <v>11.6</v>
      </c>
      <c r="L150">
        <v>0</v>
      </c>
      <c r="M150">
        <v>0</v>
      </c>
      <c r="N150">
        <v>0</v>
      </c>
      <c r="O150">
        <f t="shared" si="50"/>
        <v>0</v>
      </c>
      <c r="P150">
        <v>0</v>
      </c>
      <c r="Q150">
        <v>0</v>
      </c>
      <c r="R150">
        <v>0</v>
      </c>
      <c r="S150">
        <f t="shared" si="51"/>
        <v>0</v>
      </c>
      <c r="T150">
        <v>0.7</v>
      </c>
      <c r="U150">
        <v>0.5</v>
      </c>
      <c r="V150">
        <v>6.9</v>
      </c>
      <c r="W150">
        <v>0.2</v>
      </c>
      <c r="X150">
        <v>0</v>
      </c>
      <c r="Y150">
        <v>0</v>
      </c>
      <c r="Z150">
        <v>0</v>
      </c>
      <c r="AA150">
        <f t="shared" si="52"/>
        <v>8.2999999999999989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19.600000000000001</v>
      </c>
      <c r="AH150">
        <v>0</v>
      </c>
      <c r="AI150">
        <v>18.5</v>
      </c>
      <c r="AJ150">
        <f t="shared" si="48"/>
        <v>38.1</v>
      </c>
      <c r="AK150">
        <v>0</v>
      </c>
      <c r="AL150">
        <v>0.41799999999999998</v>
      </c>
      <c r="AM150">
        <f t="shared" si="49"/>
        <v>0.58000000000000007</v>
      </c>
      <c r="AN150" t="s">
        <v>13</v>
      </c>
      <c r="AO150" t="s">
        <v>13</v>
      </c>
      <c r="AP150" t="s">
        <v>13</v>
      </c>
      <c r="AQ150" t="s">
        <v>13</v>
      </c>
      <c r="AR150">
        <f t="shared" si="45"/>
        <v>0.65689655172413786</v>
      </c>
      <c r="AS150">
        <f t="shared" si="53"/>
        <v>0.19899999999999998</v>
      </c>
      <c r="AT150" t="s">
        <v>13</v>
      </c>
      <c r="AU150" t="s">
        <v>13</v>
      </c>
      <c r="AV150" t="s">
        <v>13</v>
      </c>
      <c r="AW150" t="s">
        <v>13</v>
      </c>
      <c r="AX150" t="s">
        <v>13</v>
      </c>
      <c r="AY150" t="s">
        <v>13</v>
      </c>
      <c r="AZ150" t="s">
        <v>13</v>
      </c>
      <c r="BA150" t="s">
        <v>13</v>
      </c>
    </row>
    <row r="151" spans="1:53" x14ac:dyDescent="0.2">
      <c r="A151" s="4">
        <v>2001</v>
      </c>
      <c r="B151" t="s">
        <v>55</v>
      </c>
      <c r="C151" t="s">
        <v>59</v>
      </c>
      <c r="D151">
        <v>5.4</v>
      </c>
      <c r="E151">
        <v>0</v>
      </c>
      <c r="F151">
        <v>0.6</v>
      </c>
      <c r="G151">
        <v>2.5</v>
      </c>
      <c r="H151">
        <v>0</v>
      </c>
      <c r="I151">
        <v>1.1000000000000001</v>
      </c>
      <c r="J151">
        <v>0.2</v>
      </c>
      <c r="K151">
        <f t="shared" si="46"/>
        <v>9.7999999999999989</v>
      </c>
      <c r="L151">
        <v>0</v>
      </c>
      <c r="M151">
        <v>0</v>
      </c>
      <c r="N151">
        <v>0</v>
      </c>
      <c r="O151">
        <f t="shared" si="50"/>
        <v>0</v>
      </c>
      <c r="P151">
        <v>0</v>
      </c>
      <c r="Q151">
        <v>0</v>
      </c>
      <c r="R151">
        <v>0</v>
      </c>
      <c r="S151">
        <f t="shared" si="51"/>
        <v>0</v>
      </c>
      <c r="T151">
        <v>2.4</v>
      </c>
      <c r="U151">
        <v>0.9</v>
      </c>
      <c r="V151">
        <v>8.1</v>
      </c>
      <c r="W151">
        <v>0.3</v>
      </c>
      <c r="X151">
        <v>0</v>
      </c>
      <c r="Y151">
        <v>0</v>
      </c>
      <c r="Z151">
        <v>0</v>
      </c>
      <c r="AA151">
        <f t="shared" si="52"/>
        <v>11.7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8.3000000000000007</v>
      </c>
      <c r="AH151">
        <v>0</v>
      </c>
      <c r="AI151">
        <v>13.9</v>
      </c>
      <c r="AJ151">
        <f t="shared" si="48"/>
        <v>22.200000000000003</v>
      </c>
      <c r="AK151">
        <v>0.1</v>
      </c>
      <c r="AL151">
        <v>0.56299999999999994</v>
      </c>
      <c r="AM151">
        <f t="shared" si="49"/>
        <v>0.43700000000000006</v>
      </c>
      <c r="AN151" t="s">
        <v>13</v>
      </c>
      <c r="AO151" t="s">
        <v>13</v>
      </c>
      <c r="AP151" t="s">
        <v>13</v>
      </c>
      <c r="AQ151" t="s">
        <v>13</v>
      </c>
      <c r="AR151">
        <f t="shared" si="45"/>
        <v>0.50800915331807783</v>
      </c>
      <c r="AS151">
        <f t="shared" si="53"/>
        <v>0.215</v>
      </c>
      <c r="AT151" t="s">
        <v>13</v>
      </c>
      <c r="AU151" t="s">
        <v>13</v>
      </c>
      <c r="AV151" t="s">
        <v>13</v>
      </c>
      <c r="AW151" t="s">
        <v>13</v>
      </c>
      <c r="AX151" t="s">
        <v>13</v>
      </c>
      <c r="AY151" t="s">
        <v>13</v>
      </c>
      <c r="AZ151" t="s">
        <v>13</v>
      </c>
      <c r="BA151" t="s">
        <v>13</v>
      </c>
    </row>
    <row r="152" spans="1:53" x14ac:dyDescent="0.2">
      <c r="A152" s="4">
        <v>2002</v>
      </c>
      <c r="B152" t="s">
        <v>55</v>
      </c>
      <c r="C152" t="s">
        <v>59</v>
      </c>
      <c r="D152">
        <v>9.1999999999999993</v>
      </c>
      <c r="E152">
        <v>0</v>
      </c>
      <c r="F152">
        <v>0.8</v>
      </c>
      <c r="G152">
        <v>6.4</v>
      </c>
      <c r="H152">
        <v>1.1000000000000001</v>
      </c>
      <c r="I152">
        <v>1.3</v>
      </c>
      <c r="J152">
        <v>0.3</v>
      </c>
      <c r="K152">
        <f t="shared" si="46"/>
        <v>19.100000000000001</v>
      </c>
      <c r="L152">
        <v>0</v>
      </c>
      <c r="M152">
        <v>0</v>
      </c>
      <c r="N152">
        <v>0.2</v>
      </c>
      <c r="O152">
        <f t="shared" si="50"/>
        <v>0.2</v>
      </c>
      <c r="P152">
        <v>0</v>
      </c>
      <c r="Q152">
        <v>0</v>
      </c>
      <c r="R152">
        <v>0</v>
      </c>
      <c r="S152">
        <f t="shared" si="51"/>
        <v>0</v>
      </c>
      <c r="T152">
        <v>3.2</v>
      </c>
      <c r="U152">
        <v>1.1000000000000001</v>
      </c>
      <c r="V152">
        <v>5</v>
      </c>
      <c r="W152">
        <v>0.6</v>
      </c>
      <c r="X152">
        <v>0</v>
      </c>
      <c r="Y152">
        <v>0</v>
      </c>
      <c r="Z152">
        <v>0</v>
      </c>
      <c r="AA152">
        <f t="shared" si="52"/>
        <v>9.9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10.7</v>
      </c>
      <c r="AH152">
        <v>0</v>
      </c>
      <c r="AI152">
        <v>10.4</v>
      </c>
      <c r="AJ152">
        <f t="shared" si="48"/>
        <v>21.1</v>
      </c>
      <c r="AK152">
        <v>0</v>
      </c>
      <c r="AL152">
        <v>0.495</v>
      </c>
      <c r="AM152">
        <f t="shared" si="49"/>
        <v>0.503</v>
      </c>
      <c r="AN152" t="s">
        <v>13</v>
      </c>
      <c r="AO152" t="s">
        <v>13</v>
      </c>
      <c r="AP152" t="s">
        <v>13</v>
      </c>
      <c r="AQ152" t="s">
        <v>13</v>
      </c>
      <c r="AR152">
        <f t="shared" si="45"/>
        <v>0.41948310139165013</v>
      </c>
      <c r="AS152">
        <f t="shared" si="53"/>
        <v>0.29200000000000004</v>
      </c>
      <c r="AT152" t="s">
        <v>13</v>
      </c>
      <c r="AU152" t="s">
        <v>13</v>
      </c>
      <c r="AV152" t="s">
        <v>13</v>
      </c>
      <c r="AW152" t="s">
        <v>13</v>
      </c>
      <c r="AX152" t="s">
        <v>13</v>
      </c>
      <c r="AY152" t="s">
        <v>13</v>
      </c>
      <c r="AZ152" t="s">
        <v>13</v>
      </c>
      <c r="BA152" t="s">
        <v>13</v>
      </c>
    </row>
    <row r="153" spans="1:53" x14ac:dyDescent="0.2">
      <c r="A153" s="4">
        <v>2003</v>
      </c>
      <c r="B153" t="s">
        <v>55</v>
      </c>
      <c r="C153" t="s">
        <v>59</v>
      </c>
      <c r="D153">
        <v>8.6999999999999993</v>
      </c>
      <c r="E153">
        <v>0</v>
      </c>
      <c r="F153">
        <v>0.4</v>
      </c>
      <c r="G153">
        <v>5.3</v>
      </c>
      <c r="H153">
        <v>0.4</v>
      </c>
      <c r="I153">
        <v>1.5</v>
      </c>
      <c r="J153">
        <v>0</v>
      </c>
      <c r="K153">
        <f t="shared" si="46"/>
        <v>16.299999999999997</v>
      </c>
      <c r="L153">
        <v>0</v>
      </c>
      <c r="M153">
        <v>0</v>
      </c>
      <c r="N153">
        <v>0.3</v>
      </c>
      <c r="O153">
        <f t="shared" si="50"/>
        <v>0.3</v>
      </c>
      <c r="P153">
        <v>0</v>
      </c>
      <c r="Q153">
        <v>0</v>
      </c>
      <c r="R153">
        <v>0</v>
      </c>
      <c r="S153">
        <f t="shared" si="51"/>
        <v>0</v>
      </c>
      <c r="T153">
        <v>3.9</v>
      </c>
      <c r="U153">
        <v>0.1</v>
      </c>
      <c r="V153">
        <v>6.6</v>
      </c>
      <c r="W153">
        <v>0.2</v>
      </c>
      <c r="X153">
        <v>0</v>
      </c>
      <c r="Y153">
        <v>0</v>
      </c>
      <c r="Z153">
        <v>0</v>
      </c>
      <c r="AA153">
        <f t="shared" si="52"/>
        <v>10.799999999999999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16.8</v>
      </c>
      <c r="AH153">
        <v>0</v>
      </c>
      <c r="AI153">
        <v>17.899999999999999</v>
      </c>
      <c r="AJ153">
        <f t="shared" si="48"/>
        <v>34.700000000000003</v>
      </c>
      <c r="AK153">
        <v>0</v>
      </c>
      <c r="AL153">
        <v>0.38</v>
      </c>
      <c r="AM153">
        <f t="shared" si="49"/>
        <v>0.621</v>
      </c>
      <c r="AN153" t="s">
        <v>13</v>
      </c>
      <c r="AO153" t="s">
        <v>13</v>
      </c>
      <c r="AP153" t="s">
        <v>13</v>
      </c>
      <c r="AQ153" t="s">
        <v>13</v>
      </c>
      <c r="AR153">
        <f t="shared" si="45"/>
        <v>0.55877616747181968</v>
      </c>
      <c r="AS153">
        <f t="shared" si="53"/>
        <v>0.27399999999999997</v>
      </c>
      <c r="AT153" t="s">
        <v>13</v>
      </c>
      <c r="AU153" t="s">
        <v>13</v>
      </c>
      <c r="AV153" t="s">
        <v>13</v>
      </c>
      <c r="AW153" t="s">
        <v>13</v>
      </c>
      <c r="AX153" t="s">
        <v>13</v>
      </c>
      <c r="AY153" t="s">
        <v>13</v>
      </c>
      <c r="AZ153" t="s">
        <v>13</v>
      </c>
      <c r="BA153" t="s">
        <v>13</v>
      </c>
    </row>
    <row r="154" spans="1:53" x14ac:dyDescent="0.2">
      <c r="A154" s="4">
        <v>2004</v>
      </c>
      <c r="B154" t="s">
        <v>55</v>
      </c>
      <c r="C154" t="s">
        <v>59</v>
      </c>
      <c r="D154">
        <v>8</v>
      </c>
      <c r="E154">
        <v>0</v>
      </c>
      <c r="F154">
        <v>0.5</v>
      </c>
      <c r="G154">
        <v>3.9</v>
      </c>
      <c r="H154">
        <v>0.7</v>
      </c>
      <c r="I154">
        <v>3.5</v>
      </c>
      <c r="J154">
        <v>0.1</v>
      </c>
      <c r="K154">
        <f t="shared" si="46"/>
        <v>16.700000000000003</v>
      </c>
      <c r="L154">
        <v>0</v>
      </c>
      <c r="M154">
        <v>0</v>
      </c>
      <c r="N154">
        <v>0</v>
      </c>
      <c r="O154">
        <f t="shared" si="50"/>
        <v>0</v>
      </c>
      <c r="P154">
        <v>0</v>
      </c>
      <c r="Q154">
        <v>0</v>
      </c>
      <c r="R154">
        <v>0.1</v>
      </c>
      <c r="S154">
        <f t="shared" si="51"/>
        <v>0.1</v>
      </c>
      <c r="T154">
        <v>2.2999999999999998</v>
      </c>
      <c r="U154">
        <v>0</v>
      </c>
      <c r="V154">
        <v>3.6</v>
      </c>
      <c r="W154">
        <v>0.1</v>
      </c>
      <c r="X154">
        <v>0</v>
      </c>
      <c r="Y154">
        <v>0</v>
      </c>
      <c r="Z154">
        <v>0</v>
      </c>
      <c r="AA154">
        <f t="shared" si="52"/>
        <v>6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18.5</v>
      </c>
      <c r="AH154">
        <v>0</v>
      </c>
      <c r="AI154">
        <v>7.2</v>
      </c>
      <c r="AJ154">
        <f t="shared" si="48"/>
        <v>25.7</v>
      </c>
      <c r="AK154">
        <v>0.2</v>
      </c>
      <c r="AL154">
        <v>0.51200000000000001</v>
      </c>
      <c r="AM154">
        <f t="shared" si="49"/>
        <v>0.4850000000000001</v>
      </c>
      <c r="AN154" t="s">
        <v>13</v>
      </c>
      <c r="AO154" t="s">
        <v>13</v>
      </c>
      <c r="AP154" t="s">
        <v>13</v>
      </c>
      <c r="AQ154" t="s">
        <v>13</v>
      </c>
      <c r="AR154">
        <f t="shared" si="45"/>
        <v>0.52989690721649474</v>
      </c>
      <c r="AS154">
        <f t="shared" si="53"/>
        <v>0.22800000000000004</v>
      </c>
      <c r="AT154" t="s">
        <v>13</v>
      </c>
      <c r="AU154" t="s">
        <v>13</v>
      </c>
      <c r="AV154" t="s">
        <v>13</v>
      </c>
      <c r="AW154" t="s">
        <v>13</v>
      </c>
      <c r="AX154" t="s">
        <v>13</v>
      </c>
      <c r="AY154" t="s">
        <v>13</v>
      </c>
      <c r="AZ154" t="s">
        <v>13</v>
      </c>
      <c r="BA154" t="s">
        <v>13</v>
      </c>
    </row>
    <row r="155" spans="1:53" x14ac:dyDescent="0.2">
      <c r="A155" s="4">
        <v>2005</v>
      </c>
      <c r="B155" t="s">
        <v>55</v>
      </c>
      <c r="C155" t="s">
        <v>59</v>
      </c>
      <c r="D155">
        <v>12.7</v>
      </c>
      <c r="E155">
        <v>0</v>
      </c>
      <c r="F155">
        <v>0.4</v>
      </c>
      <c r="G155">
        <v>6.8</v>
      </c>
      <c r="H155">
        <v>2</v>
      </c>
      <c r="I155">
        <v>5.3</v>
      </c>
      <c r="J155">
        <v>0.9</v>
      </c>
      <c r="K155">
        <f t="shared" si="46"/>
        <v>28.099999999999998</v>
      </c>
      <c r="L155">
        <v>0</v>
      </c>
      <c r="M155">
        <v>0</v>
      </c>
      <c r="N155">
        <v>0</v>
      </c>
      <c r="O155">
        <f t="shared" si="50"/>
        <v>0</v>
      </c>
      <c r="P155">
        <v>0</v>
      </c>
      <c r="Q155">
        <v>0</v>
      </c>
      <c r="R155">
        <v>0.4</v>
      </c>
      <c r="S155">
        <f t="shared" si="51"/>
        <v>0.4</v>
      </c>
      <c r="T155">
        <v>2.8</v>
      </c>
      <c r="U155">
        <v>0.5</v>
      </c>
      <c r="V155">
        <v>2.7</v>
      </c>
      <c r="W155">
        <v>0.2</v>
      </c>
      <c r="X155">
        <v>0</v>
      </c>
      <c r="Y155">
        <v>0</v>
      </c>
      <c r="Z155">
        <v>0</v>
      </c>
      <c r="AA155">
        <f t="shared" si="52"/>
        <v>6.2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16.2</v>
      </c>
      <c r="AH155">
        <v>0</v>
      </c>
      <c r="AI155">
        <v>11</v>
      </c>
      <c r="AJ155">
        <f t="shared" si="48"/>
        <v>27.2</v>
      </c>
      <c r="AK155">
        <v>0</v>
      </c>
      <c r="AL155">
        <v>0.379</v>
      </c>
      <c r="AM155">
        <f t="shared" si="49"/>
        <v>0.61899999999999988</v>
      </c>
      <c r="AN155" t="s">
        <v>13</v>
      </c>
      <c r="AO155" t="s">
        <v>13</v>
      </c>
      <c r="AP155" t="s">
        <v>13</v>
      </c>
      <c r="AQ155" t="s">
        <v>13</v>
      </c>
      <c r="AR155">
        <f t="shared" si="45"/>
        <v>0.43941841680129251</v>
      </c>
      <c r="AS155">
        <f t="shared" si="53"/>
        <v>0.34699999999999998</v>
      </c>
      <c r="AT155" t="s">
        <v>13</v>
      </c>
      <c r="AU155" t="s">
        <v>13</v>
      </c>
      <c r="AV155" t="s">
        <v>13</v>
      </c>
      <c r="AW155" t="s">
        <v>13</v>
      </c>
      <c r="AX155" t="s">
        <v>13</v>
      </c>
      <c r="AY155" t="s">
        <v>13</v>
      </c>
      <c r="AZ155" t="s">
        <v>13</v>
      </c>
      <c r="BA155" t="s">
        <v>13</v>
      </c>
    </row>
    <row r="156" spans="1:53" x14ac:dyDescent="0.2">
      <c r="A156" s="4">
        <v>2006</v>
      </c>
      <c r="B156" t="s">
        <v>55</v>
      </c>
      <c r="C156" t="s">
        <v>59</v>
      </c>
      <c r="D156">
        <v>7.1</v>
      </c>
      <c r="E156">
        <v>0</v>
      </c>
      <c r="F156">
        <v>0</v>
      </c>
      <c r="G156">
        <v>5.4</v>
      </c>
      <c r="H156">
        <v>1.6</v>
      </c>
      <c r="I156">
        <v>5.6</v>
      </c>
      <c r="J156">
        <v>1.9</v>
      </c>
      <c r="K156">
        <f t="shared" si="46"/>
        <v>21.599999999999998</v>
      </c>
      <c r="L156">
        <v>0</v>
      </c>
      <c r="M156">
        <v>0</v>
      </c>
      <c r="N156">
        <v>0.8</v>
      </c>
      <c r="O156">
        <f t="shared" si="50"/>
        <v>0.8</v>
      </c>
      <c r="P156">
        <v>0</v>
      </c>
      <c r="Q156">
        <v>0</v>
      </c>
      <c r="R156">
        <v>0</v>
      </c>
      <c r="S156">
        <f t="shared" si="51"/>
        <v>0</v>
      </c>
      <c r="T156">
        <v>4.2</v>
      </c>
      <c r="U156">
        <v>0.3</v>
      </c>
      <c r="V156">
        <v>1.7</v>
      </c>
      <c r="W156">
        <v>0.3</v>
      </c>
      <c r="X156">
        <v>0</v>
      </c>
      <c r="Y156">
        <v>0</v>
      </c>
      <c r="Z156">
        <v>0</v>
      </c>
      <c r="AA156">
        <f t="shared" si="52"/>
        <v>6.5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18.2</v>
      </c>
      <c r="AH156">
        <v>0</v>
      </c>
      <c r="AI156">
        <v>11.6</v>
      </c>
      <c r="AJ156">
        <f t="shared" si="48"/>
        <v>29.799999999999997</v>
      </c>
      <c r="AK156">
        <v>0</v>
      </c>
      <c r="AL156">
        <v>0.41399999999999998</v>
      </c>
      <c r="AM156">
        <f t="shared" si="49"/>
        <v>0.58699999999999997</v>
      </c>
      <c r="AN156" t="s">
        <v>13</v>
      </c>
      <c r="AO156" t="s">
        <v>13</v>
      </c>
      <c r="AP156" t="s">
        <v>13</v>
      </c>
      <c r="AQ156" t="s">
        <v>13</v>
      </c>
      <c r="AR156">
        <f t="shared" si="45"/>
        <v>0.5076660988074958</v>
      </c>
      <c r="AS156">
        <f t="shared" si="53"/>
        <v>0.28899999999999998</v>
      </c>
      <c r="AT156" t="s">
        <v>13</v>
      </c>
      <c r="AU156" t="s">
        <v>13</v>
      </c>
      <c r="AV156" t="s">
        <v>13</v>
      </c>
      <c r="AW156" t="s">
        <v>13</v>
      </c>
      <c r="AX156" t="s">
        <v>13</v>
      </c>
      <c r="AY156" t="s">
        <v>13</v>
      </c>
      <c r="AZ156" t="s">
        <v>13</v>
      </c>
      <c r="BA156" t="s">
        <v>13</v>
      </c>
    </row>
    <row r="157" spans="1:53" x14ac:dyDescent="0.2">
      <c r="A157" s="4">
        <v>2007</v>
      </c>
      <c r="B157" t="s">
        <v>55</v>
      </c>
      <c r="C157" t="s">
        <v>59</v>
      </c>
      <c r="D157">
        <v>9</v>
      </c>
      <c r="E157">
        <v>0.1</v>
      </c>
      <c r="F157">
        <v>1</v>
      </c>
      <c r="G157">
        <v>4.4000000000000004</v>
      </c>
      <c r="H157">
        <v>0.9</v>
      </c>
      <c r="I157">
        <v>1.3</v>
      </c>
      <c r="J157">
        <v>0.4</v>
      </c>
      <c r="K157">
        <f t="shared" si="46"/>
        <v>17.099999999999998</v>
      </c>
      <c r="L157">
        <v>0</v>
      </c>
      <c r="M157">
        <v>0</v>
      </c>
      <c r="N157">
        <v>0</v>
      </c>
      <c r="O157">
        <f t="shared" si="50"/>
        <v>0</v>
      </c>
      <c r="P157">
        <v>0</v>
      </c>
      <c r="Q157">
        <v>0</v>
      </c>
      <c r="R157">
        <v>0.2</v>
      </c>
      <c r="S157">
        <f t="shared" si="51"/>
        <v>0.2</v>
      </c>
      <c r="T157">
        <v>3.8</v>
      </c>
      <c r="U157">
        <v>0.8</v>
      </c>
      <c r="V157">
        <v>5.0999999999999996</v>
      </c>
      <c r="W157">
        <v>0.5</v>
      </c>
      <c r="X157">
        <v>0</v>
      </c>
      <c r="Y157">
        <v>0</v>
      </c>
      <c r="Z157">
        <v>0</v>
      </c>
      <c r="AA157">
        <f t="shared" si="52"/>
        <v>10.199999999999999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17</v>
      </c>
      <c r="AH157">
        <v>0</v>
      </c>
      <c r="AI157">
        <v>16.899999999999999</v>
      </c>
      <c r="AJ157">
        <f t="shared" si="48"/>
        <v>33.9</v>
      </c>
      <c r="AK157">
        <v>0.1</v>
      </c>
      <c r="AL157">
        <v>0.38500000000000001</v>
      </c>
      <c r="AM157">
        <f t="shared" si="49"/>
        <v>0.61399999999999988</v>
      </c>
      <c r="AN157" t="s">
        <v>13</v>
      </c>
      <c r="AO157" t="s">
        <v>13</v>
      </c>
      <c r="AP157" t="s">
        <v>13</v>
      </c>
      <c r="AQ157" t="s">
        <v>13</v>
      </c>
      <c r="AR157">
        <f t="shared" si="45"/>
        <v>0.55211726384364823</v>
      </c>
      <c r="AS157">
        <f t="shared" si="53"/>
        <v>0.27499999999999997</v>
      </c>
      <c r="AT157" t="s">
        <v>13</v>
      </c>
      <c r="AU157" t="s">
        <v>13</v>
      </c>
      <c r="AV157" t="s">
        <v>13</v>
      </c>
      <c r="AW157" t="s">
        <v>13</v>
      </c>
      <c r="AX157" t="s">
        <v>13</v>
      </c>
      <c r="AY157" t="s">
        <v>13</v>
      </c>
      <c r="AZ157" t="s">
        <v>13</v>
      </c>
      <c r="BA157" t="s">
        <v>13</v>
      </c>
    </row>
    <row r="158" spans="1:53" x14ac:dyDescent="0.2">
      <c r="A158" s="4">
        <v>2008</v>
      </c>
      <c r="B158" t="s">
        <v>55</v>
      </c>
      <c r="C158" t="s">
        <v>59</v>
      </c>
      <c r="D158">
        <v>4.7</v>
      </c>
      <c r="E158">
        <v>0</v>
      </c>
      <c r="F158">
        <v>0</v>
      </c>
      <c r="G158">
        <v>3.9</v>
      </c>
      <c r="H158">
        <v>2</v>
      </c>
      <c r="I158">
        <v>1.5</v>
      </c>
      <c r="J158">
        <v>0.7</v>
      </c>
      <c r="K158">
        <f t="shared" si="46"/>
        <v>12.799999999999999</v>
      </c>
      <c r="L158">
        <v>0</v>
      </c>
      <c r="M158">
        <v>0</v>
      </c>
      <c r="N158">
        <v>0</v>
      </c>
      <c r="O158">
        <f t="shared" si="50"/>
        <v>0</v>
      </c>
      <c r="P158">
        <v>0</v>
      </c>
      <c r="Q158">
        <v>0</v>
      </c>
      <c r="R158">
        <v>0</v>
      </c>
      <c r="S158">
        <f t="shared" si="51"/>
        <v>0</v>
      </c>
      <c r="T158">
        <v>3.1</v>
      </c>
      <c r="U158">
        <v>0.2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f t="shared" si="52"/>
        <v>3.3000000000000003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1.8</v>
      </c>
      <c r="AH158">
        <v>0.1</v>
      </c>
      <c r="AI158">
        <v>20.100000000000001</v>
      </c>
      <c r="AJ158">
        <f t="shared" si="48"/>
        <v>22</v>
      </c>
      <c r="AK158">
        <v>0</v>
      </c>
      <c r="AL158">
        <v>0.61899999999999999</v>
      </c>
      <c r="AM158">
        <f t="shared" si="49"/>
        <v>0.38100000000000001</v>
      </c>
      <c r="AN158" t="s">
        <v>13</v>
      </c>
      <c r="AO158" t="s">
        <v>13</v>
      </c>
      <c r="AP158" t="s">
        <v>13</v>
      </c>
      <c r="AQ158" t="s">
        <v>13</v>
      </c>
      <c r="AR158">
        <f t="shared" si="45"/>
        <v>0.57742782152230976</v>
      </c>
      <c r="AS158">
        <f t="shared" si="53"/>
        <v>0.16099999999999998</v>
      </c>
      <c r="AT158" t="s">
        <v>13</v>
      </c>
      <c r="AU158" t="s">
        <v>13</v>
      </c>
      <c r="AV158" t="s">
        <v>13</v>
      </c>
      <c r="AW158" t="s">
        <v>13</v>
      </c>
      <c r="AX158" t="s">
        <v>13</v>
      </c>
      <c r="AY158" t="s">
        <v>13</v>
      </c>
      <c r="AZ158" t="s">
        <v>13</v>
      </c>
      <c r="BA158" t="s">
        <v>13</v>
      </c>
    </row>
    <row r="159" spans="1:53" x14ac:dyDescent="0.2">
      <c r="A159" s="4">
        <v>2009</v>
      </c>
      <c r="B159" t="s">
        <v>55</v>
      </c>
      <c r="C159" t="s">
        <v>59</v>
      </c>
      <c r="D159">
        <v>7.3</v>
      </c>
      <c r="E159">
        <v>0</v>
      </c>
      <c r="F159">
        <v>0.3</v>
      </c>
      <c r="G159">
        <v>4.8</v>
      </c>
      <c r="H159">
        <v>0.8</v>
      </c>
      <c r="I159">
        <v>1.7</v>
      </c>
      <c r="J159">
        <v>0.9</v>
      </c>
      <c r="K159">
        <f t="shared" si="46"/>
        <v>15.799999999999999</v>
      </c>
      <c r="L159">
        <v>0</v>
      </c>
      <c r="M159">
        <v>0</v>
      </c>
      <c r="N159">
        <v>0</v>
      </c>
      <c r="O159">
        <f t="shared" si="50"/>
        <v>0</v>
      </c>
      <c r="P159">
        <v>0</v>
      </c>
      <c r="Q159">
        <v>0</v>
      </c>
      <c r="R159">
        <v>0.3</v>
      </c>
      <c r="S159">
        <f t="shared" si="51"/>
        <v>0.3</v>
      </c>
      <c r="T159">
        <v>1</v>
      </c>
      <c r="U159">
        <v>0.3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f t="shared" si="52"/>
        <v>1.3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1.3</v>
      </c>
      <c r="AH159">
        <v>0</v>
      </c>
      <c r="AI159">
        <v>17</v>
      </c>
      <c r="AJ159">
        <f t="shared" si="48"/>
        <v>18.3</v>
      </c>
      <c r="AK159">
        <v>0</v>
      </c>
      <c r="AL159">
        <v>0.64300000000000002</v>
      </c>
      <c r="AM159">
        <f t="shared" si="49"/>
        <v>0.35700000000000004</v>
      </c>
      <c r="AN159" t="s">
        <v>13</v>
      </c>
      <c r="AO159" t="s">
        <v>13</v>
      </c>
      <c r="AP159" t="s">
        <v>13</v>
      </c>
      <c r="AQ159" t="s">
        <v>13</v>
      </c>
      <c r="AR159">
        <f t="shared" si="45"/>
        <v>0.51260504201680668</v>
      </c>
      <c r="AS159">
        <f t="shared" si="53"/>
        <v>0.17399999999999999</v>
      </c>
      <c r="AT159" t="s">
        <v>13</v>
      </c>
      <c r="AU159" t="s">
        <v>13</v>
      </c>
      <c r="AV159" t="s">
        <v>13</v>
      </c>
      <c r="AW159" t="s">
        <v>13</v>
      </c>
      <c r="AX159" t="s">
        <v>13</v>
      </c>
      <c r="AY159" t="s">
        <v>13</v>
      </c>
      <c r="AZ159" t="s">
        <v>13</v>
      </c>
      <c r="BA159" t="s">
        <v>13</v>
      </c>
    </row>
    <row r="160" spans="1:53" x14ac:dyDescent="0.2">
      <c r="A160" s="4">
        <v>2010</v>
      </c>
      <c r="B160" t="s">
        <v>55</v>
      </c>
      <c r="C160" t="s">
        <v>59</v>
      </c>
      <c r="D160">
        <v>5.9</v>
      </c>
      <c r="E160">
        <v>0</v>
      </c>
      <c r="F160">
        <v>0.6</v>
      </c>
      <c r="G160">
        <v>4.5999999999999996</v>
      </c>
      <c r="H160">
        <v>0.2</v>
      </c>
      <c r="I160">
        <v>0</v>
      </c>
      <c r="J160">
        <v>0.5</v>
      </c>
      <c r="K160">
        <f t="shared" si="46"/>
        <v>11.799999999999999</v>
      </c>
      <c r="L160">
        <v>0</v>
      </c>
      <c r="M160">
        <v>0</v>
      </c>
      <c r="N160">
        <v>0</v>
      </c>
      <c r="O160">
        <f t="shared" si="50"/>
        <v>0</v>
      </c>
      <c r="P160">
        <v>0</v>
      </c>
      <c r="Q160">
        <v>0</v>
      </c>
      <c r="R160">
        <v>0</v>
      </c>
      <c r="S160">
        <f t="shared" si="51"/>
        <v>0</v>
      </c>
      <c r="T160">
        <v>4</v>
      </c>
      <c r="U160">
        <v>0.6</v>
      </c>
      <c r="V160">
        <v>0.8</v>
      </c>
      <c r="W160">
        <v>0.3</v>
      </c>
      <c r="X160">
        <v>0</v>
      </c>
      <c r="Y160">
        <v>0</v>
      </c>
      <c r="Z160">
        <v>0</v>
      </c>
      <c r="AA160">
        <f t="shared" si="52"/>
        <v>5.6999999999999993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6.1</v>
      </c>
      <c r="AH160">
        <v>0</v>
      </c>
      <c r="AI160">
        <v>11.7</v>
      </c>
      <c r="AJ160">
        <f t="shared" si="48"/>
        <v>17.799999999999997</v>
      </c>
      <c r="AK160">
        <v>0</v>
      </c>
      <c r="AL160">
        <v>0.64700000000000002</v>
      </c>
      <c r="AM160">
        <f t="shared" si="49"/>
        <v>0.35300000000000004</v>
      </c>
      <c r="AN160" t="s">
        <v>13</v>
      </c>
      <c r="AO160" t="s">
        <v>13</v>
      </c>
      <c r="AP160" t="s">
        <v>13</v>
      </c>
      <c r="AQ160" t="s">
        <v>13</v>
      </c>
      <c r="AR160">
        <f t="shared" si="45"/>
        <v>0.50424929178470235</v>
      </c>
      <c r="AS160">
        <f t="shared" si="53"/>
        <v>0.17499999999999999</v>
      </c>
      <c r="AT160" t="s">
        <v>13</v>
      </c>
      <c r="AU160" t="s">
        <v>13</v>
      </c>
      <c r="AV160" t="s">
        <v>13</v>
      </c>
      <c r="AW160" t="s">
        <v>13</v>
      </c>
      <c r="AX160" t="s">
        <v>13</v>
      </c>
      <c r="AY160" t="s">
        <v>13</v>
      </c>
      <c r="AZ160" t="s">
        <v>13</v>
      </c>
      <c r="BA160" t="s">
        <v>13</v>
      </c>
    </row>
    <row r="161" spans="1:53" x14ac:dyDescent="0.2">
      <c r="A161" s="4">
        <v>2011</v>
      </c>
      <c r="B161" t="s">
        <v>55</v>
      </c>
      <c r="C161" t="s">
        <v>59</v>
      </c>
      <c r="D161">
        <v>6.6</v>
      </c>
      <c r="E161">
        <v>0</v>
      </c>
      <c r="F161">
        <v>0.7</v>
      </c>
      <c r="G161">
        <v>4.4000000000000004</v>
      </c>
      <c r="H161">
        <v>0.5</v>
      </c>
      <c r="I161">
        <v>2</v>
      </c>
      <c r="J161">
        <v>1.1000000000000001</v>
      </c>
      <c r="K161">
        <f t="shared" si="46"/>
        <v>15.299999999999999</v>
      </c>
      <c r="L161">
        <v>0</v>
      </c>
      <c r="M161">
        <v>0</v>
      </c>
      <c r="N161">
        <v>0</v>
      </c>
      <c r="O161">
        <f t="shared" si="50"/>
        <v>0</v>
      </c>
      <c r="P161">
        <v>0</v>
      </c>
      <c r="Q161">
        <v>0</v>
      </c>
      <c r="R161">
        <v>0</v>
      </c>
      <c r="S161">
        <f t="shared" si="51"/>
        <v>0</v>
      </c>
      <c r="T161">
        <v>5.0999999999999996</v>
      </c>
      <c r="U161">
        <v>0.4</v>
      </c>
      <c r="V161">
        <v>1.7</v>
      </c>
      <c r="W161">
        <v>0</v>
      </c>
      <c r="X161">
        <v>0</v>
      </c>
      <c r="Y161">
        <v>0</v>
      </c>
      <c r="Z161">
        <v>0</v>
      </c>
      <c r="AA161">
        <f t="shared" si="52"/>
        <v>7.2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16</v>
      </c>
      <c r="AH161">
        <v>0</v>
      </c>
      <c r="AI161">
        <v>18</v>
      </c>
      <c r="AJ161">
        <f t="shared" si="48"/>
        <v>34</v>
      </c>
      <c r="AK161">
        <v>0.1</v>
      </c>
      <c r="AL161">
        <v>0.434</v>
      </c>
      <c r="AM161">
        <f t="shared" si="49"/>
        <v>0.56500000000000006</v>
      </c>
      <c r="AN161" t="s">
        <v>13</v>
      </c>
      <c r="AO161" t="s">
        <v>13</v>
      </c>
      <c r="AP161" t="s">
        <v>13</v>
      </c>
      <c r="AQ161" t="s">
        <v>13</v>
      </c>
      <c r="AR161">
        <f t="shared" si="45"/>
        <v>0.60176991150442471</v>
      </c>
      <c r="AS161">
        <f t="shared" si="53"/>
        <v>0.22500000000000001</v>
      </c>
      <c r="AT161" t="s">
        <v>13</v>
      </c>
      <c r="AU161" t="s">
        <v>13</v>
      </c>
      <c r="AV161" t="s">
        <v>13</v>
      </c>
      <c r="AW161" t="s">
        <v>13</v>
      </c>
      <c r="AX161" t="s">
        <v>13</v>
      </c>
      <c r="AY161" t="s">
        <v>13</v>
      </c>
      <c r="AZ161" t="s">
        <v>13</v>
      </c>
      <c r="BA161" t="s">
        <v>13</v>
      </c>
    </row>
    <row r="162" spans="1:53" x14ac:dyDescent="0.2">
      <c r="A162" s="4">
        <v>2012</v>
      </c>
      <c r="B162" t="s">
        <v>55</v>
      </c>
      <c r="C162" t="s">
        <v>59</v>
      </c>
      <c r="D162">
        <v>2.2000000000000002</v>
      </c>
      <c r="E162">
        <v>0.3</v>
      </c>
      <c r="F162">
        <v>0</v>
      </c>
      <c r="G162">
        <v>2.2000000000000002</v>
      </c>
      <c r="H162">
        <v>0.1</v>
      </c>
      <c r="I162">
        <v>3.2</v>
      </c>
      <c r="J162">
        <v>2.9</v>
      </c>
      <c r="K162">
        <f t="shared" si="46"/>
        <v>10.9</v>
      </c>
      <c r="L162">
        <v>0</v>
      </c>
      <c r="M162">
        <v>0</v>
      </c>
      <c r="N162">
        <v>0.3</v>
      </c>
      <c r="O162">
        <f t="shared" si="50"/>
        <v>0.3</v>
      </c>
      <c r="P162">
        <v>0</v>
      </c>
      <c r="Q162">
        <v>0</v>
      </c>
      <c r="R162">
        <v>0.7</v>
      </c>
      <c r="S162">
        <f t="shared" si="51"/>
        <v>0.7</v>
      </c>
      <c r="T162">
        <v>6.6</v>
      </c>
      <c r="U162">
        <v>0.5</v>
      </c>
      <c r="V162">
        <v>3.8</v>
      </c>
      <c r="W162">
        <v>0.6</v>
      </c>
      <c r="X162">
        <v>0</v>
      </c>
      <c r="Y162">
        <v>0</v>
      </c>
      <c r="Z162">
        <v>0.1</v>
      </c>
      <c r="AA162">
        <f t="shared" si="52"/>
        <v>11.599999999999998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12.5</v>
      </c>
      <c r="AH162">
        <v>0</v>
      </c>
      <c r="AI162">
        <v>15.9</v>
      </c>
      <c r="AJ162">
        <f t="shared" si="48"/>
        <v>28.4</v>
      </c>
      <c r="AK162">
        <v>0</v>
      </c>
      <c r="AL162">
        <v>0.48</v>
      </c>
      <c r="AM162">
        <f t="shared" si="49"/>
        <v>0.51900000000000002</v>
      </c>
      <c r="AN162" t="s">
        <v>13</v>
      </c>
      <c r="AO162" t="s">
        <v>13</v>
      </c>
      <c r="AP162" t="s">
        <v>13</v>
      </c>
      <c r="AQ162" t="s">
        <v>13</v>
      </c>
      <c r="AR162">
        <f t="shared" si="45"/>
        <v>0.54720616570327552</v>
      </c>
      <c r="AS162">
        <f t="shared" si="53"/>
        <v>0.23499999999999999</v>
      </c>
      <c r="AT162" t="s">
        <v>13</v>
      </c>
      <c r="AU162" t="s">
        <v>13</v>
      </c>
      <c r="AV162" t="s">
        <v>13</v>
      </c>
      <c r="AW162" t="s">
        <v>13</v>
      </c>
      <c r="AX162" t="s">
        <v>13</v>
      </c>
      <c r="AY162" t="s">
        <v>13</v>
      </c>
      <c r="AZ162" t="s">
        <v>13</v>
      </c>
      <c r="BA162" t="s">
        <v>13</v>
      </c>
    </row>
    <row r="163" spans="1:53" x14ac:dyDescent="0.2">
      <c r="A163" s="4">
        <v>2013</v>
      </c>
      <c r="B163" t="s">
        <v>55</v>
      </c>
      <c r="C163" t="s">
        <v>59</v>
      </c>
      <c r="D163">
        <v>3.2</v>
      </c>
      <c r="E163">
        <v>0</v>
      </c>
      <c r="F163">
        <v>0.3</v>
      </c>
      <c r="G163">
        <v>4.5</v>
      </c>
      <c r="H163">
        <v>1.3</v>
      </c>
      <c r="I163">
        <v>0.9</v>
      </c>
      <c r="J163">
        <v>1</v>
      </c>
      <c r="K163">
        <f t="shared" si="46"/>
        <v>11.200000000000001</v>
      </c>
      <c r="L163">
        <v>0</v>
      </c>
      <c r="M163">
        <v>0</v>
      </c>
      <c r="N163">
        <v>0</v>
      </c>
      <c r="O163">
        <f t="shared" si="50"/>
        <v>0</v>
      </c>
      <c r="P163">
        <v>0</v>
      </c>
      <c r="Q163">
        <v>0</v>
      </c>
      <c r="R163">
        <v>0.2</v>
      </c>
      <c r="S163">
        <f t="shared" si="51"/>
        <v>0.2</v>
      </c>
      <c r="T163">
        <v>9.6999999999999993</v>
      </c>
      <c r="U163">
        <v>0.3</v>
      </c>
      <c r="V163">
        <v>5.7</v>
      </c>
      <c r="W163">
        <v>0.2</v>
      </c>
      <c r="X163">
        <v>0</v>
      </c>
      <c r="Y163">
        <v>0</v>
      </c>
      <c r="Z163">
        <v>0</v>
      </c>
      <c r="AA163">
        <f t="shared" si="52"/>
        <v>15.899999999999999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16.7</v>
      </c>
      <c r="AH163">
        <v>0</v>
      </c>
      <c r="AI163">
        <v>13.7</v>
      </c>
      <c r="AJ163">
        <f t="shared" si="48"/>
        <v>30.4</v>
      </c>
      <c r="AK163">
        <v>0</v>
      </c>
      <c r="AL163">
        <v>0.42299999999999999</v>
      </c>
      <c r="AM163">
        <f t="shared" si="49"/>
        <v>0.57699999999999996</v>
      </c>
      <c r="AN163" t="s">
        <v>13</v>
      </c>
      <c r="AO163" t="s">
        <v>13</v>
      </c>
      <c r="AP163" t="s">
        <v>13</v>
      </c>
      <c r="AQ163" t="s">
        <v>13</v>
      </c>
      <c r="AR163">
        <f t="shared" si="45"/>
        <v>0.52686308492201039</v>
      </c>
      <c r="AS163">
        <f t="shared" si="53"/>
        <v>0.27299999999999996</v>
      </c>
      <c r="AT163" t="s">
        <v>13</v>
      </c>
      <c r="AU163" t="s">
        <v>13</v>
      </c>
      <c r="AV163" t="s">
        <v>13</v>
      </c>
      <c r="AW163" t="s">
        <v>13</v>
      </c>
      <c r="AX163" t="s">
        <v>13</v>
      </c>
      <c r="AY163" t="s">
        <v>13</v>
      </c>
      <c r="AZ163" t="s">
        <v>13</v>
      </c>
      <c r="BA163" t="s">
        <v>13</v>
      </c>
    </row>
    <row r="164" spans="1:53" x14ac:dyDescent="0.2">
      <c r="A164" s="4">
        <v>2014</v>
      </c>
      <c r="B164" t="s">
        <v>55</v>
      </c>
      <c r="C164" t="s">
        <v>59</v>
      </c>
      <c r="D164">
        <v>8.1</v>
      </c>
      <c r="E164">
        <v>0</v>
      </c>
      <c r="F164">
        <v>0.4</v>
      </c>
      <c r="G164">
        <v>5.8</v>
      </c>
      <c r="H164">
        <v>1</v>
      </c>
      <c r="I164">
        <v>2.9</v>
      </c>
      <c r="J164">
        <v>0</v>
      </c>
      <c r="K164">
        <f t="shared" si="46"/>
        <v>18.2</v>
      </c>
      <c r="L164">
        <v>0</v>
      </c>
      <c r="M164">
        <v>0</v>
      </c>
      <c r="N164">
        <v>0</v>
      </c>
      <c r="O164">
        <f t="shared" si="50"/>
        <v>0</v>
      </c>
      <c r="P164">
        <v>0</v>
      </c>
      <c r="Q164">
        <v>0</v>
      </c>
      <c r="R164">
        <v>0.2</v>
      </c>
      <c r="S164">
        <f t="shared" si="51"/>
        <v>0.2</v>
      </c>
      <c r="T164">
        <v>3.9</v>
      </c>
      <c r="U164">
        <v>0.2</v>
      </c>
      <c r="V164">
        <v>5.4</v>
      </c>
      <c r="W164">
        <v>0</v>
      </c>
      <c r="X164">
        <v>0</v>
      </c>
      <c r="Y164">
        <v>0</v>
      </c>
      <c r="Z164">
        <v>0</v>
      </c>
      <c r="AA164">
        <f t="shared" si="52"/>
        <v>9.5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11.7</v>
      </c>
      <c r="AH164">
        <v>0</v>
      </c>
      <c r="AI164">
        <v>12.9</v>
      </c>
      <c r="AJ164">
        <f t="shared" si="48"/>
        <v>24.6</v>
      </c>
      <c r="AK164">
        <v>0</v>
      </c>
      <c r="AL164">
        <v>0.47399999999999998</v>
      </c>
      <c r="AM164">
        <f t="shared" si="49"/>
        <v>0.52500000000000002</v>
      </c>
      <c r="AN164" t="s">
        <v>13</v>
      </c>
      <c r="AO164" t="s">
        <v>13</v>
      </c>
      <c r="AP164" t="s">
        <v>13</v>
      </c>
      <c r="AQ164" t="s">
        <v>13</v>
      </c>
      <c r="AR164">
        <f t="shared" ref="AR164:AR227" si="54">(AJ164/100)/AM164</f>
        <v>0.46857142857142858</v>
      </c>
      <c r="AS164">
        <f t="shared" si="53"/>
        <v>0.27899999999999997</v>
      </c>
      <c r="AT164" t="s">
        <v>13</v>
      </c>
      <c r="AU164" t="s">
        <v>13</v>
      </c>
      <c r="AV164" t="s">
        <v>13</v>
      </c>
      <c r="AW164" t="s">
        <v>13</v>
      </c>
      <c r="AX164" t="s">
        <v>13</v>
      </c>
      <c r="AY164" t="s">
        <v>13</v>
      </c>
      <c r="AZ164" t="s">
        <v>13</v>
      </c>
      <c r="BA164" t="s">
        <v>13</v>
      </c>
    </row>
    <row r="165" spans="1:53" x14ac:dyDescent="0.2">
      <c r="A165" s="4">
        <v>2015</v>
      </c>
      <c r="B165" t="s">
        <v>55</v>
      </c>
      <c r="C165" t="s">
        <v>59</v>
      </c>
      <c r="D165">
        <v>3.2</v>
      </c>
      <c r="E165">
        <v>0</v>
      </c>
      <c r="F165">
        <v>0.2</v>
      </c>
      <c r="G165">
        <v>0.9</v>
      </c>
      <c r="H165">
        <v>0.2</v>
      </c>
      <c r="I165">
        <v>0.5</v>
      </c>
      <c r="J165">
        <v>0.2</v>
      </c>
      <c r="K165">
        <f t="shared" ref="K165:K172" si="55">SUM(D165:J165)</f>
        <v>5.2000000000000011</v>
      </c>
      <c r="L165">
        <v>0</v>
      </c>
      <c r="M165">
        <v>0</v>
      </c>
      <c r="N165">
        <v>0</v>
      </c>
      <c r="O165">
        <f t="shared" si="50"/>
        <v>0</v>
      </c>
      <c r="P165">
        <v>0</v>
      </c>
      <c r="Q165">
        <v>0</v>
      </c>
      <c r="R165">
        <v>0</v>
      </c>
      <c r="S165">
        <f t="shared" si="51"/>
        <v>0</v>
      </c>
      <c r="T165">
        <v>2.1</v>
      </c>
      <c r="U165">
        <v>0.4</v>
      </c>
      <c r="V165">
        <v>1.9</v>
      </c>
      <c r="W165">
        <v>0.1</v>
      </c>
      <c r="X165">
        <v>0</v>
      </c>
      <c r="Y165">
        <v>0</v>
      </c>
      <c r="Z165">
        <v>0</v>
      </c>
      <c r="AA165">
        <f t="shared" si="52"/>
        <v>4.5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20.3</v>
      </c>
      <c r="AH165">
        <v>0</v>
      </c>
      <c r="AI165">
        <v>16.3</v>
      </c>
      <c r="AJ165">
        <f t="shared" si="48"/>
        <v>36.6</v>
      </c>
      <c r="AK165">
        <v>0.1</v>
      </c>
      <c r="AL165">
        <v>0.53500000000000003</v>
      </c>
      <c r="AM165">
        <f t="shared" si="49"/>
        <v>0.46300000000000013</v>
      </c>
      <c r="AN165" t="s">
        <v>13</v>
      </c>
      <c r="AO165" t="s">
        <v>13</v>
      </c>
      <c r="AP165" t="s">
        <v>13</v>
      </c>
      <c r="AQ165" t="s">
        <v>13</v>
      </c>
      <c r="AR165">
        <f t="shared" si="54"/>
        <v>0.79049676025917903</v>
      </c>
      <c r="AS165">
        <f t="shared" si="53"/>
        <v>9.7000000000000017E-2</v>
      </c>
      <c r="AT165" t="s">
        <v>13</v>
      </c>
      <c r="AU165" t="s">
        <v>13</v>
      </c>
      <c r="AV165" t="s">
        <v>13</v>
      </c>
      <c r="AW165" t="s">
        <v>13</v>
      </c>
      <c r="AX165" t="s">
        <v>13</v>
      </c>
      <c r="AY165" t="s">
        <v>13</v>
      </c>
      <c r="AZ165" t="s">
        <v>13</v>
      </c>
      <c r="BA165" t="s">
        <v>13</v>
      </c>
    </row>
    <row r="166" spans="1:53" x14ac:dyDescent="0.2">
      <c r="A166" s="4">
        <v>2016</v>
      </c>
      <c r="B166" t="s">
        <v>55</v>
      </c>
      <c r="C166" t="s">
        <v>59</v>
      </c>
      <c r="D166">
        <v>8.6999999999999993</v>
      </c>
      <c r="E166">
        <v>0.2</v>
      </c>
      <c r="F166">
        <v>0.4</v>
      </c>
      <c r="G166">
        <v>10</v>
      </c>
      <c r="H166">
        <v>0.5</v>
      </c>
      <c r="I166">
        <v>1.7</v>
      </c>
      <c r="J166">
        <v>0.7</v>
      </c>
      <c r="K166">
        <f t="shared" si="55"/>
        <v>22.199999999999996</v>
      </c>
      <c r="L166">
        <v>0</v>
      </c>
      <c r="M166">
        <v>0</v>
      </c>
      <c r="N166">
        <v>0</v>
      </c>
      <c r="O166">
        <f t="shared" si="50"/>
        <v>0</v>
      </c>
      <c r="P166">
        <v>0</v>
      </c>
      <c r="Q166">
        <v>0</v>
      </c>
      <c r="R166">
        <v>0</v>
      </c>
      <c r="S166">
        <f t="shared" si="51"/>
        <v>0</v>
      </c>
      <c r="T166">
        <v>1.9</v>
      </c>
      <c r="U166">
        <v>0.3</v>
      </c>
      <c r="V166">
        <v>2</v>
      </c>
      <c r="W166">
        <v>0.1</v>
      </c>
      <c r="X166">
        <v>0</v>
      </c>
      <c r="Y166">
        <v>0</v>
      </c>
      <c r="Z166">
        <v>0</v>
      </c>
      <c r="AA166">
        <f t="shared" si="52"/>
        <v>4.2999999999999989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4.5</v>
      </c>
      <c r="AH166">
        <v>0</v>
      </c>
      <c r="AI166">
        <v>13.8</v>
      </c>
      <c r="AJ166">
        <f t="shared" si="48"/>
        <v>18.3</v>
      </c>
      <c r="AK166">
        <v>0.4</v>
      </c>
      <c r="AL166">
        <v>0.54600000000000004</v>
      </c>
      <c r="AM166">
        <f t="shared" si="49"/>
        <v>0.44800000000000006</v>
      </c>
      <c r="AN166" t="s">
        <v>13</v>
      </c>
      <c r="AO166" t="s">
        <v>13</v>
      </c>
      <c r="AP166" t="s">
        <v>13</v>
      </c>
      <c r="AQ166" t="s">
        <v>13</v>
      </c>
      <c r="AR166">
        <f t="shared" si="54"/>
        <v>0.40848214285714279</v>
      </c>
      <c r="AS166">
        <f t="shared" si="53"/>
        <v>0.2649999999999999</v>
      </c>
      <c r="AT166" t="s">
        <v>13</v>
      </c>
      <c r="AU166" t="s">
        <v>13</v>
      </c>
      <c r="AV166" t="s">
        <v>13</v>
      </c>
      <c r="AW166" t="s">
        <v>13</v>
      </c>
      <c r="AX166" t="s">
        <v>13</v>
      </c>
      <c r="AY166" t="s">
        <v>13</v>
      </c>
      <c r="AZ166" t="s">
        <v>13</v>
      </c>
      <c r="BA166" t="s">
        <v>13</v>
      </c>
    </row>
    <row r="167" spans="1:53" x14ac:dyDescent="0.2">
      <c r="A167" s="4">
        <v>2017</v>
      </c>
      <c r="B167" t="s">
        <v>55</v>
      </c>
      <c r="C167" t="s">
        <v>59</v>
      </c>
      <c r="D167">
        <v>2.9</v>
      </c>
      <c r="E167">
        <v>0</v>
      </c>
      <c r="F167">
        <v>0</v>
      </c>
      <c r="G167">
        <v>7.7</v>
      </c>
      <c r="H167">
        <v>0.9</v>
      </c>
      <c r="I167">
        <v>2</v>
      </c>
      <c r="J167">
        <v>0.4</v>
      </c>
      <c r="K167">
        <f t="shared" si="55"/>
        <v>13.9</v>
      </c>
      <c r="L167">
        <v>0</v>
      </c>
      <c r="M167">
        <v>0</v>
      </c>
      <c r="N167">
        <v>0</v>
      </c>
      <c r="O167">
        <f t="shared" si="50"/>
        <v>0</v>
      </c>
      <c r="P167">
        <v>0</v>
      </c>
      <c r="Q167">
        <v>0</v>
      </c>
      <c r="R167">
        <v>1.2</v>
      </c>
      <c r="S167">
        <f t="shared" si="51"/>
        <v>1.2</v>
      </c>
      <c r="T167">
        <v>1.5</v>
      </c>
      <c r="U167">
        <v>0.2</v>
      </c>
      <c r="V167">
        <v>1.2</v>
      </c>
      <c r="W167">
        <v>0.2</v>
      </c>
      <c r="X167">
        <v>0</v>
      </c>
      <c r="Y167">
        <v>0</v>
      </c>
      <c r="Z167">
        <v>0.1</v>
      </c>
      <c r="AA167">
        <f t="shared" si="52"/>
        <v>3.2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9.1999999999999993</v>
      </c>
      <c r="AH167">
        <v>0</v>
      </c>
      <c r="AI167">
        <v>15.2</v>
      </c>
      <c r="AJ167">
        <f t="shared" si="48"/>
        <v>24.4</v>
      </c>
      <c r="AK167">
        <v>0</v>
      </c>
      <c r="AL167">
        <v>0.57399999999999995</v>
      </c>
      <c r="AM167">
        <f t="shared" si="49"/>
        <v>0.42699999999999994</v>
      </c>
      <c r="AN167" t="s">
        <v>13</v>
      </c>
      <c r="AO167" t="s">
        <v>13</v>
      </c>
      <c r="AP167" t="s">
        <v>13</v>
      </c>
      <c r="AQ167" t="s">
        <v>13</v>
      </c>
      <c r="AR167">
        <f t="shared" si="54"/>
        <v>0.57142857142857151</v>
      </c>
      <c r="AS167">
        <f t="shared" si="53"/>
        <v>0.183</v>
      </c>
      <c r="AT167" t="s">
        <v>13</v>
      </c>
      <c r="AU167" t="s">
        <v>13</v>
      </c>
      <c r="AV167" t="s">
        <v>13</v>
      </c>
      <c r="AW167" t="s">
        <v>13</v>
      </c>
      <c r="AX167" t="s">
        <v>13</v>
      </c>
      <c r="AY167" t="s">
        <v>13</v>
      </c>
      <c r="AZ167" t="s">
        <v>13</v>
      </c>
      <c r="BA167" t="s">
        <v>13</v>
      </c>
    </row>
    <row r="168" spans="1:53" x14ac:dyDescent="0.2">
      <c r="A168" s="4">
        <v>2018</v>
      </c>
      <c r="B168" t="s">
        <v>55</v>
      </c>
      <c r="C168" t="s">
        <v>59</v>
      </c>
      <c r="D168">
        <v>7.1</v>
      </c>
      <c r="E168">
        <v>0.3</v>
      </c>
      <c r="F168">
        <v>0</v>
      </c>
      <c r="G168">
        <v>4.9000000000000004</v>
      </c>
      <c r="H168">
        <v>1.8</v>
      </c>
      <c r="I168">
        <v>1.6</v>
      </c>
      <c r="J168">
        <v>3</v>
      </c>
      <c r="K168">
        <f t="shared" si="55"/>
        <v>18.700000000000003</v>
      </c>
      <c r="L168">
        <v>0</v>
      </c>
      <c r="M168">
        <v>0</v>
      </c>
      <c r="N168">
        <v>0.4</v>
      </c>
      <c r="O168">
        <f t="shared" si="50"/>
        <v>0.4</v>
      </c>
      <c r="P168">
        <v>0</v>
      </c>
      <c r="Q168">
        <v>0</v>
      </c>
      <c r="R168">
        <v>0</v>
      </c>
      <c r="S168">
        <f t="shared" si="51"/>
        <v>0</v>
      </c>
      <c r="T168">
        <v>3.5</v>
      </c>
      <c r="U168">
        <v>0.3</v>
      </c>
      <c r="V168">
        <v>1.1000000000000001</v>
      </c>
      <c r="W168">
        <v>0.6</v>
      </c>
      <c r="X168">
        <v>0</v>
      </c>
      <c r="Y168">
        <v>0</v>
      </c>
      <c r="Z168">
        <v>0</v>
      </c>
      <c r="AA168">
        <f t="shared" si="52"/>
        <v>5.5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15.2</v>
      </c>
      <c r="AH168">
        <v>0</v>
      </c>
      <c r="AI168">
        <v>13.4</v>
      </c>
      <c r="AJ168">
        <f t="shared" si="48"/>
        <v>28.6</v>
      </c>
      <c r="AK168">
        <v>0</v>
      </c>
      <c r="AL168">
        <v>0.46899999999999997</v>
      </c>
      <c r="AM168">
        <f t="shared" si="49"/>
        <v>0.53199999999999992</v>
      </c>
      <c r="AN168" t="s">
        <v>13</v>
      </c>
      <c r="AO168" t="s">
        <v>13</v>
      </c>
      <c r="AP168" t="s">
        <v>13</v>
      </c>
      <c r="AQ168" t="s">
        <v>13</v>
      </c>
      <c r="AR168">
        <f t="shared" si="54"/>
        <v>0.53759398496240618</v>
      </c>
      <c r="AS168">
        <f t="shared" si="53"/>
        <v>0.24600000000000002</v>
      </c>
      <c r="AT168" t="s">
        <v>13</v>
      </c>
      <c r="AU168" t="s">
        <v>13</v>
      </c>
      <c r="AV168" t="s">
        <v>13</v>
      </c>
      <c r="AW168" t="s">
        <v>13</v>
      </c>
      <c r="AX168" t="s">
        <v>13</v>
      </c>
      <c r="AY168" t="s">
        <v>13</v>
      </c>
      <c r="AZ168" t="s">
        <v>13</v>
      </c>
      <c r="BA168" t="s">
        <v>13</v>
      </c>
    </row>
    <row r="169" spans="1:53" x14ac:dyDescent="0.2">
      <c r="A169" s="4">
        <v>2019</v>
      </c>
      <c r="B169" t="s">
        <v>55</v>
      </c>
      <c r="C169" t="s">
        <v>59</v>
      </c>
      <c r="D169">
        <v>7.8</v>
      </c>
      <c r="E169">
        <v>0</v>
      </c>
      <c r="F169">
        <v>0.2</v>
      </c>
      <c r="G169">
        <v>5.2</v>
      </c>
      <c r="H169">
        <v>0.3</v>
      </c>
      <c r="I169">
        <v>3.1</v>
      </c>
      <c r="J169">
        <v>0</v>
      </c>
      <c r="K169">
        <f t="shared" si="55"/>
        <v>16.600000000000001</v>
      </c>
      <c r="L169">
        <v>0</v>
      </c>
      <c r="M169">
        <v>0</v>
      </c>
      <c r="N169">
        <v>0.1</v>
      </c>
      <c r="O169">
        <f t="shared" si="50"/>
        <v>0.1</v>
      </c>
      <c r="P169">
        <v>0</v>
      </c>
      <c r="Q169">
        <v>0</v>
      </c>
      <c r="R169">
        <v>0</v>
      </c>
      <c r="S169">
        <f t="shared" si="51"/>
        <v>0</v>
      </c>
      <c r="T169">
        <v>3.3</v>
      </c>
      <c r="U169">
        <v>0.3</v>
      </c>
      <c r="V169">
        <v>5.4</v>
      </c>
      <c r="W169">
        <v>0.2</v>
      </c>
      <c r="X169">
        <v>0</v>
      </c>
      <c r="Y169">
        <v>0</v>
      </c>
      <c r="Z169">
        <v>0</v>
      </c>
      <c r="AA169">
        <f t="shared" si="52"/>
        <v>9.1999999999999993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9.6</v>
      </c>
      <c r="AH169">
        <v>0</v>
      </c>
      <c r="AI169">
        <v>1.3</v>
      </c>
      <c r="AJ169">
        <f t="shared" si="48"/>
        <v>10.9</v>
      </c>
      <c r="AK169">
        <v>0</v>
      </c>
      <c r="AL169">
        <v>0.63200000000000001</v>
      </c>
      <c r="AM169">
        <f t="shared" si="49"/>
        <v>0.36799999999999999</v>
      </c>
      <c r="AN169" t="s">
        <v>13</v>
      </c>
      <c r="AO169" t="s">
        <v>13</v>
      </c>
      <c r="AP169" t="s">
        <v>13</v>
      </c>
      <c r="AQ169" t="s">
        <v>13</v>
      </c>
      <c r="AR169">
        <f t="shared" si="54"/>
        <v>0.29619565217391303</v>
      </c>
      <c r="AS169">
        <f t="shared" si="53"/>
        <v>0.25900000000000001</v>
      </c>
      <c r="AT169" t="s">
        <v>13</v>
      </c>
      <c r="AU169" t="s">
        <v>13</v>
      </c>
      <c r="AV169" t="s">
        <v>13</v>
      </c>
      <c r="AW169" t="s">
        <v>13</v>
      </c>
      <c r="AX169" t="s">
        <v>13</v>
      </c>
      <c r="AY169" t="s">
        <v>13</v>
      </c>
      <c r="AZ169" t="s">
        <v>13</v>
      </c>
      <c r="BA169" t="s">
        <v>13</v>
      </c>
    </row>
    <row r="170" spans="1:53" x14ac:dyDescent="0.2">
      <c r="A170" s="4">
        <v>2020</v>
      </c>
      <c r="B170" t="s">
        <v>55</v>
      </c>
      <c r="C170" t="s">
        <v>59</v>
      </c>
      <c r="D170">
        <v>7.8</v>
      </c>
      <c r="E170">
        <v>0</v>
      </c>
      <c r="F170">
        <v>0.3</v>
      </c>
      <c r="G170">
        <v>2.1</v>
      </c>
      <c r="H170">
        <v>0.1</v>
      </c>
      <c r="I170">
        <v>2.8</v>
      </c>
      <c r="J170">
        <v>1</v>
      </c>
      <c r="K170">
        <f t="shared" si="55"/>
        <v>14.099999999999998</v>
      </c>
      <c r="L170">
        <v>0</v>
      </c>
      <c r="M170">
        <v>0</v>
      </c>
      <c r="N170">
        <v>0</v>
      </c>
      <c r="O170">
        <f t="shared" si="50"/>
        <v>0</v>
      </c>
      <c r="P170">
        <v>0</v>
      </c>
      <c r="Q170">
        <v>0</v>
      </c>
      <c r="R170">
        <v>0</v>
      </c>
      <c r="S170">
        <f t="shared" si="51"/>
        <v>0</v>
      </c>
      <c r="T170">
        <v>3.4</v>
      </c>
      <c r="U170">
        <v>0.5</v>
      </c>
      <c r="V170">
        <v>0.9</v>
      </c>
      <c r="W170">
        <v>0.3</v>
      </c>
      <c r="X170">
        <v>0</v>
      </c>
      <c r="Y170">
        <v>0</v>
      </c>
      <c r="Z170">
        <v>0</v>
      </c>
      <c r="AA170">
        <f t="shared" si="52"/>
        <v>5.0999999999999996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11.1</v>
      </c>
      <c r="AH170">
        <v>0</v>
      </c>
      <c r="AI170">
        <v>6.5</v>
      </c>
      <c r="AJ170">
        <f t="shared" si="48"/>
        <v>17.600000000000001</v>
      </c>
      <c r="AK170">
        <v>0</v>
      </c>
      <c r="AL170">
        <v>0.63300000000000001</v>
      </c>
      <c r="AM170">
        <f t="shared" si="49"/>
        <v>0.36799999999999999</v>
      </c>
      <c r="AN170" t="s">
        <v>13</v>
      </c>
      <c r="AO170" t="s">
        <v>13</v>
      </c>
      <c r="AP170" t="s">
        <v>13</v>
      </c>
      <c r="AQ170" t="s">
        <v>13</v>
      </c>
      <c r="AR170">
        <f t="shared" si="54"/>
        <v>0.47826086956521746</v>
      </c>
      <c r="AS170">
        <f t="shared" si="53"/>
        <v>0.19199999999999995</v>
      </c>
      <c r="AT170" t="s">
        <v>13</v>
      </c>
      <c r="AU170" t="s">
        <v>13</v>
      </c>
      <c r="AV170" t="s">
        <v>13</v>
      </c>
      <c r="AW170" t="s">
        <v>13</v>
      </c>
      <c r="AX170" t="s">
        <v>13</v>
      </c>
      <c r="AY170" t="s">
        <v>13</v>
      </c>
      <c r="AZ170" t="s">
        <v>13</v>
      </c>
      <c r="BA170" t="s">
        <v>13</v>
      </c>
    </row>
    <row r="171" spans="1:53" x14ac:dyDescent="0.2">
      <c r="A171" s="4">
        <v>2021</v>
      </c>
      <c r="B171" t="s">
        <v>55</v>
      </c>
      <c r="C171" t="s">
        <v>59</v>
      </c>
      <c r="D171">
        <v>8</v>
      </c>
      <c r="E171">
        <v>0</v>
      </c>
      <c r="F171">
        <v>0</v>
      </c>
      <c r="G171">
        <v>4.9000000000000004</v>
      </c>
      <c r="H171">
        <v>0.2</v>
      </c>
      <c r="I171">
        <v>5.5</v>
      </c>
      <c r="J171">
        <v>0.9</v>
      </c>
      <c r="K171">
        <f t="shared" si="55"/>
        <v>19.5</v>
      </c>
      <c r="L171">
        <v>0</v>
      </c>
      <c r="M171">
        <v>0</v>
      </c>
      <c r="N171">
        <v>0</v>
      </c>
      <c r="O171">
        <f t="shared" si="50"/>
        <v>0</v>
      </c>
      <c r="P171">
        <v>0</v>
      </c>
      <c r="Q171">
        <v>0</v>
      </c>
      <c r="R171">
        <v>0</v>
      </c>
      <c r="S171">
        <f t="shared" si="51"/>
        <v>0</v>
      </c>
      <c r="T171">
        <v>2.2999999999999998</v>
      </c>
      <c r="U171">
        <v>0.5</v>
      </c>
      <c r="V171">
        <v>4</v>
      </c>
      <c r="W171">
        <v>0</v>
      </c>
      <c r="X171">
        <v>0</v>
      </c>
      <c r="Y171">
        <v>0</v>
      </c>
      <c r="Z171">
        <v>0</v>
      </c>
      <c r="AA171">
        <f t="shared" si="52"/>
        <v>6.8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5.8</v>
      </c>
      <c r="AH171">
        <v>0</v>
      </c>
      <c r="AI171">
        <v>3</v>
      </c>
      <c r="AJ171">
        <f t="shared" si="48"/>
        <v>8.8000000000000007</v>
      </c>
      <c r="AK171">
        <v>0</v>
      </c>
      <c r="AL171">
        <v>0.64900000000000002</v>
      </c>
      <c r="AM171">
        <f t="shared" si="49"/>
        <v>0.35100000000000003</v>
      </c>
      <c r="AN171" t="s">
        <v>13</v>
      </c>
      <c r="AO171" t="s">
        <v>13</v>
      </c>
      <c r="AP171" t="s">
        <v>13</v>
      </c>
      <c r="AQ171" t="s">
        <v>13</v>
      </c>
      <c r="AR171">
        <f t="shared" si="54"/>
        <v>0.25071225071225073</v>
      </c>
      <c r="AS171">
        <f t="shared" si="53"/>
        <v>0.26300000000000001</v>
      </c>
      <c r="AT171" t="s">
        <v>13</v>
      </c>
      <c r="AU171" t="s">
        <v>13</v>
      </c>
      <c r="AV171" t="s">
        <v>13</v>
      </c>
      <c r="AW171" t="s">
        <v>13</v>
      </c>
      <c r="AX171" t="s">
        <v>13</v>
      </c>
      <c r="AY171" t="s">
        <v>13</v>
      </c>
      <c r="AZ171" t="s">
        <v>13</v>
      </c>
      <c r="BA171" t="s">
        <v>13</v>
      </c>
    </row>
    <row r="172" spans="1:53" x14ac:dyDescent="0.2">
      <c r="A172" s="4">
        <v>2022</v>
      </c>
      <c r="B172" t="s">
        <v>55</v>
      </c>
      <c r="C172" t="s">
        <v>59</v>
      </c>
      <c r="D172">
        <v>15</v>
      </c>
      <c r="E172">
        <v>0</v>
      </c>
      <c r="F172">
        <v>0.4</v>
      </c>
      <c r="G172">
        <v>8.1999999999999993</v>
      </c>
      <c r="H172">
        <v>0.3</v>
      </c>
      <c r="I172">
        <v>1.2</v>
      </c>
      <c r="J172">
        <v>0</v>
      </c>
      <c r="K172">
        <f t="shared" si="55"/>
        <v>25.1</v>
      </c>
      <c r="L172">
        <v>0</v>
      </c>
      <c r="M172">
        <v>0</v>
      </c>
      <c r="N172">
        <v>0</v>
      </c>
      <c r="O172">
        <f t="shared" si="50"/>
        <v>0</v>
      </c>
      <c r="P172">
        <v>0</v>
      </c>
      <c r="Q172">
        <v>0</v>
      </c>
      <c r="R172">
        <v>0.5</v>
      </c>
      <c r="S172">
        <f t="shared" si="51"/>
        <v>0.5</v>
      </c>
      <c r="T172">
        <v>2.9</v>
      </c>
      <c r="U172">
        <v>0.2</v>
      </c>
      <c r="V172">
        <v>1.8</v>
      </c>
      <c r="W172">
        <v>0.6</v>
      </c>
      <c r="X172">
        <v>0</v>
      </c>
      <c r="Y172">
        <v>0</v>
      </c>
      <c r="Z172">
        <v>0</v>
      </c>
      <c r="AA172">
        <f t="shared" si="52"/>
        <v>5.5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9.6</v>
      </c>
      <c r="AH172">
        <v>0</v>
      </c>
      <c r="AI172">
        <v>3</v>
      </c>
      <c r="AJ172">
        <f t="shared" si="48"/>
        <v>12.6</v>
      </c>
      <c r="AK172">
        <v>0</v>
      </c>
      <c r="AL172">
        <v>0.56399999999999995</v>
      </c>
      <c r="AM172">
        <f t="shared" si="49"/>
        <v>0.43700000000000006</v>
      </c>
      <c r="AN172" t="s">
        <v>13</v>
      </c>
      <c r="AO172" t="s">
        <v>13</v>
      </c>
      <c r="AP172" t="s">
        <v>13</v>
      </c>
      <c r="AQ172" t="s">
        <v>13</v>
      </c>
      <c r="AR172">
        <f t="shared" si="54"/>
        <v>0.28832951945080088</v>
      </c>
      <c r="AS172">
        <f t="shared" si="53"/>
        <v>0.311</v>
      </c>
      <c r="AT172" t="s">
        <v>13</v>
      </c>
      <c r="AU172" t="s">
        <v>13</v>
      </c>
      <c r="AV172" t="s">
        <v>13</v>
      </c>
      <c r="AW172" t="s">
        <v>13</v>
      </c>
      <c r="AX172" t="s">
        <v>13</v>
      </c>
      <c r="AY172" t="s">
        <v>13</v>
      </c>
      <c r="AZ172" t="s">
        <v>13</v>
      </c>
      <c r="BA172" t="s">
        <v>13</v>
      </c>
    </row>
    <row r="173" spans="1:53" x14ac:dyDescent="0.2">
      <c r="A173" s="4">
        <v>2023</v>
      </c>
      <c r="B173" t="s">
        <v>55</v>
      </c>
      <c r="C173" t="s">
        <v>59</v>
      </c>
      <c r="D173" t="s">
        <v>13</v>
      </c>
      <c r="E173" t="s">
        <v>13</v>
      </c>
      <c r="F173" t="s">
        <v>13</v>
      </c>
      <c r="G173" t="s">
        <v>13</v>
      </c>
      <c r="H173" t="s">
        <v>13</v>
      </c>
      <c r="I173" t="s">
        <v>13</v>
      </c>
      <c r="J173" t="s">
        <v>13</v>
      </c>
      <c r="K173" t="s">
        <v>13</v>
      </c>
      <c r="L173" t="s">
        <v>13</v>
      </c>
      <c r="M173" t="s">
        <v>13</v>
      </c>
      <c r="N173" t="s">
        <v>13</v>
      </c>
      <c r="O173" t="s">
        <v>13</v>
      </c>
      <c r="P173" t="s">
        <v>13</v>
      </c>
      <c r="Q173" t="s">
        <v>13</v>
      </c>
      <c r="R173" t="s">
        <v>13</v>
      </c>
      <c r="S173" t="s">
        <v>13</v>
      </c>
      <c r="T173" t="s">
        <v>13</v>
      </c>
      <c r="U173" t="s">
        <v>13</v>
      </c>
      <c r="V173" t="s">
        <v>13</v>
      </c>
      <c r="W173" t="s">
        <v>13</v>
      </c>
      <c r="X173" t="s">
        <v>13</v>
      </c>
      <c r="Y173" t="s">
        <v>13</v>
      </c>
      <c r="Z173" t="s">
        <v>13</v>
      </c>
      <c r="AA173" t="s">
        <v>13</v>
      </c>
      <c r="AB173" t="s">
        <v>13</v>
      </c>
      <c r="AC173" t="s">
        <v>13</v>
      </c>
      <c r="AD173" t="s">
        <v>13</v>
      </c>
      <c r="AE173" t="s">
        <v>13</v>
      </c>
      <c r="AF173" t="s">
        <v>13</v>
      </c>
      <c r="AG173" t="s">
        <v>13</v>
      </c>
      <c r="AH173" t="s">
        <v>13</v>
      </c>
      <c r="AI173" t="s">
        <v>13</v>
      </c>
      <c r="AJ173" t="s">
        <v>13</v>
      </c>
      <c r="AK173" t="s">
        <v>13</v>
      </c>
      <c r="AL173" t="s">
        <v>13</v>
      </c>
      <c r="AM173">
        <f t="shared" si="49"/>
        <v>0</v>
      </c>
      <c r="AN173" t="s">
        <v>13</v>
      </c>
      <c r="AO173" t="s">
        <v>13</v>
      </c>
      <c r="AP173" t="s">
        <v>13</v>
      </c>
      <c r="AQ173" t="s">
        <v>13</v>
      </c>
      <c r="AR173" t="s">
        <v>13</v>
      </c>
      <c r="AS173">
        <f t="shared" si="53"/>
        <v>0</v>
      </c>
      <c r="AT173" t="s">
        <v>13</v>
      </c>
      <c r="AU173" t="s">
        <v>13</v>
      </c>
      <c r="AV173" t="s">
        <v>13</v>
      </c>
      <c r="AW173" t="s">
        <v>13</v>
      </c>
      <c r="AX173" t="s">
        <v>13</v>
      </c>
      <c r="AY173" t="s">
        <v>13</v>
      </c>
      <c r="AZ173" t="s">
        <v>13</v>
      </c>
      <c r="BA173" t="s">
        <v>13</v>
      </c>
    </row>
    <row r="174" spans="1:53" x14ac:dyDescent="0.2">
      <c r="A174">
        <v>1983</v>
      </c>
      <c r="B174" t="s">
        <v>60</v>
      </c>
      <c r="C174" t="s">
        <v>59</v>
      </c>
      <c r="D174">
        <v>3.5</v>
      </c>
      <c r="E174">
        <v>0.1</v>
      </c>
      <c r="F174">
        <v>0</v>
      </c>
      <c r="G174">
        <v>6</v>
      </c>
      <c r="H174">
        <v>0</v>
      </c>
      <c r="I174">
        <v>7.3</v>
      </c>
      <c r="J174">
        <v>0</v>
      </c>
      <c r="K174">
        <f t="shared" ref="K174:K237" si="56">SUM(D174:J174)</f>
        <v>16.899999999999999</v>
      </c>
      <c r="L174">
        <v>1.3</v>
      </c>
      <c r="M174">
        <v>0</v>
      </c>
      <c r="N174">
        <v>0</v>
      </c>
      <c r="O174">
        <f t="shared" ref="O174:O237" si="57">SUM(L174:N174)</f>
        <v>1.3</v>
      </c>
      <c r="P174">
        <v>0</v>
      </c>
      <c r="Q174">
        <v>0</v>
      </c>
      <c r="R174">
        <v>0.2</v>
      </c>
      <c r="S174">
        <f t="shared" ref="S174:S213" si="58">SUM(P174:R174)</f>
        <v>0.2</v>
      </c>
      <c r="T174">
        <v>2.2999999999999998</v>
      </c>
      <c r="U174">
        <v>0.2</v>
      </c>
      <c r="V174">
        <v>3.9</v>
      </c>
      <c r="W174">
        <v>0.3</v>
      </c>
      <c r="X174">
        <v>0</v>
      </c>
      <c r="Y174">
        <v>0</v>
      </c>
      <c r="Z174">
        <v>0.3</v>
      </c>
      <c r="AA174">
        <f t="shared" ref="AA174:AA213" si="59">SUM(T174:Z174)</f>
        <v>7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6.6</v>
      </c>
      <c r="AJ174">
        <f t="shared" si="48"/>
        <v>6.6</v>
      </c>
      <c r="AK174">
        <v>0</v>
      </c>
      <c r="AL174">
        <v>0.68</v>
      </c>
      <c r="AM174">
        <f t="shared" si="49"/>
        <v>0.32</v>
      </c>
      <c r="AN174">
        <v>1678</v>
      </c>
      <c r="AO174" t="s">
        <v>13</v>
      </c>
      <c r="AP174" s="3">
        <f>AN174/(1-AM174)</f>
        <v>2467.6470588235297</v>
      </c>
      <c r="AQ174" t="s">
        <v>13</v>
      </c>
      <c r="AR174">
        <f t="shared" si="54"/>
        <v>0.20625000000000002</v>
      </c>
      <c r="AS174">
        <f t="shared" si="53"/>
        <v>0.254</v>
      </c>
      <c r="AT174">
        <f t="shared" ref="AT174:AT206" si="60">ROUND(AS174*AP174,0)</f>
        <v>627</v>
      </c>
      <c r="AU174">
        <f t="shared" ref="AU174:AU206" si="61">ROUND((AJ174/100)*AP174,0)</f>
        <v>163</v>
      </c>
      <c r="AV174">
        <f t="shared" ref="AV174:AV194" si="62">ROUND((((K174*0.5)+O174+S174+AA174)/100)*AP174,0)</f>
        <v>418</v>
      </c>
      <c r="AW174">
        <f t="shared" ref="AW174:AW194" si="63">ROUND((AU174/(AP174-AT174))*(AP174-AV174),0)</f>
        <v>182</v>
      </c>
      <c r="AX174" s="3">
        <f t="shared" ref="AX174:AX194" si="64">AP174-AV174-AW174</f>
        <v>1867.6470588235297</v>
      </c>
      <c r="AY174">
        <f t="shared" ref="AY174:AY194" si="65">ROUND((0.5*AS174)*AP174,0)</f>
        <v>313</v>
      </c>
      <c r="AZ174">
        <f t="shared" ref="AZ174:AZ194" si="66">ROUND((AU174/(AP174-AT174))*(AP174-AY174),0)</f>
        <v>191</v>
      </c>
      <c r="BA174" s="3">
        <f t="shared" ref="BA174:BA194" si="67">AP174-AZ174-AY174</f>
        <v>1963.6470588235297</v>
      </c>
    </row>
    <row r="175" spans="1:53" x14ac:dyDescent="0.2">
      <c r="A175">
        <v>1984</v>
      </c>
      <c r="B175" t="s">
        <v>60</v>
      </c>
      <c r="C175" t="s">
        <v>59</v>
      </c>
      <c r="D175">
        <v>2.9</v>
      </c>
      <c r="E175">
        <v>0</v>
      </c>
      <c r="F175">
        <v>0</v>
      </c>
      <c r="G175">
        <v>4.0999999999999996</v>
      </c>
      <c r="H175">
        <v>0.1</v>
      </c>
      <c r="I175">
        <v>5.3</v>
      </c>
      <c r="J175">
        <v>0</v>
      </c>
      <c r="K175">
        <f t="shared" si="56"/>
        <v>12.399999999999999</v>
      </c>
      <c r="L175">
        <v>0.5</v>
      </c>
      <c r="M175">
        <v>0.2</v>
      </c>
      <c r="N175">
        <v>0</v>
      </c>
      <c r="O175">
        <f t="shared" si="57"/>
        <v>0.7</v>
      </c>
      <c r="P175">
        <v>0</v>
      </c>
      <c r="Q175">
        <v>0</v>
      </c>
      <c r="R175">
        <v>0</v>
      </c>
      <c r="S175">
        <f t="shared" si="58"/>
        <v>0</v>
      </c>
      <c r="T175">
        <v>0.4</v>
      </c>
      <c r="U175">
        <v>0</v>
      </c>
      <c r="V175">
        <v>1.8</v>
      </c>
      <c r="W175">
        <v>0</v>
      </c>
      <c r="X175">
        <v>0</v>
      </c>
      <c r="Y175">
        <v>0</v>
      </c>
      <c r="Z175">
        <v>0</v>
      </c>
      <c r="AA175">
        <f t="shared" si="59"/>
        <v>2.2000000000000002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7.4</v>
      </c>
      <c r="AJ175">
        <f t="shared" si="48"/>
        <v>7.4</v>
      </c>
      <c r="AK175">
        <v>0</v>
      </c>
      <c r="AL175">
        <v>0.77200000000000002</v>
      </c>
      <c r="AM175">
        <f t="shared" si="49"/>
        <v>0.22700000000000004</v>
      </c>
      <c r="AN175">
        <v>2794</v>
      </c>
      <c r="AO175" t="s">
        <v>13</v>
      </c>
      <c r="AP175" s="3">
        <f t="shared" ref="AP175:AP238" si="68">AN175/(1-AM175)</f>
        <v>3614.4890038809835</v>
      </c>
      <c r="AQ175" t="s">
        <v>13</v>
      </c>
      <c r="AR175">
        <f t="shared" si="54"/>
        <v>0.32599118942731276</v>
      </c>
      <c r="AS175">
        <f t="shared" si="53"/>
        <v>0.15299999999999997</v>
      </c>
      <c r="AT175">
        <f t="shared" si="60"/>
        <v>553</v>
      </c>
      <c r="AU175">
        <f t="shared" si="61"/>
        <v>267</v>
      </c>
      <c r="AV175">
        <f t="shared" si="62"/>
        <v>329</v>
      </c>
      <c r="AW175">
        <f t="shared" si="63"/>
        <v>287</v>
      </c>
      <c r="AX175" s="3">
        <f t="shared" si="64"/>
        <v>2998.4890038809835</v>
      </c>
      <c r="AY175">
        <f t="shared" si="65"/>
        <v>277</v>
      </c>
      <c r="AZ175">
        <f t="shared" si="66"/>
        <v>291</v>
      </c>
      <c r="BA175" s="3">
        <f t="shared" si="67"/>
        <v>3046.4890038809835</v>
      </c>
    </row>
    <row r="176" spans="1:53" x14ac:dyDescent="0.2">
      <c r="A176">
        <v>1985</v>
      </c>
      <c r="B176" t="s">
        <v>60</v>
      </c>
      <c r="C176" t="s">
        <v>59</v>
      </c>
      <c r="D176">
        <v>1.7</v>
      </c>
      <c r="E176">
        <v>0</v>
      </c>
      <c r="F176">
        <v>0</v>
      </c>
      <c r="G176">
        <v>2.1</v>
      </c>
      <c r="H176">
        <v>0</v>
      </c>
      <c r="I176">
        <v>1.1000000000000001</v>
      </c>
      <c r="J176">
        <v>0</v>
      </c>
      <c r="K176">
        <f t="shared" si="56"/>
        <v>4.9000000000000004</v>
      </c>
      <c r="L176">
        <v>0</v>
      </c>
      <c r="M176">
        <v>0</v>
      </c>
      <c r="N176">
        <v>0</v>
      </c>
      <c r="O176">
        <f t="shared" si="57"/>
        <v>0</v>
      </c>
      <c r="P176">
        <v>0</v>
      </c>
      <c r="Q176">
        <v>0.1</v>
      </c>
      <c r="R176">
        <v>0</v>
      </c>
      <c r="S176">
        <f t="shared" si="58"/>
        <v>0.1</v>
      </c>
      <c r="T176">
        <v>0.2</v>
      </c>
      <c r="U176">
        <v>0.2</v>
      </c>
      <c r="V176">
        <v>1.2</v>
      </c>
      <c r="W176">
        <v>0.7</v>
      </c>
      <c r="X176">
        <v>0</v>
      </c>
      <c r="Y176">
        <v>0</v>
      </c>
      <c r="Z176">
        <v>0</v>
      </c>
      <c r="AA176">
        <f t="shared" si="59"/>
        <v>2.2999999999999998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6.7</v>
      </c>
      <c r="AJ176">
        <f t="shared" si="48"/>
        <v>6.7</v>
      </c>
      <c r="AK176">
        <v>0.8</v>
      </c>
      <c r="AL176">
        <v>0.85199999999999998</v>
      </c>
      <c r="AM176">
        <f t="shared" si="49"/>
        <v>0.13999999999999999</v>
      </c>
      <c r="AN176">
        <v>2385</v>
      </c>
      <c r="AO176" t="s">
        <v>13</v>
      </c>
      <c r="AP176" s="3">
        <f t="shared" si="68"/>
        <v>2773.2558139534885</v>
      </c>
      <c r="AQ176" t="s">
        <v>13</v>
      </c>
      <c r="AR176">
        <f t="shared" si="54"/>
        <v>0.47857142857142865</v>
      </c>
      <c r="AS176">
        <f t="shared" si="53"/>
        <v>7.2999999999999995E-2</v>
      </c>
      <c r="AT176">
        <f t="shared" si="60"/>
        <v>202</v>
      </c>
      <c r="AU176">
        <f t="shared" si="61"/>
        <v>186</v>
      </c>
      <c r="AV176">
        <f t="shared" si="62"/>
        <v>135</v>
      </c>
      <c r="AW176">
        <f t="shared" si="63"/>
        <v>191</v>
      </c>
      <c r="AX176" s="3">
        <f t="shared" si="64"/>
        <v>2447.2558139534885</v>
      </c>
      <c r="AY176">
        <f t="shared" si="65"/>
        <v>101</v>
      </c>
      <c r="AZ176">
        <f t="shared" si="66"/>
        <v>193</v>
      </c>
      <c r="BA176" s="3">
        <f t="shared" si="67"/>
        <v>2479.2558139534885</v>
      </c>
    </row>
    <row r="177" spans="1:53" x14ac:dyDescent="0.2">
      <c r="A177">
        <v>1986</v>
      </c>
      <c r="B177" t="s">
        <v>60</v>
      </c>
      <c r="C177" t="s">
        <v>59</v>
      </c>
      <c r="D177">
        <v>1.6</v>
      </c>
      <c r="E177">
        <v>0</v>
      </c>
      <c r="F177">
        <v>0</v>
      </c>
      <c r="G177">
        <v>2.8</v>
      </c>
      <c r="H177">
        <v>0</v>
      </c>
      <c r="I177">
        <v>10.9</v>
      </c>
      <c r="J177">
        <v>0.4</v>
      </c>
      <c r="K177">
        <f t="shared" si="56"/>
        <v>15.700000000000001</v>
      </c>
      <c r="L177">
        <v>1.9</v>
      </c>
      <c r="M177">
        <v>0</v>
      </c>
      <c r="N177">
        <v>0</v>
      </c>
      <c r="O177">
        <f t="shared" si="57"/>
        <v>1.9</v>
      </c>
      <c r="P177">
        <v>0</v>
      </c>
      <c r="Q177">
        <v>0</v>
      </c>
      <c r="R177">
        <v>0.4</v>
      </c>
      <c r="S177">
        <f t="shared" si="58"/>
        <v>0.4</v>
      </c>
      <c r="T177">
        <v>0.5</v>
      </c>
      <c r="U177">
        <v>0.2</v>
      </c>
      <c r="V177">
        <v>21.1</v>
      </c>
      <c r="W177">
        <v>0.7</v>
      </c>
      <c r="X177">
        <v>0</v>
      </c>
      <c r="Y177">
        <v>0</v>
      </c>
      <c r="Z177">
        <v>0</v>
      </c>
      <c r="AA177">
        <f t="shared" si="59"/>
        <v>22.5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9.1</v>
      </c>
      <c r="AJ177">
        <f t="shared" si="48"/>
        <v>9.1</v>
      </c>
      <c r="AK177">
        <v>0.1</v>
      </c>
      <c r="AL177">
        <v>0.503</v>
      </c>
      <c r="AM177">
        <f t="shared" si="49"/>
        <v>0.49599999999999994</v>
      </c>
      <c r="AN177">
        <v>1616</v>
      </c>
      <c r="AO177" t="s">
        <v>13</v>
      </c>
      <c r="AP177" s="3">
        <f t="shared" si="68"/>
        <v>3206.3492063492063</v>
      </c>
      <c r="AQ177" t="s">
        <v>13</v>
      </c>
      <c r="AR177">
        <f t="shared" si="54"/>
        <v>0.18346774193548387</v>
      </c>
      <c r="AS177">
        <f t="shared" si="53"/>
        <v>0.40500000000000003</v>
      </c>
      <c r="AT177">
        <f t="shared" si="60"/>
        <v>1299</v>
      </c>
      <c r="AU177">
        <f t="shared" si="61"/>
        <v>292</v>
      </c>
      <c r="AV177">
        <f t="shared" si="62"/>
        <v>1047</v>
      </c>
      <c r="AW177">
        <f t="shared" si="63"/>
        <v>331</v>
      </c>
      <c r="AX177" s="3">
        <f t="shared" si="64"/>
        <v>1828.3492063492063</v>
      </c>
      <c r="AY177">
        <f t="shared" si="65"/>
        <v>649</v>
      </c>
      <c r="AZ177">
        <f t="shared" si="66"/>
        <v>392</v>
      </c>
      <c r="BA177" s="3">
        <f t="shared" si="67"/>
        <v>2165.3492063492063</v>
      </c>
    </row>
    <row r="178" spans="1:53" x14ac:dyDescent="0.2">
      <c r="A178">
        <v>1987</v>
      </c>
      <c r="B178" t="s">
        <v>60</v>
      </c>
      <c r="C178" t="s">
        <v>59</v>
      </c>
      <c r="D178">
        <v>0.8</v>
      </c>
      <c r="E178">
        <v>0</v>
      </c>
      <c r="F178">
        <v>0</v>
      </c>
      <c r="G178">
        <v>3.5</v>
      </c>
      <c r="H178">
        <v>0</v>
      </c>
      <c r="I178">
        <v>5.7</v>
      </c>
      <c r="J178">
        <v>0</v>
      </c>
      <c r="K178">
        <f t="shared" si="56"/>
        <v>10</v>
      </c>
      <c r="L178">
        <v>0.7</v>
      </c>
      <c r="M178">
        <v>0</v>
      </c>
      <c r="N178">
        <v>0</v>
      </c>
      <c r="O178">
        <f t="shared" si="57"/>
        <v>0.7</v>
      </c>
      <c r="P178">
        <v>0</v>
      </c>
      <c r="Q178">
        <v>0</v>
      </c>
      <c r="R178">
        <v>0.4</v>
      </c>
      <c r="S178">
        <f t="shared" si="58"/>
        <v>0.4</v>
      </c>
      <c r="T178">
        <v>1.1000000000000001</v>
      </c>
      <c r="U178">
        <v>0.1</v>
      </c>
      <c r="V178">
        <v>15.5</v>
      </c>
      <c r="W178">
        <v>0.7</v>
      </c>
      <c r="X178">
        <v>0</v>
      </c>
      <c r="Y178">
        <v>0</v>
      </c>
      <c r="Z178">
        <v>0</v>
      </c>
      <c r="AA178">
        <f t="shared" si="59"/>
        <v>17.399999999999999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8.1999999999999993</v>
      </c>
      <c r="AJ178">
        <f t="shared" si="48"/>
        <v>8.1999999999999993</v>
      </c>
      <c r="AK178">
        <v>0</v>
      </c>
      <c r="AL178">
        <v>0.63100000000000001</v>
      </c>
      <c r="AM178">
        <f t="shared" si="49"/>
        <v>0.36699999999999994</v>
      </c>
      <c r="AN178">
        <v>3032</v>
      </c>
      <c r="AO178" t="s">
        <v>13</v>
      </c>
      <c r="AP178" s="3">
        <f t="shared" si="68"/>
        <v>4789.8894154818327</v>
      </c>
      <c r="AQ178" t="s">
        <v>13</v>
      </c>
      <c r="AR178">
        <f t="shared" si="54"/>
        <v>0.22343324250681199</v>
      </c>
      <c r="AS178">
        <f t="shared" si="53"/>
        <v>0.28499999999999998</v>
      </c>
      <c r="AT178">
        <f t="shared" si="60"/>
        <v>1365</v>
      </c>
      <c r="AU178">
        <f t="shared" si="61"/>
        <v>393</v>
      </c>
      <c r="AV178">
        <f t="shared" si="62"/>
        <v>1126</v>
      </c>
      <c r="AW178">
        <f t="shared" si="63"/>
        <v>420</v>
      </c>
      <c r="AX178" s="3">
        <f t="shared" si="64"/>
        <v>3243.8894154818327</v>
      </c>
      <c r="AY178">
        <f t="shared" si="65"/>
        <v>683</v>
      </c>
      <c r="AZ178">
        <f t="shared" si="66"/>
        <v>471</v>
      </c>
      <c r="BA178" s="3">
        <f t="shared" si="67"/>
        <v>3635.8894154818327</v>
      </c>
    </row>
    <row r="179" spans="1:53" x14ac:dyDescent="0.2">
      <c r="A179">
        <v>1988</v>
      </c>
      <c r="B179" t="s">
        <v>60</v>
      </c>
      <c r="C179" t="s">
        <v>59</v>
      </c>
      <c r="D179">
        <v>0.5</v>
      </c>
      <c r="E179">
        <v>0</v>
      </c>
      <c r="F179">
        <v>0</v>
      </c>
      <c r="G179">
        <v>2.7</v>
      </c>
      <c r="H179">
        <v>0</v>
      </c>
      <c r="I179">
        <v>3.7</v>
      </c>
      <c r="J179">
        <v>0</v>
      </c>
      <c r="K179">
        <f t="shared" si="56"/>
        <v>6.9</v>
      </c>
      <c r="L179">
        <v>0.1</v>
      </c>
      <c r="M179">
        <v>0</v>
      </c>
      <c r="N179">
        <v>0</v>
      </c>
      <c r="O179">
        <f t="shared" si="57"/>
        <v>0.1</v>
      </c>
      <c r="P179">
        <v>0</v>
      </c>
      <c r="Q179">
        <v>0.1</v>
      </c>
      <c r="R179">
        <v>0</v>
      </c>
      <c r="S179">
        <f t="shared" si="58"/>
        <v>0.1</v>
      </c>
      <c r="T179">
        <v>0.6</v>
      </c>
      <c r="U179">
        <v>0</v>
      </c>
      <c r="V179">
        <v>15.7</v>
      </c>
      <c r="W179">
        <v>0.5</v>
      </c>
      <c r="X179">
        <v>0</v>
      </c>
      <c r="Y179">
        <v>0</v>
      </c>
      <c r="Z179">
        <v>0.2</v>
      </c>
      <c r="AA179">
        <f t="shared" si="59"/>
        <v>17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7.4</v>
      </c>
      <c r="AJ179">
        <f t="shared" si="48"/>
        <v>7.4</v>
      </c>
      <c r="AK179">
        <v>0</v>
      </c>
      <c r="AL179">
        <v>0.68500000000000005</v>
      </c>
      <c r="AM179">
        <f t="shared" si="49"/>
        <v>0.315</v>
      </c>
      <c r="AN179">
        <v>4194</v>
      </c>
      <c r="AO179" t="s">
        <v>13</v>
      </c>
      <c r="AP179" s="3">
        <f t="shared" si="68"/>
        <v>6122.6277372262766</v>
      </c>
      <c r="AQ179" t="s">
        <v>13</v>
      </c>
      <c r="AR179">
        <f t="shared" si="54"/>
        <v>0.23492063492063495</v>
      </c>
      <c r="AS179">
        <f t="shared" si="53"/>
        <v>0.24100000000000002</v>
      </c>
      <c r="AT179">
        <f t="shared" si="60"/>
        <v>1476</v>
      </c>
      <c r="AU179">
        <f t="shared" si="61"/>
        <v>453</v>
      </c>
      <c r="AV179">
        <f t="shared" si="62"/>
        <v>1264</v>
      </c>
      <c r="AW179">
        <f t="shared" si="63"/>
        <v>474</v>
      </c>
      <c r="AX179" s="3">
        <f t="shared" si="64"/>
        <v>4384.6277372262766</v>
      </c>
      <c r="AY179">
        <f t="shared" si="65"/>
        <v>738</v>
      </c>
      <c r="AZ179">
        <f t="shared" si="66"/>
        <v>525</v>
      </c>
      <c r="BA179" s="3">
        <f t="shared" si="67"/>
        <v>4859.6277372262766</v>
      </c>
    </row>
    <row r="180" spans="1:53" x14ac:dyDescent="0.2">
      <c r="A180">
        <v>1989</v>
      </c>
      <c r="B180" t="s">
        <v>60</v>
      </c>
      <c r="C180" t="s">
        <v>59</v>
      </c>
      <c r="D180">
        <v>0.7</v>
      </c>
      <c r="E180">
        <v>0</v>
      </c>
      <c r="F180">
        <v>0.3</v>
      </c>
      <c r="G180">
        <v>1.3</v>
      </c>
      <c r="H180">
        <v>0.4</v>
      </c>
      <c r="I180">
        <v>1.8</v>
      </c>
      <c r="J180">
        <v>0</v>
      </c>
      <c r="K180">
        <f t="shared" si="56"/>
        <v>4.5</v>
      </c>
      <c r="L180">
        <v>0.2</v>
      </c>
      <c r="M180">
        <v>0</v>
      </c>
      <c r="N180">
        <v>0</v>
      </c>
      <c r="O180">
        <f t="shared" si="57"/>
        <v>0.2</v>
      </c>
      <c r="P180">
        <v>0</v>
      </c>
      <c r="Q180">
        <v>0</v>
      </c>
      <c r="R180">
        <v>0</v>
      </c>
      <c r="S180">
        <f t="shared" si="58"/>
        <v>0</v>
      </c>
      <c r="T180">
        <v>0.3</v>
      </c>
      <c r="U180">
        <v>0</v>
      </c>
      <c r="V180">
        <v>14.7</v>
      </c>
      <c r="W180">
        <v>0.5</v>
      </c>
      <c r="X180">
        <v>0</v>
      </c>
      <c r="Y180">
        <v>0</v>
      </c>
      <c r="Z180">
        <v>0</v>
      </c>
      <c r="AA180">
        <f t="shared" si="59"/>
        <v>15.5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4.9000000000000004</v>
      </c>
      <c r="AJ180">
        <f t="shared" si="48"/>
        <v>4.9000000000000004</v>
      </c>
      <c r="AK180">
        <v>0.4</v>
      </c>
      <c r="AL180">
        <v>0.745</v>
      </c>
      <c r="AM180">
        <f t="shared" si="49"/>
        <v>0.251</v>
      </c>
      <c r="AN180">
        <v>7308</v>
      </c>
      <c r="AO180" t="s">
        <v>13</v>
      </c>
      <c r="AP180" s="3">
        <f t="shared" si="68"/>
        <v>9757.0093457943931</v>
      </c>
      <c r="AQ180" t="s">
        <v>13</v>
      </c>
      <c r="AR180">
        <f t="shared" si="54"/>
        <v>0.19521912350597609</v>
      </c>
      <c r="AS180">
        <f t="shared" si="53"/>
        <v>0.20199999999999999</v>
      </c>
      <c r="AT180">
        <f t="shared" si="60"/>
        <v>1971</v>
      </c>
      <c r="AU180">
        <f t="shared" si="61"/>
        <v>478</v>
      </c>
      <c r="AV180">
        <f t="shared" si="62"/>
        <v>1751</v>
      </c>
      <c r="AW180">
        <f t="shared" si="63"/>
        <v>492</v>
      </c>
      <c r="AX180" s="3">
        <f t="shared" si="64"/>
        <v>7514.0093457943931</v>
      </c>
      <c r="AY180">
        <f t="shared" si="65"/>
        <v>985</v>
      </c>
      <c r="AZ180">
        <f t="shared" si="66"/>
        <v>539</v>
      </c>
      <c r="BA180" s="3">
        <f t="shared" si="67"/>
        <v>8233.0093457943931</v>
      </c>
    </row>
    <row r="181" spans="1:53" x14ac:dyDescent="0.2">
      <c r="A181">
        <v>1990</v>
      </c>
      <c r="B181" t="s">
        <v>60</v>
      </c>
      <c r="C181" t="s">
        <v>59</v>
      </c>
      <c r="D181">
        <v>1</v>
      </c>
      <c r="E181">
        <v>0</v>
      </c>
      <c r="F181">
        <v>0</v>
      </c>
      <c r="G181">
        <v>0</v>
      </c>
      <c r="H181">
        <v>0</v>
      </c>
      <c r="I181">
        <v>2.6</v>
      </c>
      <c r="J181">
        <v>0</v>
      </c>
      <c r="K181">
        <f t="shared" si="56"/>
        <v>3.6</v>
      </c>
      <c r="L181">
        <v>0.5</v>
      </c>
      <c r="M181">
        <v>0</v>
      </c>
      <c r="N181">
        <v>0</v>
      </c>
      <c r="O181">
        <f t="shared" si="57"/>
        <v>0.5</v>
      </c>
      <c r="P181">
        <v>0</v>
      </c>
      <c r="Q181">
        <v>0</v>
      </c>
      <c r="R181">
        <v>0</v>
      </c>
      <c r="S181">
        <f t="shared" si="58"/>
        <v>0</v>
      </c>
      <c r="T181">
        <v>3.6</v>
      </c>
      <c r="U181">
        <v>0</v>
      </c>
      <c r="V181">
        <v>7.1</v>
      </c>
      <c r="W181">
        <v>0</v>
      </c>
      <c r="X181">
        <v>0</v>
      </c>
      <c r="Y181">
        <v>0</v>
      </c>
      <c r="Z181">
        <v>0</v>
      </c>
      <c r="AA181">
        <f t="shared" si="59"/>
        <v>10.7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8.8000000000000007</v>
      </c>
      <c r="AJ181">
        <f t="shared" si="48"/>
        <v>8.8000000000000007</v>
      </c>
      <c r="AK181">
        <v>0.4</v>
      </c>
      <c r="AL181">
        <v>0.75900000000000001</v>
      </c>
      <c r="AM181">
        <f t="shared" si="49"/>
        <v>0.23600000000000002</v>
      </c>
      <c r="AN181">
        <v>4211</v>
      </c>
      <c r="AO181" t="s">
        <v>13</v>
      </c>
      <c r="AP181" s="3">
        <f t="shared" si="68"/>
        <v>5511.780104712042</v>
      </c>
      <c r="AQ181" t="s">
        <v>13</v>
      </c>
      <c r="AR181">
        <f t="shared" si="54"/>
        <v>0.3728813559322034</v>
      </c>
      <c r="AS181">
        <f t="shared" ref="AS181:AS213" si="69">SUM(K181,O181,S181,AA181)/100</f>
        <v>0.14799999999999999</v>
      </c>
      <c r="AT181">
        <f t="shared" si="60"/>
        <v>816</v>
      </c>
      <c r="AU181">
        <f t="shared" si="61"/>
        <v>485</v>
      </c>
      <c r="AV181">
        <f t="shared" si="62"/>
        <v>717</v>
      </c>
      <c r="AW181">
        <f t="shared" si="63"/>
        <v>495</v>
      </c>
      <c r="AX181" s="3">
        <f t="shared" si="64"/>
        <v>4299.780104712042</v>
      </c>
      <c r="AY181">
        <f t="shared" si="65"/>
        <v>408</v>
      </c>
      <c r="AZ181">
        <f t="shared" si="66"/>
        <v>527</v>
      </c>
      <c r="BA181" s="3">
        <f t="shared" si="67"/>
        <v>4576.780104712042</v>
      </c>
    </row>
    <row r="182" spans="1:53" x14ac:dyDescent="0.2">
      <c r="A182">
        <v>1991</v>
      </c>
      <c r="B182" t="s">
        <v>60</v>
      </c>
      <c r="C182" t="s">
        <v>59</v>
      </c>
      <c r="D182">
        <v>0</v>
      </c>
      <c r="E182">
        <v>0.7</v>
      </c>
      <c r="F182">
        <v>0</v>
      </c>
      <c r="G182">
        <v>2.4</v>
      </c>
      <c r="H182">
        <v>0</v>
      </c>
      <c r="I182">
        <v>5.2</v>
      </c>
      <c r="J182">
        <v>0</v>
      </c>
      <c r="K182">
        <f t="shared" si="56"/>
        <v>8.3000000000000007</v>
      </c>
      <c r="L182">
        <v>0</v>
      </c>
      <c r="M182">
        <v>0.7</v>
      </c>
      <c r="N182">
        <v>0</v>
      </c>
      <c r="O182">
        <f t="shared" si="57"/>
        <v>0.7</v>
      </c>
      <c r="P182">
        <v>0</v>
      </c>
      <c r="Q182">
        <v>0</v>
      </c>
      <c r="R182">
        <v>0</v>
      </c>
      <c r="S182">
        <f t="shared" si="58"/>
        <v>0</v>
      </c>
      <c r="T182">
        <v>0.4</v>
      </c>
      <c r="U182">
        <v>0</v>
      </c>
      <c r="V182">
        <v>4.3</v>
      </c>
      <c r="W182">
        <v>0</v>
      </c>
      <c r="X182">
        <v>0</v>
      </c>
      <c r="Y182">
        <v>0</v>
      </c>
      <c r="Z182">
        <v>0</v>
      </c>
      <c r="AA182">
        <f t="shared" si="59"/>
        <v>4.7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11.4</v>
      </c>
      <c r="AJ182">
        <f t="shared" si="48"/>
        <v>11.4</v>
      </c>
      <c r="AK182">
        <v>0.2</v>
      </c>
      <c r="AL182">
        <v>0.747</v>
      </c>
      <c r="AM182">
        <f t="shared" si="49"/>
        <v>0.251</v>
      </c>
      <c r="AN182">
        <v>8052</v>
      </c>
      <c r="AO182" t="s">
        <v>13</v>
      </c>
      <c r="AP182" s="3">
        <f t="shared" si="68"/>
        <v>10750.333778371161</v>
      </c>
      <c r="AQ182" t="s">
        <v>13</v>
      </c>
      <c r="AR182">
        <f t="shared" si="54"/>
        <v>0.45418326693227096</v>
      </c>
      <c r="AS182">
        <f t="shared" si="69"/>
        <v>0.13699999999999998</v>
      </c>
      <c r="AT182">
        <f t="shared" si="60"/>
        <v>1473</v>
      </c>
      <c r="AU182">
        <f t="shared" si="61"/>
        <v>1226</v>
      </c>
      <c r="AV182">
        <f t="shared" si="62"/>
        <v>1027</v>
      </c>
      <c r="AW182">
        <f t="shared" si="63"/>
        <v>1285</v>
      </c>
      <c r="AX182" s="3">
        <f t="shared" si="64"/>
        <v>8438.3337783711613</v>
      </c>
      <c r="AY182">
        <f t="shared" si="65"/>
        <v>736</v>
      </c>
      <c r="AZ182">
        <f t="shared" si="66"/>
        <v>1323</v>
      </c>
      <c r="BA182" s="3">
        <f t="shared" si="67"/>
        <v>8691.3337783711613</v>
      </c>
    </row>
    <row r="183" spans="1:53" x14ac:dyDescent="0.2">
      <c r="A183">
        <v>1992</v>
      </c>
      <c r="B183" t="s">
        <v>60</v>
      </c>
      <c r="C183" t="s">
        <v>59</v>
      </c>
      <c r="D183">
        <v>2.8</v>
      </c>
      <c r="E183">
        <v>3</v>
      </c>
      <c r="F183">
        <v>0</v>
      </c>
      <c r="G183">
        <v>0</v>
      </c>
      <c r="H183">
        <v>0</v>
      </c>
      <c r="I183">
        <v>6.9</v>
      </c>
      <c r="J183">
        <v>0.7</v>
      </c>
      <c r="K183">
        <f t="shared" si="56"/>
        <v>13.399999999999999</v>
      </c>
      <c r="L183">
        <v>0</v>
      </c>
      <c r="M183">
        <v>0.2</v>
      </c>
      <c r="N183">
        <v>0</v>
      </c>
      <c r="O183">
        <f t="shared" si="57"/>
        <v>0.2</v>
      </c>
      <c r="P183">
        <v>0</v>
      </c>
      <c r="Q183">
        <v>0</v>
      </c>
      <c r="R183">
        <v>0</v>
      </c>
      <c r="S183">
        <f t="shared" si="58"/>
        <v>0</v>
      </c>
      <c r="T183">
        <v>0</v>
      </c>
      <c r="U183">
        <v>0</v>
      </c>
      <c r="V183">
        <v>6</v>
      </c>
      <c r="W183">
        <v>0.3</v>
      </c>
      <c r="X183">
        <v>0</v>
      </c>
      <c r="Y183">
        <v>0.4</v>
      </c>
      <c r="Z183">
        <v>0</v>
      </c>
      <c r="AA183">
        <f t="shared" si="59"/>
        <v>6.7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7.9</v>
      </c>
      <c r="AJ183">
        <f t="shared" si="48"/>
        <v>7.9</v>
      </c>
      <c r="AK183">
        <v>0.2</v>
      </c>
      <c r="AL183">
        <v>0.71700000000000008</v>
      </c>
      <c r="AM183">
        <f t="shared" si="49"/>
        <v>0.28199999999999997</v>
      </c>
      <c r="AN183">
        <v>8938</v>
      </c>
      <c r="AO183" t="s">
        <v>13</v>
      </c>
      <c r="AP183" s="3">
        <f t="shared" si="68"/>
        <v>12448.467966573817</v>
      </c>
      <c r="AQ183" t="s">
        <v>13</v>
      </c>
      <c r="AR183">
        <f t="shared" si="54"/>
        <v>0.28014184397163122</v>
      </c>
      <c r="AS183">
        <f t="shared" si="69"/>
        <v>0.20299999999999996</v>
      </c>
      <c r="AT183">
        <f t="shared" si="60"/>
        <v>2527</v>
      </c>
      <c r="AU183">
        <f t="shared" si="61"/>
        <v>983</v>
      </c>
      <c r="AV183">
        <f t="shared" si="62"/>
        <v>1693</v>
      </c>
      <c r="AW183">
        <f t="shared" si="63"/>
        <v>1066</v>
      </c>
      <c r="AX183" s="3">
        <f t="shared" si="64"/>
        <v>9689.4679665738167</v>
      </c>
      <c r="AY183">
        <f t="shared" si="65"/>
        <v>1264</v>
      </c>
      <c r="AZ183">
        <f t="shared" si="66"/>
        <v>1108</v>
      </c>
      <c r="BA183" s="3">
        <f t="shared" si="67"/>
        <v>10076.467966573817</v>
      </c>
    </row>
    <row r="184" spans="1:53" x14ac:dyDescent="0.2">
      <c r="A184">
        <v>1993</v>
      </c>
      <c r="B184" t="s">
        <v>60</v>
      </c>
      <c r="C184" t="s">
        <v>59</v>
      </c>
      <c r="D184">
        <v>2.5</v>
      </c>
      <c r="E184">
        <v>0</v>
      </c>
      <c r="F184">
        <v>0</v>
      </c>
      <c r="G184">
        <v>2.4</v>
      </c>
      <c r="H184">
        <v>0</v>
      </c>
      <c r="I184">
        <v>5.5</v>
      </c>
      <c r="J184">
        <v>0.9</v>
      </c>
      <c r="K184">
        <f t="shared" si="56"/>
        <v>11.3</v>
      </c>
      <c r="L184">
        <v>0</v>
      </c>
      <c r="M184">
        <v>0</v>
      </c>
      <c r="N184">
        <v>0</v>
      </c>
      <c r="O184">
        <f t="shared" si="57"/>
        <v>0</v>
      </c>
      <c r="P184">
        <v>0</v>
      </c>
      <c r="Q184">
        <v>0</v>
      </c>
      <c r="R184">
        <v>0.3</v>
      </c>
      <c r="S184">
        <f t="shared" si="58"/>
        <v>0.3</v>
      </c>
      <c r="T184">
        <v>1.7</v>
      </c>
      <c r="U184">
        <v>0.2</v>
      </c>
      <c r="V184">
        <v>6.5</v>
      </c>
      <c r="W184">
        <v>0</v>
      </c>
      <c r="X184">
        <v>0</v>
      </c>
      <c r="Y184">
        <v>0</v>
      </c>
      <c r="Z184">
        <v>0</v>
      </c>
      <c r="AA184">
        <f t="shared" si="59"/>
        <v>8.4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22</v>
      </c>
      <c r="AJ184">
        <f t="shared" si="48"/>
        <v>22</v>
      </c>
      <c r="AK184">
        <v>0.2</v>
      </c>
      <c r="AL184">
        <v>0.57799999999999996</v>
      </c>
      <c r="AM184">
        <f t="shared" si="49"/>
        <v>0.42</v>
      </c>
      <c r="AN184">
        <v>3722</v>
      </c>
      <c r="AO184" t="s">
        <v>13</v>
      </c>
      <c r="AP184" s="3">
        <f t="shared" si="68"/>
        <v>6417.2413793103442</v>
      </c>
      <c r="AQ184" t="s">
        <v>13</v>
      </c>
      <c r="AR184">
        <f t="shared" si="54"/>
        <v>0.52380952380952384</v>
      </c>
      <c r="AS184">
        <f t="shared" si="69"/>
        <v>0.2</v>
      </c>
      <c r="AT184">
        <f t="shared" si="60"/>
        <v>1283</v>
      </c>
      <c r="AU184">
        <f t="shared" si="61"/>
        <v>1412</v>
      </c>
      <c r="AV184">
        <f t="shared" si="62"/>
        <v>921</v>
      </c>
      <c r="AW184">
        <f t="shared" si="63"/>
        <v>1512</v>
      </c>
      <c r="AX184" s="3">
        <f t="shared" si="64"/>
        <v>3984.2413793103442</v>
      </c>
      <c r="AY184">
        <f t="shared" si="65"/>
        <v>642</v>
      </c>
      <c r="AZ184">
        <f t="shared" si="66"/>
        <v>1588</v>
      </c>
      <c r="BA184" s="3">
        <f t="shared" si="67"/>
        <v>4187.2413793103442</v>
      </c>
    </row>
    <row r="185" spans="1:53" x14ac:dyDescent="0.2">
      <c r="A185">
        <v>1994</v>
      </c>
      <c r="B185" t="s">
        <v>60</v>
      </c>
      <c r="C185" t="s">
        <v>59</v>
      </c>
      <c r="D185">
        <v>3.2</v>
      </c>
      <c r="E185">
        <v>0.5</v>
      </c>
      <c r="F185">
        <v>0</v>
      </c>
      <c r="G185">
        <v>1.6</v>
      </c>
      <c r="H185">
        <v>0.4</v>
      </c>
      <c r="I185">
        <v>2.5</v>
      </c>
      <c r="J185">
        <v>0</v>
      </c>
      <c r="K185">
        <f t="shared" si="56"/>
        <v>8.2000000000000011</v>
      </c>
      <c r="L185">
        <v>0.1</v>
      </c>
      <c r="M185">
        <v>0.2</v>
      </c>
      <c r="N185">
        <v>0</v>
      </c>
      <c r="O185">
        <f t="shared" si="57"/>
        <v>0.30000000000000004</v>
      </c>
      <c r="P185">
        <v>0</v>
      </c>
      <c r="Q185">
        <v>0.2</v>
      </c>
      <c r="R185">
        <v>0</v>
      </c>
      <c r="S185">
        <f t="shared" si="58"/>
        <v>0.2</v>
      </c>
      <c r="T185">
        <v>0.4</v>
      </c>
      <c r="U185">
        <v>0</v>
      </c>
      <c r="V185">
        <v>7.3</v>
      </c>
      <c r="W185">
        <v>0</v>
      </c>
      <c r="X185">
        <v>0</v>
      </c>
      <c r="Y185">
        <v>0</v>
      </c>
      <c r="Z185">
        <v>0</v>
      </c>
      <c r="AA185">
        <f t="shared" si="59"/>
        <v>7.7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9</v>
      </c>
      <c r="AJ185">
        <f t="shared" si="48"/>
        <v>9</v>
      </c>
      <c r="AK185">
        <v>0.2</v>
      </c>
      <c r="AL185">
        <v>0.74299999999999999</v>
      </c>
      <c r="AM185">
        <f t="shared" si="49"/>
        <v>0.254</v>
      </c>
      <c r="AN185">
        <v>8514</v>
      </c>
      <c r="AO185" t="s">
        <v>13</v>
      </c>
      <c r="AP185" s="3">
        <f t="shared" si="68"/>
        <v>11412.868632707776</v>
      </c>
      <c r="AQ185" t="s">
        <v>13</v>
      </c>
      <c r="AR185">
        <f t="shared" si="54"/>
        <v>0.3543307086614173</v>
      </c>
      <c r="AS185">
        <f t="shared" si="69"/>
        <v>0.16400000000000003</v>
      </c>
      <c r="AT185">
        <f t="shared" si="60"/>
        <v>1872</v>
      </c>
      <c r="AU185">
        <f t="shared" si="61"/>
        <v>1027</v>
      </c>
      <c r="AV185">
        <f t="shared" si="62"/>
        <v>1404</v>
      </c>
      <c r="AW185">
        <f t="shared" si="63"/>
        <v>1077</v>
      </c>
      <c r="AX185" s="3">
        <f t="shared" si="64"/>
        <v>8931.8686327077758</v>
      </c>
      <c r="AY185">
        <f t="shared" si="65"/>
        <v>936</v>
      </c>
      <c r="AZ185">
        <f t="shared" si="66"/>
        <v>1128</v>
      </c>
      <c r="BA185" s="3">
        <f t="shared" si="67"/>
        <v>9348.8686327077758</v>
      </c>
    </row>
    <row r="186" spans="1:53" x14ac:dyDescent="0.2">
      <c r="A186">
        <v>1995</v>
      </c>
      <c r="B186" t="s">
        <v>60</v>
      </c>
      <c r="C186" t="s">
        <v>59</v>
      </c>
      <c r="D186">
        <v>2.1</v>
      </c>
      <c r="E186">
        <v>0.2</v>
      </c>
      <c r="F186">
        <v>0.5</v>
      </c>
      <c r="G186">
        <v>1</v>
      </c>
      <c r="H186">
        <v>0.2</v>
      </c>
      <c r="I186">
        <v>1.9</v>
      </c>
      <c r="J186">
        <v>0.2</v>
      </c>
      <c r="K186">
        <f t="shared" si="56"/>
        <v>6.1000000000000005</v>
      </c>
      <c r="L186">
        <v>0</v>
      </c>
      <c r="M186">
        <v>0.5</v>
      </c>
      <c r="N186">
        <v>0</v>
      </c>
      <c r="O186">
        <f t="shared" si="57"/>
        <v>0.5</v>
      </c>
      <c r="P186">
        <v>0</v>
      </c>
      <c r="Q186">
        <v>0.1</v>
      </c>
      <c r="R186">
        <v>0</v>
      </c>
      <c r="S186">
        <f t="shared" si="58"/>
        <v>0.1</v>
      </c>
      <c r="T186">
        <v>0.1</v>
      </c>
      <c r="U186">
        <v>0</v>
      </c>
      <c r="V186">
        <v>5.4</v>
      </c>
      <c r="W186">
        <v>0.1</v>
      </c>
      <c r="X186">
        <v>0</v>
      </c>
      <c r="Y186">
        <v>0</v>
      </c>
      <c r="Z186">
        <v>0</v>
      </c>
      <c r="AA186">
        <f t="shared" si="59"/>
        <v>5.6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9.6</v>
      </c>
      <c r="AJ186">
        <f t="shared" si="48"/>
        <v>9.6</v>
      </c>
      <c r="AK186">
        <v>0</v>
      </c>
      <c r="AL186">
        <v>0.77800000000000002</v>
      </c>
      <c r="AM186">
        <f t="shared" si="49"/>
        <v>0.21899999999999994</v>
      </c>
      <c r="AN186">
        <v>12491</v>
      </c>
      <c r="AO186" t="s">
        <v>13</v>
      </c>
      <c r="AP186" s="3">
        <f t="shared" si="68"/>
        <v>15993.597951344429</v>
      </c>
      <c r="AQ186" t="s">
        <v>13</v>
      </c>
      <c r="AR186">
        <f t="shared" si="54"/>
        <v>0.43835616438356179</v>
      </c>
      <c r="AS186">
        <f t="shared" si="69"/>
        <v>0.12300000000000001</v>
      </c>
      <c r="AT186">
        <f t="shared" si="60"/>
        <v>1967</v>
      </c>
      <c r="AU186">
        <f t="shared" si="61"/>
        <v>1535</v>
      </c>
      <c r="AV186">
        <f t="shared" si="62"/>
        <v>1479</v>
      </c>
      <c r="AW186">
        <f t="shared" si="63"/>
        <v>1588</v>
      </c>
      <c r="AX186" s="3">
        <f t="shared" si="64"/>
        <v>12926.597951344429</v>
      </c>
      <c r="AY186">
        <f t="shared" si="65"/>
        <v>984</v>
      </c>
      <c r="AZ186">
        <f t="shared" si="66"/>
        <v>1643</v>
      </c>
      <c r="BA186" s="3">
        <f t="shared" si="67"/>
        <v>13366.597951344429</v>
      </c>
    </row>
    <row r="187" spans="1:53" x14ac:dyDescent="0.2">
      <c r="A187">
        <v>1996</v>
      </c>
      <c r="B187" t="s">
        <v>60</v>
      </c>
      <c r="C187" t="s">
        <v>59</v>
      </c>
      <c r="D187">
        <v>1.9</v>
      </c>
      <c r="E187">
        <v>0</v>
      </c>
      <c r="F187">
        <v>0</v>
      </c>
      <c r="G187">
        <v>1.3</v>
      </c>
      <c r="H187">
        <v>0.1</v>
      </c>
      <c r="I187">
        <v>0.4</v>
      </c>
      <c r="J187">
        <v>0</v>
      </c>
      <c r="K187">
        <f t="shared" si="56"/>
        <v>3.7</v>
      </c>
      <c r="L187">
        <v>0</v>
      </c>
      <c r="M187">
        <v>0.2</v>
      </c>
      <c r="N187">
        <v>0.1</v>
      </c>
      <c r="O187">
        <f t="shared" si="57"/>
        <v>0.30000000000000004</v>
      </c>
      <c r="P187">
        <v>0</v>
      </c>
      <c r="Q187">
        <v>0</v>
      </c>
      <c r="R187">
        <v>0</v>
      </c>
      <c r="S187">
        <f t="shared" si="58"/>
        <v>0</v>
      </c>
      <c r="T187">
        <v>0.2</v>
      </c>
      <c r="U187">
        <v>0</v>
      </c>
      <c r="V187">
        <v>13.1</v>
      </c>
      <c r="W187">
        <v>0.2</v>
      </c>
      <c r="X187">
        <v>0</v>
      </c>
      <c r="Y187">
        <v>0</v>
      </c>
      <c r="Z187">
        <v>0.1</v>
      </c>
      <c r="AA187">
        <f t="shared" si="59"/>
        <v>13.599999999999998</v>
      </c>
      <c r="AB187">
        <v>0</v>
      </c>
      <c r="AC187">
        <v>0</v>
      </c>
      <c r="AD187">
        <v>0</v>
      </c>
      <c r="AE187">
        <v>0</v>
      </c>
      <c r="AF187">
        <v>0.1</v>
      </c>
      <c r="AG187">
        <v>0</v>
      </c>
      <c r="AH187">
        <v>0</v>
      </c>
      <c r="AI187">
        <v>10.8</v>
      </c>
      <c r="AJ187">
        <f t="shared" si="48"/>
        <v>10.9</v>
      </c>
      <c r="AK187">
        <v>0.3</v>
      </c>
      <c r="AL187">
        <v>0.71299999999999997</v>
      </c>
      <c r="AM187">
        <f t="shared" si="49"/>
        <v>0.28499999999999998</v>
      </c>
      <c r="AN187">
        <v>10989</v>
      </c>
      <c r="AO187" t="s">
        <v>13</v>
      </c>
      <c r="AP187" s="3">
        <f t="shared" si="68"/>
        <v>15369.230769230768</v>
      </c>
      <c r="AQ187" t="s">
        <v>13</v>
      </c>
      <c r="AR187">
        <f t="shared" si="54"/>
        <v>0.38245614035087722</v>
      </c>
      <c r="AS187">
        <f t="shared" si="69"/>
        <v>0.17599999999999999</v>
      </c>
      <c r="AT187">
        <f t="shared" si="60"/>
        <v>2705</v>
      </c>
      <c r="AU187">
        <f t="shared" si="61"/>
        <v>1675</v>
      </c>
      <c r="AV187">
        <f t="shared" si="62"/>
        <v>2421</v>
      </c>
      <c r="AW187">
        <f t="shared" si="63"/>
        <v>1713</v>
      </c>
      <c r="AX187" s="3">
        <f t="shared" si="64"/>
        <v>11235.230769230768</v>
      </c>
      <c r="AY187">
        <f t="shared" si="65"/>
        <v>1352</v>
      </c>
      <c r="AZ187">
        <f t="shared" si="66"/>
        <v>1854</v>
      </c>
      <c r="BA187" s="3">
        <f t="shared" si="67"/>
        <v>12163.230769230768</v>
      </c>
    </row>
    <row r="188" spans="1:53" x14ac:dyDescent="0.2">
      <c r="A188">
        <v>1997</v>
      </c>
      <c r="B188" t="s">
        <v>60</v>
      </c>
      <c r="C188" t="s">
        <v>59</v>
      </c>
      <c r="D188">
        <v>14.8</v>
      </c>
      <c r="E188">
        <v>0</v>
      </c>
      <c r="F188">
        <v>0.1</v>
      </c>
      <c r="G188">
        <v>1.8</v>
      </c>
      <c r="H188">
        <v>0.2</v>
      </c>
      <c r="I188">
        <v>1.2</v>
      </c>
      <c r="J188">
        <v>0</v>
      </c>
      <c r="K188">
        <f t="shared" si="56"/>
        <v>18.099999999999998</v>
      </c>
      <c r="L188">
        <v>0</v>
      </c>
      <c r="M188">
        <v>0.1</v>
      </c>
      <c r="N188">
        <v>0.2</v>
      </c>
      <c r="O188">
        <f t="shared" si="57"/>
        <v>0.30000000000000004</v>
      </c>
      <c r="P188">
        <v>0</v>
      </c>
      <c r="Q188">
        <v>0</v>
      </c>
      <c r="R188">
        <v>0</v>
      </c>
      <c r="S188">
        <f t="shared" si="58"/>
        <v>0</v>
      </c>
      <c r="T188">
        <v>0.6</v>
      </c>
      <c r="U188">
        <v>0</v>
      </c>
      <c r="V188">
        <v>6.7</v>
      </c>
      <c r="W188">
        <v>0</v>
      </c>
      <c r="X188">
        <v>0</v>
      </c>
      <c r="Y188">
        <v>0</v>
      </c>
      <c r="Z188">
        <v>0</v>
      </c>
      <c r="AA188">
        <f t="shared" si="59"/>
        <v>7.3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4.5</v>
      </c>
      <c r="AJ188">
        <f t="shared" si="48"/>
        <v>4.5</v>
      </c>
      <c r="AK188">
        <v>0.2</v>
      </c>
      <c r="AL188">
        <v>0.69499999999999995</v>
      </c>
      <c r="AM188">
        <f t="shared" si="49"/>
        <v>0.30199999999999999</v>
      </c>
      <c r="AN188">
        <v>8824</v>
      </c>
      <c r="AO188" t="s">
        <v>13</v>
      </c>
      <c r="AP188" s="3">
        <f t="shared" si="68"/>
        <v>12641.833810888253</v>
      </c>
      <c r="AQ188" t="s">
        <v>13</v>
      </c>
      <c r="AR188">
        <f t="shared" si="54"/>
        <v>0.1490066225165563</v>
      </c>
      <c r="AS188">
        <f t="shared" si="69"/>
        <v>0.25700000000000001</v>
      </c>
      <c r="AT188">
        <f t="shared" si="60"/>
        <v>3249</v>
      </c>
      <c r="AU188">
        <f t="shared" si="61"/>
        <v>569</v>
      </c>
      <c r="AV188">
        <f t="shared" si="62"/>
        <v>2105</v>
      </c>
      <c r="AW188">
        <f t="shared" si="63"/>
        <v>638</v>
      </c>
      <c r="AX188" s="3">
        <f t="shared" si="64"/>
        <v>9898.8338108882526</v>
      </c>
      <c r="AY188">
        <f t="shared" si="65"/>
        <v>1624</v>
      </c>
      <c r="AZ188">
        <f t="shared" si="66"/>
        <v>667</v>
      </c>
      <c r="BA188" s="3">
        <f t="shared" si="67"/>
        <v>10350.833810888253</v>
      </c>
    </row>
    <row r="189" spans="1:53" x14ac:dyDescent="0.2">
      <c r="A189">
        <v>1998</v>
      </c>
      <c r="B189" t="s">
        <v>60</v>
      </c>
      <c r="C189" t="s">
        <v>59</v>
      </c>
      <c r="D189">
        <v>7.9</v>
      </c>
      <c r="E189">
        <v>0</v>
      </c>
      <c r="F189">
        <v>0</v>
      </c>
      <c r="G189">
        <v>3.2</v>
      </c>
      <c r="H189">
        <v>0.2</v>
      </c>
      <c r="I189">
        <v>0</v>
      </c>
      <c r="J189">
        <v>0</v>
      </c>
      <c r="K189">
        <f t="shared" si="56"/>
        <v>11.3</v>
      </c>
      <c r="L189">
        <v>0</v>
      </c>
      <c r="M189">
        <v>0</v>
      </c>
      <c r="N189">
        <v>0.1</v>
      </c>
      <c r="O189">
        <f t="shared" si="57"/>
        <v>0.1</v>
      </c>
      <c r="P189">
        <v>0</v>
      </c>
      <c r="Q189">
        <v>0</v>
      </c>
      <c r="R189">
        <v>0</v>
      </c>
      <c r="S189">
        <f t="shared" si="58"/>
        <v>0</v>
      </c>
      <c r="T189">
        <v>0.2</v>
      </c>
      <c r="U189">
        <v>0</v>
      </c>
      <c r="V189">
        <v>4.9000000000000004</v>
      </c>
      <c r="W189">
        <v>0.1</v>
      </c>
      <c r="X189">
        <v>0</v>
      </c>
      <c r="Y189">
        <v>0</v>
      </c>
      <c r="Z189">
        <v>0</v>
      </c>
      <c r="AA189">
        <f t="shared" si="59"/>
        <v>5.2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35.700000000000003</v>
      </c>
      <c r="AJ189">
        <f t="shared" si="48"/>
        <v>35.700000000000003</v>
      </c>
      <c r="AK189">
        <v>0</v>
      </c>
      <c r="AL189">
        <v>0.47799999999999998</v>
      </c>
      <c r="AM189">
        <f t="shared" si="49"/>
        <v>0.52300000000000013</v>
      </c>
      <c r="AN189">
        <v>1231</v>
      </c>
      <c r="AO189" t="s">
        <v>13</v>
      </c>
      <c r="AP189" s="3">
        <f t="shared" si="68"/>
        <v>2580.7127882599589</v>
      </c>
      <c r="AQ189" t="s">
        <v>13</v>
      </c>
      <c r="AR189">
        <f t="shared" si="54"/>
        <v>0.68260038240917775</v>
      </c>
      <c r="AS189">
        <f t="shared" si="69"/>
        <v>0.16600000000000001</v>
      </c>
      <c r="AT189">
        <f t="shared" si="60"/>
        <v>428</v>
      </c>
      <c r="AU189">
        <f t="shared" si="61"/>
        <v>921</v>
      </c>
      <c r="AV189">
        <f t="shared" si="62"/>
        <v>283</v>
      </c>
      <c r="AW189">
        <f t="shared" si="63"/>
        <v>983</v>
      </c>
      <c r="AX189" s="3">
        <f t="shared" si="64"/>
        <v>1314.7127882599589</v>
      </c>
      <c r="AY189">
        <f t="shared" si="65"/>
        <v>214</v>
      </c>
      <c r="AZ189">
        <f t="shared" si="66"/>
        <v>1013</v>
      </c>
      <c r="BA189" s="3">
        <f t="shared" si="67"/>
        <v>1353.7127882599589</v>
      </c>
    </row>
    <row r="190" spans="1:53" x14ac:dyDescent="0.2">
      <c r="A190">
        <v>1999</v>
      </c>
      <c r="B190" t="s">
        <v>60</v>
      </c>
      <c r="C190" t="s">
        <v>59</v>
      </c>
      <c r="D190">
        <v>8.6</v>
      </c>
      <c r="E190">
        <v>0</v>
      </c>
      <c r="F190">
        <v>0.5</v>
      </c>
      <c r="G190">
        <v>2.8</v>
      </c>
      <c r="H190">
        <v>0.3</v>
      </c>
      <c r="I190">
        <v>0</v>
      </c>
      <c r="J190">
        <v>0.1</v>
      </c>
      <c r="K190">
        <f t="shared" si="56"/>
        <v>12.299999999999999</v>
      </c>
      <c r="L190">
        <v>0</v>
      </c>
      <c r="M190">
        <v>0</v>
      </c>
      <c r="N190">
        <v>0.1</v>
      </c>
      <c r="O190">
        <f t="shared" si="57"/>
        <v>0.1</v>
      </c>
      <c r="P190">
        <v>0</v>
      </c>
      <c r="Q190">
        <v>0</v>
      </c>
      <c r="R190">
        <v>0.1</v>
      </c>
      <c r="S190">
        <f t="shared" si="58"/>
        <v>0.1</v>
      </c>
      <c r="T190">
        <v>0.8</v>
      </c>
      <c r="U190">
        <v>0.1</v>
      </c>
      <c r="V190">
        <v>1.8</v>
      </c>
      <c r="W190">
        <v>0</v>
      </c>
      <c r="X190">
        <v>0</v>
      </c>
      <c r="Y190">
        <v>0</v>
      </c>
      <c r="Z190">
        <v>0</v>
      </c>
      <c r="AA190">
        <f t="shared" si="59"/>
        <v>2.7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23.6</v>
      </c>
      <c r="AJ190">
        <f t="shared" si="48"/>
        <v>23.6</v>
      </c>
      <c r="AK190">
        <v>0.1</v>
      </c>
      <c r="AL190">
        <v>0.61099999999999999</v>
      </c>
      <c r="AM190">
        <f t="shared" si="49"/>
        <v>0.38800000000000007</v>
      </c>
      <c r="AN190">
        <v>1673</v>
      </c>
      <c r="AO190" t="s">
        <v>13</v>
      </c>
      <c r="AP190" s="3">
        <f t="shared" si="68"/>
        <v>2733.6601307189549</v>
      </c>
      <c r="AQ190" t="s">
        <v>13</v>
      </c>
      <c r="AR190">
        <f t="shared" si="54"/>
        <v>0.60824742268041232</v>
      </c>
      <c r="AS190">
        <f t="shared" si="69"/>
        <v>0.152</v>
      </c>
      <c r="AT190">
        <f t="shared" si="60"/>
        <v>416</v>
      </c>
      <c r="AU190">
        <f t="shared" si="61"/>
        <v>645</v>
      </c>
      <c r="AV190">
        <f t="shared" si="62"/>
        <v>247</v>
      </c>
      <c r="AW190">
        <f t="shared" si="63"/>
        <v>692</v>
      </c>
      <c r="AX190" s="3">
        <f t="shared" si="64"/>
        <v>1794.6601307189549</v>
      </c>
      <c r="AY190">
        <f t="shared" si="65"/>
        <v>208</v>
      </c>
      <c r="AZ190">
        <f t="shared" si="66"/>
        <v>703</v>
      </c>
      <c r="BA190" s="3">
        <f t="shared" si="67"/>
        <v>1822.6601307189549</v>
      </c>
    </row>
    <row r="191" spans="1:53" x14ac:dyDescent="0.2">
      <c r="A191">
        <v>2000</v>
      </c>
      <c r="B191" t="s">
        <v>60</v>
      </c>
      <c r="C191" t="s">
        <v>59</v>
      </c>
      <c r="D191">
        <v>8.3000000000000007</v>
      </c>
      <c r="E191">
        <v>0.1</v>
      </c>
      <c r="F191">
        <v>0</v>
      </c>
      <c r="G191">
        <v>1.7</v>
      </c>
      <c r="H191">
        <v>0.6</v>
      </c>
      <c r="I191">
        <v>0.8</v>
      </c>
      <c r="J191">
        <v>0.1</v>
      </c>
      <c r="K191">
        <f t="shared" si="56"/>
        <v>11.6</v>
      </c>
      <c r="L191">
        <v>0</v>
      </c>
      <c r="M191">
        <v>0</v>
      </c>
      <c r="N191">
        <v>0</v>
      </c>
      <c r="O191">
        <f t="shared" si="57"/>
        <v>0</v>
      </c>
      <c r="P191">
        <v>0</v>
      </c>
      <c r="Q191">
        <v>0</v>
      </c>
      <c r="R191">
        <v>0</v>
      </c>
      <c r="S191">
        <f t="shared" si="58"/>
        <v>0</v>
      </c>
      <c r="T191">
        <v>0.7</v>
      </c>
      <c r="U191">
        <v>0.5</v>
      </c>
      <c r="V191">
        <v>6.9</v>
      </c>
      <c r="W191">
        <v>0.2</v>
      </c>
      <c r="X191">
        <v>0</v>
      </c>
      <c r="Y191">
        <v>0</v>
      </c>
      <c r="Z191">
        <v>0</v>
      </c>
      <c r="AA191">
        <f t="shared" si="59"/>
        <v>8.2999999999999989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20.8</v>
      </c>
      <c r="AJ191">
        <f t="shared" si="48"/>
        <v>20.8</v>
      </c>
      <c r="AK191">
        <v>0</v>
      </c>
      <c r="AL191">
        <v>0.59200000000000008</v>
      </c>
      <c r="AM191">
        <f t="shared" si="49"/>
        <v>0.40700000000000003</v>
      </c>
      <c r="AN191">
        <v>2591</v>
      </c>
      <c r="AO191" t="s">
        <v>13</v>
      </c>
      <c r="AP191" s="3">
        <f t="shared" si="68"/>
        <v>4369.3086003372682</v>
      </c>
      <c r="AQ191" t="s">
        <v>13</v>
      </c>
      <c r="AR191">
        <f t="shared" si="54"/>
        <v>0.51105651105651106</v>
      </c>
      <c r="AS191">
        <f t="shared" si="69"/>
        <v>0.19899999999999998</v>
      </c>
      <c r="AT191">
        <f t="shared" si="60"/>
        <v>869</v>
      </c>
      <c r="AU191">
        <f t="shared" si="61"/>
        <v>909</v>
      </c>
      <c r="AV191">
        <f t="shared" si="62"/>
        <v>616</v>
      </c>
      <c r="AW191">
        <f t="shared" si="63"/>
        <v>975</v>
      </c>
      <c r="AX191" s="3">
        <f t="shared" si="64"/>
        <v>2778.3086003372682</v>
      </c>
      <c r="AY191">
        <f t="shared" si="65"/>
        <v>435</v>
      </c>
      <c r="AZ191">
        <f t="shared" si="66"/>
        <v>1022</v>
      </c>
      <c r="BA191" s="3">
        <f t="shared" si="67"/>
        <v>2912.3086003372682</v>
      </c>
    </row>
    <row r="192" spans="1:53" x14ac:dyDescent="0.2">
      <c r="A192">
        <v>2001</v>
      </c>
      <c r="B192" t="s">
        <v>60</v>
      </c>
      <c r="C192" t="s">
        <v>59</v>
      </c>
      <c r="D192">
        <v>5.4</v>
      </c>
      <c r="E192">
        <v>0</v>
      </c>
      <c r="F192">
        <v>0.6</v>
      </c>
      <c r="G192">
        <v>2.5</v>
      </c>
      <c r="H192">
        <v>0</v>
      </c>
      <c r="I192">
        <v>1.1000000000000001</v>
      </c>
      <c r="J192">
        <v>0.2</v>
      </c>
      <c r="K192">
        <f t="shared" si="56"/>
        <v>9.7999999999999989</v>
      </c>
      <c r="L192">
        <v>0</v>
      </c>
      <c r="M192">
        <v>0</v>
      </c>
      <c r="N192">
        <v>0</v>
      </c>
      <c r="O192">
        <f t="shared" si="57"/>
        <v>0</v>
      </c>
      <c r="P192">
        <v>0</v>
      </c>
      <c r="Q192">
        <v>0</v>
      </c>
      <c r="R192">
        <v>0</v>
      </c>
      <c r="S192">
        <f t="shared" si="58"/>
        <v>0</v>
      </c>
      <c r="T192">
        <v>2.4</v>
      </c>
      <c r="U192">
        <v>0.9</v>
      </c>
      <c r="V192">
        <v>8.1</v>
      </c>
      <c r="W192">
        <v>0.3</v>
      </c>
      <c r="X192">
        <v>0</v>
      </c>
      <c r="Y192">
        <v>0</v>
      </c>
      <c r="Z192">
        <v>0</v>
      </c>
      <c r="AA192">
        <f t="shared" si="59"/>
        <v>11.7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18.100000000000001</v>
      </c>
      <c r="AJ192">
        <f t="shared" si="48"/>
        <v>18.100000000000001</v>
      </c>
      <c r="AK192">
        <v>0.1</v>
      </c>
      <c r="AL192">
        <v>0.60299999999999998</v>
      </c>
      <c r="AM192">
        <f t="shared" si="49"/>
        <v>0.39600000000000007</v>
      </c>
      <c r="AN192">
        <v>5130</v>
      </c>
      <c r="AO192" t="s">
        <v>13</v>
      </c>
      <c r="AP192" s="3">
        <f t="shared" si="68"/>
        <v>8493.3774834437099</v>
      </c>
      <c r="AQ192" t="s">
        <v>13</v>
      </c>
      <c r="AR192">
        <f t="shared" si="54"/>
        <v>0.45707070707070702</v>
      </c>
      <c r="AS192">
        <f t="shared" si="69"/>
        <v>0.215</v>
      </c>
      <c r="AT192">
        <f t="shared" si="60"/>
        <v>1826</v>
      </c>
      <c r="AU192">
        <f t="shared" si="61"/>
        <v>1537</v>
      </c>
      <c r="AV192">
        <f t="shared" si="62"/>
        <v>1410</v>
      </c>
      <c r="AW192">
        <f t="shared" si="63"/>
        <v>1633</v>
      </c>
      <c r="AX192" s="3">
        <f t="shared" si="64"/>
        <v>5450.3774834437099</v>
      </c>
      <c r="AY192">
        <f t="shared" si="65"/>
        <v>913</v>
      </c>
      <c r="AZ192">
        <f t="shared" si="66"/>
        <v>1747</v>
      </c>
      <c r="BA192" s="3">
        <f t="shared" si="67"/>
        <v>5833.3774834437099</v>
      </c>
    </row>
    <row r="193" spans="1:53" x14ac:dyDescent="0.2">
      <c r="A193">
        <v>2002</v>
      </c>
      <c r="B193" t="s">
        <v>60</v>
      </c>
      <c r="C193" t="s">
        <v>59</v>
      </c>
      <c r="D193">
        <v>9.1999999999999993</v>
      </c>
      <c r="E193">
        <v>0</v>
      </c>
      <c r="F193">
        <v>0.8</v>
      </c>
      <c r="G193">
        <v>6.4</v>
      </c>
      <c r="H193">
        <v>1.1000000000000001</v>
      </c>
      <c r="I193">
        <v>1.3</v>
      </c>
      <c r="J193">
        <v>0.3</v>
      </c>
      <c r="K193">
        <f t="shared" si="56"/>
        <v>19.100000000000001</v>
      </c>
      <c r="L193">
        <v>0</v>
      </c>
      <c r="M193">
        <v>0</v>
      </c>
      <c r="N193">
        <v>0.2</v>
      </c>
      <c r="O193">
        <f t="shared" si="57"/>
        <v>0.2</v>
      </c>
      <c r="P193">
        <v>0</v>
      </c>
      <c r="Q193">
        <v>0</v>
      </c>
      <c r="R193">
        <v>0</v>
      </c>
      <c r="S193">
        <f t="shared" si="58"/>
        <v>0</v>
      </c>
      <c r="T193">
        <v>3.2</v>
      </c>
      <c r="U193">
        <v>1.1000000000000001</v>
      </c>
      <c r="V193">
        <v>5</v>
      </c>
      <c r="W193">
        <v>0.6</v>
      </c>
      <c r="X193">
        <v>0</v>
      </c>
      <c r="Y193">
        <v>0</v>
      </c>
      <c r="Z193">
        <v>0</v>
      </c>
      <c r="AA193">
        <f t="shared" si="59"/>
        <v>9.9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9.6</v>
      </c>
      <c r="AJ193">
        <f t="shared" si="48"/>
        <v>9.6</v>
      </c>
      <c r="AK193">
        <v>0</v>
      </c>
      <c r="AL193">
        <v>0.61</v>
      </c>
      <c r="AM193">
        <f t="shared" si="49"/>
        <v>0.38799999999999996</v>
      </c>
      <c r="AN193">
        <v>11740</v>
      </c>
      <c r="AO193" t="s">
        <v>13</v>
      </c>
      <c r="AP193" s="3">
        <f t="shared" si="68"/>
        <v>19183.006535947708</v>
      </c>
      <c r="AQ193" t="s">
        <v>13</v>
      </c>
      <c r="AR193">
        <f t="shared" si="54"/>
        <v>0.24742268041237117</v>
      </c>
      <c r="AS193">
        <f t="shared" si="69"/>
        <v>0.29200000000000004</v>
      </c>
      <c r="AT193">
        <f t="shared" si="60"/>
        <v>5601</v>
      </c>
      <c r="AU193">
        <f t="shared" si="61"/>
        <v>1842</v>
      </c>
      <c r="AV193">
        <f t="shared" si="62"/>
        <v>3769</v>
      </c>
      <c r="AW193">
        <f t="shared" si="63"/>
        <v>2090</v>
      </c>
      <c r="AX193" s="3">
        <f t="shared" si="64"/>
        <v>13324.006535947708</v>
      </c>
      <c r="AY193">
        <f t="shared" si="65"/>
        <v>2801</v>
      </c>
      <c r="AZ193">
        <f t="shared" si="66"/>
        <v>2222</v>
      </c>
      <c r="BA193" s="3">
        <f t="shared" si="67"/>
        <v>14160.006535947708</v>
      </c>
    </row>
    <row r="194" spans="1:53" x14ac:dyDescent="0.2">
      <c r="A194">
        <v>2003</v>
      </c>
      <c r="B194" t="s">
        <v>60</v>
      </c>
      <c r="C194" t="s">
        <v>59</v>
      </c>
      <c r="D194">
        <v>8.6999999999999993</v>
      </c>
      <c r="E194">
        <v>0</v>
      </c>
      <c r="F194">
        <v>0.4</v>
      </c>
      <c r="G194">
        <v>5.3</v>
      </c>
      <c r="H194">
        <v>0.4</v>
      </c>
      <c r="I194">
        <v>1.5</v>
      </c>
      <c r="J194">
        <v>0</v>
      </c>
      <c r="K194">
        <f t="shared" si="56"/>
        <v>16.299999999999997</v>
      </c>
      <c r="L194">
        <v>0</v>
      </c>
      <c r="M194">
        <v>0</v>
      </c>
      <c r="N194">
        <v>0.3</v>
      </c>
      <c r="O194">
        <f t="shared" si="57"/>
        <v>0.3</v>
      </c>
      <c r="P194">
        <v>0</v>
      </c>
      <c r="Q194">
        <v>0</v>
      </c>
      <c r="R194">
        <v>0</v>
      </c>
      <c r="S194">
        <f t="shared" si="58"/>
        <v>0</v>
      </c>
      <c r="T194">
        <v>3.9</v>
      </c>
      <c r="U194">
        <v>0.1</v>
      </c>
      <c r="V194">
        <v>6.6</v>
      </c>
      <c r="W194">
        <v>0.2</v>
      </c>
      <c r="X194">
        <v>0</v>
      </c>
      <c r="Y194">
        <v>0</v>
      </c>
      <c r="Z194">
        <v>0</v>
      </c>
      <c r="AA194">
        <f t="shared" si="59"/>
        <v>10.799999999999999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14</v>
      </c>
      <c r="AJ194">
        <f t="shared" si="48"/>
        <v>14</v>
      </c>
      <c r="AK194">
        <v>0</v>
      </c>
      <c r="AL194">
        <v>0.58700000000000008</v>
      </c>
      <c r="AM194">
        <f t="shared" si="49"/>
        <v>0.41399999999999992</v>
      </c>
      <c r="AN194">
        <v>10937</v>
      </c>
      <c r="AO194" t="s">
        <v>13</v>
      </c>
      <c r="AP194" s="3">
        <f t="shared" si="68"/>
        <v>18663.822525597268</v>
      </c>
      <c r="AQ194" t="s">
        <v>13</v>
      </c>
      <c r="AR194">
        <f t="shared" si="54"/>
        <v>0.33816425120772958</v>
      </c>
      <c r="AS194">
        <f t="shared" si="69"/>
        <v>0.27399999999999997</v>
      </c>
      <c r="AT194">
        <f t="shared" si="60"/>
        <v>5114</v>
      </c>
      <c r="AU194">
        <f t="shared" si="61"/>
        <v>2613</v>
      </c>
      <c r="AV194">
        <f t="shared" si="62"/>
        <v>3593</v>
      </c>
      <c r="AW194">
        <f t="shared" si="63"/>
        <v>2906</v>
      </c>
      <c r="AX194" s="3">
        <f t="shared" si="64"/>
        <v>12164.822525597268</v>
      </c>
      <c r="AY194">
        <f t="shared" si="65"/>
        <v>2557</v>
      </c>
      <c r="AZ194">
        <f t="shared" si="66"/>
        <v>3106</v>
      </c>
      <c r="BA194" s="3">
        <f t="shared" si="67"/>
        <v>13000.822525597268</v>
      </c>
    </row>
    <row r="195" spans="1:53" x14ac:dyDescent="0.2">
      <c r="A195">
        <v>2004</v>
      </c>
      <c r="B195" t="s">
        <v>60</v>
      </c>
      <c r="C195" t="s">
        <v>59</v>
      </c>
      <c r="D195">
        <v>8</v>
      </c>
      <c r="E195">
        <v>0</v>
      </c>
      <c r="F195">
        <v>0.5</v>
      </c>
      <c r="G195">
        <v>3.9</v>
      </c>
      <c r="H195">
        <v>0.7</v>
      </c>
      <c r="I195">
        <v>3.5</v>
      </c>
      <c r="J195">
        <v>0.1</v>
      </c>
      <c r="K195">
        <f t="shared" si="56"/>
        <v>16.700000000000003</v>
      </c>
      <c r="L195">
        <v>0</v>
      </c>
      <c r="M195">
        <v>0</v>
      </c>
      <c r="N195">
        <v>0</v>
      </c>
      <c r="O195">
        <f t="shared" si="57"/>
        <v>0</v>
      </c>
      <c r="P195">
        <v>0</v>
      </c>
      <c r="Q195">
        <v>0</v>
      </c>
      <c r="R195">
        <v>0.1</v>
      </c>
      <c r="S195">
        <f t="shared" si="58"/>
        <v>0.1</v>
      </c>
      <c r="T195">
        <v>2.2999999999999998</v>
      </c>
      <c r="U195">
        <v>0</v>
      </c>
      <c r="V195">
        <v>3.6</v>
      </c>
      <c r="W195">
        <v>0.1</v>
      </c>
      <c r="X195">
        <v>0</v>
      </c>
      <c r="Y195">
        <v>0</v>
      </c>
      <c r="Z195">
        <v>0</v>
      </c>
      <c r="AA195">
        <f t="shared" si="59"/>
        <v>6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15.4</v>
      </c>
      <c r="AJ195">
        <f t="shared" ref="AJ195:AJ258" si="70">SUM(AB195:AI195)</f>
        <v>15.4</v>
      </c>
      <c r="AK195">
        <v>0.2</v>
      </c>
      <c r="AL195">
        <v>0.61499999999999999</v>
      </c>
      <c r="AM195">
        <f t="shared" ref="AM195:AM258" si="71">SUM(AB195:AI195,T195:Z195,P195:R195,L195:N195,D195:J195)/100</f>
        <v>0.38200000000000012</v>
      </c>
      <c r="AN195">
        <v>11384</v>
      </c>
      <c r="AO195" t="s">
        <v>13</v>
      </c>
      <c r="AP195" s="3">
        <f t="shared" si="68"/>
        <v>18420.711974110036</v>
      </c>
      <c r="AQ195" t="s">
        <v>13</v>
      </c>
      <c r="AR195">
        <f t="shared" si="54"/>
        <v>0.40314136125654437</v>
      </c>
      <c r="AS195">
        <f t="shared" si="69"/>
        <v>0.22800000000000004</v>
      </c>
      <c r="AT195">
        <f t="shared" si="60"/>
        <v>4200</v>
      </c>
      <c r="AU195">
        <f t="shared" si="61"/>
        <v>2837</v>
      </c>
      <c r="AV195">
        <f t="shared" ref="AV195:AV258" si="72">ROUND((((K195*0.5)+O195+S195+AA195)/100)*AP195,0)</f>
        <v>2662</v>
      </c>
      <c r="AW195">
        <f t="shared" ref="AW195:AW258" si="73">ROUND((AU195/(AP195-AT195))*(AP195-AV195),0)</f>
        <v>3144</v>
      </c>
      <c r="AX195" s="3">
        <f t="shared" ref="AX195:AX258" si="74">AP195-AV195-AW195</f>
        <v>12614.711974110036</v>
      </c>
      <c r="AY195">
        <f t="shared" ref="AY195:AY258" si="75">ROUND((0.5*AS195)*AP195,0)</f>
        <v>2100</v>
      </c>
      <c r="AZ195">
        <f t="shared" ref="AZ195:AZ258" si="76">ROUND((AU195/(AP195-AT195))*(AP195-AY195),0)</f>
        <v>3256</v>
      </c>
      <c r="BA195" s="3">
        <f t="shared" ref="BA195:BA258" si="77">AP195-AZ195-AY195</f>
        <v>13064.711974110036</v>
      </c>
    </row>
    <row r="196" spans="1:53" x14ac:dyDescent="0.2">
      <c r="A196">
        <v>2005</v>
      </c>
      <c r="B196" t="s">
        <v>60</v>
      </c>
      <c r="C196" t="s">
        <v>59</v>
      </c>
      <c r="D196">
        <v>12.7</v>
      </c>
      <c r="E196">
        <v>0</v>
      </c>
      <c r="F196">
        <v>0.4</v>
      </c>
      <c r="G196">
        <v>6.8</v>
      </c>
      <c r="H196">
        <v>2</v>
      </c>
      <c r="I196">
        <v>5.3</v>
      </c>
      <c r="J196">
        <v>0.9</v>
      </c>
      <c r="K196">
        <f t="shared" si="56"/>
        <v>28.099999999999998</v>
      </c>
      <c r="L196">
        <v>0</v>
      </c>
      <c r="M196">
        <v>0</v>
      </c>
      <c r="N196">
        <v>0</v>
      </c>
      <c r="O196">
        <f t="shared" si="57"/>
        <v>0</v>
      </c>
      <c r="P196">
        <v>0</v>
      </c>
      <c r="Q196">
        <v>0</v>
      </c>
      <c r="R196">
        <v>0.4</v>
      </c>
      <c r="S196">
        <f t="shared" si="58"/>
        <v>0.4</v>
      </c>
      <c r="T196">
        <v>2.8</v>
      </c>
      <c r="U196">
        <v>0.5</v>
      </c>
      <c r="V196">
        <v>2.7</v>
      </c>
      <c r="W196">
        <v>0.2</v>
      </c>
      <c r="X196">
        <v>0</v>
      </c>
      <c r="Y196">
        <v>0</v>
      </c>
      <c r="Z196">
        <v>0</v>
      </c>
      <c r="AA196">
        <f t="shared" si="59"/>
        <v>6.2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35.5</v>
      </c>
      <c r="AJ196">
        <f t="shared" si="70"/>
        <v>35.5</v>
      </c>
      <c r="AK196">
        <v>0</v>
      </c>
      <c r="AL196">
        <v>0.29600000000000004</v>
      </c>
      <c r="AM196">
        <f t="shared" si="71"/>
        <v>0.70200000000000007</v>
      </c>
      <c r="AN196">
        <v>1474</v>
      </c>
      <c r="AO196" t="s">
        <v>13</v>
      </c>
      <c r="AP196" s="3">
        <f t="shared" si="68"/>
        <v>4946.3087248322163</v>
      </c>
      <c r="AQ196" t="s">
        <v>13</v>
      </c>
      <c r="AR196">
        <f t="shared" si="54"/>
        <v>0.5056980056980056</v>
      </c>
      <c r="AS196">
        <f t="shared" si="69"/>
        <v>0.34699999999999998</v>
      </c>
      <c r="AT196">
        <f t="shared" si="60"/>
        <v>1716</v>
      </c>
      <c r="AU196">
        <f t="shared" si="61"/>
        <v>1756</v>
      </c>
      <c r="AV196">
        <f t="shared" si="72"/>
        <v>1021</v>
      </c>
      <c r="AW196">
        <f t="shared" si="73"/>
        <v>2134</v>
      </c>
      <c r="AX196" s="3">
        <f t="shared" si="74"/>
        <v>1791.3087248322163</v>
      </c>
      <c r="AY196">
        <f t="shared" si="75"/>
        <v>858</v>
      </c>
      <c r="AZ196">
        <f t="shared" si="76"/>
        <v>2222</v>
      </c>
      <c r="BA196" s="3">
        <f t="shared" si="77"/>
        <v>1866.3087248322163</v>
      </c>
    </row>
    <row r="197" spans="1:53" x14ac:dyDescent="0.2">
      <c r="A197">
        <v>2006</v>
      </c>
      <c r="B197" t="s">
        <v>60</v>
      </c>
      <c r="C197" t="s">
        <v>59</v>
      </c>
      <c r="D197">
        <v>7.1</v>
      </c>
      <c r="E197">
        <v>0</v>
      </c>
      <c r="F197">
        <v>0</v>
      </c>
      <c r="G197">
        <v>5.4</v>
      </c>
      <c r="H197">
        <v>1.6</v>
      </c>
      <c r="I197">
        <v>5.6</v>
      </c>
      <c r="J197">
        <v>1.9</v>
      </c>
      <c r="K197">
        <f t="shared" si="56"/>
        <v>21.599999999999998</v>
      </c>
      <c r="L197">
        <v>0</v>
      </c>
      <c r="M197">
        <v>0</v>
      </c>
      <c r="N197">
        <v>0.8</v>
      </c>
      <c r="O197">
        <f t="shared" si="57"/>
        <v>0.8</v>
      </c>
      <c r="P197">
        <v>0</v>
      </c>
      <c r="Q197">
        <v>0</v>
      </c>
      <c r="R197">
        <v>0</v>
      </c>
      <c r="S197">
        <f t="shared" si="58"/>
        <v>0</v>
      </c>
      <c r="T197">
        <v>4.2</v>
      </c>
      <c r="U197">
        <v>0.3</v>
      </c>
      <c r="V197">
        <v>1.7</v>
      </c>
      <c r="W197">
        <v>0.3</v>
      </c>
      <c r="X197">
        <v>0</v>
      </c>
      <c r="Y197">
        <v>0</v>
      </c>
      <c r="Z197">
        <v>0</v>
      </c>
      <c r="AA197">
        <f t="shared" si="59"/>
        <v>6.5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26.1</v>
      </c>
      <c r="AJ197">
        <f t="shared" si="70"/>
        <v>26.1</v>
      </c>
      <c r="AK197">
        <v>0</v>
      </c>
      <c r="AL197">
        <v>0.45100000000000001</v>
      </c>
      <c r="AM197">
        <f t="shared" si="71"/>
        <v>0.55000000000000004</v>
      </c>
      <c r="AN197">
        <v>1779</v>
      </c>
      <c r="AO197" t="s">
        <v>13</v>
      </c>
      <c r="AP197" s="3">
        <f t="shared" si="68"/>
        <v>3953.3333333333339</v>
      </c>
      <c r="AQ197" t="s">
        <v>13</v>
      </c>
      <c r="AR197">
        <f t="shared" si="54"/>
        <v>0.47454545454545455</v>
      </c>
      <c r="AS197">
        <f t="shared" si="69"/>
        <v>0.28899999999999998</v>
      </c>
      <c r="AT197">
        <f t="shared" si="60"/>
        <v>1143</v>
      </c>
      <c r="AU197">
        <f t="shared" si="61"/>
        <v>1032</v>
      </c>
      <c r="AV197">
        <f t="shared" si="72"/>
        <v>716</v>
      </c>
      <c r="AW197">
        <f t="shared" si="73"/>
        <v>1189</v>
      </c>
      <c r="AX197" s="3">
        <f t="shared" si="74"/>
        <v>2048.3333333333339</v>
      </c>
      <c r="AY197">
        <f t="shared" si="75"/>
        <v>571</v>
      </c>
      <c r="AZ197">
        <f t="shared" si="76"/>
        <v>1242</v>
      </c>
      <c r="BA197" s="3">
        <f t="shared" si="77"/>
        <v>2140.3333333333339</v>
      </c>
    </row>
    <row r="198" spans="1:53" x14ac:dyDescent="0.2">
      <c r="A198">
        <v>2007</v>
      </c>
      <c r="B198" t="s">
        <v>60</v>
      </c>
      <c r="C198" t="s">
        <v>59</v>
      </c>
      <c r="D198">
        <v>9</v>
      </c>
      <c r="E198">
        <v>0.1</v>
      </c>
      <c r="F198">
        <v>1</v>
      </c>
      <c r="G198">
        <v>4.4000000000000004</v>
      </c>
      <c r="H198">
        <v>0.9</v>
      </c>
      <c r="I198">
        <v>1.3</v>
      </c>
      <c r="J198">
        <v>0.4</v>
      </c>
      <c r="K198">
        <f t="shared" si="56"/>
        <v>17.099999999999998</v>
      </c>
      <c r="L198">
        <v>0</v>
      </c>
      <c r="M198">
        <v>0</v>
      </c>
      <c r="N198">
        <v>0</v>
      </c>
      <c r="O198">
        <f t="shared" si="57"/>
        <v>0</v>
      </c>
      <c r="P198">
        <v>0</v>
      </c>
      <c r="Q198">
        <v>0</v>
      </c>
      <c r="R198">
        <v>0.2</v>
      </c>
      <c r="S198">
        <f t="shared" si="58"/>
        <v>0.2</v>
      </c>
      <c r="T198">
        <v>3.8</v>
      </c>
      <c r="U198">
        <v>0.8</v>
      </c>
      <c r="V198">
        <v>5.0999999999999996</v>
      </c>
      <c r="W198">
        <v>0.5</v>
      </c>
      <c r="X198">
        <v>0</v>
      </c>
      <c r="Y198">
        <v>0</v>
      </c>
      <c r="Z198">
        <v>0</v>
      </c>
      <c r="AA198">
        <f t="shared" si="59"/>
        <v>10.199999999999999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15.8</v>
      </c>
      <c r="AJ198">
        <f t="shared" si="70"/>
        <v>15.8</v>
      </c>
      <c r="AK198">
        <v>0.1</v>
      </c>
      <c r="AL198">
        <v>0.56600000000000006</v>
      </c>
      <c r="AM198">
        <f t="shared" si="71"/>
        <v>0.433</v>
      </c>
      <c r="AN198">
        <v>2481</v>
      </c>
      <c r="AO198" t="s">
        <v>13</v>
      </c>
      <c r="AP198" s="3">
        <f t="shared" si="68"/>
        <v>4375.661375661376</v>
      </c>
      <c r="AQ198" t="s">
        <v>13</v>
      </c>
      <c r="AR198">
        <f t="shared" si="54"/>
        <v>0.36489607390300233</v>
      </c>
      <c r="AS198">
        <f t="shared" si="69"/>
        <v>0.27499999999999997</v>
      </c>
      <c r="AT198">
        <f t="shared" si="60"/>
        <v>1203</v>
      </c>
      <c r="AU198">
        <f t="shared" si="61"/>
        <v>691</v>
      </c>
      <c r="AV198">
        <f t="shared" si="72"/>
        <v>829</v>
      </c>
      <c r="AW198">
        <f t="shared" si="73"/>
        <v>772</v>
      </c>
      <c r="AX198" s="3">
        <f t="shared" si="74"/>
        <v>2774.661375661376</v>
      </c>
      <c r="AY198">
        <f t="shared" si="75"/>
        <v>602</v>
      </c>
      <c r="AZ198">
        <f t="shared" si="76"/>
        <v>822</v>
      </c>
      <c r="BA198" s="3">
        <f t="shared" si="77"/>
        <v>2951.661375661376</v>
      </c>
    </row>
    <row r="199" spans="1:53" x14ac:dyDescent="0.2">
      <c r="A199">
        <v>2008</v>
      </c>
      <c r="B199" t="s">
        <v>60</v>
      </c>
      <c r="C199" t="s">
        <v>59</v>
      </c>
      <c r="D199">
        <v>4.7</v>
      </c>
      <c r="E199">
        <v>0</v>
      </c>
      <c r="F199">
        <v>0</v>
      </c>
      <c r="G199">
        <v>3.9</v>
      </c>
      <c r="H199">
        <v>2</v>
      </c>
      <c r="I199">
        <v>1.5</v>
      </c>
      <c r="J199">
        <v>0.7</v>
      </c>
      <c r="K199">
        <f t="shared" si="56"/>
        <v>12.799999999999999</v>
      </c>
      <c r="L199">
        <v>0</v>
      </c>
      <c r="M199">
        <v>0</v>
      </c>
      <c r="N199">
        <v>0</v>
      </c>
      <c r="O199">
        <f t="shared" si="57"/>
        <v>0</v>
      </c>
      <c r="P199">
        <v>0</v>
      </c>
      <c r="Q199">
        <v>0</v>
      </c>
      <c r="R199">
        <v>0</v>
      </c>
      <c r="S199">
        <f t="shared" si="58"/>
        <v>0</v>
      </c>
      <c r="T199">
        <v>3.1</v>
      </c>
      <c r="U199">
        <v>0.2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f t="shared" si="59"/>
        <v>3.3000000000000003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0.1</v>
      </c>
      <c r="AI199">
        <v>16.5</v>
      </c>
      <c r="AJ199">
        <f t="shared" si="70"/>
        <v>16.600000000000001</v>
      </c>
      <c r="AK199">
        <v>0</v>
      </c>
      <c r="AL199">
        <v>0.67400000000000004</v>
      </c>
      <c r="AM199">
        <f t="shared" si="71"/>
        <v>0.32700000000000001</v>
      </c>
      <c r="AN199">
        <v>2198</v>
      </c>
      <c r="AO199" t="s">
        <v>13</v>
      </c>
      <c r="AP199" s="3">
        <f t="shared" si="68"/>
        <v>3265.973254086181</v>
      </c>
      <c r="AQ199" t="s">
        <v>13</v>
      </c>
      <c r="AR199">
        <f t="shared" si="54"/>
        <v>0.50764525993883791</v>
      </c>
      <c r="AS199">
        <f t="shared" si="69"/>
        <v>0.16099999999999998</v>
      </c>
      <c r="AT199">
        <f t="shared" si="60"/>
        <v>526</v>
      </c>
      <c r="AU199">
        <f t="shared" si="61"/>
        <v>542</v>
      </c>
      <c r="AV199">
        <f t="shared" si="72"/>
        <v>317</v>
      </c>
      <c r="AW199">
        <f t="shared" si="73"/>
        <v>583</v>
      </c>
      <c r="AX199" s="3">
        <f t="shared" si="74"/>
        <v>2365.973254086181</v>
      </c>
      <c r="AY199">
        <f t="shared" si="75"/>
        <v>263</v>
      </c>
      <c r="AZ199">
        <f t="shared" si="76"/>
        <v>594</v>
      </c>
      <c r="BA199" s="3">
        <f t="shared" si="77"/>
        <v>2408.973254086181</v>
      </c>
    </row>
    <row r="200" spans="1:53" x14ac:dyDescent="0.2">
      <c r="A200">
        <v>2009</v>
      </c>
      <c r="B200" t="s">
        <v>60</v>
      </c>
      <c r="C200" t="s">
        <v>59</v>
      </c>
      <c r="D200">
        <v>7.3</v>
      </c>
      <c r="E200">
        <v>0</v>
      </c>
      <c r="F200">
        <v>0.3</v>
      </c>
      <c r="G200">
        <v>4.8</v>
      </c>
      <c r="H200">
        <v>0.8</v>
      </c>
      <c r="I200">
        <v>1.7</v>
      </c>
      <c r="J200">
        <v>0.9</v>
      </c>
      <c r="K200">
        <f t="shared" si="56"/>
        <v>15.799999999999999</v>
      </c>
      <c r="L200">
        <v>0</v>
      </c>
      <c r="M200">
        <v>0</v>
      </c>
      <c r="N200">
        <v>0</v>
      </c>
      <c r="O200">
        <f t="shared" si="57"/>
        <v>0</v>
      </c>
      <c r="P200">
        <v>0</v>
      </c>
      <c r="Q200">
        <v>0</v>
      </c>
      <c r="R200">
        <v>0.3</v>
      </c>
      <c r="S200">
        <f t="shared" si="58"/>
        <v>0.3</v>
      </c>
      <c r="T200">
        <v>1</v>
      </c>
      <c r="U200">
        <v>0.3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f t="shared" si="59"/>
        <v>1.3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20.100000000000001</v>
      </c>
      <c r="AJ200">
        <f t="shared" si="70"/>
        <v>20.100000000000001</v>
      </c>
      <c r="AK200">
        <v>0</v>
      </c>
      <c r="AL200">
        <v>0.624</v>
      </c>
      <c r="AM200">
        <f t="shared" si="71"/>
        <v>0.375</v>
      </c>
      <c r="AN200">
        <v>3100</v>
      </c>
      <c r="AO200" t="s">
        <v>13</v>
      </c>
      <c r="AP200" s="3">
        <f t="shared" si="68"/>
        <v>4960</v>
      </c>
      <c r="AQ200" t="s">
        <v>13</v>
      </c>
      <c r="AR200">
        <f t="shared" si="54"/>
        <v>0.53600000000000003</v>
      </c>
      <c r="AS200">
        <f t="shared" si="69"/>
        <v>0.17399999999999999</v>
      </c>
      <c r="AT200">
        <f t="shared" si="60"/>
        <v>863</v>
      </c>
      <c r="AU200">
        <f t="shared" si="61"/>
        <v>997</v>
      </c>
      <c r="AV200">
        <f t="shared" si="72"/>
        <v>471</v>
      </c>
      <c r="AW200">
        <f t="shared" si="73"/>
        <v>1092</v>
      </c>
      <c r="AX200" s="3">
        <f t="shared" si="74"/>
        <v>3397</v>
      </c>
      <c r="AY200">
        <f t="shared" si="75"/>
        <v>432</v>
      </c>
      <c r="AZ200">
        <f t="shared" si="76"/>
        <v>1102</v>
      </c>
      <c r="BA200" s="3">
        <f t="shared" si="77"/>
        <v>3426</v>
      </c>
    </row>
    <row r="201" spans="1:53" x14ac:dyDescent="0.2">
      <c r="A201">
        <v>2010</v>
      </c>
      <c r="B201" t="s">
        <v>60</v>
      </c>
      <c r="C201" t="s">
        <v>59</v>
      </c>
      <c r="D201">
        <v>5.9</v>
      </c>
      <c r="E201">
        <v>0</v>
      </c>
      <c r="F201">
        <v>0.6</v>
      </c>
      <c r="G201">
        <v>4.5999999999999996</v>
      </c>
      <c r="H201">
        <v>0.2</v>
      </c>
      <c r="I201">
        <v>0</v>
      </c>
      <c r="J201">
        <v>0.5</v>
      </c>
      <c r="K201">
        <f t="shared" si="56"/>
        <v>11.799999999999999</v>
      </c>
      <c r="L201">
        <v>0</v>
      </c>
      <c r="M201">
        <v>0</v>
      </c>
      <c r="N201">
        <v>0</v>
      </c>
      <c r="O201">
        <f t="shared" si="57"/>
        <v>0</v>
      </c>
      <c r="P201">
        <v>0</v>
      </c>
      <c r="Q201">
        <v>0</v>
      </c>
      <c r="R201">
        <v>0</v>
      </c>
      <c r="S201">
        <f t="shared" si="58"/>
        <v>0</v>
      </c>
      <c r="T201">
        <v>4</v>
      </c>
      <c r="U201">
        <v>0.6</v>
      </c>
      <c r="V201">
        <v>0.8</v>
      </c>
      <c r="W201">
        <v>0.3</v>
      </c>
      <c r="X201">
        <v>0</v>
      </c>
      <c r="Y201">
        <v>0</v>
      </c>
      <c r="Z201">
        <v>0</v>
      </c>
      <c r="AA201">
        <f t="shared" si="59"/>
        <v>5.6999999999999993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25.2</v>
      </c>
      <c r="AJ201">
        <f t="shared" si="70"/>
        <v>25.2</v>
      </c>
      <c r="AK201">
        <v>0</v>
      </c>
      <c r="AL201">
        <v>0.57299999999999995</v>
      </c>
      <c r="AM201">
        <f t="shared" si="71"/>
        <v>0.4270000000000001</v>
      </c>
      <c r="AN201">
        <v>6725</v>
      </c>
      <c r="AO201" t="s">
        <v>13</v>
      </c>
      <c r="AP201" s="3">
        <f t="shared" si="68"/>
        <v>11736.474694589879</v>
      </c>
      <c r="AQ201" t="s">
        <v>13</v>
      </c>
      <c r="AR201">
        <f t="shared" si="54"/>
        <v>0.59016393442622939</v>
      </c>
      <c r="AS201">
        <f t="shared" si="69"/>
        <v>0.17499999999999999</v>
      </c>
      <c r="AT201">
        <f t="shared" si="60"/>
        <v>2054</v>
      </c>
      <c r="AU201">
        <f t="shared" si="61"/>
        <v>2958</v>
      </c>
      <c r="AV201">
        <f t="shared" si="72"/>
        <v>1361</v>
      </c>
      <c r="AW201">
        <f t="shared" si="73"/>
        <v>3170</v>
      </c>
      <c r="AX201" s="3">
        <f t="shared" si="74"/>
        <v>7205.4746945898787</v>
      </c>
      <c r="AY201">
        <f t="shared" si="75"/>
        <v>1027</v>
      </c>
      <c r="AZ201">
        <f t="shared" si="76"/>
        <v>3272</v>
      </c>
      <c r="BA201" s="3">
        <f t="shared" si="77"/>
        <v>7437.4746945898787</v>
      </c>
    </row>
    <row r="202" spans="1:53" x14ac:dyDescent="0.2">
      <c r="A202">
        <v>2011</v>
      </c>
      <c r="B202" t="s">
        <v>60</v>
      </c>
      <c r="C202" t="s">
        <v>59</v>
      </c>
      <c r="D202">
        <v>6.6</v>
      </c>
      <c r="E202">
        <v>0</v>
      </c>
      <c r="F202">
        <v>0.7</v>
      </c>
      <c r="G202">
        <v>4.4000000000000004</v>
      </c>
      <c r="H202">
        <v>0.5</v>
      </c>
      <c r="I202">
        <v>2</v>
      </c>
      <c r="J202">
        <v>1.1000000000000001</v>
      </c>
      <c r="K202">
        <f t="shared" si="56"/>
        <v>15.299999999999999</v>
      </c>
      <c r="L202">
        <v>0</v>
      </c>
      <c r="M202">
        <v>0</v>
      </c>
      <c r="N202">
        <v>0</v>
      </c>
      <c r="O202">
        <f t="shared" si="57"/>
        <v>0</v>
      </c>
      <c r="P202">
        <v>0</v>
      </c>
      <c r="Q202">
        <v>0</v>
      </c>
      <c r="R202">
        <v>0</v>
      </c>
      <c r="S202">
        <f t="shared" si="58"/>
        <v>0</v>
      </c>
      <c r="T202">
        <v>5.0999999999999996</v>
      </c>
      <c r="U202">
        <v>0.4</v>
      </c>
      <c r="V202">
        <v>1.7</v>
      </c>
      <c r="W202">
        <v>0</v>
      </c>
      <c r="X202">
        <v>0</v>
      </c>
      <c r="Y202">
        <v>0</v>
      </c>
      <c r="Z202">
        <v>0</v>
      </c>
      <c r="AA202">
        <f t="shared" si="59"/>
        <v>7.2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28.8</v>
      </c>
      <c r="AJ202">
        <f t="shared" si="70"/>
        <v>28.8</v>
      </c>
      <c r="AK202">
        <v>0.1</v>
      </c>
      <c r="AL202">
        <v>0.48599999999999999</v>
      </c>
      <c r="AM202">
        <f t="shared" si="71"/>
        <v>0.51300000000000001</v>
      </c>
      <c r="AN202">
        <v>6026</v>
      </c>
      <c r="AO202" t="s">
        <v>13</v>
      </c>
      <c r="AP202" s="3">
        <f t="shared" si="68"/>
        <v>12373.716632443533</v>
      </c>
      <c r="AQ202" t="s">
        <v>13</v>
      </c>
      <c r="AR202">
        <f t="shared" si="54"/>
        <v>0.5614035087719299</v>
      </c>
      <c r="AS202">
        <f t="shared" si="69"/>
        <v>0.22500000000000001</v>
      </c>
      <c r="AT202">
        <f t="shared" si="60"/>
        <v>2784</v>
      </c>
      <c r="AU202">
        <f t="shared" si="61"/>
        <v>3564</v>
      </c>
      <c r="AV202">
        <f t="shared" si="72"/>
        <v>1837</v>
      </c>
      <c r="AW202">
        <f t="shared" si="73"/>
        <v>3916</v>
      </c>
      <c r="AX202" s="3">
        <f t="shared" si="74"/>
        <v>6620.7166324435329</v>
      </c>
      <c r="AY202">
        <f t="shared" si="75"/>
        <v>1392</v>
      </c>
      <c r="AZ202">
        <f t="shared" si="76"/>
        <v>4081</v>
      </c>
      <c r="BA202" s="3">
        <f t="shared" si="77"/>
        <v>6900.7166324435329</v>
      </c>
    </row>
    <row r="203" spans="1:53" x14ac:dyDescent="0.2">
      <c r="A203">
        <v>2012</v>
      </c>
      <c r="B203" t="s">
        <v>60</v>
      </c>
      <c r="C203" t="s">
        <v>59</v>
      </c>
      <c r="D203">
        <v>2.2000000000000002</v>
      </c>
      <c r="E203">
        <v>0.3</v>
      </c>
      <c r="F203">
        <v>0</v>
      </c>
      <c r="G203">
        <v>2.2000000000000002</v>
      </c>
      <c r="H203">
        <v>0.1</v>
      </c>
      <c r="I203">
        <v>3.2</v>
      </c>
      <c r="J203">
        <v>2.9</v>
      </c>
      <c r="K203">
        <f t="shared" si="56"/>
        <v>10.9</v>
      </c>
      <c r="L203">
        <v>0</v>
      </c>
      <c r="M203">
        <v>0</v>
      </c>
      <c r="N203">
        <v>0.3</v>
      </c>
      <c r="O203">
        <f t="shared" si="57"/>
        <v>0.3</v>
      </c>
      <c r="P203">
        <v>0</v>
      </c>
      <c r="Q203">
        <v>0</v>
      </c>
      <c r="R203">
        <v>0.7</v>
      </c>
      <c r="S203">
        <f t="shared" si="58"/>
        <v>0.7</v>
      </c>
      <c r="T203">
        <v>6.6</v>
      </c>
      <c r="U203">
        <v>0.5</v>
      </c>
      <c r="V203">
        <v>3.8</v>
      </c>
      <c r="W203">
        <v>0.6</v>
      </c>
      <c r="X203">
        <v>0</v>
      </c>
      <c r="Y203">
        <v>0</v>
      </c>
      <c r="Z203">
        <v>0.1</v>
      </c>
      <c r="AA203">
        <f t="shared" si="59"/>
        <v>11.599999999999998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26.6</v>
      </c>
      <c r="AJ203">
        <f t="shared" si="70"/>
        <v>26.6</v>
      </c>
      <c r="AK203">
        <v>0</v>
      </c>
      <c r="AL203">
        <v>0.498</v>
      </c>
      <c r="AM203">
        <f t="shared" si="71"/>
        <v>0.50100000000000011</v>
      </c>
      <c r="AN203">
        <v>5929</v>
      </c>
      <c r="AO203" t="s">
        <v>13</v>
      </c>
      <c r="AP203" s="3">
        <f t="shared" si="68"/>
        <v>11881.76352705411</v>
      </c>
      <c r="AQ203" t="s">
        <v>13</v>
      </c>
      <c r="AR203">
        <f t="shared" si="54"/>
        <v>0.53093812375249494</v>
      </c>
      <c r="AS203">
        <f t="shared" si="69"/>
        <v>0.23499999999999999</v>
      </c>
      <c r="AT203">
        <f t="shared" si="60"/>
        <v>2792</v>
      </c>
      <c r="AU203">
        <f t="shared" si="61"/>
        <v>3161</v>
      </c>
      <c r="AV203">
        <f t="shared" si="72"/>
        <v>2145</v>
      </c>
      <c r="AW203">
        <f t="shared" si="73"/>
        <v>3386</v>
      </c>
      <c r="AX203" s="3">
        <f t="shared" si="74"/>
        <v>6350.7635270541105</v>
      </c>
      <c r="AY203">
        <f t="shared" si="75"/>
        <v>1396</v>
      </c>
      <c r="AZ203">
        <f t="shared" si="76"/>
        <v>3646</v>
      </c>
      <c r="BA203" s="3">
        <f t="shared" si="77"/>
        <v>6839.7635270541105</v>
      </c>
    </row>
    <row r="204" spans="1:53" x14ac:dyDescent="0.2">
      <c r="A204">
        <v>2013</v>
      </c>
      <c r="B204" t="s">
        <v>60</v>
      </c>
      <c r="C204" t="s">
        <v>59</v>
      </c>
      <c r="D204">
        <v>3.2</v>
      </c>
      <c r="E204">
        <v>0</v>
      </c>
      <c r="F204">
        <v>0.3</v>
      </c>
      <c r="G204">
        <v>4.5</v>
      </c>
      <c r="H204">
        <v>1.3</v>
      </c>
      <c r="I204">
        <v>0.9</v>
      </c>
      <c r="J204">
        <v>1</v>
      </c>
      <c r="K204">
        <f t="shared" si="56"/>
        <v>11.200000000000001</v>
      </c>
      <c r="L204">
        <v>0</v>
      </c>
      <c r="M204">
        <v>0</v>
      </c>
      <c r="N204">
        <v>0</v>
      </c>
      <c r="O204">
        <f t="shared" si="57"/>
        <v>0</v>
      </c>
      <c r="P204">
        <v>0</v>
      </c>
      <c r="Q204">
        <v>0</v>
      </c>
      <c r="R204">
        <v>0.2</v>
      </c>
      <c r="S204">
        <f t="shared" si="58"/>
        <v>0.2</v>
      </c>
      <c r="T204">
        <v>9.6999999999999993</v>
      </c>
      <c r="U204">
        <v>0.3</v>
      </c>
      <c r="V204">
        <v>5.7</v>
      </c>
      <c r="W204">
        <v>0.2</v>
      </c>
      <c r="X204">
        <v>0</v>
      </c>
      <c r="Y204">
        <v>0</v>
      </c>
      <c r="Z204">
        <v>0</v>
      </c>
      <c r="AA204">
        <f t="shared" si="59"/>
        <v>15.899999999999999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24</v>
      </c>
      <c r="AJ204">
        <f t="shared" si="70"/>
        <v>24</v>
      </c>
      <c r="AK204">
        <v>0</v>
      </c>
      <c r="AL204">
        <v>0.48599999999999999</v>
      </c>
      <c r="AM204">
        <f t="shared" si="71"/>
        <v>0.51300000000000001</v>
      </c>
      <c r="AN204">
        <v>9337</v>
      </c>
      <c r="AO204" t="s">
        <v>13</v>
      </c>
      <c r="AP204" s="3">
        <f t="shared" si="68"/>
        <v>19172.484599589323</v>
      </c>
      <c r="AQ204" t="s">
        <v>13</v>
      </c>
      <c r="AR204">
        <f t="shared" si="54"/>
        <v>0.46783625730994149</v>
      </c>
      <c r="AS204">
        <f t="shared" si="69"/>
        <v>0.27299999999999996</v>
      </c>
      <c r="AT204">
        <f t="shared" si="60"/>
        <v>5234</v>
      </c>
      <c r="AU204">
        <f t="shared" si="61"/>
        <v>4601</v>
      </c>
      <c r="AV204">
        <f t="shared" si="72"/>
        <v>4160</v>
      </c>
      <c r="AW204">
        <f t="shared" si="73"/>
        <v>4956</v>
      </c>
      <c r="AX204" s="3">
        <f t="shared" si="74"/>
        <v>10056.484599589323</v>
      </c>
      <c r="AY204">
        <f t="shared" si="75"/>
        <v>2617</v>
      </c>
      <c r="AZ204">
        <f t="shared" si="76"/>
        <v>5465</v>
      </c>
      <c r="BA204" s="3">
        <f t="shared" si="77"/>
        <v>11090.484599589323</v>
      </c>
    </row>
    <row r="205" spans="1:53" x14ac:dyDescent="0.2">
      <c r="A205">
        <v>2014</v>
      </c>
      <c r="B205" t="s">
        <v>60</v>
      </c>
      <c r="C205" t="s">
        <v>59</v>
      </c>
      <c r="D205">
        <v>8.1</v>
      </c>
      <c r="E205">
        <v>0</v>
      </c>
      <c r="F205">
        <v>0.4</v>
      </c>
      <c r="G205">
        <v>5.8</v>
      </c>
      <c r="H205">
        <v>1</v>
      </c>
      <c r="I205">
        <v>2.9</v>
      </c>
      <c r="J205">
        <v>0</v>
      </c>
      <c r="K205">
        <f t="shared" si="56"/>
        <v>18.2</v>
      </c>
      <c r="L205">
        <v>0</v>
      </c>
      <c r="M205">
        <v>0</v>
      </c>
      <c r="N205">
        <v>0</v>
      </c>
      <c r="O205">
        <f t="shared" si="57"/>
        <v>0</v>
      </c>
      <c r="P205">
        <v>0</v>
      </c>
      <c r="Q205">
        <v>0</v>
      </c>
      <c r="R205">
        <v>0.2</v>
      </c>
      <c r="S205">
        <f t="shared" si="58"/>
        <v>0.2</v>
      </c>
      <c r="T205">
        <v>3.9</v>
      </c>
      <c r="U205">
        <v>0.2</v>
      </c>
      <c r="V205">
        <v>5.4</v>
      </c>
      <c r="W205">
        <v>0</v>
      </c>
      <c r="X205">
        <v>0</v>
      </c>
      <c r="Y205">
        <v>0</v>
      </c>
      <c r="Z205">
        <v>0</v>
      </c>
      <c r="AA205">
        <f t="shared" si="59"/>
        <v>9.5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21.2</v>
      </c>
      <c r="AJ205">
        <f t="shared" si="70"/>
        <v>21.2</v>
      </c>
      <c r="AK205">
        <v>0</v>
      </c>
      <c r="AL205">
        <v>0.50700000000000001</v>
      </c>
      <c r="AM205">
        <f t="shared" si="71"/>
        <v>0.49099999999999988</v>
      </c>
      <c r="AN205">
        <v>8356</v>
      </c>
      <c r="AO205" t="s">
        <v>13</v>
      </c>
      <c r="AP205" s="3">
        <f t="shared" si="68"/>
        <v>16416.50294695481</v>
      </c>
      <c r="AQ205" t="s">
        <v>13</v>
      </c>
      <c r="AR205">
        <f t="shared" si="54"/>
        <v>0.43177189409368644</v>
      </c>
      <c r="AS205">
        <f t="shared" si="69"/>
        <v>0.27899999999999997</v>
      </c>
      <c r="AT205">
        <f t="shared" si="60"/>
        <v>4580</v>
      </c>
      <c r="AU205">
        <f t="shared" si="61"/>
        <v>3480</v>
      </c>
      <c r="AV205">
        <f t="shared" si="72"/>
        <v>3086</v>
      </c>
      <c r="AW205">
        <f t="shared" si="73"/>
        <v>3919</v>
      </c>
      <c r="AX205" s="3">
        <f t="shared" si="74"/>
        <v>9411.5029469548099</v>
      </c>
      <c r="AY205">
        <f t="shared" si="75"/>
        <v>2290</v>
      </c>
      <c r="AZ205">
        <f t="shared" si="76"/>
        <v>4153</v>
      </c>
      <c r="BA205" s="3">
        <f t="shared" si="77"/>
        <v>9973.5029469548099</v>
      </c>
    </row>
    <row r="206" spans="1:53" x14ac:dyDescent="0.2">
      <c r="A206">
        <v>2015</v>
      </c>
      <c r="B206" t="s">
        <v>60</v>
      </c>
      <c r="C206" t="s">
        <v>59</v>
      </c>
      <c r="D206">
        <v>3.2</v>
      </c>
      <c r="E206">
        <v>0</v>
      </c>
      <c r="F206">
        <v>0.2</v>
      </c>
      <c r="G206">
        <v>0.9</v>
      </c>
      <c r="H206">
        <v>0.2</v>
      </c>
      <c r="I206">
        <v>0.5</v>
      </c>
      <c r="J206">
        <v>0.2</v>
      </c>
      <c r="K206">
        <f t="shared" si="56"/>
        <v>5.2000000000000011</v>
      </c>
      <c r="L206">
        <v>0</v>
      </c>
      <c r="M206">
        <v>0</v>
      </c>
      <c r="N206">
        <v>0</v>
      </c>
      <c r="O206">
        <f t="shared" si="57"/>
        <v>0</v>
      </c>
      <c r="P206">
        <v>0</v>
      </c>
      <c r="Q206">
        <v>0</v>
      </c>
      <c r="R206">
        <v>0</v>
      </c>
      <c r="S206">
        <f t="shared" si="58"/>
        <v>0</v>
      </c>
      <c r="T206">
        <v>2.1</v>
      </c>
      <c r="U206">
        <v>0.4</v>
      </c>
      <c r="V206">
        <v>1.9</v>
      </c>
      <c r="W206">
        <v>0.1</v>
      </c>
      <c r="X206">
        <v>0</v>
      </c>
      <c r="Y206">
        <v>0</v>
      </c>
      <c r="Z206">
        <v>0</v>
      </c>
      <c r="AA206">
        <f t="shared" si="59"/>
        <v>4.5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17.600000000000001</v>
      </c>
      <c r="AJ206">
        <f t="shared" si="70"/>
        <v>17.600000000000001</v>
      </c>
      <c r="AK206">
        <v>0.1</v>
      </c>
      <c r="AL206">
        <v>0.72400000000000009</v>
      </c>
      <c r="AM206">
        <f t="shared" si="71"/>
        <v>0.27299999999999996</v>
      </c>
      <c r="AN206">
        <v>24690</v>
      </c>
      <c r="AO206" t="s">
        <v>13</v>
      </c>
      <c r="AP206" s="3">
        <f t="shared" si="68"/>
        <v>33961.485557083899</v>
      </c>
      <c r="AQ206" t="s">
        <v>13</v>
      </c>
      <c r="AR206">
        <f t="shared" si="54"/>
        <v>0.64468864468864484</v>
      </c>
      <c r="AS206">
        <f t="shared" si="69"/>
        <v>9.7000000000000017E-2</v>
      </c>
      <c r="AT206">
        <f t="shared" si="60"/>
        <v>3294</v>
      </c>
      <c r="AU206">
        <f t="shared" si="61"/>
        <v>5977</v>
      </c>
      <c r="AV206">
        <f t="shared" si="72"/>
        <v>2411</v>
      </c>
      <c r="AW206">
        <f t="shared" si="73"/>
        <v>6149</v>
      </c>
      <c r="AX206" s="3">
        <f t="shared" si="74"/>
        <v>25401.485557083899</v>
      </c>
      <c r="AY206">
        <f t="shared" si="75"/>
        <v>1647</v>
      </c>
      <c r="AZ206">
        <f t="shared" si="76"/>
        <v>6298</v>
      </c>
      <c r="BA206" s="3">
        <f t="shared" si="77"/>
        <v>26016.485557083899</v>
      </c>
    </row>
    <row r="207" spans="1:53" x14ac:dyDescent="0.2">
      <c r="A207">
        <v>2016</v>
      </c>
      <c r="B207" t="s">
        <v>60</v>
      </c>
      <c r="C207" t="s">
        <v>59</v>
      </c>
      <c r="D207">
        <v>8.6999999999999993</v>
      </c>
      <c r="E207">
        <v>0.2</v>
      </c>
      <c r="F207">
        <v>0.4</v>
      </c>
      <c r="G207">
        <v>10</v>
      </c>
      <c r="H207">
        <v>0.5</v>
      </c>
      <c r="I207">
        <v>1.7</v>
      </c>
      <c r="J207">
        <v>0.7</v>
      </c>
      <c r="K207">
        <f t="shared" si="56"/>
        <v>22.199999999999996</v>
      </c>
      <c r="L207">
        <v>0</v>
      </c>
      <c r="M207">
        <v>0</v>
      </c>
      <c r="N207">
        <v>0</v>
      </c>
      <c r="O207">
        <f t="shared" si="57"/>
        <v>0</v>
      </c>
      <c r="P207">
        <v>0</v>
      </c>
      <c r="Q207">
        <v>0</v>
      </c>
      <c r="R207">
        <v>0</v>
      </c>
      <c r="S207">
        <f t="shared" si="58"/>
        <v>0</v>
      </c>
      <c r="T207">
        <v>1.9</v>
      </c>
      <c r="U207">
        <v>0.3</v>
      </c>
      <c r="V207">
        <v>2</v>
      </c>
      <c r="W207">
        <v>0.1</v>
      </c>
      <c r="X207">
        <v>0</v>
      </c>
      <c r="Y207">
        <v>0</v>
      </c>
      <c r="Z207">
        <v>0</v>
      </c>
      <c r="AA207">
        <f t="shared" si="59"/>
        <v>4.2999999999999989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26.2</v>
      </c>
      <c r="AJ207">
        <f t="shared" si="70"/>
        <v>26.2</v>
      </c>
      <c r="AK207">
        <v>0.4</v>
      </c>
      <c r="AL207">
        <v>0.46600000000000003</v>
      </c>
      <c r="AM207">
        <f t="shared" si="71"/>
        <v>0.52700000000000014</v>
      </c>
      <c r="AN207" t="s">
        <v>13</v>
      </c>
      <c r="AO207" t="s">
        <v>13</v>
      </c>
      <c r="AP207" t="s">
        <v>13</v>
      </c>
      <c r="AQ207" t="s">
        <v>13</v>
      </c>
      <c r="AR207">
        <f t="shared" si="54"/>
        <v>0.49715370018975319</v>
      </c>
      <c r="AS207">
        <f t="shared" si="69"/>
        <v>0.2649999999999999</v>
      </c>
      <c r="AT207" t="s">
        <v>13</v>
      </c>
      <c r="AU207" t="s">
        <v>13</v>
      </c>
      <c r="AV207" t="s">
        <v>13</v>
      </c>
      <c r="AW207" t="s">
        <v>13</v>
      </c>
      <c r="AX207" t="s">
        <v>13</v>
      </c>
      <c r="AY207" t="s">
        <v>13</v>
      </c>
      <c r="AZ207" t="s">
        <v>13</v>
      </c>
      <c r="BA207" t="s">
        <v>13</v>
      </c>
    </row>
    <row r="208" spans="1:53" x14ac:dyDescent="0.2">
      <c r="A208">
        <v>2017</v>
      </c>
      <c r="B208" t="s">
        <v>60</v>
      </c>
      <c r="C208" t="s">
        <v>59</v>
      </c>
      <c r="D208">
        <v>2.9</v>
      </c>
      <c r="E208">
        <v>0</v>
      </c>
      <c r="F208">
        <v>0</v>
      </c>
      <c r="G208">
        <v>7.7</v>
      </c>
      <c r="H208">
        <v>0.9</v>
      </c>
      <c r="I208">
        <v>2</v>
      </c>
      <c r="J208">
        <v>0.4</v>
      </c>
      <c r="K208">
        <f t="shared" si="56"/>
        <v>13.9</v>
      </c>
      <c r="L208">
        <v>0</v>
      </c>
      <c r="M208">
        <v>0</v>
      </c>
      <c r="N208">
        <v>0</v>
      </c>
      <c r="O208">
        <f t="shared" si="57"/>
        <v>0</v>
      </c>
      <c r="P208">
        <v>0</v>
      </c>
      <c r="Q208">
        <v>0</v>
      </c>
      <c r="R208">
        <v>1.2</v>
      </c>
      <c r="S208">
        <f t="shared" si="58"/>
        <v>1.2</v>
      </c>
      <c r="T208">
        <v>1.5</v>
      </c>
      <c r="U208">
        <v>0.2</v>
      </c>
      <c r="V208">
        <v>1.2</v>
      </c>
      <c r="W208">
        <v>0.2</v>
      </c>
      <c r="X208">
        <v>0</v>
      </c>
      <c r="Y208">
        <v>0</v>
      </c>
      <c r="Z208">
        <v>0.1</v>
      </c>
      <c r="AA208">
        <f t="shared" si="59"/>
        <v>3.2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20.5</v>
      </c>
      <c r="AJ208">
        <f t="shared" si="70"/>
        <v>20.5</v>
      </c>
      <c r="AK208">
        <v>0</v>
      </c>
      <c r="AL208">
        <v>0.61199999999999999</v>
      </c>
      <c r="AM208">
        <f t="shared" si="71"/>
        <v>0.38799999999999996</v>
      </c>
      <c r="AN208">
        <v>5514</v>
      </c>
      <c r="AO208" t="s">
        <v>13</v>
      </c>
      <c r="AP208" s="3">
        <f t="shared" si="68"/>
        <v>9009.8039215686258</v>
      </c>
      <c r="AQ208" t="s">
        <v>13</v>
      </c>
      <c r="AR208">
        <f t="shared" si="54"/>
        <v>0.52835051546391754</v>
      </c>
      <c r="AS208">
        <f t="shared" si="69"/>
        <v>0.183</v>
      </c>
      <c r="AT208">
        <f t="shared" ref="AT208:AT213" si="78">ROUND(AS208*AP208,0)</f>
        <v>1649</v>
      </c>
      <c r="AU208">
        <f t="shared" ref="AU208:AU213" si="79">ROUND((AJ208/100)*AP208,0)</f>
        <v>1847</v>
      </c>
      <c r="AV208">
        <f t="shared" si="72"/>
        <v>1023</v>
      </c>
      <c r="AW208">
        <f t="shared" si="73"/>
        <v>2004</v>
      </c>
      <c r="AX208" s="3">
        <f t="shared" si="74"/>
        <v>5982.8039215686258</v>
      </c>
      <c r="AY208">
        <f t="shared" si="75"/>
        <v>824</v>
      </c>
      <c r="AZ208">
        <f t="shared" si="76"/>
        <v>2054</v>
      </c>
      <c r="BA208" s="3">
        <f t="shared" si="77"/>
        <v>6131.8039215686258</v>
      </c>
    </row>
    <row r="209" spans="1:53" x14ac:dyDescent="0.2">
      <c r="A209">
        <v>2018</v>
      </c>
      <c r="B209" t="s">
        <v>60</v>
      </c>
      <c r="C209" t="s">
        <v>59</v>
      </c>
      <c r="D209">
        <v>7.1</v>
      </c>
      <c r="E209">
        <v>0.3</v>
      </c>
      <c r="F209">
        <v>0</v>
      </c>
      <c r="G209">
        <v>4.9000000000000004</v>
      </c>
      <c r="H209">
        <v>1.8</v>
      </c>
      <c r="I209">
        <v>1.6</v>
      </c>
      <c r="J209">
        <v>3</v>
      </c>
      <c r="K209">
        <f t="shared" si="56"/>
        <v>18.700000000000003</v>
      </c>
      <c r="L209">
        <v>0</v>
      </c>
      <c r="M209">
        <v>0</v>
      </c>
      <c r="N209">
        <v>0.4</v>
      </c>
      <c r="O209">
        <f t="shared" si="57"/>
        <v>0.4</v>
      </c>
      <c r="P209">
        <v>0</v>
      </c>
      <c r="Q209">
        <v>0</v>
      </c>
      <c r="R209">
        <v>0</v>
      </c>
      <c r="S209">
        <f t="shared" si="58"/>
        <v>0</v>
      </c>
      <c r="T209">
        <v>3.5</v>
      </c>
      <c r="U209">
        <v>0.3</v>
      </c>
      <c r="V209">
        <v>1.1000000000000001</v>
      </c>
      <c r="W209">
        <v>0.6</v>
      </c>
      <c r="X209">
        <v>0</v>
      </c>
      <c r="Y209">
        <v>0</v>
      </c>
      <c r="Z209">
        <v>0</v>
      </c>
      <c r="AA209">
        <f t="shared" si="59"/>
        <v>5.5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18.3</v>
      </c>
      <c r="AJ209">
        <f t="shared" si="70"/>
        <v>18.3</v>
      </c>
      <c r="AK209">
        <v>0</v>
      </c>
      <c r="AL209">
        <v>0.57200000000000006</v>
      </c>
      <c r="AM209">
        <f t="shared" si="71"/>
        <v>0.42900000000000005</v>
      </c>
      <c r="AN209">
        <v>2983</v>
      </c>
      <c r="AO209" t="s">
        <v>13</v>
      </c>
      <c r="AP209" s="3">
        <f t="shared" si="68"/>
        <v>5224.1681260945716</v>
      </c>
      <c r="AQ209" t="s">
        <v>13</v>
      </c>
      <c r="AR209">
        <f t="shared" si="54"/>
        <v>0.42657342657342651</v>
      </c>
      <c r="AS209">
        <f t="shared" si="69"/>
        <v>0.24600000000000002</v>
      </c>
      <c r="AT209">
        <f t="shared" si="78"/>
        <v>1285</v>
      </c>
      <c r="AU209">
        <f t="shared" si="79"/>
        <v>956</v>
      </c>
      <c r="AV209">
        <f t="shared" si="72"/>
        <v>797</v>
      </c>
      <c r="AW209">
        <f t="shared" si="73"/>
        <v>1074</v>
      </c>
      <c r="AX209" s="3">
        <f t="shared" si="74"/>
        <v>3353.1681260945716</v>
      </c>
      <c r="AY209">
        <f t="shared" si="75"/>
        <v>643</v>
      </c>
      <c r="AZ209">
        <f t="shared" si="76"/>
        <v>1112</v>
      </c>
      <c r="BA209" s="3">
        <f t="shared" si="77"/>
        <v>3469.1681260945716</v>
      </c>
    </row>
    <row r="210" spans="1:53" x14ac:dyDescent="0.2">
      <c r="A210">
        <v>2019</v>
      </c>
      <c r="B210" t="s">
        <v>60</v>
      </c>
      <c r="C210" t="s">
        <v>59</v>
      </c>
      <c r="D210">
        <v>7.8</v>
      </c>
      <c r="E210">
        <v>0</v>
      </c>
      <c r="F210">
        <v>0.2</v>
      </c>
      <c r="G210">
        <v>5.2</v>
      </c>
      <c r="H210">
        <v>0.3</v>
      </c>
      <c r="I210">
        <v>3.1</v>
      </c>
      <c r="J210">
        <v>0</v>
      </c>
      <c r="K210">
        <f t="shared" si="56"/>
        <v>16.600000000000001</v>
      </c>
      <c r="L210">
        <v>0</v>
      </c>
      <c r="M210">
        <v>0</v>
      </c>
      <c r="N210">
        <v>0.1</v>
      </c>
      <c r="O210">
        <f t="shared" si="57"/>
        <v>0.1</v>
      </c>
      <c r="P210">
        <v>0</v>
      </c>
      <c r="Q210">
        <v>0</v>
      </c>
      <c r="R210">
        <v>0</v>
      </c>
      <c r="S210">
        <f t="shared" si="58"/>
        <v>0</v>
      </c>
      <c r="T210">
        <v>3.3</v>
      </c>
      <c r="U210">
        <v>0.3</v>
      </c>
      <c r="V210">
        <v>5.4</v>
      </c>
      <c r="W210">
        <v>0.2</v>
      </c>
      <c r="X210">
        <v>0</v>
      </c>
      <c r="Y210">
        <v>0</v>
      </c>
      <c r="Z210">
        <v>0</v>
      </c>
      <c r="AA210">
        <f t="shared" si="59"/>
        <v>9.1999999999999993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26.6</v>
      </c>
      <c r="AJ210">
        <f t="shared" si="70"/>
        <v>26.6</v>
      </c>
      <c r="AK210">
        <v>0</v>
      </c>
      <c r="AL210">
        <v>0.47499999999999998</v>
      </c>
      <c r="AM210">
        <f t="shared" si="71"/>
        <v>0.52500000000000002</v>
      </c>
      <c r="AN210">
        <v>824</v>
      </c>
      <c r="AO210" t="s">
        <v>13</v>
      </c>
      <c r="AP210" s="3">
        <f t="shared" si="68"/>
        <v>1734.7368421052633</v>
      </c>
      <c r="AQ210" t="s">
        <v>13</v>
      </c>
      <c r="AR210">
        <f t="shared" si="54"/>
        <v>0.50666666666666671</v>
      </c>
      <c r="AS210">
        <f t="shared" si="69"/>
        <v>0.25900000000000001</v>
      </c>
      <c r="AT210">
        <f t="shared" si="78"/>
        <v>449</v>
      </c>
      <c r="AU210">
        <f t="shared" si="79"/>
        <v>461</v>
      </c>
      <c r="AV210">
        <f t="shared" si="72"/>
        <v>305</v>
      </c>
      <c r="AW210">
        <f t="shared" si="73"/>
        <v>513</v>
      </c>
      <c r="AX210" s="3">
        <f t="shared" si="74"/>
        <v>916.73684210526335</v>
      </c>
      <c r="AY210">
        <f t="shared" si="75"/>
        <v>225</v>
      </c>
      <c r="AZ210">
        <f t="shared" si="76"/>
        <v>541</v>
      </c>
      <c r="BA210" s="3">
        <f t="shared" si="77"/>
        <v>968.73684210526335</v>
      </c>
    </row>
    <row r="211" spans="1:53" x14ac:dyDescent="0.2">
      <c r="A211">
        <v>2020</v>
      </c>
      <c r="B211" t="s">
        <v>60</v>
      </c>
      <c r="C211" t="s">
        <v>59</v>
      </c>
      <c r="D211">
        <v>7.8</v>
      </c>
      <c r="E211">
        <v>0</v>
      </c>
      <c r="F211">
        <v>0.3</v>
      </c>
      <c r="G211">
        <v>2.1</v>
      </c>
      <c r="H211">
        <v>0.1</v>
      </c>
      <c r="I211">
        <v>2.8</v>
      </c>
      <c r="J211">
        <v>1</v>
      </c>
      <c r="K211">
        <f t="shared" si="56"/>
        <v>14.099999999999998</v>
      </c>
      <c r="L211">
        <v>0</v>
      </c>
      <c r="M211">
        <v>0</v>
      </c>
      <c r="N211">
        <v>0</v>
      </c>
      <c r="O211">
        <f t="shared" si="57"/>
        <v>0</v>
      </c>
      <c r="P211">
        <v>0</v>
      </c>
      <c r="Q211">
        <v>0</v>
      </c>
      <c r="R211">
        <v>0</v>
      </c>
      <c r="S211">
        <f t="shared" si="58"/>
        <v>0</v>
      </c>
      <c r="T211">
        <v>3.4</v>
      </c>
      <c r="U211">
        <v>0.5</v>
      </c>
      <c r="V211">
        <v>0.9</v>
      </c>
      <c r="W211">
        <v>0.3</v>
      </c>
      <c r="X211">
        <v>0</v>
      </c>
      <c r="Y211">
        <v>0</v>
      </c>
      <c r="Z211">
        <v>0</v>
      </c>
      <c r="AA211">
        <f t="shared" si="59"/>
        <v>5.0999999999999996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21.5</v>
      </c>
      <c r="AJ211">
        <f t="shared" si="70"/>
        <v>21.5</v>
      </c>
      <c r="AK211">
        <v>0</v>
      </c>
      <c r="AL211">
        <v>0.59299999999999997</v>
      </c>
      <c r="AM211">
        <f t="shared" si="71"/>
        <v>0.40699999999999997</v>
      </c>
      <c r="AN211">
        <v>2443</v>
      </c>
      <c r="AO211" t="s">
        <v>13</v>
      </c>
      <c r="AP211" s="3">
        <f t="shared" si="68"/>
        <v>4119.7301854974703</v>
      </c>
      <c r="AQ211" t="s">
        <v>13</v>
      </c>
      <c r="AR211">
        <f t="shared" si="54"/>
        <v>0.52825552825552824</v>
      </c>
      <c r="AS211">
        <f t="shared" si="69"/>
        <v>0.19199999999999995</v>
      </c>
      <c r="AT211">
        <f t="shared" si="78"/>
        <v>791</v>
      </c>
      <c r="AU211">
        <f t="shared" si="79"/>
        <v>886</v>
      </c>
      <c r="AV211">
        <f t="shared" si="72"/>
        <v>501</v>
      </c>
      <c r="AW211">
        <f t="shared" si="73"/>
        <v>963</v>
      </c>
      <c r="AX211" s="3">
        <f t="shared" si="74"/>
        <v>2655.7301854974703</v>
      </c>
      <c r="AY211">
        <f t="shared" si="75"/>
        <v>395</v>
      </c>
      <c r="AZ211">
        <f t="shared" si="76"/>
        <v>991</v>
      </c>
      <c r="BA211" s="3">
        <f t="shared" si="77"/>
        <v>2733.7301854974703</v>
      </c>
    </row>
    <row r="212" spans="1:53" x14ac:dyDescent="0.2">
      <c r="A212">
        <v>2021</v>
      </c>
      <c r="B212" t="s">
        <v>60</v>
      </c>
      <c r="C212" t="s">
        <v>59</v>
      </c>
      <c r="D212">
        <v>8</v>
      </c>
      <c r="E212">
        <v>0</v>
      </c>
      <c r="F212">
        <v>0</v>
      </c>
      <c r="G212">
        <v>4.9000000000000004</v>
      </c>
      <c r="H212">
        <v>0.2</v>
      </c>
      <c r="I212">
        <v>5.5</v>
      </c>
      <c r="J212">
        <v>0.9</v>
      </c>
      <c r="K212">
        <f t="shared" si="56"/>
        <v>19.5</v>
      </c>
      <c r="L212">
        <v>0</v>
      </c>
      <c r="M212">
        <v>0</v>
      </c>
      <c r="N212">
        <v>0</v>
      </c>
      <c r="O212">
        <f t="shared" si="57"/>
        <v>0</v>
      </c>
      <c r="P212">
        <v>0</v>
      </c>
      <c r="Q212">
        <v>0</v>
      </c>
      <c r="R212">
        <v>0</v>
      </c>
      <c r="S212">
        <f t="shared" si="58"/>
        <v>0</v>
      </c>
      <c r="T212">
        <v>2.2999999999999998</v>
      </c>
      <c r="U212">
        <v>0.5</v>
      </c>
      <c r="V212">
        <v>4</v>
      </c>
      <c r="W212">
        <v>0</v>
      </c>
      <c r="X212">
        <v>0</v>
      </c>
      <c r="Y212">
        <v>0</v>
      </c>
      <c r="Z212">
        <v>0</v>
      </c>
      <c r="AA212">
        <f t="shared" si="59"/>
        <v>6.8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15.1</v>
      </c>
      <c r="AJ212">
        <f t="shared" si="70"/>
        <v>15.1</v>
      </c>
      <c r="AK212">
        <v>0</v>
      </c>
      <c r="AL212">
        <v>0.58599999999999997</v>
      </c>
      <c r="AM212">
        <f t="shared" si="71"/>
        <v>0.41399999999999998</v>
      </c>
      <c r="AN212">
        <v>3447</v>
      </c>
      <c r="AO212" t="s">
        <v>13</v>
      </c>
      <c r="AP212" s="3">
        <f t="shared" si="68"/>
        <v>5882.2525597269614</v>
      </c>
      <c r="AQ212" t="s">
        <v>13</v>
      </c>
      <c r="AR212">
        <f t="shared" si="54"/>
        <v>0.36473429951690822</v>
      </c>
      <c r="AS212">
        <f t="shared" si="69"/>
        <v>0.26300000000000001</v>
      </c>
      <c r="AT212">
        <f t="shared" si="78"/>
        <v>1547</v>
      </c>
      <c r="AU212">
        <f t="shared" si="79"/>
        <v>888</v>
      </c>
      <c r="AV212">
        <f t="shared" si="72"/>
        <v>974</v>
      </c>
      <c r="AW212">
        <f t="shared" si="73"/>
        <v>1005</v>
      </c>
      <c r="AX212" s="3">
        <f t="shared" si="74"/>
        <v>3903.2525597269614</v>
      </c>
      <c r="AY212">
        <f t="shared" si="75"/>
        <v>774</v>
      </c>
      <c r="AZ212">
        <f t="shared" si="76"/>
        <v>1046</v>
      </c>
      <c r="BA212" s="3">
        <f t="shared" si="77"/>
        <v>4062.2525597269614</v>
      </c>
    </row>
    <row r="213" spans="1:53" x14ac:dyDescent="0.2">
      <c r="A213">
        <v>2022</v>
      </c>
      <c r="B213" t="s">
        <v>60</v>
      </c>
      <c r="C213" t="s">
        <v>59</v>
      </c>
      <c r="D213">
        <v>15</v>
      </c>
      <c r="E213">
        <v>0</v>
      </c>
      <c r="F213">
        <v>0.4</v>
      </c>
      <c r="G213">
        <v>8.1999999999999993</v>
      </c>
      <c r="H213">
        <v>0.3</v>
      </c>
      <c r="I213">
        <v>1.2</v>
      </c>
      <c r="J213">
        <v>0</v>
      </c>
      <c r="K213">
        <f t="shared" si="56"/>
        <v>25.1</v>
      </c>
      <c r="L213">
        <v>0</v>
      </c>
      <c r="M213">
        <v>0</v>
      </c>
      <c r="N213">
        <v>0</v>
      </c>
      <c r="O213">
        <f t="shared" si="57"/>
        <v>0</v>
      </c>
      <c r="P213">
        <v>0</v>
      </c>
      <c r="Q213">
        <v>0</v>
      </c>
      <c r="R213">
        <v>0.5</v>
      </c>
      <c r="S213">
        <f t="shared" si="58"/>
        <v>0.5</v>
      </c>
      <c r="T213">
        <v>2.9</v>
      </c>
      <c r="U213">
        <v>0.2</v>
      </c>
      <c r="V213">
        <v>1.8</v>
      </c>
      <c r="W213">
        <v>0.6</v>
      </c>
      <c r="X213">
        <v>0</v>
      </c>
      <c r="Y213">
        <v>0</v>
      </c>
      <c r="Z213">
        <v>0</v>
      </c>
      <c r="AA213">
        <f t="shared" si="59"/>
        <v>5.5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21.4</v>
      </c>
      <c r="AJ213">
        <f t="shared" si="70"/>
        <v>21.4</v>
      </c>
      <c r="AK213">
        <v>0</v>
      </c>
      <c r="AL213">
        <v>0.47600000000000003</v>
      </c>
      <c r="AM213">
        <f t="shared" si="71"/>
        <v>0.52500000000000002</v>
      </c>
      <c r="AN213">
        <v>1922</v>
      </c>
      <c r="AO213" t="s">
        <v>13</v>
      </c>
      <c r="AP213" s="3">
        <f t="shared" si="68"/>
        <v>4046.3157894736846</v>
      </c>
      <c r="AQ213" t="s">
        <v>13</v>
      </c>
      <c r="AR213">
        <f t="shared" si="54"/>
        <v>0.4076190476190476</v>
      </c>
      <c r="AS213">
        <f t="shared" si="69"/>
        <v>0.311</v>
      </c>
      <c r="AT213">
        <f t="shared" si="78"/>
        <v>1258</v>
      </c>
      <c r="AU213">
        <f t="shared" si="79"/>
        <v>866</v>
      </c>
      <c r="AV213">
        <f t="shared" si="72"/>
        <v>751</v>
      </c>
      <c r="AW213">
        <f t="shared" si="73"/>
        <v>1023</v>
      </c>
      <c r="AX213" s="3">
        <f t="shared" si="74"/>
        <v>2272.3157894736846</v>
      </c>
      <c r="AY213">
        <f t="shared" si="75"/>
        <v>629</v>
      </c>
      <c r="AZ213">
        <f t="shared" si="76"/>
        <v>1061</v>
      </c>
      <c r="BA213" s="3">
        <f t="shared" si="77"/>
        <v>2356.3157894736846</v>
      </c>
    </row>
    <row r="214" spans="1:53" x14ac:dyDescent="0.2">
      <c r="A214">
        <v>2023</v>
      </c>
      <c r="B214" t="s">
        <v>60</v>
      </c>
      <c r="C214" t="s">
        <v>59</v>
      </c>
      <c r="D214" t="s">
        <v>13</v>
      </c>
      <c r="E214" t="s">
        <v>13</v>
      </c>
      <c r="F214" t="s">
        <v>13</v>
      </c>
      <c r="G214" t="s">
        <v>13</v>
      </c>
      <c r="H214" t="s">
        <v>13</v>
      </c>
      <c r="I214" t="s">
        <v>13</v>
      </c>
      <c r="J214" t="s">
        <v>13</v>
      </c>
      <c r="K214" t="s">
        <v>13</v>
      </c>
      <c r="L214" t="s">
        <v>13</v>
      </c>
      <c r="M214" t="s">
        <v>13</v>
      </c>
      <c r="N214" t="s">
        <v>13</v>
      </c>
      <c r="O214" t="s">
        <v>13</v>
      </c>
      <c r="P214" t="s">
        <v>13</v>
      </c>
      <c r="Q214" t="s">
        <v>13</v>
      </c>
      <c r="R214" t="s">
        <v>13</v>
      </c>
      <c r="S214" t="s">
        <v>13</v>
      </c>
      <c r="T214" t="s">
        <v>13</v>
      </c>
      <c r="U214" t="s">
        <v>13</v>
      </c>
      <c r="V214" t="s">
        <v>13</v>
      </c>
      <c r="W214" t="s">
        <v>13</v>
      </c>
      <c r="X214" t="s">
        <v>13</v>
      </c>
      <c r="Y214" t="s">
        <v>13</v>
      </c>
      <c r="Z214" t="s">
        <v>13</v>
      </c>
      <c r="AA214" t="s">
        <v>13</v>
      </c>
      <c r="AB214" t="s">
        <v>13</v>
      </c>
      <c r="AC214" t="s">
        <v>13</v>
      </c>
      <c r="AD214" t="s">
        <v>13</v>
      </c>
      <c r="AE214" t="s">
        <v>13</v>
      </c>
      <c r="AF214" t="s">
        <v>13</v>
      </c>
      <c r="AG214" t="s">
        <v>13</v>
      </c>
      <c r="AH214" t="s">
        <v>13</v>
      </c>
      <c r="AI214" t="s">
        <v>13</v>
      </c>
      <c r="AJ214" t="s">
        <v>13</v>
      </c>
      <c r="AK214" t="s">
        <v>13</v>
      </c>
      <c r="AL214" t="s">
        <v>13</v>
      </c>
      <c r="AM214">
        <f t="shared" si="71"/>
        <v>0</v>
      </c>
      <c r="AN214">
        <v>3220</v>
      </c>
      <c r="AO214" t="s">
        <v>13</v>
      </c>
      <c r="AP214" t="s">
        <v>13</v>
      </c>
      <c r="AQ214" t="s">
        <v>13</v>
      </c>
      <c r="AR214" t="s">
        <v>13</v>
      </c>
      <c r="AS214" t="s">
        <v>13</v>
      </c>
      <c r="AT214" t="s">
        <v>13</v>
      </c>
      <c r="AU214" t="s">
        <v>13</v>
      </c>
      <c r="AV214" t="s">
        <v>13</v>
      </c>
      <c r="AW214" t="s">
        <v>13</v>
      </c>
      <c r="AX214" t="s">
        <v>13</v>
      </c>
      <c r="AY214" t="s">
        <v>13</v>
      </c>
      <c r="AZ214" t="s">
        <v>13</v>
      </c>
      <c r="BA214" t="s">
        <v>13</v>
      </c>
    </row>
    <row r="215" spans="1:53" x14ac:dyDescent="0.2">
      <c r="A215">
        <v>1983</v>
      </c>
      <c r="B215" t="s">
        <v>61</v>
      </c>
      <c r="C215" t="s">
        <v>59</v>
      </c>
      <c r="D215">
        <v>3.5</v>
      </c>
      <c r="E215">
        <v>0.1</v>
      </c>
      <c r="F215">
        <v>0</v>
      </c>
      <c r="G215">
        <v>6</v>
      </c>
      <c r="H215">
        <v>0</v>
      </c>
      <c r="I215">
        <v>7.3</v>
      </c>
      <c r="J215">
        <v>0</v>
      </c>
      <c r="K215">
        <f t="shared" si="56"/>
        <v>16.899999999999999</v>
      </c>
      <c r="L215">
        <v>1.3</v>
      </c>
      <c r="M215">
        <v>0</v>
      </c>
      <c r="N215">
        <v>0</v>
      </c>
      <c r="O215">
        <f t="shared" si="57"/>
        <v>1.3</v>
      </c>
      <c r="P215">
        <v>0</v>
      </c>
      <c r="Q215">
        <v>0</v>
      </c>
      <c r="R215">
        <v>0.2</v>
      </c>
      <c r="S215">
        <f t="shared" ref="S215:S278" si="80">SUM(P215:R215)</f>
        <v>0.2</v>
      </c>
      <c r="T215">
        <v>2.2999999999999998</v>
      </c>
      <c r="U215">
        <v>0.2</v>
      </c>
      <c r="V215">
        <v>3.9</v>
      </c>
      <c r="W215">
        <v>0.3</v>
      </c>
      <c r="X215">
        <v>0</v>
      </c>
      <c r="Y215">
        <v>0</v>
      </c>
      <c r="Z215">
        <v>0.3</v>
      </c>
      <c r="AA215">
        <f t="shared" ref="AA215:AA278" si="81">SUM(T215:Z215)</f>
        <v>7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26.7</v>
      </c>
      <c r="AJ215">
        <f t="shared" si="70"/>
        <v>26.7</v>
      </c>
      <c r="AK215">
        <v>0</v>
      </c>
      <c r="AL215">
        <v>0.47899999999999998</v>
      </c>
      <c r="AM215">
        <f t="shared" si="71"/>
        <v>0.52099999999999991</v>
      </c>
      <c r="AN215">
        <v>1099</v>
      </c>
      <c r="AO215" t="s">
        <v>13</v>
      </c>
      <c r="AP215" s="3">
        <f t="shared" si="68"/>
        <v>2294.3632567849681</v>
      </c>
      <c r="AQ215" t="s">
        <v>13</v>
      </c>
      <c r="AR215">
        <f t="shared" si="54"/>
        <v>0.51247600767754331</v>
      </c>
      <c r="AS215">
        <f t="shared" ref="AS215:AS254" si="82">SUM(K215,O215,S215,AA215)/100</f>
        <v>0.254</v>
      </c>
      <c r="AT215">
        <f t="shared" ref="AT215:AT254" si="83">ROUND(AS215*AP215,0)</f>
        <v>583</v>
      </c>
      <c r="AU215">
        <f t="shared" ref="AU215:AU254" si="84">ROUND((AJ215/100)*AP215,0)</f>
        <v>613</v>
      </c>
      <c r="AV215">
        <f t="shared" si="72"/>
        <v>389</v>
      </c>
      <c r="AW215">
        <f t="shared" si="73"/>
        <v>682</v>
      </c>
      <c r="AX215" s="3">
        <f t="shared" si="74"/>
        <v>1223.3632567849681</v>
      </c>
      <c r="AY215">
        <f t="shared" si="75"/>
        <v>291</v>
      </c>
      <c r="AZ215">
        <f t="shared" si="76"/>
        <v>718</v>
      </c>
      <c r="BA215" s="3">
        <f t="shared" si="77"/>
        <v>1285.3632567849681</v>
      </c>
    </row>
    <row r="216" spans="1:53" x14ac:dyDescent="0.2">
      <c r="A216">
        <v>1984</v>
      </c>
      <c r="B216" t="s">
        <v>61</v>
      </c>
      <c r="C216" t="s">
        <v>59</v>
      </c>
      <c r="D216">
        <v>2.9</v>
      </c>
      <c r="E216">
        <v>0</v>
      </c>
      <c r="F216">
        <v>0</v>
      </c>
      <c r="G216">
        <v>4.0999999999999996</v>
      </c>
      <c r="H216">
        <v>0.1</v>
      </c>
      <c r="I216">
        <v>5.3</v>
      </c>
      <c r="J216">
        <v>0</v>
      </c>
      <c r="K216">
        <f t="shared" si="56"/>
        <v>12.399999999999999</v>
      </c>
      <c r="L216">
        <v>0.5</v>
      </c>
      <c r="M216">
        <v>0.2</v>
      </c>
      <c r="N216">
        <v>0</v>
      </c>
      <c r="O216">
        <f t="shared" si="57"/>
        <v>0.7</v>
      </c>
      <c r="P216">
        <v>0</v>
      </c>
      <c r="Q216">
        <v>0</v>
      </c>
      <c r="R216">
        <v>0</v>
      </c>
      <c r="S216">
        <f t="shared" si="80"/>
        <v>0</v>
      </c>
      <c r="T216">
        <v>0.4</v>
      </c>
      <c r="U216">
        <v>0</v>
      </c>
      <c r="V216">
        <v>1.8</v>
      </c>
      <c r="W216">
        <v>0</v>
      </c>
      <c r="X216">
        <v>0</v>
      </c>
      <c r="Y216">
        <v>0</v>
      </c>
      <c r="Z216">
        <v>0</v>
      </c>
      <c r="AA216">
        <f t="shared" si="81"/>
        <v>2.2000000000000002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9</v>
      </c>
      <c r="AJ216">
        <f t="shared" si="70"/>
        <v>9</v>
      </c>
      <c r="AK216">
        <v>0</v>
      </c>
      <c r="AL216">
        <v>0.75599999999999989</v>
      </c>
      <c r="AM216">
        <f t="shared" si="71"/>
        <v>0.24299999999999999</v>
      </c>
      <c r="AN216">
        <v>5452</v>
      </c>
      <c r="AO216" t="s">
        <v>13</v>
      </c>
      <c r="AP216" s="3">
        <f t="shared" si="68"/>
        <v>7202.1136063408194</v>
      </c>
      <c r="AQ216" t="s">
        <v>13</v>
      </c>
      <c r="AR216">
        <f t="shared" si="54"/>
        <v>0.37037037037037035</v>
      </c>
      <c r="AS216">
        <f t="shared" si="82"/>
        <v>0.15299999999999997</v>
      </c>
      <c r="AT216">
        <f t="shared" si="83"/>
        <v>1102</v>
      </c>
      <c r="AU216">
        <f t="shared" si="84"/>
        <v>648</v>
      </c>
      <c r="AV216">
        <f t="shared" si="72"/>
        <v>655</v>
      </c>
      <c r="AW216">
        <f t="shared" si="73"/>
        <v>695</v>
      </c>
      <c r="AX216" s="3">
        <f t="shared" si="74"/>
        <v>5852.1136063408194</v>
      </c>
      <c r="AY216">
        <f t="shared" si="75"/>
        <v>551</v>
      </c>
      <c r="AZ216">
        <f t="shared" si="76"/>
        <v>707</v>
      </c>
      <c r="BA216" s="3">
        <f t="shared" si="77"/>
        <v>5944.1136063408194</v>
      </c>
    </row>
    <row r="217" spans="1:53" x14ac:dyDescent="0.2">
      <c r="A217">
        <v>1985</v>
      </c>
      <c r="B217" t="s">
        <v>61</v>
      </c>
      <c r="C217" t="s">
        <v>59</v>
      </c>
      <c r="D217">
        <v>1.7</v>
      </c>
      <c r="E217">
        <v>0</v>
      </c>
      <c r="F217">
        <v>0</v>
      </c>
      <c r="G217">
        <v>2.1</v>
      </c>
      <c r="H217">
        <v>0</v>
      </c>
      <c r="I217">
        <v>1.1000000000000001</v>
      </c>
      <c r="J217">
        <v>0</v>
      </c>
      <c r="K217">
        <f t="shared" si="56"/>
        <v>4.9000000000000004</v>
      </c>
      <c r="L217">
        <v>0</v>
      </c>
      <c r="M217">
        <v>0</v>
      </c>
      <c r="N217">
        <v>0</v>
      </c>
      <c r="O217">
        <f t="shared" si="57"/>
        <v>0</v>
      </c>
      <c r="P217">
        <v>0</v>
      </c>
      <c r="Q217">
        <v>0.1</v>
      </c>
      <c r="R217">
        <v>0</v>
      </c>
      <c r="S217">
        <f t="shared" si="80"/>
        <v>0.1</v>
      </c>
      <c r="T217">
        <v>0.2</v>
      </c>
      <c r="U217">
        <v>0.2</v>
      </c>
      <c r="V217">
        <v>1.2</v>
      </c>
      <c r="W217">
        <v>0.7</v>
      </c>
      <c r="X217">
        <v>0</v>
      </c>
      <c r="Y217">
        <v>0</v>
      </c>
      <c r="Z217">
        <v>0</v>
      </c>
      <c r="AA217">
        <f t="shared" si="81"/>
        <v>2.2999999999999998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12.8</v>
      </c>
      <c r="AJ217">
        <f t="shared" si="70"/>
        <v>12.8</v>
      </c>
      <c r="AK217">
        <v>0.8</v>
      </c>
      <c r="AL217">
        <v>0.79099999999999993</v>
      </c>
      <c r="AM217">
        <f t="shared" si="71"/>
        <v>0.20100000000000001</v>
      </c>
      <c r="AN217">
        <v>4222</v>
      </c>
      <c r="AO217" t="s">
        <v>13</v>
      </c>
      <c r="AP217" s="3">
        <f t="shared" si="68"/>
        <v>5284.1051314142687</v>
      </c>
      <c r="AQ217" t="s">
        <v>13</v>
      </c>
      <c r="AR217">
        <f t="shared" si="54"/>
        <v>0.63681592039800994</v>
      </c>
      <c r="AS217">
        <f t="shared" si="82"/>
        <v>7.2999999999999995E-2</v>
      </c>
      <c r="AT217">
        <f t="shared" si="83"/>
        <v>386</v>
      </c>
      <c r="AU217">
        <f t="shared" si="84"/>
        <v>676</v>
      </c>
      <c r="AV217">
        <f t="shared" si="72"/>
        <v>256</v>
      </c>
      <c r="AW217">
        <f t="shared" si="73"/>
        <v>694</v>
      </c>
      <c r="AX217" s="3">
        <f t="shared" si="74"/>
        <v>4334.1051314142687</v>
      </c>
      <c r="AY217">
        <f t="shared" si="75"/>
        <v>193</v>
      </c>
      <c r="AZ217">
        <f t="shared" si="76"/>
        <v>703</v>
      </c>
      <c r="BA217" s="3">
        <f t="shared" si="77"/>
        <v>4388.1051314142687</v>
      </c>
    </row>
    <row r="218" spans="1:53" x14ac:dyDescent="0.2">
      <c r="A218">
        <v>1986</v>
      </c>
      <c r="B218" t="s">
        <v>61</v>
      </c>
      <c r="C218" t="s">
        <v>59</v>
      </c>
      <c r="D218">
        <v>1.6</v>
      </c>
      <c r="E218">
        <v>0</v>
      </c>
      <c r="F218">
        <v>0</v>
      </c>
      <c r="G218">
        <v>2.8</v>
      </c>
      <c r="H218">
        <v>0</v>
      </c>
      <c r="I218">
        <v>10.9</v>
      </c>
      <c r="J218">
        <v>0.4</v>
      </c>
      <c r="K218">
        <f t="shared" si="56"/>
        <v>15.700000000000001</v>
      </c>
      <c r="L218">
        <v>1.9</v>
      </c>
      <c r="M218">
        <v>0</v>
      </c>
      <c r="N218">
        <v>0</v>
      </c>
      <c r="O218">
        <f t="shared" si="57"/>
        <v>1.9</v>
      </c>
      <c r="P218">
        <v>0</v>
      </c>
      <c r="Q218">
        <v>0</v>
      </c>
      <c r="R218">
        <v>0.4</v>
      </c>
      <c r="S218">
        <f t="shared" si="80"/>
        <v>0.4</v>
      </c>
      <c r="T218">
        <v>0.5</v>
      </c>
      <c r="U218">
        <v>0.2</v>
      </c>
      <c r="V218">
        <v>21.1</v>
      </c>
      <c r="W218">
        <v>0.7</v>
      </c>
      <c r="X218">
        <v>0</v>
      </c>
      <c r="Y218">
        <v>0</v>
      </c>
      <c r="Z218">
        <v>0</v>
      </c>
      <c r="AA218">
        <f t="shared" si="81"/>
        <v>22.5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6.3</v>
      </c>
      <c r="AJ218">
        <f t="shared" si="70"/>
        <v>6.3</v>
      </c>
      <c r="AK218">
        <v>0.1</v>
      </c>
      <c r="AL218">
        <v>0.53100000000000003</v>
      </c>
      <c r="AM218">
        <f t="shared" si="71"/>
        <v>0.46799999999999992</v>
      </c>
      <c r="AN218">
        <v>5361</v>
      </c>
      <c r="AO218" t="s">
        <v>13</v>
      </c>
      <c r="AP218" s="3">
        <f t="shared" si="68"/>
        <v>10077.067669172931</v>
      </c>
      <c r="AQ218" t="s">
        <v>13</v>
      </c>
      <c r="AR218">
        <f t="shared" si="54"/>
        <v>0.13461538461538464</v>
      </c>
      <c r="AS218">
        <f t="shared" si="82"/>
        <v>0.40500000000000003</v>
      </c>
      <c r="AT218">
        <f t="shared" si="83"/>
        <v>4081</v>
      </c>
      <c r="AU218">
        <f t="shared" si="84"/>
        <v>635</v>
      </c>
      <c r="AV218">
        <f t="shared" si="72"/>
        <v>3290</v>
      </c>
      <c r="AW218">
        <f t="shared" si="73"/>
        <v>719</v>
      </c>
      <c r="AX218" s="3">
        <f t="shared" si="74"/>
        <v>6068.0676691729313</v>
      </c>
      <c r="AY218">
        <f t="shared" si="75"/>
        <v>2041</v>
      </c>
      <c r="AZ218">
        <f t="shared" si="76"/>
        <v>851</v>
      </c>
      <c r="BA218" s="3">
        <f t="shared" si="77"/>
        <v>7185.0676691729313</v>
      </c>
    </row>
    <row r="219" spans="1:53" x14ac:dyDescent="0.2">
      <c r="A219">
        <v>1987</v>
      </c>
      <c r="B219" t="s">
        <v>61</v>
      </c>
      <c r="C219" t="s">
        <v>59</v>
      </c>
      <c r="D219">
        <v>0.8</v>
      </c>
      <c r="E219">
        <v>0</v>
      </c>
      <c r="F219">
        <v>0</v>
      </c>
      <c r="G219">
        <v>3.5</v>
      </c>
      <c r="H219">
        <v>0</v>
      </c>
      <c r="I219">
        <v>5.7</v>
      </c>
      <c r="J219">
        <v>0</v>
      </c>
      <c r="K219">
        <f t="shared" si="56"/>
        <v>10</v>
      </c>
      <c r="L219">
        <v>0.7</v>
      </c>
      <c r="M219">
        <v>0</v>
      </c>
      <c r="N219">
        <v>0</v>
      </c>
      <c r="O219">
        <f t="shared" si="57"/>
        <v>0.7</v>
      </c>
      <c r="P219">
        <v>0</v>
      </c>
      <c r="Q219">
        <v>0</v>
      </c>
      <c r="R219">
        <v>0.4</v>
      </c>
      <c r="S219">
        <f t="shared" si="80"/>
        <v>0.4</v>
      </c>
      <c r="T219">
        <v>1.1000000000000001</v>
      </c>
      <c r="U219">
        <v>0.1</v>
      </c>
      <c r="V219">
        <v>15.5</v>
      </c>
      <c r="W219">
        <v>0.7</v>
      </c>
      <c r="X219">
        <v>0</v>
      </c>
      <c r="Y219">
        <v>0</v>
      </c>
      <c r="Z219">
        <v>0</v>
      </c>
      <c r="AA219">
        <f t="shared" si="81"/>
        <v>17.399999999999999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11.1</v>
      </c>
      <c r="AJ219">
        <f t="shared" si="70"/>
        <v>11.1</v>
      </c>
      <c r="AK219">
        <v>0</v>
      </c>
      <c r="AL219">
        <v>0.60199999999999998</v>
      </c>
      <c r="AM219">
        <f t="shared" si="71"/>
        <v>0.39599999999999996</v>
      </c>
      <c r="AN219">
        <v>7071</v>
      </c>
      <c r="AO219" t="s">
        <v>13</v>
      </c>
      <c r="AP219" s="3">
        <f t="shared" si="68"/>
        <v>11706.953642384104</v>
      </c>
      <c r="AQ219" t="s">
        <v>13</v>
      </c>
      <c r="AR219">
        <f t="shared" si="54"/>
        <v>0.28030303030303033</v>
      </c>
      <c r="AS219">
        <f t="shared" si="82"/>
        <v>0.28499999999999998</v>
      </c>
      <c r="AT219">
        <f t="shared" si="83"/>
        <v>3336</v>
      </c>
      <c r="AU219">
        <f t="shared" si="84"/>
        <v>1299</v>
      </c>
      <c r="AV219">
        <f t="shared" si="72"/>
        <v>2751</v>
      </c>
      <c r="AW219">
        <f t="shared" si="73"/>
        <v>1390</v>
      </c>
      <c r="AX219" s="3">
        <f t="shared" si="74"/>
        <v>7565.9536423841037</v>
      </c>
      <c r="AY219">
        <f t="shared" si="75"/>
        <v>1668</v>
      </c>
      <c r="AZ219">
        <f t="shared" si="76"/>
        <v>1558</v>
      </c>
      <c r="BA219" s="3">
        <f t="shared" si="77"/>
        <v>8480.9536423841037</v>
      </c>
    </row>
    <row r="220" spans="1:53" x14ac:dyDescent="0.2">
      <c r="A220">
        <v>1988</v>
      </c>
      <c r="B220" t="s">
        <v>61</v>
      </c>
      <c r="C220" t="s">
        <v>59</v>
      </c>
      <c r="D220">
        <v>0.5</v>
      </c>
      <c r="E220">
        <v>0</v>
      </c>
      <c r="F220">
        <v>0</v>
      </c>
      <c r="G220">
        <v>2.7</v>
      </c>
      <c r="H220">
        <v>0</v>
      </c>
      <c r="I220">
        <v>3.7</v>
      </c>
      <c r="J220">
        <v>0</v>
      </c>
      <c r="K220">
        <f t="shared" si="56"/>
        <v>6.9</v>
      </c>
      <c r="L220">
        <v>0.1</v>
      </c>
      <c r="M220">
        <v>0</v>
      </c>
      <c r="N220">
        <v>0</v>
      </c>
      <c r="O220">
        <f t="shared" si="57"/>
        <v>0.1</v>
      </c>
      <c r="P220">
        <v>0</v>
      </c>
      <c r="Q220">
        <v>0.1</v>
      </c>
      <c r="R220">
        <v>0</v>
      </c>
      <c r="S220">
        <f t="shared" si="80"/>
        <v>0.1</v>
      </c>
      <c r="T220">
        <v>0.6</v>
      </c>
      <c r="U220">
        <v>0</v>
      </c>
      <c r="V220">
        <v>15.7</v>
      </c>
      <c r="W220">
        <v>0.5</v>
      </c>
      <c r="X220">
        <v>0</v>
      </c>
      <c r="Y220">
        <v>0</v>
      </c>
      <c r="Z220">
        <v>0.2</v>
      </c>
      <c r="AA220">
        <f t="shared" si="81"/>
        <v>17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9.6999999999999993</v>
      </c>
      <c r="AJ220">
        <f t="shared" si="70"/>
        <v>9.6999999999999993</v>
      </c>
      <c r="AK220">
        <v>0</v>
      </c>
      <c r="AL220">
        <v>0.66200000000000003</v>
      </c>
      <c r="AM220">
        <f t="shared" si="71"/>
        <v>0.33800000000000002</v>
      </c>
      <c r="AN220">
        <v>7772</v>
      </c>
      <c r="AO220" t="s">
        <v>13</v>
      </c>
      <c r="AP220" s="3">
        <f t="shared" si="68"/>
        <v>11740.181268882177</v>
      </c>
      <c r="AQ220" t="s">
        <v>13</v>
      </c>
      <c r="AR220">
        <f t="shared" si="54"/>
        <v>0.28698224852071003</v>
      </c>
      <c r="AS220">
        <f t="shared" si="82"/>
        <v>0.24100000000000002</v>
      </c>
      <c r="AT220">
        <f t="shared" si="83"/>
        <v>2829</v>
      </c>
      <c r="AU220">
        <f t="shared" si="84"/>
        <v>1139</v>
      </c>
      <c r="AV220">
        <f t="shared" si="72"/>
        <v>2424</v>
      </c>
      <c r="AW220">
        <f t="shared" si="73"/>
        <v>1191</v>
      </c>
      <c r="AX220" s="3">
        <f t="shared" si="74"/>
        <v>8125.1812688821774</v>
      </c>
      <c r="AY220">
        <f t="shared" si="75"/>
        <v>1415</v>
      </c>
      <c r="AZ220">
        <f t="shared" si="76"/>
        <v>1320</v>
      </c>
      <c r="BA220" s="3">
        <f t="shared" si="77"/>
        <v>9005.1812688821774</v>
      </c>
    </row>
    <row r="221" spans="1:53" x14ac:dyDescent="0.2">
      <c r="A221">
        <v>1989</v>
      </c>
      <c r="B221" t="s">
        <v>61</v>
      </c>
      <c r="C221" t="s">
        <v>59</v>
      </c>
      <c r="D221">
        <v>0.7</v>
      </c>
      <c r="E221">
        <v>0</v>
      </c>
      <c r="F221">
        <v>0.3</v>
      </c>
      <c r="G221">
        <v>1.3</v>
      </c>
      <c r="H221">
        <v>0.4</v>
      </c>
      <c r="I221">
        <v>1.8</v>
      </c>
      <c r="J221">
        <v>0</v>
      </c>
      <c r="K221">
        <f t="shared" si="56"/>
        <v>4.5</v>
      </c>
      <c r="L221">
        <v>0.2</v>
      </c>
      <c r="M221">
        <v>0</v>
      </c>
      <c r="N221">
        <v>0</v>
      </c>
      <c r="O221">
        <f t="shared" si="57"/>
        <v>0.2</v>
      </c>
      <c r="P221">
        <v>0</v>
      </c>
      <c r="Q221">
        <v>0</v>
      </c>
      <c r="R221">
        <v>0</v>
      </c>
      <c r="S221">
        <f t="shared" si="80"/>
        <v>0</v>
      </c>
      <c r="T221">
        <v>0.3</v>
      </c>
      <c r="U221">
        <v>0</v>
      </c>
      <c r="V221">
        <v>14.7</v>
      </c>
      <c r="W221">
        <v>0.5</v>
      </c>
      <c r="X221">
        <v>0</v>
      </c>
      <c r="Y221">
        <v>0</v>
      </c>
      <c r="Z221">
        <v>0</v>
      </c>
      <c r="AA221">
        <f t="shared" si="81"/>
        <v>15.5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11.5</v>
      </c>
      <c r="AJ221">
        <f t="shared" si="70"/>
        <v>11.5</v>
      </c>
      <c r="AK221">
        <v>0.4</v>
      </c>
      <c r="AL221">
        <v>0.67799999999999994</v>
      </c>
      <c r="AM221">
        <f t="shared" si="71"/>
        <v>0.317</v>
      </c>
      <c r="AN221">
        <v>7795</v>
      </c>
      <c r="AO221" t="s">
        <v>13</v>
      </c>
      <c r="AP221" s="3">
        <f t="shared" si="68"/>
        <v>11412.884333821376</v>
      </c>
      <c r="AQ221" t="s">
        <v>13</v>
      </c>
      <c r="AR221">
        <f t="shared" si="54"/>
        <v>0.36277602523659308</v>
      </c>
      <c r="AS221">
        <f t="shared" si="82"/>
        <v>0.20199999999999999</v>
      </c>
      <c r="AT221">
        <f t="shared" si="83"/>
        <v>2305</v>
      </c>
      <c r="AU221">
        <f t="shared" si="84"/>
        <v>1312</v>
      </c>
      <c r="AV221">
        <f t="shared" si="72"/>
        <v>2049</v>
      </c>
      <c r="AW221">
        <f t="shared" si="73"/>
        <v>1349</v>
      </c>
      <c r="AX221" s="3">
        <f t="shared" si="74"/>
        <v>8014.8843338213755</v>
      </c>
      <c r="AY221">
        <f t="shared" si="75"/>
        <v>1153</v>
      </c>
      <c r="AZ221">
        <f t="shared" si="76"/>
        <v>1478</v>
      </c>
      <c r="BA221" s="3">
        <f t="shared" si="77"/>
        <v>8781.8843338213755</v>
      </c>
    </row>
    <row r="222" spans="1:53" x14ac:dyDescent="0.2">
      <c r="A222">
        <v>1990</v>
      </c>
      <c r="B222" t="s">
        <v>61</v>
      </c>
      <c r="C222" t="s">
        <v>59</v>
      </c>
      <c r="D222">
        <v>1</v>
      </c>
      <c r="E222">
        <v>0</v>
      </c>
      <c r="F222">
        <v>0</v>
      </c>
      <c r="G222">
        <v>0</v>
      </c>
      <c r="H222">
        <v>0</v>
      </c>
      <c r="I222">
        <v>2.6</v>
      </c>
      <c r="J222">
        <v>0</v>
      </c>
      <c r="K222">
        <f t="shared" si="56"/>
        <v>3.6</v>
      </c>
      <c r="L222">
        <v>0.5</v>
      </c>
      <c r="M222">
        <v>0</v>
      </c>
      <c r="N222">
        <v>0</v>
      </c>
      <c r="O222">
        <f t="shared" si="57"/>
        <v>0.5</v>
      </c>
      <c r="P222">
        <v>0</v>
      </c>
      <c r="Q222">
        <v>0</v>
      </c>
      <c r="R222">
        <v>0</v>
      </c>
      <c r="S222">
        <f t="shared" si="80"/>
        <v>0</v>
      </c>
      <c r="T222">
        <v>3.6</v>
      </c>
      <c r="U222">
        <v>0</v>
      </c>
      <c r="V222">
        <v>7.1</v>
      </c>
      <c r="W222">
        <v>0</v>
      </c>
      <c r="X222">
        <v>0</v>
      </c>
      <c r="Y222">
        <v>0</v>
      </c>
      <c r="Z222">
        <v>0</v>
      </c>
      <c r="AA222">
        <f t="shared" si="81"/>
        <v>10.7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11.2</v>
      </c>
      <c r="AJ222">
        <f t="shared" si="70"/>
        <v>11.2</v>
      </c>
      <c r="AK222">
        <v>0.4</v>
      </c>
      <c r="AL222">
        <v>0.73599999999999999</v>
      </c>
      <c r="AM222">
        <f t="shared" si="71"/>
        <v>0.26</v>
      </c>
      <c r="AN222">
        <v>9708</v>
      </c>
      <c r="AO222" t="s">
        <v>13</v>
      </c>
      <c r="AP222" s="3">
        <f t="shared" si="68"/>
        <v>13118.918918918918</v>
      </c>
      <c r="AQ222" t="s">
        <v>13</v>
      </c>
      <c r="AR222">
        <f t="shared" si="54"/>
        <v>0.43076923076923074</v>
      </c>
      <c r="AS222">
        <f t="shared" si="82"/>
        <v>0.14799999999999999</v>
      </c>
      <c r="AT222">
        <f t="shared" si="83"/>
        <v>1942</v>
      </c>
      <c r="AU222">
        <f t="shared" si="84"/>
        <v>1469</v>
      </c>
      <c r="AV222">
        <f t="shared" si="72"/>
        <v>1705</v>
      </c>
      <c r="AW222">
        <f t="shared" si="73"/>
        <v>1500</v>
      </c>
      <c r="AX222" s="3">
        <f t="shared" si="74"/>
        <v>9913.9189189189183</v>
      </c>
      <c r="AY222">
        <f t="shared" si="75"/>
        <v>971</v>
      </c>
      <c r="AZ222">
        <f t="shared" si="76"/>
        <v>1597</v>
      </c>
      <c r="BA222" s="3">
        <f t="shared" si="77"/>
        <v>10550.918918918918</v>
      </c>
    </row>
    <row r="223" spans="1:53" x14ac:dyDescent="0.2">
      <c r="A223">
        <v>1991</v>
      </c>
      <c r="B223" t="s">
        <v>61</v>
      </c>
      <c r="C223" t="s">
        <v>59</v>
      </c>
      <c r="D223">
        <v>0</v>
      </c>
      <c r="E223">
        <v>0.7</v>
      </c>
      <c r="F223">
        <v>0</v>
      </c>
      <c r="G223">
        <v>2.4</v>
      </c>
      <c r="H223">
        <v>0</v>
      </c>
      <c r="I223">
        <v>5.2</v>
      </c>
      <c r="J223">
        <v>0</v>
      </c>
      <c r="K223">
        <f t="shared" si="56"/>
        <v>8.3000000000000007</v>
      </c>
      <c r="L223">
        <v>0</v>
      </c>
      <c r="M223">
        <v>0.7</v>
      </c>
      <c r="N223">
        <v>0</v>
      </c>
      <c r="O223">
        <f t="shared" si="57"/>
        <v>0.7</v>
      </c>
      <c r="P223">
        <v>0</v>
      </c>
      <c r="Q223">
        <v>0</v>
      </c>
      <c r="R223">
        <v>0</v>
      </c>
      <c r="S223">
        <f t="shared" si="80"/>
        <v>0</v>
      </c>
      <c r="T223">
        <v>0.4</v>
      </c>
      <c r="U223">
        <v>0</v>
      </c>
      <c r="V223">
        <v>4.3</v>
      </c>
      <c r="W223">
        <v>0</v>
      </c>
      <c r="X223">
        <v>0</v>
      </c>
      <c r="Y223">
        <v>0</v>
      </c>
      <c r="Z223">
        <v>0</v>
      </c>
      <c r="AA223">
        <f t="shared" si="81"/>
        <v>4.7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17</v>
      </c>
      <c r="AJ223">
        <f t="shared" si="70"/>
        <v>17</v>
      </c>
      <c r="AK223">
        <v>0.2</v>
      </c>
      <c r="AL223">
        <v>0.69099999999999995</v>
      </c>
      <c r="AM223">
        <f t="shared" si="71"/>
        <v>0.30699999999999994</v>
      </c>
      <c r="AN223">
        <v>9503</v>
      </c>
      <c r="AO223" t="s">
        <v>13</v>
      </c>
      <c r="AP223" s="3">
        <f t="shared" si="68"/>
        <v>13712.842712842712</v>
      </c>
      <c r="AQ223" t="s">
        <v>13</v>
      </c>
      <c r="AR223">
        <f t="shared" si="54"/>
        <v>0.55374592833876235</v>
      </c>
      <c r="AS223">
        <f t="shared" si="82"/>
        <v>0.13699999999999998</v>
      </c>
      <c r="AT223">
        <f t="shared" si="83"/>
        <v>1879</v>
      </c>
      <c r="AU223">
        <f t="shared" si="84"/>
        <v>2331</v>
      </c>
      <c r="AV223">
        <f t="shared" si="72"/>
        <v>1310</v>
      </c>
      <c r="AW223">
        <f t="shared" si="73"/>
        <v>2443</v>
      </c>
      <c r="AX223" s="3">
        <f t="shared" si="74"/>
        <v>9959.842712842712</v>
      </c>
      <c r="AY223">
        <f t="shared" si="75"/>
        <v>939</v>
      </c>
      <c r="AZ223">
        <f t="shared" si="76"/>
        <v>2516</v>
      </c>
      <c r="BA223" s="3">
        <f t="shared" si="77"/>
        <v>10257.842712842712</v>
      </c>
    </row>
    <row r="224" spans="1:53" x14ac:dyDescent="0.2">
      <c r="A224">
        <v>1992</v>
      </c>
      <c r="B224" t="s">
        <v>61</v>
      </c>
      <c r="C224" t="s">
        <v>59</v>
      </c>
      <c r="D224">
        <v>2.8</v>
      </c>
      <c r="E224">
        <v>3</v>
      </c>
      <c r="F224">
        <v>0</v>
      </c>
      <c r="G224">
        <v>0</v>
      </c>
      <c r="H224">
        <v>0</v>
      </c>
      <c r="I224">
        <v>6.9</v>
      </c>
      <c r="J224">
        <v>0.7</v>
      </c>
      <c r="K224">
        <f t="shared" si="56"/>
        <v>13.399999999999999</v>
      </c>
      <c r="L224">
        <v>0</v>
      </c>
      <c r="M224">
        <v>0.2</v>
      </c>
      <c r="N224">
        <v>0</v>
      </c>
      <c r="O224">
        <f t="shared" si="57"/>
        <v>0.2</v>
      </c>
      <c r="P224">
        <v>0</v>
      </c>
      <c r="Q224">
        <v>0</v>
      </c>
      <c r="R224">
        <v>0</v>
      </c>
      <c r="S224">
        <f t="shared" si="80"/>
        <v>0</v>
      </c>
      <c r="T224">
        <v>0</v>
      </c>
      <c r="U224">
        <v>0</v>
      </c>
      <c r="V224">
        <v>6</v>
      </c>
      <c r="W224">
        <v>0.3</v>
      </c>
      <c r="X224">
        <v>0</v>
      </c>
      <c r="Y224">
        <v>0.4</v>
      </c>
      <c r="Z224">
        <v>0</v>
      </c>
      <c r="AA224">
        <f t="shared" si="81"/>
        <v>6.7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9.9</v>
      </c>
      <c r="AJ224">
        <f t="shared" si="70"/>
        <v>9.9</v>
      </c>
      <c r="AK224">
        <v>0.2</v>
      </c>
      <c r="AL224">
        <v>0.69700000000000006</v>
      </c>
      <c r="AM224">
        <f t="shared" si="71"/>
        <v>0.30199999999999999</v>
      </c>
      <c r="AN224">
        <v>18267</v>
      </c>
      <c r="AO224" t="s">
        <v>13</v>
      </c>
      <c r="AP224" s="3">
        <f t="shared" si="68"/>
        <v>26170.487106017194</v>
      </c>
      <c r="AQ224" t="s">
        <v>13</v>
      </c>
      <c r="AR224">
        <f t="shared" si="54"/>
        <v>0.32781456953642385</v>
      </c>
      <c r="AS224">
        <f t="shared" si="82"/>
        <v>0.20299999999999996</v>
      </c>
      <c r="AT224">
        <f t="shared" si="83"/>
        <v>5313</v>
      </c>
      <c r="AU224">
        <f t="shared" si="84"/>
        <v>2591</v>
      </c>
      <c r="AV224">
        <f t="shared" si="72"/>
        <v>3559</v>
      </c>
      <c r="AW224">
        <f t="shared" si="73"/>
        <v>2809</v>
      </c>
      <c r="AX224" s="3">
        <f t="shared" si="74"/>
        <v>19802.487106017194</v>
      </c>
      <c r="AY224">
        <f t="shared" si="75"/>
        <v>2656</v>
      </c>
      <c r="AZ224">
        <f t="shared" si="76"/>
        <v>2921</v>
      </c>
      <c r="BA224" s="3">
        <f t="shared" si="77"/>
        <v>20593.487106017194</v>
      </c>
    </row>
    <row r="225" spans="1:53" x14ac:dyDescent="0.2">
      <c r="A225">
        <v>1993</v>
      </c>
      <c r="B225" t="s">
        <v>61</v>
      </c>
      <c r="C225" t="s">
        <v>59</v>
      </c>
      <c r="D225">
        <v>2.5</v>
      </c>
      <c r="E225">
        <v>0</v>
      </c>
      <c r="F225">
        <v>0</v>
      </c>
      <c r="G225">
        <v>2.4</v>
      </c>
      <c r="H225">
        <v>0</v>
      </c>
      <c r="I225">
        <v>5.5</v>
      </c>
      <c r="J225">
        <v>0.9</v>
      </c>
      <c r="K225">
        <f t="shared" si="56"/>
        <v>11.3</v>
      </c>
      <c r="L225">
        <v>0</v>
      </c>
      <c r="M225">
        <v>0</v>
      </c>
      <c r="N225">
        <v>0</v>
      </c>
      <c r="O225">
        <f t="shared" si="57"/>
        <v>0</v>
      </c>
      <c r="P225">
        <v>0</v>
      </c>
      <c r="Q225">
        <v>0</v>
      </c>
      <c r="R225">
        <v>0.3</v>
      </c>
      <c r="S225">
        <f t="shared" si="80"/>
        <v>0.3</v>
      </c>
      <c r="T225">
        <v>1.7</v>
      </c>
      <c r="U225">
        <v>0.2</v>
      </c>
      <c r="V225">
        <v>6.5</v>
      </c>
      <c r="W225">
        <v>0</v>
      </c>
      <c r="X225">
        <v>0</v>
      </c>
      <c r="Y225">
        <v>0</v>
      </c>
      <c r="Z225">
        <v>0</v>
      </c>
      <c r="AA225">
        <f t="shared" si="81"/>
        <v>8.4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21.7</v>
      </c>
      <c r="AJ225">
        <f t="shared" si="70"/>
        <v>21.7</v>
      </c>
      <c r="AK225">
        <v>0.2</v>
      </c>
      <c r="AL225">
        <v>0.58099999999999996</v>
      </c>
      <c r="AM225">
        <f t="shared" si="71"/>
        <v>0.41699999999999998</v>
      </c>
      <c r="AN225">
        <v>9093</v>
      </c>
      <c r="AO225" t="s">
        <v>13</v>
      </c>
      <c r="AP225" s="3">
        <f t="shared" si="68"/>
        <v>15596.912521440825</v>
      </c>
      <c r="AQ225" t="s">
        <v>13</v>
      </c>
      <c r="AR225">
        <f t="shared" si="54"/>
        <v>0.52038369304556353</v>
      </c>
      <c r="AS225">
        <f t="shared" si="82"/>
        <v>0.2</v>
      </c>
      <c r="AT225">
        <f t="shared" si="83"/>
        <v>3119</v>
      </c>
      <c r="AU225">
        <f t="shared" si="84"/>
        <v>3385</v>
      </c>
      <c r="AV225">
        <f t="shared" si="72"/>
        <v>2238</v>
      </c>
      <c r="AW225">
        <f t="shared" si="73"/>
        <v>3624</v>
      </c>
      <c r="AX225" s="3">
        <f t="shared" si="74"/>
        <v>9734.912521440825</v>
      </c>
      <c r="AY225">
        <f t="shared" si="75"/>
        <v>1560</v>
      </c>
      <c r="AZ225">
        <f t="shared" si="76"/>
        <v>3808</v>
      </c>
      <c r="BA225" s="3">
        <f t="shared" si="77"/>
        <v>10228.912521440825</v>
      </c>
    </row>
    <row r="226" spans="1:53" x14ac:dyDescent="0.2">
      <c r="A226">
        <v>1994</v>
      </c>
      <c r="B226" t="s">
        <v>61</v>
      </c>
      <c r="C226" t="s">
        <v>59</v>
      </c>
      <c r="D226">
        <v>3.2</v>
      </c>
      <c r="E226">
        <v>0.5</v>
      </c>
      <c r="F226">
        <v>0</v>
      </c>
      <c r="G226">
        <v>1.6</v>
      </c>
      <c r="H226">
        <v>0.4</v>
      </c>
      <c r="I226">
        <v>2.5</v>
      </c>
      <c r="J226">
        <v>0</v>
      </c>
      <c r="K226">
        <f t="shared" si="56"/>
        <v>8.2000000000000011</v>
      </c>
      <c r="L226">
        <v>0.1</v>
      </c>
      <c r="M226">
        <v>0.2</v>
      </c>
      <c r="N226">
        <v>0</v>
      </c>
      <c r="O226">
        <f t="shared" si="57"/>
        <v>0.30000000000000004</v>
      </c>
      <c r="P226">
        <v>0</v>
      </c>
      <c r="Q226">
        <v>0.2</v>
      </c>
      <c r="R226">
        <v>0</v>
      </c>
      <c r="S226">
        <f t="shared" si="80"/>
        <v>0.2</v>
      </c>
      <c r="T226">
        <v>0.4</v>
      </c>
      <c r="U226">
        <v>0</v>
      </c>
      <c r="V226">
        <v>7.3</v>
      </c>
      <c r="W226">
        <v>0</v>
      </c>
      <c r="X226">
        <v>0</v>
      </c>
      <c r="Y226">
        <v>0</v>
      </c>
      <c r="Z226">
        <v>0</v>
      </c>
      <c r="AA226">
        <f t="shared" si="81"/>
        <v>7.7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20.100000000000001</v>
      </c>
      <c r="AJ226">
        <f t="shared" si="70"/>
        <v>20.100000000000001</v>
      </c>
      <c r="AK226">
        <v>0.2</v>
      </c>
      <c r="AL226">
        <v>0.63100000000000001</v>
      </c>
      <c r="AM226">
        <f t="shared" si="71"/>
        <v>0.36499999999999999</v>
      </c>
      <c r="AN226">
        <v>6220</v>
      </c>
      <c r="AO226" t="s">
        <v>13</v>
      </c>
      <c r="AP226" s="3">
        <f t="shared" si="68"/>
        <v>9795.2755905511804</v>
      </c>
      <c r="AQ226" t="s">
        <v>13</v>
      </c>
      <c r="AR226">
        <f t="shared" si="54"/>
        <v>0.55068493150684938</v>
      </c>
      <c r="AS226">
        <f t="shared" si="82"/>
        <v>0.16400000000000003</v>
      </c>
      <c r="AT226">
        <f t="shared" si="83"/>
        <v>1606</v>
      </c>
      <c r="AU226">
        <f t="shared" si="84"/>
        <v>1969</v>
      </c>
      <c r="AV226">
        <f t="shared" si="72"/>
        <v>1205</v>
      </c>
      <c r="AW226">
        <f t="shared" si="73"/>
        <v>2065</v>
      </c>
      <c r="AX226" s="3">
        <f t="shared" si="74"/>
        <v>6525.2755905511804</v>
      </c>
      <c r="AY226">
        <f t="shared" si="75"/>
        <v>803</v>
      </c>
      <c r="AZ226">
        <f t="shared" si="76"/>
        <v>2162</v>
      </c>
      <c r="BA226" s="3">
        <f t="shared" si="77"/>
        <v>6830.2755905511804</v>
      </c>
    </row>
    <row r="227" spans="1:53" x14ac:dyDescent="0.2">
      <c r="A227">
        <v>1995</v>
      </c>
      <c r="B227" t="s">
        <v>61</v>
      </c>
      <c r="C227" t="s">
        <v>59</v>
      </c>
      <c r="D227">
        <v>2.1</v>
      </c>
      <c r="E227">
        <v>0.2</v>
      </c>
      <c r="F227">
        <v>0.5</v>
      </c>
      <c r="G227">
        <v>1</v>
      </c>
      <c r="H227">
        <v>0.2</v>
      </c>
      <c r="I227">
        <v>1.9</v>
      </c>
      <c r="J227">
        <v>0.2</v>
      </c>
      <c r="K227">
        <f t="shared" si="56"/>
        <v>6.1000000000000005</v>
      </c>
      <c r="L227">
        <v>0</v>
      </c>
      <c r="M227">
        <v>0.5</v>
      </c>
      <c r="N227">
        <v>0</v>
      </c>
      <c r="O227">
        <f t="shared" si="57"/>
        <v>0.5</v>
      </c>
      <c r="P227">
        <v>0</v>
      </c>
      <c r="Q227">
        <v>0.1</v>
      </c>
      <c r="R227">
        <v>0</v>
      </c>
      <c r="S227">
        <f t="shared" si="80"/>
        <v>0.1</v>
      </c>
      <c r="T227">
        <v>0.1</v>
      </c>
      <c r="U227">
        <v>0</v>
      </c>
      <c r="V227">
        <v>5.4</v>
      </c>
      <c r="W227">
        <v>0.1</v>
      </c>
      <c r="X227">
        <v>0</v>
      </c>
      <c r="Y227">
        <v>0</v>
      </c>
      <c r="Z227">
        <v>0</v>
      </c>
      <c r="AA227">
        <f t="shared" si="81"/>
        <v>5.6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11.1</v>
      </c>
      <c r="AJ227">
        <f t="shared" si="70"/>
        <v>11.1</v>
      </c>
      <c r="AK227">
        <v>0</v>
      </c>
      <c r="AL227">
        <v>0.76300000000000001</v>
      </c>
      <c r="AM227">
        <f t="shared" si="71"/>
        <v>0.23400000000000001</v>
      </c>
      <c r="AN227">
        <v>14845</v>
      </c>
      <c r="AO227" t="s">
        <v>13</v>
      </c>
      <c r="AP227" s="3">
        <f t="shared" si="68"/>
        <v>19379.895561357702</v>
      </c>
      <c r="AQ227" t="s">
        <v>13</v>
      </c>
      <c r="AR227">
        <f t="shared" si="54"/>
        <v>0.47435897435897434</v>
      </c>
      <c r="AS227">
        <f t="shared" si="82"/>
        <v>0.12300000000000001</v>
      </c>
      <c r="AT227">
        <f t="shared" si="83"/>
        <v>2384</v>
      </c>
      <c r="AU227">
        <f t="shared" si="84"/>
        <v>2151</v>
      </c>
      <c r="AV227">
        <f t="shared" si="72"/>
        <v>1793</v>
      </c>
      <c r="AW227">
        <f t="shared" si="73"/>
        <v>2226</v>
      </c>
      <c r="AX227" s="3">
        <f t="shared" si="74"/>
        <v>15360.895561357702</v>
      </c>
      <c r="AY227">
        <f t="shared" si="75"/>
        <v>1192</v>
      </c>
      <c r="AZ227">
        <f t="shared" si="76"/>
        <v>2302</v>
      </c>
      <c r="BA227" s="3">
        <f t="shared" si="77"/>
        <v>15885.895561357702</v>
      </c>
    </row>
    <row r="228" spans="1:53" x14ac:dyDescent="0.2">
      <c r="A228">
        <v>1996</v>
      </c>
      <c r="B228" t="s">
        <v>61</v>
      </c>
      <c r="C228" t="s">
        <v>59</v>
      </c>
      <c r="D228">
        <v>1.9</v>
      </c>
      <c r="E228">
        <v>0</v>
      </c>
      <c r="F228">
        <v>0</v>
      </c>
      <c r="G228">
        <v>1.3</v>
      </c>
      <c r="H228">
        <v>0.1</v>
      </c>
      <c r="I228">
        <v>0.4</v>
      </c>
      <c r="J228">
        <v>0</v>
      </c>
      <c r="K228">
        <f t="shared" si="56"/>
        <v>3.7</v>
      </c>
      <c r="L228">
        <v>0</v>
      </c>
      <c r="M228">
        <v>0.2</v>
      </c>
      <c r="N228">
        <v>0.1</v>
      </c>
      <c r="O228">
        <f t="shared" si="57"/>
        <v>0.30000000000000004</v>
      </c>
      <c r="P228">
        <v>0</v>
      </c>
      <c r="Q228">
        <v>0</v>
      </c>
      <c r="R228">
        <v>0</v>
      </c>
      <c r="S228">
        <f t="shared" si="80"/>
        <v>0</v>
      </c>
      <c r="T228">
        <v>0.2</v>
      </c>
      <c r="U228">
        <v>0</v>
      </c>
      <c r="V228">
        <v>13.1</v>
      </c>
      <c r="W228">
        <v>0.2</v>
      </c>
      <c r="X228">
        <v>0</v>
      </c>
      <c r="Y228">
        <v>0</v>
      </c>
      <c r="Z228">
        <v>0.1</v>
      </c>
      <c r="AA228">
        <f t="shared" si="81"/>
        <v>13.599999999999998</v>
      </c>
      <c r="AB228">
        <v>0</v>
      </c>
      <c r="AC228">
        <v>0</v>
      </c>
      <c r="AD228">
        <v>0</v>
      </c>
      <c r="AE228">
        <v>0</v>
      </c>
      <c r="AF228">
        <v>0.1</v>
      </c>
      <c r="AG228">
        <v>0</v>
      </c>
      <c r="AH228">
        <v>0</v>
      </c>
      <c r="AI228">
        <v>14.8</v>
      </c>
      <c r="AJ228">
        <f t="shared" si="70"/>
        <v>14.9</v>
      </c>
      <c r="AK228">
        <v>0.3</v>
      </c>
      <c r="AL228">
        <v>0.67400000000000004</v>
      </c>
      <c r="AM228">
        <f t="shared" si="71"/>
        <v>0.32500000000000001</v>
      </c>
      <c r="AN228">
        <v>8492</v>
      </c>
      <c r="AO228" t="s">
        <v>13</v>
      </c>
      <c r="AP228" s="3">
        <f t="shared" si="68"/>
        <v>12580.740740740739</v>
      </c>
      <c r="AQ228" t="s">
        <v>13</v>
      </c>
      <c r="AR228">
        <f t="shared" ref="AR228:AR291" si="85">(AJ228/100)/AM228</f>
        <v>0.45846153846153842</v>
      </c>
      <c r="AS228">
        <f t="shared" si="82"/>
        <v>0.17599999999999999</v>
      </c>
      <c r="AT228">
        <f t="shared" si="83"/>
        <v>2214</v>
      </c>
      <c r="AU228">
        <f t="shared" si="84"/>
        <v>1875</v>
      </c>
      <c r="AV228">
        <f t="shared" si="72"/>
        <v>1981</v>
      </c>
      <c r="AW228">
        <f t="shared" si="73"/>
        <v>1917</v>
      </c>
      <c r="AX228" s="3">
        <f t="shared" si="74"/>
        <v>8682.7407407407391</v>
      </c>
      <c r="AY228">
        <f t="shared" si="75"/>
        <v>1107</v>
      </c>
      <c r="AZ228">
        <f t="shared" si="76"/>
        <v>2075</v>
      </c>
      <c r="BA228" s="3">
        <f t="shared" si="77"/>
        <v>9398.7407407407391</v>
      </c>
    </row>
    <row r="229" spans="1:53" x14ac:dyDescent="0.2">
      <c r="A229">
        <v>1997</v>
      </c>
      <c r="B229" t="s">
        <v>61</v>
      </c>
      <c r="C229" t="s">
        <v>59</v>
      </c>
      <c r="D229">
        <v>14.8</v>
      </c>
      <c r="E229">
        <v>0</v>
      </c>
      <c r="F229">
        <v>0.1</v>
      </c>
      <c r="G229">
        <v>1.8</v>
      </c>
      <c r="H229">
        <v>0.2</v>
      </c>
      <c r="I229">
        <v>1.2</v>
      </c>
      <c r="J229">
        <v>0</v>
      </c>
      <c r="K229">
        <f t="shared" si="56"/>
        <v>18.099999999999998</v>
      </c>
      <c r="L229">
        <v>0</v>
      </c>
      <c r="M229">
        <v>0.1</v>
      </c>
      <c r="N229">
        <v>0.2</v>
      </c>
      <c r="O229">
        <f t="shared" si="57"/>
        <v>0.30000000000000004</v>
      </c>
      <c r="P229">
        <v>0</v>
      </c>
      <c r="Q229">
        <v>0</v>
      </c>
      <c r="R229">
        <v>0</v>
      </c>
      <c r="S229">
        <f t="shared" si="80"/>
        <v>0</v>
      </c>
      <c r="T229">
        <v>0.6</v>
      </c>
      <c r="U229">
        <v>0</v>
      </c>
      <c r="V229">
        <v>6.7</v>
      </c>
      <c r="W229">
        <v>0</v>
      </c>
      <c r="X229">
        <v>0</v>
      </c>
      <c r="Y229">
        <v>0</v>
      </c>
      <c r="Z229">
        <v>0</v>
      </c>
      <c r="AA229">
        <f t="shared" si="81"/>
        <v>7.3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10.199999999999999</v>
      </c>
      <c r="AJ229">
        <f t="shared" si="70"/>
        <v>10.199999999999999</v>
      </c>
      <c r="AK229">
        <v>0.2</v>
      </c>
      <c r="AL229">
        <v>0.63700000000000001</v>
      </c>
      <c r="AM229">
        <f t="shared" si="71"/>
        <v>0.35900000000000004</v>
      </c>
      <c r="AN229">
        <v>8219</v>
      </c>
      <c r="AO229" t="s">
        <v>13</v>
      </c>
      <c r="AP229" s="3">
        <f t="shared" si="68"/>
        <v>12822.152886115444</v>
      </c>
      <c r="AQ229" t="s">
        <v>13</v>
      </c>
      <c r="AR229">
        <f t="shared" si="85"/>
        <v>0.28412256267409464</v>
      </c>
      <c r="AS229">
        <f t="shared" si="82"/>
        <v>0.25700000000000001</v>
      </c>
      <c r="AT229">
        <f t="shared" si="83"/>
        <v>3295</v>
      </c>
      <c r="AU229">
        <f t="shared" si="84"/>
        <v>1308</v>
      </c>
      <c r="AV229">
        <f t="shared" si="72"/>
        <v>2135</v>
      </c>
      <c r="AW229">
        <f t="shared" si="73"/>
        <v>1467</v>
      </c>
      <c r="AX229" s="3">
        <f t="shared" si="74"/>
        <v>9220.1528861154438</v>
      </c>
      <c r="AY229">
        <f t="shared" si="75"/>
        <v>1648</v>
      </c>
      <c r="AZ229">
        <f t="shared" si="76"/>
        <v>1534</v>
      </c>
      <c r="BA229" s="3">
        <f t="shared" si="77"/>
        <v>9640.1528861154438</v>
      </c>
    </row>
    <row r="230" spans="1:53" x14ac:dyDescent="0.2">
      <c r="A230">
        <v>1998</v>
      </c>
      <c r="B230" t="s">
        <v>61</v>
      </c>
      <c r="C230" t="s">
        <v>59</v>
      </c>
      <c r="D230">
        <v>7.9</v>
      </c>
      <c r="E230">
        <v>0</v>
      </c>
      <c r="F230">
        <v>0</v>
      </c>
      <c r="G230">
        <v>3.2</v>
      </c>
      <c r="H230">
        <v>0.2</v>
      </c>
      <c r="I230">
        <v>0</v>
      </c>
      <c r="J230">
        <v>0</v>
      </c>
      <c r="K230">
        <f t="shared" si="56"/>
        <v>11.3</v>
      </c>
      <c r="L230">
        <v>0</v>
      </c>
      <c r="M230">
        <v>0</v>
      </c>
      <c r="N230">
        <v>0.1</v>
      </c>
      <c r="O230">
        <f t="shared" si="57"/>
        <v>0.1</v>
      </c>
      <c r="P230">
        <v>0</v>
      </c>
      <c r="Q230">
        <v>0</v>
      </c>
      <c r="R230">
        <v>0</v>
      </c>
      <c r="S230">
        <f t="shared" si="80"/>
        <v>0</v>
      </c>
      <c r="T230">
        <v>0.2</v>
      </c>
      <c r="U230">
        <v>0</v>
      </c>
      <c r="V230">
        <v>4.9000000000000004</v>
      </c>
      <c r="W230">
        <v>0.1</v>
      </c>
      <c r="X230">
        <v>0</v>
      </c>
      <c r="Y230">
        <v>0</v>
      </c>
      <c r="Z230">
        <v>0</v>
      </c>
      <c r="AA230">
        <f t="shared" si="81"/>
        <v>5.2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15.8</v>
      </c>
      <c r="AJ230">
        <f t="shared" si="70"/>
        <v>15.8</v>
      </c>
      <c r="AK230">
        <v>0</v>
      </c>
      <c r="AL230">
        <v>0.67700000000000005</v>
      </c>
      <c r="AM230">
        <f t="shared" si="71"/>
        <v>0.32400000000000007</v>
      </c>
      <c r="AN230">
        <v>9854</v>
      </c>
      <c r="AO230" t="s">
        <v>13</v>
      </c>
      <c r="AP230" s="3">
        <f t="shared" si="68"/>
        <v>14576.923076923078</v>
      </c>
      <c r="AQ230" t="s">
        <v>13</v>
      </c>
      <c r="AR230">
        <f t="shared" si="85"/>
        <v>0.48765432098765421</v>
      </c>
      <c r="AS230">
        <f t="shared" si="82"/>
        <v>0.16600000000000001</v>
      </c>
      <c r="AT230">
        <f t="shared" si="83"/>
        <v>2420</v>
      </c>
      <c r="AU230">
        <f t="shared" si="84"/>
        <v>2303</v>
      </c>
      <c r="AV230">
        <f t="shared" si="72"/>
        <v>1596</v>
      </c>
      <c r="AW230">
        <f t="shared" si="73"/>
        <v>2459</v>
      </c>
      <c r="AX230" s="3">
        <f t="shared" si="74"/>
        <v>10521.923076923078</v>
      </c>
      <c r="AY230">
        <f t="shared" si="75"/>
        <v>1210</v>
      </c>
      <c r="AZ230">
        <f t="shared" si="76"/>
        <v>2532</v>
      </c>
      <c r="BA230" s="3">
        <f t="shared" si="77"/>
        <v>10834.923076923078</v>
      </c>
    </row>
    <row r="231" spans="1:53" x14ac:dyDescent="0.2">
      <c r="A231">
        <v>1999</v>
      </c>
      <c r="B231" t="s">
        <v>61</v>
      </c>
      <c r="C231" t="s">
        <v>59</v>
      </c>
      <c r="D231">
        <v>8.6</v>
      </c>
      <c r="E231">
        <v>0</v>
      </c>
      <c r="F231">
        <v>0.5</v>
      </c>
      <c r="G231">
        <v>2.8</v>
      </c>
      <c r="H231">
        <v>0.3</v>
      </c>
      <c r="I231">
        <v>0</v>
      </c>
      <c r="J231">
        <v>0.1</v>
      </c>
      <c r="K231">
        <f t="shared" si="56"/>
        <v>12.299999999999999</v>
      </c>
      <c r="L231">
        <v>0</v>
      </c>
      <c r="M231">
        <v>0</v>
      </c>
      <c r="N231">
        <v>0.1</v>
      </c>
      <c r="O231">
        <f t="shared" si="57"/>
        <v>0.1</v>
      </c>
      <c r="P231">
        <v>0</v>
      </c>
      <c r="Q231">
        <v>0</v>
      </c>
      <c r="R231">
        <v>0.1</v>
      </c>
      <c r="S231">
        <f t="shared" si="80"/>
        <v>0.1</v>
      </c>
      <c r="T231">
        <v>0.8</v>
      </c>
      <c r="U231">
        <v>0.1</v>
      </c>
      <c r="V231">
        <v>1.8</v>
      </c>
      <c r="W231">
        <v>0</v>
      </c>
      <c r="X231">
        <v>0</v>
      </c>
      <c r="Y231">
        <v>0</v>
      </c>
      <c r="Z231">
        <v>0</v>
      </c>
      <c r="AA231">
        <f t="shared" si="81"/>
        <v>2.7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12</v>
      </c>
      <c r="AJ231">
        <f t="shared" si="70"/>
        <v>12</v>
      </c>
      <c r="AK231">
        <v>0.1</v>
      </c>
      <c r="AL231">
        <v>0.72799999999999998</v>
      </c>
      <c r="AM231">
        <f t="shared" si="71"/>
        <v>0.27200000000000002</v>
      </c>
      <c r="AN231">
        <v>11161</v>
      </c>
      <c r="AO231" t="s">
        <v>13</v>
      </c>
      <c r="AP231" s="3">
        <f t="shared" si="68"/>
        <v>15331.043956043957</v>
      </c>
      <c r="AQ231" t="s">
        <v>13</v>
      </c>
      <c r="AR231">
        <f t="shared" si="85"/>
        <v>0.44117647058823523</v>
      </c>
      <c r="AS231">
        <f t="shared" si="82"/>
        <v>0.152</v>
      </c>
      <c r="AT231">
        <f t="shared" si="83"/>
        <v>2330</v>
      </c>
      <c r="AU231">
        <f t="shared" si="84"/>
        <v>1840</v>
      </c>
      <c r="AV231">
        <f t="shared" si="72"/>
        <v>1387</v>
      </c>
      <c r="AW231">
        <f t="shared" si="73"/>
        <v>1973</v>
      </c>
      <c r="AX231" s="3">
        <f t="shared" si="74"/>
        <v>11971.043956043957</v>
      </c>
      <c r="AY231">
        <f t="shared" si="75"/>
        <v>1165</v>
      </c>
      <c r="AZ231">
        <f t="shared" si="76"/>
        <v>2005</v>
      </c>
      <c r="BA231" s="3">
        <f t="shared" si="77"/>
        <v>12161.043956043957</v>
      </c>
    </row>
    <row r="232" spans="1:53" x14ac:dyDescent="0.2">
      <c r="A232">
        <v>2000</v>
      </c>
      <c r="B232" t="s">
        <v>61</v>
      </c>
      <c r="C232" t="s">
        <v>59</v>
      </c>
      <c r="D232">
        <v>8.3000000000000007</v>
      </c>
      <c r="E232">
        <v>0.1</v>
      </c>
      <c r="F232">
        <v>0</v>
      </c>
      <c r="G232">
        <v>1.7</v>
      </c>
      <c r="H232">
        <v>0.6</v>
      </c>
      <c r="I232">
        <v>0.8</v>
      </c>
      <c r="J232">
        <v>0.1</v>
      </c>
      <c r="K232">
        <f t="shared" si="56"/>
        <v>11.6</v>
      </c>
      <c r="L232">
        <v>0</v>
      </c>
      <c r="M232">
        <v>0</v>
      </c>
      <c r="N232">
        <v>0</v>
      </c>
      <c r="O232">
        <f t="shared" si="57"/>
        <v>0</v>
      </c>
      <c r="P232">
        <v>0</v>
      </c>
      <c r="Q232">
        <v>0</v>
      </c>
      <c r="R232">
        <v>0</v>
      </c>
      <c r="S232">
        <f t="shared" si="80"/>
        <v>0</v>
      </c>
      <c r="T232">
        <v>0.7</v>
      </c>
      <c r="U232">
        <v>0.5</v>
      </c>
      <c r="V232">
        <v>6.9</v>
      </c>
      <c r="W232">
        <v>0.2</v>
      </c>
      <c r="X232">
        <v>0</v>
      </c>
      <c r="Y232">
        <v>0</v>
      </c>
      <c r="Z232">
        <v>0</v>
      </c>
      <c r="AA232">
        <f t="shared" si="81"/>
        <v>8.2999999999999989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15.7</v>
      </c>
      <c r="AJ232">
        <f t="shared" si="70"/>
        <v>15.7</v>
      </c>
      <c r="AK232">
        <v>0</v>
      </c>
      <c r="AL232">
        <v>0.64300000000000002</v>
      </c>
      <c r="AM232">
        <f t="shared" si="71"/>
        <v>0.35600000000000004</v>
      </c>
      <c r="AN232">
        <v>7913</v>
      </c>
      <c r="AO232" t="s">
        <v>13</v>
      </c>
      <c r="AP232" s="3">
        <f t="shared" si="68"/>
        <v>12287.267080745343</v>
      </c>
      <c r="AQ232" t="s">
        <v>13</v>
      </c>
      <c r="AR232">
        <f t="shared" si="85"/>
        <v>0.44101123595505615</v>
      </c>
      <c r="AS232">
        <f t="shared" si="82"/>
        <v>0.19899999999999998</v>
      </c>
      <c r="AT232">
        <f t="shared" si="83"/>
        <v>2445</v>
      </c>
      <c r="AU232">
        <f t="shared" si="84"/>
        <v>1929</v>
      </c>
      <c r="AV232">
        <f t="shared" si="72"/>
        <v>1733</v>
      </c>
      <c r="AW232">
        <f t="shared" si="73"/>
        <v>2069</v>
      </c>
      <c r="AX232" s="3">
        <f t="shared" si="74"/>
        <v>8485.2670807453433</v>
      </c>
      <c r="AY232">
        <f t="shared" si="75"/>
        <v>1223</v>
      </c>
      <c r="AZ232">
        <f t="shared" si="76"/>
        <v>2169</v>
      </c>
      <c r="BA232" s="3">
        <f t="shared" si="77"/>
        <v>8895.2670807453433</v>
      </c>
    </row>
    <row r="233" spans="1:53" x14ac:dyDescent="0.2">
      <c r="A233">
        <v>2001</v>
      </c>
      <c r="B233" t="s">
        <v>61</v>
      </c>
      <c r="C233" t="s">
        <v>59</v>
      </c>
      <c r="D233">
        <v>5.4</v>
      </c>
      <c r="E233">
        <v>0</v>
      </c>
      <c r="F233">
        <v>0.6</v>
      </c>
      <c r="G233">
        <v>2.5</v>
      </c>
      <c r="H233">
        <v>0</v>
      </c>
      <c r="I233">
        <v>1.1000000000000001</v>
      </c>
      <c r="J233">
        <v>0.2</v>
      </c>
      <c r="K233">
        <f t="shared" si="56"/>
        <v>9.7999999999999989</v>
      </c>
      <c r="L233">
        <v>0</v>
      </c>
      <c r="M233">
        <v>0</v>
      </c>
      <c r="N233">
        <v>0</v>
      </c>
      <c r="O233">
        <f t="shared" si="57"/>
        <v>0</v>
      </c>
      <c r="P233">
        <v>0</v>
      </c>
      <c r="Q233">
        <v>0</v>
      </c>
      <c r="R233">
        <v>0</v>
      </c>
      <c r="S233">
        <f t="shared" si="80"/>
        <v>0</v>
      </c>
      <c r="T233">
        <v>2.4</v>
      </c>
      <c r="U233">
        <v>0.9</v>
      </c>
      <c r="V233">
        <v>8.1</v>
      </c>
      <c r="W233">
        <v>0.3</v>
      </c>
      <c r="X233">
        <v>0</v>
      </c>
      <c r="Y233">
        <v>0</v>
      </c>
      <c r="Z233">
        <v>0</v>
      </c>
      <c r="AA233">
        <f t="shared" si="81"/>
        <v>11.7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14.4</v>
      </c>
      <c r="AJ233">
        <f t="shared" si="70"/>
        <v>14.4</v>
      </c>
      <c r="AK233">
        <v>0.1</v>
      </c>
      <c r="AL233">
        <v>0.6409999999999999</v>
      </c>
      <c r="AM233">
        <f t="shared" si="71"/>
        <v>0.35900000000000004</v>
      </c>
      <c r="AN233">
        <v>12512</v>
      </c>
      <c r="AO233" t="s">
        <v>13</v>
      </c>
      <c r="AP233" s="3">
        <f t="shared" si="68"/>
        <v>19519.500780031201</v>
      </c>
      <c r="AQ233" t="s">
        <v>13</v>
      </c>
      <c r="AR233">
        <f t="shared" si="85"/>
        <v>0.4011142061281337</v>
      </c>
      <c r="AS233">
        <f t="shared" si="82"/>
        <v>0.215</v>
      </c>
      <c r="AT233">
        <f t="shared" si="83"/>
        <v>4197</v>
      </c>
      <c r="AU233">
        <f t="shared" si="84"/>
        <v>2811</v>
      </c>
      <c r="AV233">
        <f t="shared" si="72"/>
        <v>3240</v>
      </c>
      <c r="AW233">
        <f t="shared" si="73"/>
        <v>2987</v>
      </c>
      <c r="AX233" s="3">
        <f t="shared" si="74"/>
        <v>13292.500780031201</v>
      </c>
      <c r="AY233">
        <f t="shared" si="75"/>
        <v>2098</v>
      </c>
      <c r="AZ233">
        <f t="shared" si="76"/>
        <v>3196</v>
      </c>
      <c r="BA233" s="3">
        <f t="shared" si="77"/>
        <v>14225.500780031201</v>
      </c>
    </row>
    <row r="234" spans="1:53" x14ac:dyDescent="0.2">
      <c r="A234">
        <v>2002</v>
      </c>
      <c r="B234" t="s">
        <v>61</v>
      </c>
      <c r="C234" t="s">
        <v>59</v>
      </c>
      <c r="D234">
        <v>9.1999999999999993</v>
      </c>
      <c r="E234">
        <v>0</v>
      </c>
      <c r="F234">
        <v>0.8</v>
      </c>
      <c r="G234">
        <v>6.4</v>
      </c>
      <c r="H234">
        <v>1.1000000000000001</v>
      </c>
      <c r="I234">
        <v>1.3</v>
      </c>
      <c r="J234">
        <v>0.3</v>
      </c>
      <c r="K234">
        <f t="shared" si="56"/>
        <v>19.100000000000001</v>
      </c>
      <c r="L234">
        <v>0</v>
      </c>
      <c r="M234">
        <v>0</v>
      </c>
      <c r="N234">
        <v>0.2</v>
      </c>
      <c r="O234">
        <f t="shared" si="57"/>
        <v>0.2</v>
      </c>
      <c r="P234">
        <v>0</v>
      </c>
      <c r="Q234">
        <v>0</v>
      </c>
      <c r="R234">
        <v>0</v>
      </c>
      <c r="S234">
        <f t="shared" si="80"/>
        <v>0</v>
      </c>
      <c r="T234">
        <v>3.2</v>
      </c>
      <c r="U234">
        <v>1.1000000000000001</v>
      </c>
      <c r="V234">
        <v>5</v>
      </c>
      <c r="W234">
        <v>0.6</v>
      </c>
      <c r="X234">
        <v>0</v>
      </c>
      <c r="Y234">
        <v>0</v>
      </c>
      <c r="Z234">
        <v>0</v>
      </c>
      <c r="AA234">
        <f t="shared" si="81"/>
        <v>9.9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11.7</v>
      </c>
      <c r="AJ234">
        <f t="shared" si="70"/>
        <v>11.7</v>
      </c>
      <c r="AK234">
        <v>0</v>
      </c>
      <c r="AL234">
        <v>0.58899999999999997</v>
      </c>
      <c r="AM234">
        <f t="shared" si="71"/>
        <v>0.40899999999999997</v>
      </c>
      <c r="AN234">
        <v>13675</v>
      </c>
      <c r="AO234" t="s">
        <v>13</v>
      </c>
      <c r="AP234" s="3">
        <f t="shared" si="68"/>
        <v>23138.747884940778</v>
      </c>
      <c r="AQ234" t="s">
        <v>13</v>
      </c>
      <c r="AR234">
        <f t="shared" si="85"/>
        <v>0.28606356968215157</v>
      </c>
      <c r="AS234">
        <f t="shared" si="82"/>
        <v>0.29200000000000004</v>
      </c>
      <c r="AT234">
        <f t="shared" si="83"/>
        <v>6757</v>
      </c>
      <c r="AU234">
        <f t="shared" si="84"/>
        <v>2707</v>
      </c>
      <c r="AV234">
        <f t="shared" si="72"/>
        <v>4547</v>
      </c>
      <c r="AW234">
        <f t="shared" si="73"/>
        <v>3072</v>
      </c>
      <c r="AX234" s="3">
        <f t="shared" si="74"/>
        <v>15519.747884940778</v>
      </c>
      <c r="AY234">
        <f t="shared" si="75"/>
        <v>3378</v>
      </c>
      <c r="AZ234">
        <f t="shared" si="76"/>
        <v>3265</v>
      </c>
      <c r="BA234" s="3">
        <f t="shared" si="77"/>
        <v>16495.747884940778</v>
      </c>
    </row>
    <row r="235" spans="1:53" x14ac:dyDescent="0.2">
      <c r="A235">
        <v>2003</v>
      </c>
      <c r="B235" t="s">
        <v>61</v>
      </c>
      <c r="C235" t="s">
        <v>59</v>
      </c>
      <c r="D235">
        <v>8.6999999999999993</v>
      </c>
      <c r="E235">
        <v>0</v>
      </c>
      <c r="F235">
        <v>0.4</v>
      </c>
      <c r="G235">
        <v>5.3</v>
      </c>
      <c r="H235">
        <v>0.4</v>
      </c>
      <c r="I235">
        <v>1.5</v>
      </c>
      <c r="J235">
        <v>0</v>
      </c>
      <c r="K235">
        <f t="shared" si="56"/>
        <v>16.299999999999997</v>
      </c>
      <c r="L235">
        <v>0</v>
      </c>
      <c r="M235">
        <v>0</v>
      </c>
      <c r="N235">
        <v>0.3</v>
      </c>
      <c r="O235">
        <f t="shared" si="57"/>
        <v>0.3</v>
      </c>
      <c r="P235">
        <v>0</v>
      </c>
      <c r="Q235">
        <v>0</v>
      </c>
      <c r="R235">
        <v>0</v>
      </c>
      <c r="S235">
        <f t="shared" si="80"/>
        <v>0</v>
      </c>
      <c r="T235">
        <v>3.9</v>
      </c>
      <c r="U235">
        <v>0.1</v>
      </c>
      <c r="V235">
        <v>6.6</v>
      </c>
      <c r="W235">
        <v>0.2</v>
      </c>
      <c r="X235">
        <v>0</v>
      </c>
      <c r="Y235">
        <v>0</v>
      </c>
      <c r="Z235">
        <v>0</v>
      </c>
      <c r="AA235">
        <f t="shared" si="81"/>
        <v>10.799999999999999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12.3</v>
      </c>
      <c r="AJ235">
        <f t="shared" si="70"/>
        <v>12.3</v>
      </c>
      <c r="AK235">
        <v>0</v>
      </c>
      <c r="AL235">
        <v>0.60399999999999998</v>
      </c>
      <c r="AM235">
        <f t="shared" si="71"/>
        <v>0.39699999999999991</v>
      </c>
      <c r="AN235">
        <v>18876</v>
      </c>
      <c r="AO235" t="s">
        <v>13</v>
      </c>
      <c r="AP235" s="3">
        <f t="shared" si="68"/>
        <v>31303.482587064671</v>
      </c>
      <c r="AQ235" t="s">
        <v>13</v>
      </c>
      <c r="AR235">
        <f t="shared" si="85"/>
        <v>0.30982367758186408</v>
      </c>
      <c r="AS235">
        <f t="shared" si="82"/>
        <v>0.27399999999999997</v>
      </c>
      <c r="AT235">
        <f t="shared" si="83"/>
        <v>8577</v>
      </c>
      <c r="AU235">
        <f t="shared" si="84"/>
        <v>3850</v>
      </c>
      <c r="AV235">
        <f t="shared" si="72"/>
        <v>6026</v>
      </c>
      <c r="AW235">
        <f t="shared" si="73"/>
        <v>4282</v>
      </c>
      <c r="AX235" s="3">
        <f t="shared" si="74"/>
        <v>20995.482587064671</v>
      </c>
      <c r="AY235">
        <f t="shared" si="75"/>
        <v>4289</v>
      </c>
      <c r="AZ235">
        <f t="shared" si="76"/>
        <v>4576</v>
      </c>
      <c r="BA235" s="3">
        <f t="shared" si="77"/>
        <v>22438.482587064671</v>
      </c>
    </row>
    <row r="236" spans="1:53" x14ac:dyDescent="0.2">
      <c r="A236">
        <v>2004</v>
      </c>
      <c r="B236" t="s">
        <v>61</v>
      </c>
      <c r="C236" t="s">
        <v>59</v>
      </c>
      <c r="D236">
        <v>8</v>
      </c>
      <c r="E236">
        <v>0</v>
      </c>
      <c r="F236">
        <v>0.5</v>
      </c>
      <c r="G236">
        <v>3.9</v>
      </c>
      <c r="H236">
        <v>0.7</v>
      </c>
      <c r="I236">
        <v>3.5</v>
      </c>
      <c r="J236">
        <v>0.1</v>
      </c>
      <c r="K236">
        <f t="shared" si="56"/>
        <v>16.700000000000003</v>
      </c>
      <c r="L236">
        <v>0</v>
      </c>
      <c r="M236">
        <v>0</v>
      </c>
      <c r="N236">
        <v>0</v>
      </c>
      <c r="O236">
        <f t="shared" si="57"/>
        <v>0</v>
      </c>
      <c r="P236">
        <v>0</v>
      </c>
      <c r="Q236">
        <v>0</v>
      </c>
      <c r="R236">
        <v>0.1</v>
      </c>
      <c r="S236">
        <f t="shared" si="80"/>
        <v>0.1</v>
      </c>
      <c r="T236">
        <v>2.2999999999999998</v>
      </c>
      <c r="U236">
        <v>0</v>
      </c>
      <c r="V236">
        <v>3.6</v>
      </c>
      <c r="W236">
        <v>0.1</v>
      </c>
      <c r="X236">
        <v>0</v>
      </c>
      <c r="Y236">
        <v>0</v>
      </c>
      <c r="Z236">
        <v>0</v>
      </c>
      <c r="AA236">
        <f t="shared" si="81"/>
        <v>6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14.3</v>
      </c>
      <c r="AJ236">
        <f t="shared" si="70"/>
        <v>14.3</v>
      </c>
      <c r="AK236">
        <v>0.2</v>
      </c>
      <c r="AL236">
        <v>0.626</v>
      </c>
      <c r="AM236">
        <f t="shared" si="71"/>
        <v>0.37100000000000011</v>
      </c>
      <c r="AN236">
        <v>11514</v>
      </c>
      <c r="AO236" t="s">
        <v>13</v>
      </c>
      <c r="AP236" s="3">
        <f t="shared" si="68"/>
        <v>18305.246422893484</v>
      </c>
      <c r="AQ236" t="s">
        <v>13</v>
      </c>
      <c r="AR236">
        <f t="shared" si="85"/>
        <v>0.38544474393530992</v>
      </c>
      <c r="AS236">
        <f t="shared" si="82"/>
        <v>0.22800000000000004</v>
      </c>
      <c r="AT236">
        <f t="shared" si="83"/>
        <v>4174</v>
      </c>
      <c r="AU236">
        <f t="shared" si="84"/>
        <v>2618</v>
      </c>
      <c r="AV236">
        <f t="shared" si="72"/>
        <v>2645</v>
      </c>
      <c r="AW236">
        <f t="shared" si="73"/>
        <v>2901</v>
      </c>
      <c r="AX236" s="3">
        <f t="shared" si="74"/>
        <v>12759.246422893484</v>
      </c>
      <c r="AY236">
        <f t="shared" si="75"/>
        <v>2087</v>
      </c>
      <c r="AZ236">
        <f t="shared" si="76"/>
        <v>3005</v>
      </c>
      <c r="BA236" s="3">
        <f t="shared" si="77"/>
        <v>13213.246422893484</v>
      </c>
    </row>
    <row r="237" spans="1:53" x14ac:dyDescent="0.2">
      <c r="A237">
        <v>2005</v>
      </c>
      <c r="B237" t="s">
        <v>61</v>
      </c>
      <c r="C237" t="s">
        <v>59</v>
      </c>
      <c r="D237">
        <v>12.7</v>
      </c>
      <c r="E237">
        <v>0</v>
      </c>
      <c r="F237">
        <v>0.4</v>
      </c>
      <c r="G237">
        <v>6.8</v>
      </c>
      <c r="H237">
        <v>2</v>
      </c>
      <c r="I237">
        <v>5.3</v>
      </c>
      <c r="J237">
        <v>0.9</v>
      </c>
      <c r="K237">
        <f t="shared" si="56"/>
        <v>28.099999999999998</v>
      </c>
      <c r="L237">
        <v>0</v>
      </c>
      <c r="M237">
        <v>0</v>
      </c>
      <c r="N237">
        <v>0</v>
      </c>
      <c r="O237">
        <f t="shared" si="57"/>
        <v>0</v>
      </c>
      <c r="P237">
        <v>0</v>
      </c>
      <c r="Q237">
        <v>0</v>
      </c>
      <c r="R237">
        <v>0.4</v>
      </c>
      <c r="S237">
        <f t="shared" si="80"/>
        <v>0.4</v>
      </c>
      <c r="T237">
        <v>2.8</v>
      </c>
      <c r="U237">
        <v>0.5</v>
      </c>
      <c r="V237">
        <v>2.7</v>
      </c>
      <c r="W237">
        <v>0.2</v>
      </c>
      <c r="X237">
        <v>0</v>
      </c>
      <c r="Y237">
        <v>0</v>
      </c>
      <c r="Z237">
        <v>0</v>
      </c>
      <c r="AA237">
        <f t="shared" si="81"/>
        <v>6.2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16.600000000000001</v>
      </c>
      <c r="AJ237">
        <f t="shared" si="70"/>
        <v>16.600000000000001</v>
      </c>
      <c r="AK237">
        <v>0</v>
      </c>
      <c r="AL237">
        <v>0.48499999999999999</v>
      </c>
      <c r="AM237">
        <f t="shared" si="71"/>
        <v>0.5129999999999999</v>
      </c>
      <c r="AN237">
        <v>4973</v>
      </c>
      <c r="AO237" t="s">
        <v>13</v>
      </c>
      <c r="AP237" s="3">
        <f t="shared" si="68"/>
        <v>10211.498973305952</v>
      </c>
      <c r="AQ237" t="s">
        <v>13</v>
      </c>
      <c r="AR237">
        <f t="shared" si="85"/>
        <v>0.32358674463937631</v>
      </c>
      <c r="AS237">
        <f t="shared" si="82"/>
        <v>0.34699999999999998</v>
      </c>
      <c r="AT237">
        <f t="shared" si="83"/>
        <v>3543</v>
      </c>
      <c r="AU237">
        <f t="shared" si="84"/>
        <v>1695</v>
      </c>
      <c r="AV237">
        <f t="shared" si="72"/>
        <v>2109</v>
      </c>
      <c r="AW237">
        <f t="shared" si="73"/>
        <v>2059</v>
      </c>
      <c r="AX237" s="3">
        <f t="shared" si="74"/>
        <v>6043.4989733059519</v>
      </c>
      <c r="AY237">
        <f t="shared" si="75"/>
        <v>1772</v>
      </c>
      <c r="AZ237">
        <f t="shared" si="76"/>
        <v>2145</v>
      </c>
      <c r="BA237" s="3">
        <f t="shared" si="77"/>
        <v>6294.4989733059519</v>
      </c>
    </row>
    <row r="238" spans="1:53" x14ac:dyDescent="0.2">
      <c r="A238">
        <v>2006</v>
      </c>
      <c r="B238" t="s">
        <v>61</v>
      </c>
      <c r="C238" t="s">
        <v>59</v>
      </c>
      <c r="D238">
        <v>7.1</v>
      </c>
      <c r="E238">
        <v>0</v>
      </c>
      <c r="F238">
        <v>0</v>
      </c>
      <c r="G238">
        <v>5.4</v>
      </c>
      <c r="H238">
        <v>1.6</v>
      </c>
      <c r="I238">
        <v>5.6</v>
      </c>
      <c r="J238">
        <v>1.9</v>
      </c>
      <c r="K238">
        <f t="shared" ref="K238:K301" si="86">SUM(D238:J238)</f>
        <v>21.599999999999998</v>
      </c>
      <c r="L238">
        <v>0</v>
      </c>
      <c r="M238">
        <v>0</v>
      </c>
      <c r="N238">
        <v>0.8</v>
      </c>
      <c r="O238">
        <f t="shared" ref="O238:O301" si="87">SUM(L238:N238)</f>
        <v>0.8</v>
      </c>
      <c r="P238">
        <v>0</v>
      </c>
      <c r="Q238">
        <v>0</v>
      </c>
      <c r="R238">
        <v>0</v>
      </c>
      <c r="S238">
        <f t="shared" si="80"/>
        <v>0</v>
      </c>
      <c r="T238">
        <v>4.2</v>
      </c>
      <c r="U238">
        <v>0.3</v>
      </c>
      <c r="V238">
        <v>1.7</v>
      </c>
      <c r="W238">
        <v>0.3</v>
      </c>
      <c r="X238">
        <v>0</v>
      </c>
      <c r="Y238">
        <v>0</v>
      </c>
      <c r="Z238">
        <v>0</v>
      </c>
      <c r="AA238">
        <f t="shared" si="81"/>
        <v>6.5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16.600000000000001</v>
      </c>
      <c r="AJ238">
        <f t="shared" si="70"/>
        <v>16.600000000000001</v>
      </c>
      <c r="AK238">
        <v>0</v>
      </c>
      <c r="AL238">
        <v>0.54600000000000004</v>
      </c>
      <c r="AM238">
        <f t="shared" si="71"/>
        <v>0.45500000000000002</v>
      </c>
      <c r="AN238">
        <v>7471</v>
      </c>
      <c r="AO238" t="s">
        <v>13</v>
      </c>
      <c r="AP238" s="3">
        <f t="shared" si="68"/>
        <v>13708.256880733947</v>
      </c>
      <c r="AQ238" t="s">
        <v>13</v>
      </c>
      <c r="AR238">
        <f t="shared" si="85"/>
        <v>0.36483516483516482</v>
      </c>
      <c r="AS238">
        <f t="shared" si="82"/>
        <v>0.28899999999999998</v>
      </c>
      <c r="AT238">
        <f t="shared" si="83"/>
        <v>3962</v>
      </c>
      <c r="AU238">
        <f t="shared" si="84"/>
        <v>2276</v>
      </c>
      <c r="AV238">
        <f t="shared" si="72"/>
        <v>2481</v>
      </c>
      <c r="AW238">
        <f t="shared" si="73"/>
        <v>2622</v>
      </c>
      <c r="AX238" s="3">
        <f t="shared" si="74"/>
        <v>8605.2568807339467</v>
      </c>
      <c r="AY238">
        <f t="shared" si="75"/>
        <v>1981</v>
      </c>
      <c r="AZ238">
        <f t="shared" si="76"/>
        <v>2739</v>
      </c>
      <c r="BA238" s="3">
        <f t="shared" si="77"/>
        <v>8988.2568807339467</v>
      </c>
    </row>
    <row r="239" spans="1:53" x14ac:dyDescent="0.2">
      <c r="A239">
        <v>2007</v>
      </c>
      <c r="B239" t="s">
        <v>61</v>
      </c>
      <c r="C239" t="s">
        <v>59</v>
      </c>
      <c r="D239">
        <v>9</v>
      </c>
      <c r="E239">
        <v>0.1</v>
      </c>
      <c r="F239">
        <v>1</v>
      </c>
      <c r="G239">
        <v>4.4000000000000004</v>
      </c>
      <c r="H239">
        <v>0.9</v>
      </c>
      <c r="I239">
        <v>1.3</v>
      </c>
      <c r="J239">
        <v>0.4</v>
      </c>
      <c r="K239">
        <f t="shared" si="86"/>
        <v>17.099999999999998</v>
      </c>
      <c r="L239">
        <v>0</v>
      </c>
      <c r="M239">
        <v>0</v>
      </c>
      <c r="N239">
        <v>0</v>
      </c>
      <c r="O239">
        <f t="shared" si="87"/>
        <v>0</v>
      </c>
      <c r="P239">
        <v>0</v>
      </c>
      <c r="Q239">
        <v>0</v>
      </c>
      <c r="R239">
        <v>0.2</v>
      </c>
      <c r="S239">
        <f t="shared" si="80"/>
        <v>0.2</v>
      </c>
      <c r="T239">
        <v>3.8</v>
      </c>
      <c r="U239">
        <v>0.8</v>
      </c>
      <c r="V239">
        <v>5.0999999999999996</v>
      </c>
      <c r="W239">
        <v>0.5</v>
      </c>
      <c r="X239">
        <v>0</v>
      </c>
      <c r="Y239">
        <v>0</v>
      </c>
      <c r="Z239">
        <v>0</v>
      </c>
      <c r="AA239">
        <f t="shared" si="81"/>
        <v>10.199999999999999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20.8</v>
      </c>
      <c r="AJ239">
        <f t="shared" si="70"/>
        <v>20.8</v>
      </c>
      <c r="AK239">
        <v>0.1</v>
      </c>
      <c r="AL239">
        <v>0.51600000000000001</v>
      </c>
      <c r="AM239">
        <f t="shared" si="71"/>
        <v>0.48299999999999998</v>
      </c>
      <c r="AN239">
        <v>3505</v>
      </c>
      <c r="AO239" t="s">
        <v>13</v>
      </c>
      <c r="AP239" s="3">
        <f t="shared" ref="AP239:AP302" si="88">AN239/(1-AM239)</f>
        <v>6779.4970986460348</v>
      </c>
      <c r="AQ239" t="s">
        <v>13</v>
      </c>
      <c r="AR239">
        <f t="shared" si="85"/>
        <v>0.43064182194616984</v>
      </c>
      <c r="AS239">
        <f t="shared" si="82"/>
        <v>0.27499999999999997</v>
      </c>
      <c r="AT239">
        <f t="shared" si="83"/>
        <v>1864</v>
      </c>
      <c r="AU239">
        <f t="shared" si="84"/>
        <v>1410</v>
      </c>
      <c r="AV239">
        <f t="shared" si="72"/>
        <v>1285</v>
      </c>
      <c r="AW239">
        <f t="shared" si="73"/>
        <v>1576</v>
      </c>
      <c r="AX239" s="3">
        <f t="shared" si="74"/>
        <v>3918.4970986460348</v>
      </c>
      <c r="AY239">
        <f t="shared" si="75"/>
        <v>932</v>
      </c>
      <c r="AZ239">
        <f t="shared" si="76"/>
        <v>1677</v>
      </c>
      <c r="BA239" s="3">
        <f t="shared" si="77"/>
        <v>4170.4970986460348</v>
      </c>
    </row>
    <row r="240" spans="1:53" x14ac:dyDescent="0.2">
      <c r="A240">
        <v>2008</v>
      </c>
      <c r="B240" t="s">
        <v>61</v>
      </c>
      <c r="C240" t="s">
        <v>59</v>
      </c>
      <c r="D240">
        <v>4.7</v>
      </c>
      <c r="E240">
        <v>0</v>
      </c>
      <c r="F240">
        <v>0</v>
      </c>
      <c r="G240">
        <v>3.9</v>
      </c>
      <c r="H240">
        <v>2</v>
      </c>
      <c r="I240">
        <v>1.5</v>
      </c>
      <c r="J240">
        <v>0.7</v>
      </c>
      <c r="K240">
        <f t="shared" si="86"/>
        <v>12.799999999999999</v>
      </c>
      <c r="L240">
        <v>0</v>
      </c>
      <c r="M240">
        <v>0</v>
      </c>
      <c r="N240">
        <v>0</v>
      </c>
      <c r="O240">
        <f t="shared" si="87"/>
        <v>0</v>
      </c>
      <c r="P240">
        <v>0</v>
      </c>
      <c r="Q240">
        <v>0</v>
      </c>
      <c r="R240">
        <v>0</v>
      </c>
      <c r="S240">
        <f t="shared" si="80"/>
        <v>0</v>
      </c>
      <c r="T240">
        <v>3.1</v>
      </c>
      <c r="U240">
        <v>0.2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f t="shared" si="81"/>
        <v>3.3000000000000003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0.1</v>
      </c>
      <c r="AI240">
        <v>12.3</v>
      </c>
      <c r="AJ240">
        <f t="shared" si="70"/>
        <v>12.4</v>
      </c>
      <c r="AK240">
        <v>0</v>
      </c>
      <c r="AL240">
        <v>0.71599999999999997</v>
      </c>
      <c r="AM240">
        <f t="shared" si="71"/>
        <v>0.28499999999999998</v>
      </c>
      <c r="AN240">
        <v>5981</v>
      </c>
      <c r="AO240" t="s">
        <v>13</v>
      </c>
      <c r="AP240" s="3">
        <f t="shared" si="88"/>
        <v>8365.0349650349635</v>
      </c>
      <c r="AQ240" t="s">
        <v>13</v>
      </c>
      <c r="AR240">
        <f t="shared" si="85"/>
        <v>0.43508771929824563</v>
      </c>
      <c r="AS240">
        <f t="shared" si="82"/>
        <v>0.16099999999999998</v>
      </c>
      <c r="AT240">
        <f t="shared" si="83"/>
        <v>1347</v>
      </c>
      <c r="AU240">
        <f t="shared" si="84"/>
        <v>1037</v>
      </c>
      <c r="AV240">
        <f t="shared" si="72"/>
        <v>811</v>
      </c>
      <c r="AW240">
        <f t="shared" si="73"/>
        <v>1116</v>
      </c>
      <c r="AX240" s="3">
        <f t="shared" si="74"/>
        <v>6438.0349650349635</v>
      </c>
      <c r="AY240">
        <f t="shared" si="75"/>
        <v>673</v>
      </c>
      <c r="AZ240">
        <f t="shared" si="76"/>
        <v>1137</v>
      </c>
      <c r="BA240" s="3">
        <f t="shared" si="77"/>
        <v>6555.0349650349635</v>
      </c>
    </row>
    <row r="241" spans="1:53" x14ac:dyDescent="0.2">
      <c r="A241">
        <v>2009</v>
      </c>
      <c r="B241" t="s">
        <v>61</v>
      </c>
      <c r="C241" t="s">
        <v>59</v>
      </c>
      <c r="D241">
        <v>7.3</v>
      </c>
      <c r="E241">
        <v>0</v>
      </c>
      <c r="F241">
        <v>0.3</v>
      </c>
      <c r="G241">
        <v>4.8</v>
      </c>
      <c r="H241">
        <v>0.8</v>
      </c>
      <c r="I241">
        <v>1.7</v>
      </c>
      <c r="J241">
        <v>0.9</v>
      </c>
      <c r="K241">
        <f t="shared" si="86"/>
        <v>15.799999999999999</v>
      </c>
      <c r="L241">
        <v>0</v>
      </c>
      <c r="M241">
        <v>0</v>
      </c>
      <c r="N241">
        <v>0</v>
      </c>
      <c r="O241">
        <f t="shared" si="87"/>
        <v>0</v>
      </c>
      <c r="P241">
        <v>0</v>
      </c>
      <c r="Q241">
        <v>0</v>
      </c>
      <c r="R241">
        <v>0.3</v>
      </c>
      <c r="S241">
        <f t="shared" si="80"/>
        <v>0.3</v>
      </c>
      <c r="T241">
        <v>1</v>
      </c>
      <c r="U241">
        <v>0.3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f t="shared" si="81"/>
        <v>1.3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5.5</v>
      </c>
      <c r="AJ241">
        <f t="shared" si="70"/>
        <v>5.5</v>
      </c>
      <c r="AK241">
        <v>0</v>
      </c>
      <c r="AL241">
        <v>0.77099999999999991</v>
      </c>
      <c r="AM241">
        <f t="shared" si="71"/>
        <v>0.22899999999999998</v>
      </c>
      <c r="AN241">
        <v>15526</v>
      </c>
      <c r="AO241" t="s">
        <v>13</v>
      </c>
      <c r="AP241" s="3">
        <f t="shared" si="88"/>
        <v>20137.483787289235</v>
      </c>
      <c r="AQ241" t="s">
        <v>13</v>
      </c>
      <c r="AR241">
        <f t="shared" si="85"/>
        <v>0.240174672489083</v>
      </c>
      <c r="AS241">
        <f t="shared" si="82"/>
        <v>0.17399999999999999</v>
      </c>
      <c r="AT241">
        <f t="shared" si="83"/>
        <v>3504</v>
      </c>
      <c r="AU241">
        <f t="shared" si="84"/>
        <v>1108</v>
      </c>
      <c r="AV241">
        <f t="shared" si="72"/>
        <v>1913</v>
      </c>
      <c r="AW241">
        <f t="shared" si="73"/>
        <v>1214</v>
      </c>
      <c r="AX241" s="3">
        <f t="shared" si="74"/>
        <v>17010.483787289235</v>
      </c>
      <c r="AY241">
        <f t="shared" si="75"/>
        <v>1752</v>
      </c>
      <c r="AZ241">
        <f t="shared" si="76"/>
        <v>1225</v>
      </c>
      <c r="BA241" s="3">
        <f t="shared" si="77"/>
        <v>17160.483787289235</v>
      </c>
    </row>
    <row r="242" spans="1:53" x14ac:dyDescent="0.2">
      <c r="A242">
        <v>2010</v>
      </c>
      <c r="B242" t="s">
        <v>61</v>
      </c>
      <c r="C242" t="s">
        <v>59</v>
      </c>
      <c r="D242">
        <v>5.9</v>
      </c>
      <c r="E242">
        <v>0</v>
      </c>
      <c r="F242">
        <v>0.6</v>
      </c>
      <c r="G242">
        <v>4.5999999999999996</v>
      </c>
      <c r="H242">
        <v>0.2</v>
      </c>
      <c r="I242">
        <v>0</v>
      </c>
      <c r="J242">
        <v>0.5</v>
      </c>
      <c r="K242">
        <f t="shared" si="86"/>
        <v>11.799999999999999</v>
      </c>
      <c r="L242">
        <v>0</v>
      </c>
      <c r="M242">
        <v>0</v>
      </c>
      <c r="N242">
        <v>0</v>
      </c>
      <c r="O242">
        <f t="shared" si="87"/>
        <v>0</v>
      </c>
      <c r="P242">
        <v>0</v>
      </c>
      <c r="Q242">
        <v>0</v>
      </c>
      <c r="R242">
        <v>0</v>
      </c>
      <c r="S242">
        <f t="shared" si="80"/>
        <v>0</v>
      </c>
      <c r="T242">
        <v>4</v>
      </c>
      <c r="U242">
        <v>0.6</v>
      </c>
      <c r="V242">
        <v>0.8</v>
      </c>
      <c r="W242">
        <v>0.3</v>
      </c>
      <c r="X242">
        <v>0</v>
      </c>
      <c r="Y242">
        <v>0</v>
      </c>
      <c r="Z242">
        <v>0</v>
      </c>
      <c r="AA242">
        <f t="shared" si="81"/>
        <v>5.6999999999999993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8.1</v>
      </c>
      <c r="AJ242">
        <f t="shared" si="70"/>
        <v>8.1</v>
      </c>
      <c r="AK242">
        <v>0</v>
      </c>
      <c r="AL242">
        <v>0.74400000000000011</v>
      </c>
      <c r="AM242">
        <f t="shared" si="71"/>
        <v>0.25600000000000006</v>
      </c>
      <c r="AN242">
        <v>32071</v>
      </c>
      <c r="AO242" t="s">
        <v>13</v>
      </c>
      <c r="AP242" s="3">
        <f t="shared" si="88"/>
        <v>43106.182795698922</v>
      </c>
      <c r="AQ242" t="s">
        <v>13</v>
      </c>
      <c r="AR242">
        <f t="shared" si="85"/>
        <v>0.31640624999999994</v>
      </c>
      <c r="AS242">
        <f t="shared" si="82"/>
        <v>0.17499999999999999</v>
      </c>
      <c r="AT242">
        <f t="shared" si="83"/>
        <v>7544</v>
      </c>
      <c r="AU242">
        <f t="shared" si="84"/>
        <v>3492</v>
      </c>
      <c r="AV242">
        <f t="shared" si="72"/>
        <v>5000</v>
      </c>
      <c r="AW242">
        <f t="shared" si="73"/>
        <v>3742</v>
      </c>
      <c r="AX242" s="3">
        <f t="shared" si="74"/>
        <v>34364.182795698922</v>
      </c>
      <c r="AY242">
        <f t="shared" si="75"/>
        <v>3772</v>
      </c>
      <c r="AZ242">
        <f t="shared" si="76"/>
        <v>3862</v>
      </c>
      <c r="BA242" s="3">
        <f t="shared" si="77"/>
        <v>35472.182795698922</v>
      </c>
    </row>
    <row r="243" spans="1:53" x14ac:dyDescent="0.2">
      <c r="A243">
        <v>2011</v>
      </c>
      <c r="B243" t="s">
        <v>61</v>
      </c>
      <c r="C243" t="s">
        <v>59</v>
      </c>
      <c r="D243">
        <v>6.6</v>
      </c>
      <c r="E243">
        <v>0</v>
      </c>
      <c r="F243">
        <v>0.7</v>
      </c>
      <c r="G243">
        <v>4.4000000000000004</v>
      </c>
      <c r="H243">
        <v>0.5</v>
      </c>
      <c r="I243">
        <v>2</v>
      </c>
      <c r="J243">
        <v>1.1000000000000001</v>
      </c>
      <c r="K243">
        <f t="shared" si="86"/>
        <v>15.299999999999999</v>
      </c>
      <c r="L243">
        <v>0</v>
      </c>
      <c r="M243">
        <v>0</v>
      </c>
      <c r="N243">
        <v>0</v>
      </c>
      <c r="O243">
        <f t="shared" si="87"/>
        <v>0</v>
      </c>
      <c r="P243">
        <v>0</v>
      </c>
      <c r="Q243">
        <v>0</v>
      </c>
      <c r="R243">
        <v>0</v>
      </c>
      <c r="S243">
        <f t="shared" si="80"/>
        <v>0</v>
      </c>
      <c r="T243">
        <v>5.0999999999999996</v>
      </c>
      <c r="U243">
        <v>0.4</v>
      </c>
      <c r="V243">
        <v>1.7</v>
      </c>
      <c r="W243">
        <v>0</v>
      </c>
      <c r="X243">
        <v>0</v>
      </c>
      <c r="Y243">
        <v>0</v>
      </c>
      <c r="Z243">
        <v>0</v>
      </c>
      <c r="AA243">
        <f t="shared" si="81"/>
        <v>7.2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18.3</v>
      </c>
      <c r="AJ243">
        <f t="shared" si="70"/>
        <v>18.3</v>
      </c>
      <c r="AK243">
        <v>0.1</v>
      </c>
      <c r="AL243">
        <v>0.59099999999999997</v>
      </c>
      <c r="AM243">
        <f t="shared" si="71"/>
        <v>0.40799999999999997</v>
      </c>
      <c r="AN243">
        <v>14124</v>
      </c>
      <c r="AO243" t="s">
        <v>13</v>
      </c>
      <c r="AP243" s="3">
        <f t="shared" si="88"/>
        <v>23858.108108108107</v>
      </c>
      <c r="AQ243" t="s">
        <v>13</v>
      </c>
      <c r="AR243">
        <f t="shared" si="85"/>
        <v>0.4485294117647059</v>
      </c>
      <c r="AS243">
        <f t="shared" si="82"/>
        <v>0.22500000000000001</v>
      </c>
      <c r="AT243">
        <f t="shared" si="83"/>
        <v>5368</v>
      </c>
      <c r="AU243">
        <f t="shared" si="84"/>
        <v>4366</v>
      </c>
      <c r="AV243">
        <f t="shared" si="72"/>
        <v>3543</v>
      </c>
      <c r="AW243">
        <f t="shared" si="73"/>
        <v>4797</v>
      </c>
      <c r="AX243" s="3">
        <f t="shared" si="74"/>
        <v>15518.108108108107</v>
      </c>
      <c r="AY243">
        <f t="shared" si="75"/>
        <v>2684</v>
      </c>
      <c r="AZ243">
        <f t="shared" si="76"/>
        <v>5000</v>
      </c>
      <c r="BA243" s="3">
        <f t="shared" si="77"/>
        <v>16174.108108108107</v>
      </c>
    </row>
    <row r="244" spans="1:53" x14ac:dyDescent="0.2">
      <c r="A244">
        <v>2012</v>
      </c>
      <c r="B244" t="s">
        <v>61</v>
      </c>
      <c r="C244" t="s">
        <v>59</v>
      </c>
      <c r="D244">
        <v>2.2000000000000002</v>
      </c>
      <c r="E244">
        <v>0.3</v>
      </c>
      <c r="F244">
        <v>0</v>
      </c>
      <c r="G244">
        <v>2.2000000000000002</v>
      </c>
      <c r="H244">
        <v>0.1</v>
      </c>
      <c r="I244">
        <v>3.2</v>
      </c>
      <c r="J244">
        <v>2.9</v>
      </c>
      <c r="K244">
        <f t="shared" si="86"/>
        <v>10.9</v>
      </c>
      <c r="L244">
        <v>0</v>
      </c>
      <c r="M244">
        <v>0</v>
      </c>
      <c r="N244">
        <v>0.3</v>
      </c>
      <c r="O244">
        <f t="shared" si="87"/>
        <v>0.3</v>
      </c>
      <c r="P244">
        <v>0</v>
      </c>
      <c r="Q244">
        <v>0</v>
      </c>
      <c r="R244">
        <v>0.7</v>
      </c>
      <c r="S244">
        <f t="shared" si="80"/>
        <v>0.7</v>
      </c>
      <c r="T244">
        <v>6.6</v>
      </c>
      <c r="U244">
        <v>0.5</v>
      </c>
      <c r="V244">
        <v>3.8</v>
      </c>
      <c r="W244">
        <v>0.6</v>
      </c>
      <c r="X244">
        <v>0</v>
      </c>
      <c r="Y244">
        <v>0</v>
      </c>
      <c r="Z244">
        <v>0.1</v>
      </c>
      <c r="AA244">
        <f t="shared" si="81"/>
        <v>11.599999999999998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21.6</v>
      </c>
      <c r="AJ244">
        <f t="shared" si="70"/>
        <v>21.6</v>
      </c>
      <c r="AK244">
        <v>0</v>
      </c>
      <c r="AL244">
        <v>0.54799999999999993</v>
      </c>
      <c r="AM244">
        <f t="shared" si="71"/>
        <v>0.45100000000000007</v>
      </c>
      <c r="AN244">
        <v>8117</v>
      </c>
      <c r="AO244" t="s">
        <v>13</v>
      </c>
      <c r="AP244" s="3">
        <f t="shared" si="88"/>
        <v>14785.063752276868</v>
      </c>
      <c r="AQ244" t="s">
        <v>13</v>
      </c>
      <c r="AR244">
        <f t="shared" si="85"/>
        <v>0.47893569844789358</v>
      </c>
      <c r="AS244">
        <f t="shared" si="82"/>
        <v>0.23499999999999999</v>
      </c>
      <c r="AT244">
        <f t="shared" si="83"/>
        <v>3474</v>
      </c>
      <c r="AU244">
        <f t="shared" si="84"/>
        <v>3194</v>
      </c>
      <c r="AV244">
        <f t="shared" si="72"/>
        <v>2669</v>
      </c>
      <c r="AW244">
        <f t="shared" si="73"/>
        <v>3421</v>
      </c>
      <c r="AX244" s="3">
        <f t="shared" si="74"/>
        <v>8695.0637522768684</v>
      </c>
      <c r="AY244">
        <f t="shared" si="75"/>
        <v>1737</v>
      </c>
      <c r="AZ244">
        <f t="shared" si="76"/>
        <v>3684</v>
      </c>
      <c r="BA244" s="3">
        <f t="shared" si="77"/>
        <v>9364.0637522768684</v>
      </c>
    </row>
    <row r="245" spans="1:53" x14ac:dyDescent="0.2">
      <c r="A245">
        <v>2013</v>
      </c>
      <c r="B245" t="s">
        <v>61</v>
      </c>
      <c r="C245" t="s">
        <v>59</v>
      </c>
      <c r="D245">
        <v>3.2</v>
      </c>
      <c r="E245">
        <v>0</v>
      </c>
      <c r="F245">
        <v>0.3</v>
      </c>
      <c r="G245">
        <v>4.5</v>
      </c>
      <c r="H245">
        <v>1.3</v>
      </c>
      <c r="I245">
        <v>0.9</v>
      </c>
      <c r="J245">
        <v>1</v>
      </c>
      <c r="K245">
        <f t="shared" si="86"/>
        <v>11.200000000000001</v>
      </c>
      <c r="L245">
        <v>0</v>
      </c>
      <c r="M245">
        <v>0</v>
      </c>
      <c r="N245">
        <v>0</v>
      </c>
      <c r="O245">
        <f t="shared" si="87"/>
        <v>0</v>
      </c>
      <c r="P245">
        <v>0</v>
      </c>
      <c r="Q245">
        <v>0</v>
      </c>
      <c r="R245">
        <v>0.2</v>
      </c>
      <c r="S245">
        <f t="shared" si="80"/>
        <v>0.2</v>
      </c>
      <c r="T245">
        <v>9.6999999999999993</v>
      </c>
      <c r="U245">
        <v>0.3</v>
      </c>
      <c r="V245">
        <v>5.7</v>
      </c>
      <c r="W245">
        <v>0.2</v>
      </c>
      <c r="X245">
        <v>0</v>
      </c>
      <c r="Y245">
        <v>0</v>
      </c>
      <c r="Z245">
        <v>0</v>
      </c>
      <c r="AA245">
        <f t="shared" si="81"/>
        <v>15.899999999999999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28.7</v>
      </c>
      <c r="AJ245">
        <f t="shared" si="70"/>
        <v>28.7</v>
      </c>
      <c r="AK245">
        <v>0</v>
      </c>
      <c r="AL245">
        <v>0.439</v>
      </c>
      <c r="AM245">
        <f t="shared" si="71"/>
        <v>0.56000000000000005</v>
      </c>
      <c r="AN245">
        <v>5358</v>
      </c>
      <c r="AO245" t="s">
        <v>13</v>
      </c>
      <c r="AP245" s="3">
        <f t="shared" si="88"/>
        <v>12177.272727272728</v>
      </c>
      <c r="AQ245" t="s">
        <v>13</v>
      </c>
      <c r="AR245">
        <f t="shared" si="85"/>
        <v>0.51249999999999996</v>
      </c>
      <c r="AS245">
        <f t="shared" si="82"/>
        <v>0.27299999999999996</v>
      </c>
      <c r="AT245">
        <f t="shared" si="83"/>
        <v>3324</v>
      </c>
      <c r="AU245">
        <f t="shared" si="84"/>
        <v>3495</v>
      </c>
      <c r="AV245">
        <f t="shared" si="72"/>
        <v>2642</v>
      </c>
      <c r="AW245">
        <f t="shared" si="73"/>
        <v>3764</v>
      </c>
      <c r="AX245" s="3">
        <f t="shared" si="74"/>
        <v>5771.2727272727279</v>
      </c>
      <c r="AY245">
        <f t="shared" si="75"/>
        <v>1662</v>
      </c>
      <c r="AZ245">
        <f t="shared" si="76"/>
        <v>4151</v>
      </c>
      <c r="BA245" s="3">
        <f t="shared" si="77"/>
        <v>6364.2727272727279</v>
      </c>
    </row>
    <row r="246" spans="1:53" x14ac:dyDescent="0.2">
      <c r="A246">
        <v>2014</v>
      </c>
      <c r="B246" t="s">
        <v>61</v>
      </c>
      <c r="C246" t="s">
        <v>59</v>
      </c>
      <c r="D246">
        <v>8.1</v>
      </c>
      <c r="E246">
        <v>0</v>
      </c>
      <c r="F246">
        <v>0.4</v>
      </c>
      <c r="G246">
        <v>5.8</v>
      </c>
      <c r="H246">
        <v>1</v>
      </c>
      <c r="I246">
        <v>2.9</v>
      </c>
      <c r="J246">
        <v>0</v>
      </c>
      <c r="K246">
        <f t="shared" si="86"/>
        <v>18.2</v>
      </c>
      <c r="L246">
        <v>0</v>
      </c>
      <c r="M246">
        <v>0</v>
      </c>
      <c r="N246">
        <v>0</v>
      </c>
      <c r="O246">
        <f t="shared" si="87"/>
        <v>0</v>
      </c>
      <c r="P246">
        <v>0</v>
      </c>
      <c r="Q246">
        <v>0</v>
      </c>
      <c r="R246">
        <v>0.2</v>
      </c>
      <c r="S246">
        <f t="shared" si="80"/>
        <v>0.2</v>
      </c>
      <c r="T246">
        <v>3.9</v>
      </c>
      <c r="U246">
        <v>0.2</v>
      </c>
      <c r="V246">
        <v>5.4</v>
      </c>
      <c r="W246">
        <v>0</v>
      </c>
      <c r="X246">
        <v>0</v>
      </c>
      <c r="Y246">
        <v>0</v>
      </c>
      <c r="Z246">
        <v>0</v>
      </c>
      <c r="AA246">
        <f t="shared" si="81"/>
        <v>9.5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18</v>
      </c>
      <c r="AJ246">
        <f t="shared" si="70"/>
        <v>18</v>
      </c>
      <c r="AK246">
        <v>0</v>
      </c>
      <c r="AL246">
        <v>0.53900000000000003</v>
      </c>
      <c r="AM246">
        <f t="shared" si="71"/>
        <v>0.45899999999999991</v>
      </c>
      <c r="AN246">
        <v>12586</v>
      </c>
      <c r="AO246" t="s">
        <v>13</v>
      </c>
      <c r="AP246" s="3">
        <f t="shared" si="88"/>
        <v>23264.325323475041</v>
      </c>
      <c r="AQ246" t="s">
        <v>13</v>
      </c>
      <c r="AR246">
        <f t="shared" si="85"/>
        <v>0.39215686274509809</v>
      </c>
      <c r="AS246">
        <f t="shared" si="82"/>
        <v>0.27899999999999997</v>
      </c>
      <c r="AT246">
        <f t="shared" si="83"/>
        <v>6491</v>
      </c>
      <c r="AU246">
        <f t="shared" si="84"/>
        <v>4188</v>
      </c>
      <c r="AV246">
        <f t="shared" si="72"/>
        <v>4374</v>
      </c>
      <c r="AW246">
        <f t="shared" si="73"/>
        <v>4717</v>
      </c>
      <c r="AX246" s="3">
        <f t="shared" si="74"/>
        <v>14173.325323475041</v>
      </c>
      <c r="AY246">
        <f t="shared" si="75"/>
        <v>3245</v>
      </c>
      <c r="AZ246">
        <f t="shared" si="76"/>
        <v>4998</v>
      </c>
      <c r="BA246" s="3">
        <f t="shared" si="77"/>
        <v>15021.325323475041</v>
      </c>
    </row>
    <row r="247" spans="1:53" x14ac:dyDescent="0.2">
      <c r="A247">
        <v>2015</v>
      </c>
      <c r="B247" t="s">
        <v>61</v>
      </c>
      <c r="C247" t="s">
        <v>59</v>
      </c>
      <c r="D247">
        <v>3.2</v>
      </c>
      <c r="E247">
        <v>0</v>
      </c>
      <c r="F247">
        <v>0.2</v>
      </c>
      <c r="G247">
        <v>0.9</v>
      </c>
      <c r="H247">
        <v>0.2</v>
      </c>
      <c r="I247">
        <v>0.5</v>
      </c>
      <c r="J247">
        <v>0.2</v>
      </c>
      <c r="K247">
        <f t="shared" si="86"/>
        <v>5.2000000000000011</v>
      </c>
      <c r="L247">
        <v>0</v>
      </c>
      <c r="M247">
        <v>0</v>
      </c>
      <c r="N247">
        <v>0</v>
      </c>
      <c r="O247">
        <f t="shared" si="87"/>
        <v>0</v>
      </c>
      <c r="P247">
        <v>0</v>
      </c>
      <c r="Q247">
        <v>0</v>
      </c>
      <c r="R247">
        <v>0</v>
      </c>
      <c r="S247">
        <f t="shared" si="80"/>
        <v>0</v>
      </c>
      <c r="T247">
        <v>2.1</v>
      </c>
      <c r="U247">
        <v>0.4</v>
      </c>
      <c r="V247">
        <v>1.9</v>
      </c>
      <c r="W247">
        <v>0.1</v>
      </c>
      <c r="X247">
        <v>0</v>
      </c>
      <c r="Y247">
        <v>0</v>
      </c>
      <c r="Z247">
        <v>0</v>
      </c>
      <c r="AA247">
        <f t="shared" si="81"/>
        <v>4.5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27.7</v>
      </c>
      <c r="AJ247">
        <f t="shared" si="70"/>
        <v>27.7</v>
      </c>
      <c r="AK247">
        <v>0.1</v>
      </c>
      <c r="AL247">
        <v>0.624</v>
      </c>
      <c r="AM247">
        <f t="shared" si="71"/>
        <v>0.37400000000000011</v>
      </c>
      <c r="AN247">
        <v>14669</v>
      </c>
      <c r="AO247" t="s">
        <v>13</v>
      </c>
      <c r="AP247" s="3">
        <f t="shared" si="88"/>
        <v>23432.907348242814</v>
      </c>
      <c r="AQ247" t="s">
        <v>13</v>
      </c>
      <c r="AR247">
        <f t="shared" si="85"/>
        <v>0.74064171122994626</v>
      </c>
      <c r="AS247">
        <f t="shared" si="82"/>
        <v>9.7000000000000017E-2</v>
      </c>
      <c r="AT247">
        <f t="shared" si="83"/>
        <v>2273</v>
      </c>
      <c r="AU247">
        <f t="shared" si="84"/>
        <v>6491</v>
      </c>
      <c r="AV247">
        <f t="shared" si="72"/>
        <v>1664</v>
      </c>
      <c r="AW247">
        <f t="shared" si="73"/>
        <v>6678</v>
      </c>
      <c r="AX247" s="3">
        <f t="shared" si="74"/>
        <v>15090.907348242814</v>
      </c>
      <c r="AY247">
        <f t="shared" si="75"/>
        <v>1136</v>
      </c>
      <c r="AZ247">
        <f t="shared" si="76"/>
        <v>6840</v>
      </c>
      <c r="BA247" s="3">
        <f t="shared" si="77"/>
        <v>15456.907348242814</v>
      </c>
    </row>
    <row r="248" spans="1:53" x14ac:dyDescent="0.2">
      <c r="A248">
        <v>2016</v>
      </c>
      <c r="B248" t="s">
        <v>61</v>
      </c>
      <c r="C248" t="s">
        <v>59</v>
      </c>
      <c r="D248">
        <v>8.6999999999999993</v>
      </c>
      <c r="E248">
        <v>0.2</v>
      </c>
      <c r="F248">
        <v>0.4</v>
      </c>
      <c r="G248">
        <v>10</v>
      </c>
      <c r="H248">
        <v>0.5</v>
      </c>
      <c r="I248">
        <v>1.7</v>
      </c>
      <c r="J248">
        <v>0.7</v>
      </c>
      <c r="K248">
        <f t="shared" si="86"/>
        <v>22.199999999999996</v>
      </c>
      <c r="L248">
        <v>0</v>
      </c>
      <c r="M248">
        <v>0</v>
      </c>
      <c r="N248">
        <v>0</v>
      </c>
      <c r="O248">
        <f t="shared" si="87"/>
        <v>0</v>
      </c>
      <c r="P248">
        <v>0</v>
      </c>
      <c r="Q248">
        <v>0</v>
      </c>
      <c r="R248">
        <v>0</v>
      </c>
      <c r="S248">
        <f t="shared" si="80"/>
        <v>0</v>
      </c>
      <c r="T248">
        <v>1.9</v>
      </c>
      <c r="U248">
        <v>0.3</v>
      </c>
      <c r="V248">
        <v>2</v>
      </c>
      <c r="W248">
        <v>0.1</v>
      </c>
      <c r="X248">
        <v>0</v>
      </c>
      <c r="Y248">
        <v>0</v>
      </c>
      <c r="Z248">
        <v>0</v>
      </c>
      <c r="AA248">
        <f t="shared" si="81"/>
        <v>4.2999999999999989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14.2</v>
      </c>
      <c r="AJ248">
        <f t="shared" si="70"/>
        <v>14.2</v>
      </c>
      <c r="AK248">
        <v>0.4</v>
      </c>
      <c r="AL248">
        <v>0.58700000000000008</v>
      </c>
      <c r="AM248">
        <f t="shared" si="71"/>
        <v>0.40700000000000003</v>
      </c>
      <c r="AN248">
        <v>9720</v>
      </c>
      <c r="AO248" t="s">
        <v>13</v>
      </c>
      <c r="AP248" s="3">
        <f t="shared" si="88"/>
        <v>16391.231028667793</v>
      </c>
      <c r="AQ248" t="s">
        <v>13</v>
      </c>
      <c r="AR248">
        <f t="shared" si="85"/>
        <v>0.34889434889434884</v>
      </c>
      <c r="AS248">
        <f t="shared" si="82"/>
        <v>0.2649999999999999</v>
      </c>
      <c r="AT248">
        <f t="shared" si="83"/>
        <v>4344</v>
      </c>
      <c r="AU248">
        <f t="shared" si="84"/>
        <v>2328</v>
      </c>
      <c r="AV248">
        <f t="shared" si="72"/>
        <v>2524</v>
      </c>
      <c r="AW248">
        <f t="shared" si="73"/>
        <v>2680</v>
      </c>
      <c r="AX248" s="3">
        <f t="shared" si="74"/>
        <v>11187.231028667793</v>
      </c>
      <c r="AY248">
        <f t="shared" si="75"/>
        <v>2172</v>
      </c>
      <c r="AZ248">
        <f t="shared" si="76"/>
        <v>2748</v>
      </c>
      <c r="BA248" s="3">
        <f t="shared" si="77"/>
        <v>11471.231028667793</v>
      </c>
    </row>
    <row r="249" spans="1:53" x14ac:dyDescent="0.2">
      <c r="A249">
        <v>2017</v>
      </c>
      <c r="B249" t="s">
        <v>61</v>
      </c>
      <c r="C249" t="s">
        <v>59</v>
      </c>
      <c r="D249">
        <v>2.9</v>
      </c>
      <c r="E249">
        <v>0</v>
      </c>
      <c r="F249">
        <v>0</v>
      </c>
      <c r="G249">
        <v>7.7</v>
      </c>
      <c r="H249">
        <v>0.9</v>
      </c>
      <c r="I249">
        <v>2</v>
      </c>
      <c r="J249">
        <v>0.4</v>
      </c>
      <c r="K249">
        <f t="shared" si="86"/>
        <v>13.9</v>
      </c>
      <c r="L249">
        <v>0</v>
      </c>
      <c r="M249">
        <v>0</v>
      </c>
      <c r="N249">
        <v>0</v>
      </c>
      <c r="O249">
        <f t="shared" si="87"/>
        <v>0</v>
      </c>
      <c r="P249">
        <v>0</v>
      </c>
      <c r="Q249">
        <v>0</v>
      </c>
      <c r="R249">
        <v>1.2</v>
      </c>
      <c r="S249">
        <f t="shared" si="80"/>
        <v>1.2</v>
      </c>
      <c r="T249">
        <v>1.5</v>
      </c>
      <c r="U249">
        <v>0.2</v>
      </c>
      <c r="V249">
        <v>1.2</v>
      </c>
      <c r="W249">
        <v>0.2</v>
      </c>
      <c r="X249">
        <v>0</v>
      </c>
      <c r="Y249">
        <v>0</v>
      </c>
      <c r="Z249">
        <v>0.1</v>
      </c>
      <c r="AA249">
        <f t="shared" si="81"/>
        <v>3.2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18.3</v>
      </c>
      <c r="AJ249">
        <f t="shared" si="70"/>
        <v>18.3</v>
      </c>
      <c r="AK249">
        <v>0</v>
      </c>
      <c r="AL249">
        <v>0.63400000000000001</v>
      </c>
      <c r="AM249">
        <f t="shared" si="71"/>
        <v>0.36599999999999994</v>
      </c>
      <c r="AN249">
        <v>6470</v>
      </c>
      <c r="AO249" t="s">
        <v>13</v>
      </c>
      <c r="AP249" s="3">
        <f t="shared" si="88"/>
        <v>10205.047318611985</v>
      </c>
      <c r="AQ249" t="s">
        <v>13</v>
      </c>
      <c r="AR249">
        <f t="shared" si="85"/>
        <v>0.50000000000000011</v>
      </c>
      <c r="AS249">
        <f t="shared" si="82"/>
        <v>0.183</v>
      </c>
      <c r="AT249">
        <f t="shared" si="83"/>
        <v>1868</v>
      </c>
      <c r="AU249">
        <f t="shared" si="84"/>
        <v>1868</v>
      </c>
      <c r="AV249">
        <f t="shared" si="72"/>
        <v>1158</v>
      </c>
      <c r="AW249">
        <f t="shared" si="73"/>
        <v>2027</v>
      </c>
      <c r="AX249" s="3">
        <f t="shared" si="74"/>
        <v>7020.0473186119852</v>
      </c>
      <c r="AY249">
        <f t="shared" si="75"/>
        <v>934</v>
      </c>
      <c r="AZ249">
        <f t="shared" si="76"/>
        <v>2077</v>
      </c>
      <c r="BA249" s="3">
        <f t="shared" si="77"/>
        <v>7194.0473186119852</v>
      </c>
    </row>
    <row r="250" spans="1:53" x14ac:dyDescent="0.2">
      <c r="A250">
        <v>2018</v>
      </c>
      <c r="B250" t="s">
        <v>61</v>
      </c>
      <c r="C250" t="s">
        <v>59</v>
      </c>
      <c r="D250">
        <v>7.1</v>
      </c>
      <c r="E250">
        <v>0.3</v>
      </c>
      <c r="F250">
        <v>0</v>
      </c>
      <c r="G250">
        <v>4.9000000000000004</v>
      </c>
      <c r="H250">
        <v>1.8</v>
      </c>
      <c r="I250">
        <v>1.6</v>
      </c>
      <c r="J250">
        <v>3</v>
      </c>
      <c r="K250">
        <f t="shared" si="86"/>
        <v>18.700000000000003</v>
      </c>
      <c r="L250">
        <v>0</v>
      </c>
      <c r="M250">
        <v>0</v>
      </c>
      <c r="N250">
        <v>0.4</v>
      </c>
      <c r="O250">
        <f t="shared" si="87"/>
        <v>0.4</v>
      </c>
      <c r="P250">
        <v>0</v>
      </c>
      <c r="Q250">
        <v>0</v>
      </c>
      <c r="R250">
        <v>0</v>
      </c>
      <c r="S250">
        <f t="shared" si="80"/>
        <v>0</v>
      </c>
      <c r="T250">
        <v>3.5</v>
      </c>
      <c r="U250">
        <v>0.3</v>
      </c>
      <c r="V250">
        <v>1.1000000000000001</v>
      </c>
      <c r="W250">
        <v>0.6</v>
      </c>
      <c r="X250">
        <v>0</v>
      </c>
      <c r="Y250">
        <v>0</v>
      </c>
      <c r="Z250">
        <v>0</v>
      </c>
      <c r="AA250">
        <f t="shared" si="81"/>
        <v>5.5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48</v>
      </c>
      <c r="AJ250">
        <f t="shared" si="70"/>
        <v>48</v>
      </c>
      <c r="AK250">
        <v>0</v>
      </c>
      <c r="AL250">
        <v>0.27500000000000002</v>
      </c>
      <c r="AM250">
        <f t="shared" si="71"/>
        <v>0.72599999999999998</v>
      </c>
      <c r="AN250">
        <v>498</v>
      </c>
      <c r="AO250" t="s">
        <v>13</v>
      </c>
      <c r="AP250" s="3">
        <f t="shared" si="88"/>
        <v>1817.5182481751824</v>
      </c>
      <c r="AQ250" t="s">
        <v>13</v>
      </c>
      <c r="AR250">
        <f t="shared" si="85"/>
        <v>0.66115702479338845</v>
      </c>
      <c r="AS250">
        <f t="shared" si="82"/>
        <v>0.24600000000000002</v>
      </c>
      <c r="AT250">
        <f t="shared" si="83"/>
        <v>447</v>
      </c>
      <c r="AU250">
        <f t="shared" si="84"/>
        <v>872</v>
      </c>
      <c r="AV250">
        <f t="shared" si="72"/>
        <v>277</v>
      </c>
      <c r="AW250">
        <f t="shared" si="73"/>
        <v>980</v>
      </c>
      <c r="AX250" s="3">
        <f t="shared" si="74"/>
        <v>560.51824817518241</v>
      </c>
      <c r="AY250">
        <f t="shared" si="75"/>
        <v>224</v>
      </c>
      <c r="AZ250">
        <f t="shared" si="76"/>
        <v>1014</v>
      </c>
      <c r="BA250" s="3">
        <f t="shared" si="77"/>
        <v>579.51824817518241</v>
      </c>
    </row>
    <row r="251" spans="1:53" x14ac:dyDescent="0.2">
      <c r="A251">
        <v>2019</v>
      </c>
      <c r="B251" t="s">
        <v>61</v>
      </c>
      <c r="C251" t="s">
        <v>59</v>
      </c>
      <c r="D251">
        <v>7.8</v>
      </c>
      <c r="E251">
        <v>0</v>
      </c>
      <c r="F251">
        <v>0.2</v>
      </c>
      <c r="G251">
        <v>5.2</v>
      </c>
      <c r="H251">
        <v>0.3</v>
      </c>
      <c r="I251">
        <v>3.1</v>
      </c>
      <c r="J251">
        <v>0</v>
      </c>
      <c r="K251">
        <f t="shared" si="86"/>
        <v>16.600000000000001</v>
      </c>
      <c r="L251">
        <v>0</v>
      </c>
      <c r="M251">
        <v>0</v>
      </c>
      <c r="N251">
        <v>0.1</v>
      </c>
      <c r="O251">
        <f t="shared" si="87"/>
        <v>0.1</v>
      </c>
      <c r="P251">
        <v>0</v>
      </c>
      <c r="Q251">
        <v>0</v>
      </c>
      <c r="R251">
        <v>0</v>
      </c>
      <c r="S251">
        <f t="shared" si="80"/>
        <v>0</v>
      </c>
      <c r="T251">
        <v>3.3</v>
      </c>
      <c r="U251">
        <v>0.3</v>
      </c>
      <c r="V251">
        <v>5.4</v>
      </c>
      <c r="W251">
        <v>0.2</v>
      </c>
      <c r="X251">
        <v>0</v>
      </c>
      <c r="Y251">
        <v>0</v>
      </c>
      <c r="Z251">
        <v>0</v>
      </c>
      <c r="AA251">
        <f t="shared" si="81"/>
        <v>9.1999999999999993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42.5</v>
      </c>
      <c r="AJ251">
        <f t="shared" si="70"/>
        <v>42.5</v>
      </c>
      <c r="AK251">
        <v>0</v>
      </c>
      <c r="AL251">
        <v>0.316</v>
      </c>
      <c r="AM251">
        <f t="shared" si="71"/>
        <v>0.68399999999999994</v>
      </c>
      <c r="AN251">
        <v>275</v>
      </c>
      <c r="AO251" t="s">
        <v>13</v>
      </c>
      <c r="AP251" s="3">
        <f t="shared" si="88"/>
        <v>870.25316455696191</v>
      </c>
      <c r="AQ251" t="s">
        <v>13</v>
      </c>
      <c r="AR251">
        <f t="shared" si="85"/>
        <v>0.62134502923976609</v>
      </c>
      <c r="AS251">
        <f t="shared" si="82"/>
        <v>0.25900000000000001</v>
      </c>
      <c r="AT251">
        <f t="shared" si="83"/>
        <v>225</v>
      </c>
      <c r="AU251">
        <f t="shared" si="84"/>
        <v>370</v>
      </c>
      <c r="AV251">
        <f t="shared" si="72"/>
        <v>153</v>
      </c>
      <c r="AW251">
        <f t="shared" si="73"/>
        <v>411</v>
      </c>
      <c r="AX251" s="3">
        <f t="shared" si="74"/>
        <v>306.25316455696191</v>
      </c>
      <c r="AY251">
        <f t="shared" si="75"/>
        <v>113</v>
      </c>
      <c r="AZ251">
        <f t="shared" si="76"/>
        <v>434</v>
      </c>
      <c r="BA251" s="3">
        <f t="shared" si="77"/>
        <v>323.25316455696191</v>
      </c>
    </row>
    <row r="252" spans="1:53" x14ac:dyDescent="0.2">
      <c r="A252">
        <v>2020</v>
      </c>
      <c r="B252" t="s">
        <v>61</v>
      </c>
      <c r="C252" t="s">
        <v>59</v>
      </c>
      <c r="D252">
        <v>7.8</v>
      </c>
      <c r="E252">
        <v>0</v>
      </c>
      <c r="F252">
        <v>0.3</v>
      </c>
      <c r="G252">
        <v>2.1</v>
      </c>
      <c r="H252">
        <v>0.1</v>
      </c>
      <c r="I252">
        <v>2.8</v>
      </c>
      <c r="J252">
        <v>1</v>
      </c>
      <c r="K252">
        <f t="shared" si="86"/>
        <v>14.099999999999998</v>
      </c>
      <c r="L252">
        <v>0</v>
      </c>
      <c r="M252">
        <v>0</v>
      </c>
      <c r="N252">
        <v>0</v>
      </c>
      <c r="O252">
        <f t="shared" si="87"/>
        <v>0</v>
      </c>
      <c r="P252">
        <v>0</v>
      </c>
      <c r="Q252">
        <v>0</v>
      </c>
      <c r="R252">
        <v>0</v>
      </c>
      <c r="S252">
        <f t="shared" si="80"/>
        <v>0</v>
      </c>
      <c r="T252">
        <v>3.4</v>
      </c>
      <c r="U252">
        <v>0.5</v>
      </c>
      <c r="V252">
        <v>0.9</v>
      </c>
      <c r="W252">
        <v>0.3</v>
      </c>
      <c r="X252">
        <v>0</v>
      </c>
      <c r="Y252">
        <v>0</v>
      </c>
      <c r="Z252">
        <v>0</v>
      </c>
      <c r="AA252">
        <f t="shared" si="81"/>
        <v>5.0999999999999996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4.0999999999999996</v>
      </c>
      <c r="AJ252">
        <f t="shared" si="70"/>
        <v>4.0999999999999996</v>
      </c>
      <c r="AK252">
        <v>0</v>
      </c>
      <c r="AL252">
        <v>0.76700000000000002</v>
      </c>
      <c r="AM252">
        <f t="shared" si="71"/>
        <v>0.23300000000000004</v>
      </c>
      <c r="AN252">
        <v>879</v>
      </c>
      <c r="AO252" t="s">
        <v>13</v>
      </c>
      <c r="AP252" s="3">
        <f t="shared" si="88"/>
        <v>1146.0234680573665</v>
      </c>
      <c r="AQ252" t="s">
        <v>13</v>
      </c>
      <c r="AR252">
        <f t="shared" si="85"/>
        <v>0.17596566523605145</v>
      </c>
      <c r="AS252">
        <f t="shared" si="82"/>
        <v>0.19199999999999995</v>
      </c>
      <c r="AT252">
        <f t="shared" si="83"/>
        <v>220</v>
      </c>
      <c r="AU252">
        <f t="shared" si="84"/>
        <v>47</v>
      </c>
      <c r="AV252">
        <f t="shared" si="72"/>
        <v>139</v>
      </c>
      <c r="AW252">
        <f t="shared" si="73"/>
        <v>51</v>
      </c>
      <c r="AX252" s="3">
        <f t="shared" si="74"/>
        <v>956.02346805736647</v>
      </c>
      <c r="AY252">
        <f t="shared" si="75"/>
        <v>110</v>
      </c>
      <c r="AZ252">
        <f t="shared" si="76"/>
        <v>53</v>
      </c>
      <c r="BA252" s="3">
        <f t="shared" si="77"/>
        <v>983.02346805736647</v>
      </c>
    </row>
    <row r="253" spans="1:53" x14ac:dyDescent="0.2">
      <c r="A253">
        <v>2021</v>
      </c>
      <c r="B253" t="s">
        <v>61</v>
      </c>
      <c r="C253" t="s">
        <v>59</v>
      </c>
      <c r="D253">
        <v>8</v>
      </c>
      <c r="E253">
        <v>0</v>
      </c>
      <c r="F253">
        <v>0</v>
      </c>
      <c r="G253">
        <v>4.9000000000000004</v>
      </c>
      <c r="H253">
        <v>0.2</v>
      </c>
      <c r="I253">
        <v>5.5</v>
      </c>
      <c r="J253">
        <v>0.9</v>
      </c>
      <c r="K253">
        <f t="shared" si="86"/>
        <v>19.5</v>
      </c>
      <c r="L253">
        <v>0</v>
      </c>
      <c r="M253">
        <v>0</v>
      </c>
      <c r="N253">
        <v>0</v>
      </c>
      <c r="O253">
        <f t="shared" si="87"/>
        <v>0</v>
      </c>
      <c r="P253">
        <v>0</v>
      </c>
      <c r="Q253">
        <v>0</v>
      </c>
      <c r="R253">
        <v>0</v>
      </c>
      <c r="S253">
        <f t="shared" si="80"/>
        <v>0</v>
      </c>
      <c r="T253">
        <v>2.2999999999999998</v>
      </c>
      <c r="U253">
        <v>0.5</v>
      </c>
      <c r="V253">
        <v>4</v>
      </c>
      <c r="W253">
        <v>0</v>
      </c>
      <c r="X253">
        <v>0</v>
      </c>
      <c r="Y253">
        <v>0</v>
      </c>
      <c r="Z253">
        <v>0</v>
      </c>
      <c r="AA253">
        <f t="shared" si="81"/>
        <v>6.8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0.5</v>
      </c>
      <c r="AJ253">
        <f t="shared" si="70"/>
        <v>0.5</v>
      </c>
      <c r="AK253">
        <v>0</v>
      </c>
      <c r="AL253">
        <v>0.73199999999999998</v>
      </c>
      <c r="AM253">
        <f t="shared" si="71"/>
        <v>0.26800000000000002</v>
      </c>
      <c r="AN253">
        <v>371</v>
      </c>
      <c r="AO253" t="s">
        <v>13</v>
      </c>
      <c r="AP253" s="3">
        <f t="shared" si="88"/>
        <v>506.83060109289619</v>
      </c>
      <c r="AQ253" t="s">
        <v>13</v>
      </c>
      <c r="AR253">
        <f t="shared" si="85"/>
        <v>1.8656716417910446E-2</v>
      </c>
      <c r="AS253">
        <f t="shared" si="82"/>
        <v>0.26300000000000001</v>
      </c>
      <c r="AT253">
        <f t="shared" si="83"/>
        <v>133</v>
      </c>
      <c r="AU253">
        <f t="shared" si="84"/>
        <v>3</v>
      </c>
      <c r="AV253">
        <f t="shared" si="72"/>
        <v>84</v>
      </c>
      <c r="AW253">
        <f t="shared" si="73"/>
        <v>3</v>
      </c>
      <c r="AX253" s="3">
        <f t="shared" si="74"/>
        <v>419.83060109289619</v>
      </c>
      <c r="AY253">
        <f t="shared" si="75"/>
        <v>67</v>
      </c>
      <c r="AZ253">
        <f t="shared" si="76"/>
        <v>4</v>
      </c>
      <c r="BA253" s="3">
        <f t="shared" si="77"/>
        <v>435.83060109289619</v>
      </c>
    </row>
    <row r="254" spans="1:53" x14ac:dyDescent="0.2">
      <c r="A254">
        <v>2022</v>
      </c>
      <c r="B254" t="s">
        <v>61</v>
      </c>
      <c r="C254" t="s">
        <v>59</v>
      </c>
      <c r="D254">
        <v>15</v>
      </c>
      <c r="E254">
        <v>0</v>
      </c>
      <c r="F254">
        <v>0.4</v>
      </c>
      <c r="G254">
        <v>8.1999999999999993</v>
      </c>
      <c r="H254">
        <v>0.3</v>
      </c>
      <c r="I254">
        <v>1.2</v>
      </c>
      <c r="J254">
        <v>0</v>
      </c>
      <c r="K254">
        <f t="shared" si="86"/>
        <v>25.1</v>
      </c>
      <c r="L254">
        <v>0</v>
      </c>
      <c r="M254">
        <v>0</v>
      </c>
      <c r="N254">
        <v>0</v>
      </c>
      <c r="O254">
        <f t="shared" si="87"/>
        <v>0</v>
      </c>
      <c r="P254">
        <v>0</v>
      </c>
      <c r="Q254">
        <v>0</v>
      </c>
      <c r="R254">
        <v>0.5</v>
      </c>
      <c r="S254">
        <f t="shared" si="80"/>
        <v>0.5</v>
      </c>
      <c r="T254">
        <v>2.9</v>
      </c>
      <c r="U254">
        <v>0.2</v>
      </c>
      <c r="V254">
        <v>1.8</v>
      </c>
      <c r="W254">
        <v>0.6</v>
      </c>
      <c r="X254">
        <v>0</v>
      </c>
      <c r="Y254">
        <v>0</v>
      </c>
      <c r="Z254">
        <v>0</v>
      </c>
      <c r="AA254">
        <f t="shared" si="81"/>
        <v>5.5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0.2</v>
      </c>
      <c r="AJ254">
        <f t="shared" si="70"/>
        <v>0.2</v>
      </c>
      <c r="AK254">
        <v>0</v>
      </c>
      <c r="AL254">
        <v>0.68700000000000006</v>
      </c>
      <c r="AM254">
        <f t="shared" si="71"/>
        <v>0.31299999999999994</v>
      </c>
      <c r="AN254">
        <v>738</v>
      </c>
      <c r="AO254" t="s">
        <v>13</v>
      </c>
      <c r="AP254" s="3">
        <f t="shared" si="88"/>
        <v>1074.235807860262</v>
      </c>
      <c r="AQ254" t="s">
        <v>13</v>
      </c>
      <c r="AR254">
        <f t="shared" si="85"/>
        <v>6.3897763578274775E-3</v>
      </c>
      <c r="AS254">
        <f t="shared" si="82"/>
        <v>0.311</v>
      </c>
      <c r="AT254">
        <f t="shared" si="83"/>
        <v>334</v>
      </c>
      <c r="AU254">
        <f t="shared" si="84"/>
        <v>2</v>
      </c>
      <c r="AV254">
        <f t="shared" si="72"/>
        <v>199</v>
      </c>
      <c r="AW254">
        <f t="shared" si="73"/>
        <v>2</v>
      </c>
      <c r="AX254" s="3">
        <f t="shared" si="74"/>
        <v>873.23580786026196</v>
      </c>
      <c r="AY254">
        <f t="shared" si="75"/>
        <v>167</v>
      </c>
      <c r="AZ254">
        <f t="shared" si="76"/>
        <v>2</v>
      </c>
      <c r="BA254" s="3">
        <f t="shared" si="77"/>
        <v>905.23580786026196</v>
      </c>
    </row>
    <row r="255" spans="1:53" x14ac:dyDescent="0.2">
      <c r="A255">
        <v>2023</v>
      </c>
      <c r="B255" t="s">
        <v>61</v>
      </c>
      <c r="C255" t="s">
        <v>59</v>
      </c>
      <c r="D255" t="s">
        <v>13</v>
      </c>
      <c r="E255" t="s">
        <v>13</v>
      </c>
      <c r="F255" t="s">
        <v>13</v>
      </c>
      <c r="G255" t="s">
        <v>13</v>
      </c>
      <c r="H255" t="s">
        <v>13</v>
      </c>
      <c r="I255" t="s">
        <v>13</v>
      </c>
      <c r="J255" t="s">
        <v>13</v>
      </c>
      <c r="K255" t="s">
        <v>13</v>
      </c>
      <c r="L255" t="s">
        <v>13</v>
      </c>
      <c r="M255" t="s">
        <v>13</v>
      </c>
      <c r="N255" t="s">
        <v>13</v>
      </c>
      <c r="O255" t="s">
        <v>13</v>
      </c>
      <c r="P255" t="s">
        <v>13</v>
      </c>
      <c r="Q255" t="s">
        <v>13</v>
      </c>
      <c r="R255" t="s">
        <v>13</v>
      </c>
      <c r="S255" t="s">
        <v>13</v>
      </c>
      <c r="T255" t="s">
        <v>13</v>
      </c>
      <c r="U255" t="s">
        <v>13</v>
      </c>
      <c r="V255" t="s">
        <v>13</v>
      </c>
      <c r="W255" t="s">
        <v>13</v>
      </c>
      <c r="X255" t="s">
        <v>13</v>
      </c>
      <c r="Y255" t="s">
        <v>13</v>
      </c>
      <c r="Z255" t="s">
        <v>13</v>
      </c>
      <c r="AA255" t="s">
        <v>13</v>
      </c>
      <c r="AB255" t="s">
        <v>13</v>
      </c>
      <c r="AC255" t="s">
        <v>13</v>
      </c>
      <c r="AD255" t="s">
        <v>13</v>
      </c>
      <c r="AE255" t="s">
        <v>13</v>
      </c>
      <c r="AF255" t="s">
        <v>13</v>
      </c>
      <c r="AG255" t="s">
        <v>13</v>
      </c>
      <c r="AH255" t="s">
        <v>13</v>
      </c>
      <c r="AI255" t="s">
        <v>13</v>
      </c>
      <c r="AJ255" t="s">
        <v>13</v>
      </c>
      <c r="AK255" t="s">
        <v>13</v>
      </c>
      <c r="AL255" t="s">
        <v>13</v>
      </c>
      <c r="AM255">
        <f t="shared" si="71"/>
        <v>0</v>
      </c>
      <c r="AN255">
        <v>849</v>
      </c>
      <c r="AO255" t="s">
        <v>13</v>
      </c>
      <c r="AP255" t="s">
        <v>13</v>
      </c>
      <c r="AQ255" t="s">
        <v>13</v>
      </c>
      <c r="AR255" t="s">
        <v>13</v>
      </c>
      <c r="AS255" t="s">
        <v>13</v>
      </c>
      <c r="AT255" t="s">
        <v>13</v>
      </c>
      <c r="AU255" t="s">
        <v>13</v>
      </c>
      <c r="AV255" t="s">
        <v>13</v>
      </c>
      <c r="AW255" t="s">
        <v>13</v>
      </c>
      <c r="AX255" t="s">
        <v>13</v>
      </c>
      <c r="AY255" t="s">
        <v>13</v>
      </c>
      <c r="AZ255" t="s">
        <v>13</v>
      </c>
      <c r="BA255" t="s">
        <v>13</v>
      </c>
    </row>
    <row r="256" spans="1:53" x14ac:dyDescent="0.2">
      <c r="A256">
        <v>1989</v>
      </c>
      <c r="B256" t="s">
        <v>62</v>
      </c>
      <c r="C256" t="s">
        <v>63</v>
      </c>
      <c r="D256">
        <v>0</v>
      </c>
      <c r="E256">
        <v>0</v>
      </c>
      <c r="F256">
        <v>0</v>
      </c>
      <c r="G256">
        <v>0.4</v>
      </c>
      <c r="H256">
        <v>0</v>
      </c>
      <c r="I256">
        <v>9</v>
      </c>
      <c r="J256">
        <v>0.6</v>
      </c>
      <c r="K256">
        <f t="shared" si="86"/>
        <v>10</v>
      </c>
      <c r="L256">
        <v>0.2</v>
      </c>
      <c r="M256">
        <v>0</v>
      </c>
      <c r="N256">
        <v>0</v>
      </c>
      <c r="O256">
        <f t="shared" si="87"/>
        <v>0.2</v>
      </c>
      <c r="P256" s="1">
        <v>0.3</v>
      </c>
      <c r="Q256" s="1">
        <v>3.6</v>
      </c>
      <c r="R256" s="1">
        <v>7.9</v>
      </c>
      <c r="S256">
        <f t="shared" si="80"/>
        <v>11.8</v>
      </c>
      <c r="T256">
        <v>10.199999999999999</v>
      </c>
      <c r="U256">
        <v>0.4</v>
      </c>
      <c r="V256">
        <v>1.4</v>
      </c>
      <c r="W256">
        <v>0.1</v>
      </c>
      <c r="X256">
        <v>0</v>
      </c>
      <c r="Y256">
        <v>12.2</v>
      </c>
      <c r="Z256">
        <v>19</v>
      </c>
      <c r="AA256">
        <f t="shared" si="81"/>
        <v>43.3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10.8</v>
      </c>
      <c r="AI256">
        <v>0</v>
      </c>
      <c r="AJ256">
        <f t="shared" si="70"/>
        <v>10.8</v>
      </c>
      <c r="AK256">
        <v>0</v>
      </c>
      <c r="AL256">
        <v>0.24</v>
      </c>
      <c r="AM256">
        <f t="shared" si="71"/>
        <v>0.7609999999999999</v>
      </c>
      <c r="AN256">
        <v>11512</v>
      </c>
      <c r="AO256" t="s">
        <v>13</v>
      </c>
      <c r="AP256" s="3">
        <f t="shared" si="88"/>
        <v>48167.364016736385</v>
      </c>
      <c r="AQ256" t="s">
        <v>13</v>
      </c>
      <c r="AR256">
        <f t="shared" si="85"/>
        <v>0.14191852825229964</v>
      </c>
      <c r="AS256">
        <f t="shared" ref="AS256:AS289" si="89">SUM(K256,O256,S256,AA256)/100</f>
        <v>0.65300000000000002</v>
      </c>
      <c r="AT256">
        <f t="shared" ref="AT256:AT289" si="90">ROUND(AS256*AP256,0)</f>
        <v>31453</v>
      </c>
      <c r="AU256">
        <f t="shared" ref="AU256:AU289" si="91">ROUND((AJ256/100)*AP256,0)</f>
        <v>5202</v>
      </c>
      <c r="AV256">
        <f t="shared" si="72"/>
        <v>29045</v>
      </c>
      <c r="AW256">
        <f t="shared" si="73"/>
        <v>5951</v>
      </c>
      <c r="AX256" s="3">
        <f t="shared" si="74"/>
        <v>13171.364016736385</v>
      </c>
      <c r="AY256">
        <f t="shared" si="75"/>
        <v>15727</v>
      </c>
      <c r="AZ256">
        <f t="shared" si="76"/>
        <v>10096</v>
      </c>
      <c r="BA256" s="3">
        <f t="shared" si="77"/>
        <v>22344.364016736385</v>
      </c>
    </row>
    <row r="257" spans="1:53" x14ac:dyDescent="0.2">
      <c r="A257">
        <v>1990</v>
      </c>
      <c r="B257" t="s">
        <v>62</v>
      </c>
      <c r="C257" t="s">
        <v>63</v>
      </c>
      <c r="D257">
        <v>0</v>
      </c>
      <c r="E257">
        <v>0.1</v>
      </c>
      <c r="F257">
        <v>0</v>
      </c>
      <c r="G257">
        <v>0.4</v>
      </c>
      <c r="H257">
        <v>0</v>
      </c>
      <c r="I257">
        <v>22.6</v>
      </c>
      <c r="J257">
        <v>3.9</v>
      </c>
      <c r="K257">
        <f t="shared" si="86"/>
        <v>27</v>
      </c>
      <c r="L257">
        <v>0.2</v>
      </c>
      <c r="M257">
        <v>0.2</v>
      </c>
      <c r="N257">
        <v>0</v>
      </c>
      <c r="O257">
        <f t="shared" si="87"/>
        <v>0.4</v>
      </c>
      <c r="P257" s="1">
        <v>0.1</v>
      </c>
      <c r="Q257" s="1">
        <v>1</v>
      </c>
      <c r="R257" s="1">
        <v>4.8</v>
      </c>
      <c r="S257">
        <f t="shared" si="80"/>
        <v>5.9</v>
      </c>
      <c r="T257">
        <v>8</v>
      </c>
      <c r="U257">
        <v>0.5</v>
      </c>
      <c r="V257">
        <v>0</v>
      </c>
      <c r="W257">
        <v>0</v>
      </c>
      <c r="X257">
        <v>0.3</v>
      </c>
      <c r="Y257">
        <v>16</v>
      </c>
      <c r="Z257">
        <v>12.9</v>
      </c>
      <c r="AA257">
        <f t="shared" si="81"/>
        <v>37.700000000000003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12.7</v>
      </c>
      <c r="AI257">
        <v>0.3</v>
      </c>
      <c r="AJ257">
        <f t="shared" si="70"/>
        <v>13</v>
      </c>
      <c r="AK257">
        <v>0</v>
      </c>
      <c r="AL257">
        <v>0.16</v>
      </c>
      <c r="AM257">
        <f t="shared" si="71"/>
        <v>0.84</v>
      </c>
      <c r="AN257">
        <v>7035</v>
      </c>
      <c r="AO257" t="s">
        <v>13</v>
      </c>
      <c r="AP257" s="3">
        <f t="shared" si="88"/>
        <v>43968.749999999993</v>
      </c>
      <c r="AQ257" t="s">
        <v>13</v>
      </c>
      <c r="AR257">
        <f t="shared" si="85"/>
        <v>0.15476190476190477</v>
      </c>
      <c r="AS257">
        <f t="shared" si="89"/>
        <v>0.71</v>
      </c>
      <c r="AT257">
        <f t="shared" si="90"/>
        <v>31218</v>
      </c>
      <c r="AU257">
        <f t="shared" si="91"/>
        <v>5716</v>
      </c>
      <c r="AV257">
        <f t="shared" si="72"/>
        <v>25282</v>
      </c>
      <c r="AW257">
        <f t="shared" si="73"/>
        <v>8377</v>
      </c>
      <c r="AX257" s="3">
        <f t="shared" si="74"/>
        <v>10309.749999999993</v>
      </c>
      <c r="AY257">
        <f t="shared" si="75"/>
        <v>15609</v>
      </c>
      <c r="AZ257">
        <f t="shared" si="76"/>
        <v>12713</v>
      </c>
      <c r="BA257" s="3">
        <f t="shared" si="77"/>
        <v>15646.749999999993</v>
      </c>
    </row>
    <row r="258" spans="1:53" x14ac:dyDescent="0.2">
      <c r="A258">
        <v>1991</v>
      </c>
      <c r="B258" t="s">
        <v>62</v>
      </c>
      <c r="C258" t="s">
        <v>63</v>
      </c>
      <c r="D258">
        <v>0.8</v>
      </c>
      <c r="E258">
        <v>0</v>
      </c>
      <c r="F258">
        <v>0</v>
      </c>
      <c r="G258">
        <v>0</v>
      </c>
      <c r="H258">
        <v>0</v>
      </c>
      <c r="I258">
        <v>17.600000000000001</v>
      </c>
      <c r="J258">
        <v>1.7</v>
      </c>
      <c r="K258">
        <f t="shared" si="86"/>
        <v>20.100000000000001</v>
      </c>
      <c r="L258">
        <v>0.3</v>
      </c>
      <c r="M258">
        <v>0</v>
      </c>
      <c r="N258">
        <v>0</v>
      </c>
      <c r="O258">
        <f t="shared" si="87"/>
        <v>0.3</v>
      </c>
      <c r="P258" s="1">
        <v>0.4</v>
      </c>
      <c r="Q258" s="1">
        <v>1.1000000000000001</v>
      </c>
      <c r="R258" s="1">
        <v>2</v>
      </c>
      <c r="S258">
        <f t="shared" si="80"/>
        <v>3.5</v>
      </c>
      <c r="T258">
        <v>11.9</v>
      </c>
      <c r="U258">
        <v>0</v>
      </c>
      <c r="V258">
        <v>0.7</v>
      </c>
      <c r="W258">
        <v>0</v>
      </c>
      <c r="X258">
        <v>0</v>
      </c>
      <c r="Y258">
        <v>5.2</v>
      </c>
      <c r="Z258">
        <v>19.3</v>
      </c>
      <c r="AA258">
        <f t="shared" si="81"/>
        <v>37.1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16.600000000000001</v>
      </c>
      <c r="AI258">
        <v>0.5</v>
      </c>
      <c r="AJ258">
        <f t="shared" si="70"/>
        <v>17.100000000000001</v>
      </c>
      <c r="AK258">
        <v>0</v>
      </c>
      <c r="AL258">
        <v>0.21899999999999997</v>
      </c>
      <c r="AM258">
        <f t="shared" si="71"/>
        <v>0.78100000000000014</v>
      </c>
      <c r="AN258">
        <v>10548</v>
      </c>
      <c r="AO258" t="s">
        <v>13</v>
      </c>
      <c r="AP258" s="3">
        <f t="shared" si="88"/>
        <v>48164.383561643866</v>
      </c>
      <c r="AQ258" t="s">
        <v>13</v>
      </c>
      <c r="AR258">
        <f t="shared" si="85"/>
        <v>0.21895006402048653</v>
      </c>
      <c r="AS258">
        <f t="shared" si="89"/>
        <v>0.61</v>
      </c>
      <c r="AT258">
        <f t="shared" si="90"/>
        <v>29380</v>
      </c>
      <c r="AU258">
        <f t="shared" si="91"/>
        <v>8236</v>
      </c>
      <c r="AV258">
        <f t="shared" si="72"/>
        <v>24540</v>
      </c>
      <c r="AW258">
        <f t="shared" si="73"/>
        <v>10358</v>
      </c>
      <c r="AX258" s="3">
        <f t="shared" si="74"/>
        <v>13266.383561643866</v>
      </c>
      <c r="AY258">
        <f t="shared" si="75"/>
        <v>14690</v>
      </c>
      <c r="AZ258">
        <f t="shared" si="76"/>
        <v>14677</v>
      </c>
      <c r="BA258" s="3">
        <f t="shared" si="77"/>
        <v>18797.383561643866</v>
      </c>
    </row>
    <row r="259" spans="1:53" x14ac:dyDescent="0.2">
      <c r="A259">
        <v>1992</v>
      </c>
      <c r="B259" t="s">
        <v>62</v>
      </c>
      <c r="C259" t="s">
        <v>63</v>
      </c>
      <c r="D259">
        <v>0.3</v>
      </c>
      <c r="E259">
        <v>0</v>
      </c>
      <c r="F259">
        <v>0</v>
      </c>
      <c r="G259">
        <v>0</v>
      </c>
      <c r="H259">
        <v>0</v>
      </c>
      <c r="I259">
        <v>21.4</v>
      </c>
      <c r="J259">
        <v>1.8</v>
      </c>
      <c r="K259">
        <f t="shared" si="86"/>
        <v>23.5</v>
      </c>
      <c r="L259">
        <v>1.2</v>
      </c>
      <c r="M259">
        <v>0</v>
      </c>
      <c r="N259">
        <v>0</v>
      </c>
      <c r="O259">
        <f t="shared" si="87"/>
        <v>1.2</v>
      </c>
      <c r="P259" s="1">
        <v>0.4</v>
      </c>
      <c r="Q259" s="1">
        <v>2.4</v>
      </c>
      <c r="R259" s="1">
        <v>3.7</v>
      </c>
      <c r="S259">
        <f t="shared" si="80"/>
        <v>6.5</v>
      </c>
      <c r="T259">
        <v>8.1</v>
      </c>
      <c r="U259">
        <v>0.4</v>
      </c>
      <c r="V259">
        <v>0.5</v>
      </c>
      <c r="W259">
        <v>0</v>
      </c>
      <c r="X259">
        <v>0</v>
      </c>
      <c r="Y259">
        <v>11</v>
      </c>
      <c r="Z259">
        <v>18.8</v>
      </c>
      <c r="AA259">
        <f t="shared" si="81"/>
        <v>38.799999999999997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10.9</v>
      </c>
      <c r="AI259">
        <v>0</v>
      </c>
      <c r="AJ259">
        <f t="shared" ref="AJ259:AJ322" si="92">SUM(AB259:AI259)</f>
        <v>10.9</v>
      </c>
      <c r="AK259">
        <v>0.1</v>
      </c>
      <c r="AL259">
        <v>0.18899999999999997</v>
      </c>
      <c r="AM259">
        <f t="shared" ref="AM259:AM322" si="93">SUM(AB259:AI259,T259:Z259,P259:R259,L259:N259,D259:J259)/100</f>
        <v>0.80899999999999994</v>
      </c>
      <c r="AN259">
        <v>5267</v>
      </c>
      <c r="AO259" t="s">
        <v>13</v>
      </c>
      <c r="AP259" s="3">
        <f t="shared" si="88"/>
        <v>27575.916230366485</v>
      </c>
      <c r="AQ259" t="s">
        <v>13</v>
      </c>
      <c r="AR259">
        <f t="shared" si="85"/>
        <v>0.13473423980222499</v>
      </c>
      <c r="AS259">
        <f t="shared" si="89"/>
        <v>0.7</v>
      </c>
      <c r="AT259">
        <f t="shared" si="90"/>
        <v>19303</v>
      </c>
      <c r="AU259">
        <f t="shared" si="91"/>
        <v>3006</v>
      </c>
      <c r="AV259">
        <f t="shared" ref="AV259:AV322" si="94">ROUND((((K259*0.5)+O259+S259+AA259)/100)*AP259,0)</f>
        <v>16063</v>
      </c>
      <c r="AW259">
        <f t="shared" ref="AW259:AW322" si="95">ROUND((AU259/(AP259-AT259))*(AP259-AV259),0)</f>
        <v>4183</v>
      </c>
      <c r="AX259" s="3">
        <f t="shared" ref="AX259:AX322" si="96">AP259-AV259-AW259</f>
        <v>7329.9162303664853</v>
      </c>
      <c r="AY259">
        <f t="shared" ref="AY259:AY322" si="97">ROUND((0.5*AS259)*AP259,0)</f>
        <v>9652</v>
      </c>
      <c r="AZ259">
        <f t="shared" ref="AZ259:AZ322" si="98">ROUND((AU259/(AP259-AT259))*(AP259-AY259),0)</f>
        <v>6513</v>
      </c>
      <c r="BA259" s="3">
        <f t="shared" ref="BA259:BA322" si="99">AP259-AZ259-AY259</f>
        <v>11410.916230366485</v>
      </c>
    </row>
    <row r="260" spans="1:53" x14ac:dyDescent="0.2">
      <c r="A260">
        <v>1993</v>
      </c>
      <c r="B260" t="s">
        <v>62</v>
      </c>
      <c r="C260" t="s">
        <v>63</v>
      </c>
      <c r="D260">
        <v>0.7</v>
      </c>
      <c r="E260">
        <v>0</v>
      </c>
      <c r="F260">
        <v>0</v>
      </c>
      <c r="G260">
        <v>0</v>
      </c>
      <c r="H260">
        <v>0</v>
      </c>
      <c r="I260">
        <v>17.8</v>
      </c>
      <c r="J260">
        <v>6.7</v>
      </c>
      <c r="K260">
        <f t="shared" si="86"/>
        <v>25.2</v>
      </c>
      <c r="L260">
        <v>0</v>
      </c>
      <c r="M260">
        <v>0.6</v>
      </c>
      <c r="N260">
        <v>0</v>
      </c>
      <c r="O260">
        <f t="shared" si="87"/>
        <v>0.6</v>
      </c>
      <c r="P260" s="1">
        <v>1.4</v>
      </c>
      <c r="Q260" s="1">
        <v>3.6</v>
      </c>
      <c r="R260" s="1">
        <v>3.9</v>
      </c>
      <c r="S260">
        <f t="shared" si="80"/>
        <v>8.9</v>
      </c>
      <c r="T260">
        <v>4.7</v>
      </c>
      <c r="U260">
        <v>0.5</v>
      </c>
      <c r="V260">
        <v>0</v>
      </c>
      <c r="W260">
        <v>0</v>
      </c>
      <c r="X260">
        <v>0</v>
      </c>
      <c r="Y260">
        <v>8.5</v>
      </c>
      <c r="Z260">
        <v>18.100000000000001</v>
      </c>
      <c r="AA260">
        <f t="shared" si="81"/>
        <v>31.8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15.2</v>
      </c>
      <c r="AI260">
        <v>0</v>
      </c>
      <c r="AJ260">
        <f t="shared" si="92"/>
        <v>15.2</v>
      </c>
      <c r="AK260">
        <v>0</v>
      </c>
      <c r="AL260">
        <v>0.18100000000000002</v>
      </c>
      <c r="AM260">
        <f t="shared" si="93"/>
        <v>0.81700000000000006</v>
      </c>
      <c r="AN260">
        <v>2476</v>
      </c>
      <c r="AO260" t="s">
        <v>13</v>
      </c>
      <c r="AP260" s="3">
        <f t="shared" si="88"/>
        <v>13530.054644808748</v>
      </c>
      <c r="AQ260" t="s">
        <v>13</v>
      </c>
      <c r="AR260">
        <f t="shared" si="85"/>
        <v>0.18604651162790695</v>
      </c>
      <c r="AS260">
        <f t="shared" si="89"/>
        <v>0.66500000000000004</v>
      </c>
      <c r="AT260">
        <f t="shared" si="90"/>
        <v>8997</v>
      </c>
      <c r="AU260">
        <f t="shared" si="91"/>
        <v>2057</v>
      </c>
      <c r="AV260">
        <f t="shared" si="94"/>
        <v>7293</v>
      </c>
      <c r="AW260">
        <f t="shared" si="95"/>
        <v>2830</v>
      </c>
      <c r="AX260" s="3">
        <f t="shared" si="96"/>
        <v>3407.054644808748</v>
      </c>
      <c r="AY260">
        <f t="shared" si="97"/>
        <v>4499</v>
      </c>
      <c r="AZ260">
        <f t="shared" si="98"/>
        <v>4098</v>
      </c>
      <c r="BA260" s="3">
        <f t="shared" si="99"/>
        <v>4933.054644808748</v>
      </c>
    </row>
    <row r="261" spans="1:53" x14ac:dyDescent="0.2">
      <c r="A261">
        <v>1994</v>
      </c>
      <c r="B261" t="s">
        <v>62</v>
      </c>
      <c r="C261" t="s">
        <v>63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11.5</v>
      </c>
      <c r="J261">
        <v>1.4</v>
      </c>
      <c r="K261">
        <f t="shared" si="86"/>
        <v>12.9</v>
      </c>
      <c r="L261">
        <v>0</v>
      </c>
      <c r="M261">
        <v>0</v>
      </c>
      <c r="N261">
        <v>0</v>
      </c>
      <c r="O261">
        <f t="shared" si="87"/>
        <v>0</v>
      </c>
      <c r="P261" s="1">
        <v>0</v>
      </c>
      <c r="Q261" s="1">
        <v>3.4</v>
      </c>
      <c r="R261" s="1">
        <v>5.5</v>
      </c>
      <c r="S261">
        <f t="shared" si="80"/>
        <v>8.9</v>
      </c>
      <c r="T261">
        <v>0.3</v>
      </c>
      <c r="U261">
        <v>0</v>
      </c>
      <c r="V261">
        <v>0</v>
      </c>
      <c r="W261">
        <v>0</v>
      </c>
      <c r="X261">
        <v>0</v>
      </c>
      <c r="Y261">
        <v>23</v>
      </c>
      <c r="Z261">
        <v>10.199999999999999</v>
      </c>
      <c r="AA261">
        <f t="shared" si="81"/>
        <v>33.5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12.2</v>
      </c>
      <c r="AI261">
        <v>0</v>
      </c>
      <c r="AJ261">
        <f t="shared" si="92"/>
        <v>12.2</v>
      </c>
      <c r="AK261">
        <v>0</v>
      </c>
      <c r="AL261">
        <v>0.32500000000000001</v>
      </c>
      <c r="AM261">
        <f t="shared" si="93"/>
        <v>0.67500000000000004</v>
      </c>
      <c r="AN261">
        <v>4078</v>
      </c>
      <c r="AO261" t="s">
        <v>13</v>
      </c>
      <c r="AP261" s="3">
        <f t="shared" si="88"/>
        <v>12547.692307692309</v>
      </c>
      <c r="AQ261" t="s">
        <v>13</v>
      </c>
      <c r="AR261">
        <f t="shared" si="85"/>
        <v>0.18074074074074073</v>
      </c>
      <c r="AS261">
        <f t="shared" si="89"/>
        <v>0.55299999999999994</v>
      </c>
      <c r="AT261">
        <f t="shared" si="90"/>
        <v>6939</v>
      </c>
      <c r="AU261">
        <f t="shared" si="91"/>
        <v>1531</v>
      </c>
      <c r="AV261">
        <f t="shared" si="94"/>
        <v>6130</v>
      </c>
      <c r="AW261">
        <f t="shared" si="95"/>
        <v>1752</v>
      </c>
      <c r="AX261" s="3">
        <f t="shared" si="96"/>
        <v>4665.6923076923085</v>
      </c>
      <c r="AY261">
        <f t="shared" si="97"/>
        <v>3469</v>
      </c>
      <c r="AZ261">
        <f t="shared" si="98"/>
        <v>2478</v>
      </c>
      <c r="BA261" s="3">
        <f t="shared" si="99"/>
        <v>6600.6923076923085</v>
      </c>
    </row>
    <row r="262" spans="1:53" x14ac:dyDescent="0.2">
      <c r="A262">
        <v>1995</v>
      </c>
      <c r="B262" t="s">
        <v>62</v>
      </c>
      <c r="C262" t="s">
        <v>63</v>
      </c>
      <c r="D262">
        <v>0.7</v>
      </c>
      <c r="E262">
        <v>0.2</v>
      </c>
      <c r="F262">
        <v>0</v>
      </c>
      <c r="G262">
        <v>0</v>
      </c>
      <c r="H262">
        <v>0</v>
      </c>
      <c r="I262">
        <v>5.4</v>
      </c>
      <c r="J262">
        <v>2.9</v>
      </c>
      <c r="K262">
        <f t="shared" si="86"/>
        <v>9.2000000000000011</v>
      </c>
      <c r="L262">
        <v>0</v>
      </c>
      <c r="M262">
        <v>3.1</v>
      </c>
      <c r="N262">
        <v>0</v>
      </c>
      <c r="O262">
        <f t="shared" si="87"/>
        <v>3.1</v>
      </c>
      <c r="P262" s="1">
        <v>0</v>
      </c>
      <c r="Q262" s="1">
        <v>0.6</v>
      </c>
      <c r="R262" s="1">
        <v>4</v>
      </c>
      <c r="S262">
        <f t="shared" si="80"/>
        <v>4.5999999999999996</v>
      </c>
      <c r="T262">
        <v>2.5</v>
      </c>
      <c r="U262">
        <v>0</v>
      </c>
      <c r="V262">
        <v>0</v>
      </c>
      <c r="W262">
        <v>0</v>
      </c>
      <c r="X262">
        <v>0</v>
      </c>
      <c r="Y262">
        <v>10.1</v>
      </c>
      <c r="Z262">
        <v>23.1</v>
      </c>
      <c r="AA262">
        <f t="shared" si="81"/>
        <v>35.700000000000003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5.7</v>
      </c>
      <c r="AI262">
        <v>0</v>
      </c>
      <c r="AJ262">
        <f t="shared" si="92"/>
        <v>5.7</v>
      </c>
      <c r="AK262">
        <v>0.2</v>
      </c>
      <c r="AL262">
        <v>0.41499999999999998</v>
      </c>
      <c r="AM262">
        <f t="shared" si="93"/>
        <v>0.58300000000000007</v>
      </c>
      <c r="AN262">
        <v>7939</v>
      </c>
      <c r="AO262" t="s">
        <v>13</v>
      </c>
      <c r="AP262" s="3">
        <f t="shared" si="88"/>
        <v>19038.36930455636</v>
      </c>
      <c r="AQ262" t="s">
        <v>13</v>
      </c>
      <c r="AR262">
        <f t="shared" si="85"/>
        <v>9.7770154373927956E-2</v>
      </c>
      <c r="AS262">
        <f t="shared" si="89"/>
        <v>0.52600000000000002</v>
      </c>
      <c r="AT262">
        <f t="shared" si="90"/>
        <v>10014</v>
      </c>
      <c r="AU262">
        <f t="shared" si="91"/>
        <v>1085</v>
      </c>
      <c r="AV262">
        <f t="shared" si="94"/>
        <v>9138</v>
      </c>
      <c r="AW262">
        <f t="shared" si="95"/>
        <v>1190</v>
      </c>
      <c r="AX262" s="3">
        <f t="shared" si="96"/>
        <v>8710.3693045563596</v>
      </c>
      <c r="AY262">
        <f t="shared" si="97"/>
        <v>5007</v>
      </c>
      <c r="AZ262">
        <f t="shared" si="98"/>
        <v>1687</v>
      </c>
      <c r="BA262" s="3">
        <f t="shared" si="99"/>
        <v>12344.36930455636</v>
      </c>
    </row>
    <row r="263" spans="1:53" x14ac:dyDescent="0.2">
      <c r="A263">
        <v>1996</v>
      </c>
      <c r="B263" t="s">
        <v>62</v>
      </c>
      <c r="C263" t="s">
        <v>63</v>
      </c>
      <c r="D263">
        <v>0.4</v>
      </c>
      <c r="E263">
        <v>0</v>
      </c>
      <c r="F263">
        <v>0</v>
      </c>
      <c r="G263">
        <v>0</v>
      </c>
      <c r="H263">
        <v>0</v>
      </c>
      <c r="I263">
        <v>1.3</v>
      </c>
      <c r="J263">
        <v>1.2</v>
      </c>
      <c r="K263">
        <f t="shared" si="86"/>
        <v>2.9000000000000004</v>
      </c>
      <c r="L263">
        <v>0</v>
      </c>
      <c r="M263">
        <v>0.9</v>
      </c>
      <c r="N263">
        <v>0.2</v>
      </c>
      <c r="O263">
        <f t="shared" si="87"/>
        <v>1.1000000000000001</v>
      </c>
      <c r="P263" s="1">
        <v>0</v>
      </c>
      <c r="Q263" s="1">
        <v>0.2</v>
      </c>
      <c r="R263" s="1">
        <v>6.3</v>
      </c>
      <c r="S263">
        <f t="shared" si="80"/>
        <v>6.5</v>
      </c>
      <c r="T263">
        <v>2.6</v>
      </c>
      <c r="U263">
        <v>0</v>
      </c>
      <c r="V263">
        <v>0</v>
      </c>
      <c r="W263">
        <v>0</v>
      </c>
      <c r="X263">
        <v>0</v>
      </c>
      <c r="Y263">
        <v>14.8</v>
      </c>
      <c r="Z263">
        <v>21.8</v>
      </c>
      <c r="AA263">
        <f t="shared" si="81"/>
        <v>39.200000000000003</v>
      </c>
      <c r="AB263">
        <v>0</v>
      </c>
      <c r="AC263">
        <v>0</v>
      </c>
      <c r="AD263">
        <v>0</v>
      </c>
      <c r="AE263">
        <v>0</v>
      </c>
      <c r="AF263">
        <v>0.3</v>
      </c>
      <c r="AG263">
        <v>0</v>
      </c>
      <c r="AH263">
        <v>10.9</v>
      </c>
      <c r="AI263">
        <v>0</v>
      </c>
      <c r="AJ263">
        <f t="shared" si="92"/>
        <v>11.200000000000001</v>
      </c>
      <c r="AK263">
        <v>0.1</v>
      </c>
      <c r="AL263">
        <v>0.38900000000000001</v>
      </c>
      <c r="AM263">
        <f t="shared" si="93"/>
        <v>0.6090000000000001</v>
      </c>
      <c r="AN263">
        <v>6026</v>
      </c>
      <c r="AO263" t="s">
        <v>13</v>
      </c>
      <c r="AP263" s="3">
        <f t="shared" si="88"/>
        <v>15411.764705882357</v>
      </c>
      <c r="AQ263" t="s">
        <v>13</v>
      </c>
      <c r="AR263">
        <f t="shared" si="85"/>
        <v>0.18390804597701149</v>
      </c>
      <c r="AS263">
        <f t="shared" si="89"/>
        <v>0.49700000000000005</v>
      </c>
      <c r="AT263">
        <f t="shared" si="90"/>
        <v>7660</v>
      </c>
      <c r="AU263">
        <f t="shared" si="91"/>
        <v>1726</v>
      </c>
      <c r="AV263">
        <f t="shared" si="94"/>
        <v>7436</v>
      </c>
      <c r="AW263">
        <f t="shared" si="95"/>
        <v>1776</v>
      </c>
      <c r="AX263" s="3">
        <f t="shared" si="96"/>
        <v>6199.7647058823568</v>
      </c>
      <c r="AY263">
        <f t="shared" si="97"/>
        <v>3830</v>
      </c>
      <c r="AZ263">
        <f t="shared" si="98"/>
        <v>2579</v>
      </c>
      <c r="BA263" s="3">
        <f t="shared" si="99"/>
        <v>9002.7647058823568</v>
      </c>
    </row>
    <row r="264" spans="1:53" x14ac:dyDescent="0.2">
      <c r="A264">
        <v>1997</v>
      </c>
      <c r="B264" t="s">
        <v>62</v>
      </c>
      <c r="C264" t="s">
        <v>63</v>
      </c>
      <c r="D264">
        <v>1.2</v>
      </c>
      <c r="E264">
        <v>0</v>
      </c>
      <c r="F264">
        <v>0</v>
      </c>
      <c r="G264">
        <v>1.9</v>
      </c>
      <c r="H264">
        <v>0</v>
      </c>
      <c r="I264">
        <v>5.5</v>
      </c>
      <c r="J264">
        <v>2.7</v>
      </c>
      <c r="K264">
        <f t="shared" si="86"/>
        <v>11.3</v>
      </c>
      <c r="L264">
        <v>0</v>
      </c>
      <c r="M264">
        <v>1.6</v>
      </c>
      <c r="N264">
        <v>0</v>
      </c>
      <c r="O264">
        <f t="shared" si="87"/>
        <v>1.6</v>
      </c>
      <c r="P264" s="1">
        <v>0</v>
      </c>
      <c r="Q264" s="1">
        <v>0.5</v>
      </c>
      <c r="R264" s="1">
        <v>2.9</v>
      </c>
      <c r="S264">
        <f t="shared" si="80"/>
        <v>3.4</v>
      </c>
      <c r="T264">
        <v>1.8</v>
      </c>
      <c r="U264">
        <v>0</v>
      </c>
      <c r="V264">
        <v>0.9</v>
      </c>
      <c r="W264">
        <v>0</v>
      </c>
      <c r="X264">
        <v>0</v>
      </c>
      <c r="Y264">
        <v>2.2000000000000002</v>
      </c>
      <c r="Z264">
        <v>20.7</v>
      </c>
      <c r="AA264">
        <f t="shared" si="81"/>
        <v>25.6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2</v>
      </c>
      <c r="AI264">
        <v>0.5</v>
      </c>
      <c r="AJ264">
        <f t="shared" si="92"/>
        <v>2.5</v>
      </c>
      <c r="AK264">
        <v>0</v>
      </c>
      <c r="AL264">
        <v>0.55700000000000005</v>
      </c>
      <c r="AM264">
        <f t="shared" si="93"/>
        <v>0.44400000000000006</v>
      </c>
      <c r="AN264">
        <v>7101</v>
      </c>
      <c r="AO264" t="s">
        <v>13</v>
      </c>
      <c r="AP264" s="3">
        <f t="shared" si="88"/>
        <v>12771.582733812951</v>
      </c>
      <c r="AQ264" t="s">
        <v>13</v>
      </c>
      <c r="AR264">
        <f t="shared" si="85"/>
        <v>5.63063063063063E-2</v>
      </c>
      <c r="AS264">
        <f t="shared" si="89"/>
        <v>0.41900000000000004</v>
      </c>
      <c r="AT264">
        <f t="shared" si="90"/>
        <v>5351</v>
      </c>
      <c r="AU264">
        <f t="shared" si="91"/>
        <v>319</v>
      </c>
      <c r="AV264">
        <f t="shared" si="94"/>
        <v>4630</v>
      </c>
      <c r="AW264">
        <f t="shared" si="95"/>
        <v>350</v>
      </c>
      <c r="AX264" s="3">
        <f t="shared" si="96"/>
        <v>7791.5827338129511</v>
      </c>
      <c r="AY264">
        <f t="shared" si="97"/>
        <v>2676</v>
      </c>
      <c r="AZ264">
        <f t="shared" si="98"/>
        <v>434</v>
      </c>
      <c r="BA264" s="3">
        <f t="shared" si="99"/>
        <v>9661.5827338129511</v>
      </c>
    </row>
    <row r="265" spans="1:53" x14ac:dyDescent="0.2">
      <c r="A265">
        <v>1998</v>
      </c>
      <c r="B265" t="s">
        <v>62</v>
      </c>
      <c r="C265" t="s">
        <v>63</v>
      </c>
      <c r="D265">
        <v>2.2000000000000002</v>
      </c>
      <c r="E265">
        <v>0</v>
      </c>
      <c r="F265">
        <v>0</v>
      </c>
      <c r="G265">
        <v>1.1000000000000001</v>
      </c>
      <c r="H265">
        <v>0</v>
      </c>
      <c r="I265">
        <v>1</v>
      </c>
      <c r="J265">
        <v>3</v>
      </c>
      <c r="K265">
        <f t="shared" si="86"/>
        <v>7.3000000000000007</v>
      </c>
      <c r="L265">
        <v>0</v>
      </c>
      <c r="M265">
        <v>0</v>
      </c>
      <c r="N265">
        <v>0</v>
      </c>
      <c r="O265">
        <f t="shared" si="87"/>
        <v>0</v>
      </c>
      <c r="P265" s="1">
        <v>0</v>
      </c>
      <c r="Q265" s="1">
        <v>0</v>
      </c>
      <c r="R265" s="1">
        <v>3.5</v>
      </c>
      <c r="S265">
        <f t="shared" si="80"/>
        <v>3.5</v>
      </c>
      <c r="T265">
        <v>1.5</v>
      </c>
      <c r="U265">
        <v>0</v>
      </c>
      <c r="V265">
        <v>0</v>
      </c>
      <c r="W265">
        <v>0</v>
      </c>
      <c r="X265">
        <v>0</v>
      </c>
      <c r="Y265">
        <v>8.1</v>
      </c>
      <c r="Z265">
        <v>7.3</v>
      </c>
      <c r="AA265">
        <f t="shared" si="81"/>
        <v>16.899999999999999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8.1999999999999993</v>
      </c>
      <c r="AI265">
        <v>1</v>
      </c>
      <c r="AJ265">
        <f t="shared" si="92"/>
        <v>9.1999999999999993</v>
      </c>
      <c r="AK265">
        <v>0.1</v>
      </c>
      <c r="AL265">
        <v>0.63100000000000001</v>
      </c>
      <c r="AM265">
        <f t="shared" si="93"/>
        <v>0.36899999999999999</v>
      </c>
      <c r="AN265">
        <v>5963</v>
      </c>
      <c r="AO265" t="s">
        <v>13</v>
      </c>
      <c r="AP265" s="3">
        <f t="shared" si="88"/>
        <v>9450.0792393026932</v>
      </c>
      <c r="AQ265" t="s">
        <v>13</v>
      </c>
      <c r="AR265">
        <f t="shared" si="85"/>
        <v>0.24932249322493225</v>
      </c>
      <c r="AS265">
        <f t="shared" si="89"/>
        <v>0.27699999999999997</v>
      </c>
      <c r="AT265">
        <f t="shared" si="90"/>
        <v>2618</v>
      </c>
      <c r="AU265">
        <f t="shared" si="91"/>
        <v>869</v>
      </c>
      <c r="AV265">
        <f t="shared" si="94"/>
        <v>2273</v>
      </c>
      <c r="AW265">
        <f t="shared" si="95"/>
        <v>913</v>
      </c>
      <c r="AX265" s="3">
        <f t="shared" si="96"/>
        <v>6264.0792393026932</v>
      </c>
      <c r="AY265">
        <f t="shared" si="97"/>
        <v>1309</v>
      </c>
      <c r="AZ265">
        <f t="shared" si="98"/>
        <v>1035</v>
      </c>
      <c r="BA265" s="3">
        <f t="shared" si="99"/>
        <v>7106.0792393026932</v>
      </c>
    </row>
    <row r="266" spans="1:53" x14ac:dyDescent="0.2">
      <c r="A266">
        <v>1999</v>
      </c>
      <c r="B266" t="s">
        <v>62</v>
      </c>
      <c r="C266" t="s">
        <v>63</v>
      </c>
      <c r="D266">
        <v>1.9</v>
      </c>
      <c r="E266">
        <v>0</v>
      </c>
      <c r="F266">
        <v>0</v>
      </c>
      <c r="G266">
        <v>1</v>
      </c>
      <c r="H266">
        <v>0</v>
      </c>
      <c r="I266">
        <v>2.2000000000000002</v>
      </c>
      <c r="J266">
        <v>4.2</v>
      </c>
      <c r="K266">
        <f t="shared" si="86"/>
        <v>9.3000000000000007</v>
      </c>
      <c r="L266">
        <v>0</v>
      </c>
      <c r="M266">
        <v>0</v>
      </c>
      <c r="N266">
        <v>0</v>
      </c>
      <c r="O266">
        <f t="shared" si="87"/>
        <v>0</v>
      </c>
      <c r="P266" s="1">
        <v>0</v>
      </c>
      <c r="Q266" s="1">
        <v>0</v>
      </c>
      <c r="R266" s="1">
        <v>4.5999999999999996</v>
      </c>
      <c r="S266">
        <f t="shared" si="80"/>
        <v>4.5999999999999996</v>
      </c>
      <c r="T266">
        <v>5.9</v>
      </c>
      <c r="U266">
        <v>0.9</v>
      </c>
      <c r="V266">
        <v>1.4</v>
      </c>
      <c r="W266">
        <v>0</v>
      </c>
      <c r="X266">
        <v>0</v>
      </c>
      <c r="Y266">
        <v>4</v>
      </c>
      <c r="Z266">
        <v>7.5</v>
      </c>
      <c r="AA266">
        <f t="shared" si="81"/>
        <v>19.700000000000003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16.899999999999999</v>
      </c>
      <c r="AI266">
        <v>0</v>
      </c>
      <c r="AJ266">
        <f t="shared" si="92"/>
        <v>16.899999999999999</v>
      </c>
      <c r="AK266">
        <v>0</v>
      </c>
      <c r="AL266">
        <v>0.496</v>
      </c>
      <c r="AM266">
        <f t="shared" si="93"/>
        <v>0.505</v>
      </c>
      <c r="AN266">
        <v>7135</v>
      </c>
      <c r="AO266" t="s">
        <v>13</v>
      </c>
      <c r="AP266" s="3">
        <f t="shared" si="88"/>
        <v>14414.141414141413</v>
      </c>
      <c r="AQ266" t="s">
        <v>13</v>
      </c>
      <c r="AR266">
        <f t="shared" si="85"/>
        <v>0.33465346534653462</v>
      </c>
      <c r="AS266">
        <f t="shared" si="89"/>
        <v>0.33600000000000002</v>
      </c>
      <c r="AT266">
        <f t="shared" si="90"/>
        <v>4843</v>
      </c>
      <c r="AU266">
        <f t="shared" si="91"/>
        <v>2436</v>
      </c>
      <c r="AV266">
        <f t="shared" si="94"/>
        <v>4173</v>
      </c>
      <c r="AW266">
        <f t="shared" si="95"/>
        <v>2607</v>
      </c>
      <c r="AX266" s="3">
        <f t="shared" si="96"/>
        <v>7634.1414141414134</v>
      </c>
      <c r="AY266">
        <f t="shared" si="97"/>
        <v>2422</v>
      </c>
      <c r="AZ266">
        <f t="shared" si="98"/>
        <v>3052</v>
      </c>
      <c r="BA266" s="3">
        <f t="shared" si="99"/>
        <v>8940.1414141414134</v>
      </c>
    </row>
    <row r="267" spans="1:53" x14ac:dyDescent="0.2">
      <c r="A267">
        <v>2000</v>
      </c>
      <c r="B267" t="s">
        <v>62</v>
      </c>
      <c r="C267" t="s">
        <v>63</v>
      </c>
      <c r="D267">
        <v>1.2</v>
      </c>
      <c r="E267">
        <v>0.3</v>
      </c>
      <c r="F267">
        <v>0</v>
      </c>
      <c r="G267">
        <v>0</v>
      </c>
      <c r="H267">
        <v>0</v>
      </c>
      <c r="I267">
        <v>15.4</v>
      </c>
      <c r="J267">
        <v>5.0999999999999996</v>
      </c>
      <c r="K267">
        <f t="shared" si="86"/>
        <v>22</v>
      </c>
      <c r="L267">
        <v>0</v>
      </c>
      <c r="M267">
        <v>0</v>
      </c>
      <c r="N267">
        <v>0</v>
      </c>
      <c r="O267">
        <f t="shared" si="87"/>
        <v>0</v>
      </c>
      <c r="P267" s="1">
        <v>0</v>
      </c>
      <c r="Q267" s="1">
        <v>0</v>
      </c>
      <c r="R267" s="1">
        <v>4.2</v>
      </c>
      <c r="S267">
        <f t="shared" si="80"/>
        <v>4.2</v>
      </c>
      <c r="T267">
        <v>0.3</v>
      </c>
      <c r="U267">
        <v>0</v>
      </c>
      <c r="V267">
        <v>0</v>
      </c>
      <c r="W267">
        <v>0</v>
      </c>
      <c r="X267">
        <v>0</v>
      </c>
      <c r="Y267">
        <v>12.8</v>
      </c>
      <c r="Z267">
        <v>15.9</v>
      </c>
      <c r="AA267">
        <f t="shared" si="81"/>
        <v>29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18.2</v>
      </c>
      <c r="AI267">
        <v>0</v>
      </c>
      <c r="AJ267">
        <f t="shared" si="92"/>
        <v>18.2</v>
      </c>
      <c r="AK267">
        <v>0.1</v>
      </c>
      <c r="AL267">
        <v>0.26300000000000001</v>
      </c>
      <c r="AM267">
        <f t="shared" si="93"/>
        <v>0.7340000000000001</v>
      </c>
      <c r="AN267">
        <v>4473</v>
      </c>
      <c r="AO267" t="s">
        <v>13</v>
      </c>
      <c r="AP267" s="3">
        <f t="shared" si="88"/>
        <v>16815.789473684217</v>
      </c>
      <c r="AQ267" t="s">
        <v>13</v>
      </c>
      <c r="AR267">
        <f t="shared" si="85"/>
        <v>0.24795640326975474</v>
      </c>
      <c r="AS267">
        <f t="shared" si="89"/>
        <v>0.55200000000000005</v>
      </c>
      <c r="AT267">
        <f t="shared" si="90"/>
        <v>9282</v>
      </c>
      <c r="AU267">
        <f t="shared" si="91"/>
        <v>3060</v>
      </c>
      <c r="AV267">
        <f t="shared" si="94"/>
        <v>7433</v>
      </c>
      <c r="AW267">
        <f t="shared" si="95"/>
        <v>3811</v>
      </c>
      <c r="AX267" s="3">
        <f t="shared" si="96"/>
        <v>5571.7894736842172</v>
      </c>
      <c r="AY267">
        <f t="shared" si="97"/>
        <v>4641</v>
      </c>
      <c r="AZ267">
        <f t="shared" si="98"/>
        <v>4945</v>
      </c>
      <c r="BA267" s="3">
        <f t="shared" si="99"/>
        <v>7229.7894736842172</v>
      </c>
    </row>
    <row r="268" spans="1:53" x14ac:dyDescent="0.2">
      <c r="A268">
        <v>2001</v>
      </c>
      <c r="B268" t="s">
        <v>62</v>
      </c>
      <c r="C268" t="s">
        <v>63</v>
      </c>
      <c r="D268">
        <v>0.1</v>
      </c>
      <c r="E268">
        <v>0</v>
      </c>
      <c r="F268">
        <v>0</v>
      </c>
      <c r="G268">
        <v>0</v>
      </c>
      <c r="H268">
        <v>0</v>
      </c>
      <c r="I268">
        <v>7.8</v>
      </c>
      <c r="J268">
        <v>3.2</v>
      </c>
      <c r="K268">
        <f t="shared" si="86"/>
        <v>11.1</v>
      </c>
      <c r="L268">
        <v>0</v>
      </c>
      <c r="M268">
        <v>0</v>
      </c>
      <c r="N268">
        <v>0</v>
      </c>
      <c r="O268">
        <f t="shared" si="87"/>
        <v>0</v>
      </c>
      <c r="P268" s="1">
        <v>0</v>
      </c>
      <c r="Q268" s="1">
        <v>0</v>
      </c>
      <c r="R268" s="1">
        <v>7.8</v>
      </c>
      <c r="S268">
        <f t="shared" si="80"/>
        <v>7.8</v>
      </c>
      <c r="T268">
        <v>2.5</v>
      </c>
      <c r="U268">
        <v>0.6</v>
      </c>
      <c r="V268">
        <v>0.9</v>
      </c>
      <c r="W268">
        <v>0</v>
      </c>
      <c r="X268">
        <v>0</v>
      </c>
      <c r="Y268">
        <v>7</v>
      </c>
      <c r="Z268">
        <v>16</v>
      </c>
      <c r="AA268">
        <f t="shared" si="81"/>
        <v>27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22.5</v>
      </c>
      <c r="AI268">
        <v>0</v>
      </c>
      <c r="AJ268">
        <f t="shared" si="92"/>
        <v>22.5</v>
      </c>
      <c r="AK268">
        <v>0</v>
      </c>
      <c r="AL268">
        <v>0.314</v>
      </c>
      <c r="AM268">
        <f t="shared" si="93"/>
        <v>0.68400000000000005</v>
      </c>
      <c r="AN268">
        <v>6473</v>
      </c>
      <c r="AO268" t="s">
        <v>13</v>
      </c>
      <c r="AP268" s="3">
        <f t="shared" si="88"/>
        <v>20484.177215189877</v>
      </c>
      <c r="AQ268" t="s">
        <v>13</v>
      </c>
      <c r="AR268">
        <f t="shared" si="85"/>
        <v>0.3289473684210526</v>
      </c>
      <c r="AS268">
        <f t="shared" si="89"/>
        <v>0.45899999999999996</v>
      </c>
      <c r="AT268">
        <f t="shared" si="90"/>
        <v>9402</v>
      </c>
      <c r="AU268">
        <f t="shared" si="91"/>
        <v>4609</v>
      </c>
      <c r="AV268">
        <f t="shared" si="94"/>
        <v>8265</v>
      </c>
      <c r="AW268">
        <f t="shared" si="95"/>
        <v>5082</v>
      </c>
      <c r="AX268" s="3">
        <f t="shared" si="96"/>
        <v>7137.1772151898767</v>
      </c>
      <c r="AY268">
        <f t="shared" si="97"/>
        <v>4701</v>
      </c>
      <c r="AZ268">
        <f t="shared" si="98"/>
        <v>6564</v>
      </c>
      <c r="BA268" s="3">
        <f t="shared" si="99"/>
        <v>9219.1772151898767</v>
      </c>
    </row>
    <row r="269" spans="1:53" x14ac:dyDescent="0.2">
      <c r="A269">
        <v>2002</v>
      </c>
      <c r="B269" t="s">
        <v>62</v>
      </c>
      <c r="C269" t="s">
        <v>63</v>
      </c>
      <c r="D269">
        <v>0.8</v>
      </c>
      <c r="E269">
        <v>0</v>
      </c>
      <c r="F269">
        <v>0</v>
      </c>
      <c r="G269">
        <v>0.8</v>
      </c>
      <c r="H269">
        <v>0</v>
      </c>
      <c r="I269">
        <v>11.6</v>
      </c>
      <c r="J269">
        <v>2.2999999999999998</v>
      </c>
      <c r="K269">
        <f t="shared" si="86"/>
        <v>15.5</v>
      </c>
      <c r="L269">
        <v>0</v>
      </c>
      <c r="M269">
        <v>0</v>
      </c>
      <c r="N269">
        <v>0</v>
      </c>
      <c r="O269">
        <f t="shared" si="87"/>
        <v>0</v>
      </c>
      <c r="P269" s="1">
        <v>0</v>
      </c>
      <c r="Q269" s="1">
        <v>0</v>
      </c>
      <c r="R269" s="1">
        <v>4.4000000000000004</v>
      </c>
      <c r="S269">
        <f t="shared" si="80"/>
        <v>4.4000000000000004</v>
      </c>
      <c r="T269">
        <v>3.9</v>
      </c>
      <c r="U269">
        <v>0.2</v>
      </c>
      <c r="V269">
        <v>0.3</v>
      </c>
      <c r="W269">
        <v>0</v>
      </c>
      <c r="X269">
        <v>0</v>
      </c>
      <c r="Y269">
        <v>4.2</v>
      </c>
      <c r="Z269">
        <v>12.2</v>
      </c>
      <c r="AA269">
        <f t="shared" si="81"/>
        <v>20.799999999999997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34.9</v>
      </c>
      <c r="AI269">
        <v>0</v>
      </c>
      <c r="AJ269">
        <f t="shared" si="92"/>
        <v>34.9</v>
      </c>
      <c r="AK269">
        <v>0.2</v>
      </c>
      <c r="AL269">
        <v>0.24299999999999999</v>
      </c>
      <c r="AM269">
        <f t="shared" si="93"/>
        <v>0.75599999999999989</v>
      </c>
      <c r="AN269">
        <v>7564</v>
      </c>
      <c r="AO269" t="s">
        <v>13</v>
      </c>
      <c r="AP269" s="3">
        <f t="shared" si="88"/>
        <v>30999.999999999985</v>
      </c>
      <c r="AQ269" t="s">
        <v>13</v>
      </c>
      <c r="AR269">
        <f t="shared" si="85"/>
        <v>0.46164021164021168</v>
      </c>
      <c r="AS269">
        <f t="shared" si="89"/>
        <v>0.40699999999999997</v>
      </c>
      <c r="AT269">
        <f t="shared" si="90"/>
        <v>12617</v>
      </c>
      <c r="AU269">
        <f t="shared" si="91"/>
        <v>10819</v>
      </c>
      <c r="AV269">
        <f t="shared" si="94"/>
        <v>10215</v>
      </c>
      <c r="AW269">
        <f t="shared" si="95"/>
        <v>12233</v>
      </c>
      <c r="AX269" s="3">
        <f t="shared" si="96"/>
        <v>8551.9999999999854</v>
      </c>
      <c r="AY269">
        <f t="shared" si="97"/>
        <v>6309</v>
      </c>
      <c r="AZ269">
        <f t="shared" si="98"/>
        <v>14531</v>
      </c>
      <c r="BA269" s="3">
        <f t="shared" si="99"/>
        <v>10159.999999999985</v>
      </c>
    </row>
    <row r="270" spans="1:53" x14ac:dyDescent="0.2">
      <c r="A270">
        <v>2003</v>
      </c>
      <c r="B270" t="s">
        <v>62</v>
      </c>
      <c r="C270" t="s">
        <v>63</v>
      </c>
      <c r="D270">
        <v>1.2</v>
      </c>
      <c r="E270">
        <v>0</v>
      </c>
      <c r="F270">
        <v>0</v>
      </c>
      <c r="G270">
        <v>1.6</v>
      </c>
      <c r="H270">
        <v>0</v>
      </c>
      <c r="I270">
        <v>6.2</v>
      </c>
      <c r="J270">
        <v>4.0999999999999996</v>
      </c>
      <c r="K270">
        <f t="shared" si="86"/>
        <v>13.1</v>
      </c>
      <c r="L270">
        <v>0</v>
      </c>
      <c r="M270">
        <v>0</v>
      </c>
      <c r="N270">
        <v>0</v>
      </c>
      <c r="O270">
        <f t="shared" si="87"/>
        <v>0</v>
      </c>
      <c r="P270" s="1">
        <v>0</v>
      </c>
      <c r="Q270" s="1">
        <v>0</v>
      </c>
      <c r="R270" s="1">
        <v>4.4000000000000004</v>
      </c>
      <c r="S270">
        <f t="shared" si="80"/>
        <v>4.4000000000000004</v>
      </c>
      <c r="T270">
        <v>5.3</v>
      </c>
      <c r="U270">
        <v>0.4</v>
      </c>
      <c r="V270">
        <v>0.4</v>
      </c>
      <c r="W270">
        <v>0</v>
      </c>
      <c r="X270">
        <v>0</v>
      </c>
      <c r="Y270">
        <v>6.2</v>
      </c>
      <c r="Z270">
        <v>14.4</v>
      </c>
      <c r="AA270">
        <f t="shared" si="81"/>
        <v>26.700000000000003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22.1</v>
      </c>
      <c r="AI270">
        <v>0</v>
      </c>
      <c r="AJ270">
        <f t="shared" si="92"/>
        <v>22.1</v>
      </c>
      <c r="AK270">
        <v>0</v>
      </c>
      <c r="AL270">
        <v>0.33600000000000002</v>
      </c>
      <c r="AM270">
        <f t="shared" si="93"/>
        <v>0.66299999999999992</v>
      </c>
      <c r="AN270">
        <v>5864</v>
      </c>
      <c r="AO270">
        <v>1228</v>
      </c>
      <c r="AP270" s="3">
        <f t="shared" si="88"/>
        <v>17400.593471810083</v>
      </c>
      <c r="AQ270" s="3">
        <f>AO270/(1-AM270)</f>
        <v>3643.9169139465866</v>
      </c>
      <c r="AR270">
        <f t="shared" si="85"/>
        <v>0.33333333333333337</v>
      </c>
      <c r="AS270">
        <f t="shared" si="89"/>
        <v>0.442</v>
      </c>
      <c r="AT270">
        <f t="shared" si="90"/>
        <v>7691</v>
      </c>
      <c r="AU270">
        <f t="shared" si="91"/>
        <v>3846</v>
      </c>
      <c r="AV270">
        <f t="shared" si="94"/>
        <v>6551</v>
      </c>
      <c r="AW270">
        <f t="shared" si="95"/>
        <v>4298</v>
      </c>
      <c r="AX270" s="3">
        <f t="shared" si="96"/>
        <v>6551.5934718100834</v>
      </c>
      <c r="AY270">
        <f t="shared" si="97"/>
        <v>3846</v>
      </c>
      <c r="AZ270">
        <f t="shared" si="98"/>
        <v>5369</v>
      </c>
      <c r="BA270" s="3">
        <f t="shared" si="99"/>
        <v>8185.5934718100834</v>
      </c>
    </row>
    <row r="271" spans="1:53" x14ac:dyDescent="0.2">
      <c r="A271">
        <v>2004</v>
      </c>
      <c r="B271" t="s">
        <v>62</v>
      </c>
      <c r="C271" t="s">
        <v>63</v>
      </c>
      <c r="D271">
        <v>0.5</v>
      </c>
      <c r="E271">
        <v>0.1</v>
      </c>
      <c r="F271">
        <v>0</v>
      </c>
      <c r="G271">
        <v>0.3</v>
      </c>
      <c r="H271">
        <v>0</v>
      </c>
      <c r="I271">
        <v>14.1</v>
      </c>
      <c r="J271">
        <v>3</v>
      </c>
      <c r="K271">
        <f t="shared" si="86"/>
        <v>18</v>
      </c>
      <c r="L271">
        <v>0</v>
      </c>
      <c r="M271">
        <v>0</v>
      </c>
      <c r="N271">
        <v>0</v>
      </c>
      <c r="O271">
        <f t="shared" si="87"/>
        <v>0</v>
      </c>
      <c r="P271" s="1">
        <v>0</v>
      </c>
      <c r="Q271" s="1">
        <v>0</v>
      </c>
      <c r="R271" s="1">
        <v>2.7</v>
      </c>
      <c r="S271">
        <f t="shared" si="80"/>
        <v>2.7</v>
      </c>
      <c r="T271">
        <v>6.9</v>
      </c>
      <c r="U271">
        <v>0.9</v>
      </c>
      <c r="V271">
        <v>0.5</v>
      </c>
      <c r="W271">
        <v>0</v>
      </c>
      <c r="X271">
        <v>0</v>
      </c>
      <c r="Y271">
        <v>15.1</v>
      </c>
      <c r="Z271">
        <v>14</v>
      </c>
      <c r="AA271">
        <f t="shared" si="81"/>
        <v>37.4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17.5</v>
      </c>
      <c r="AI271">
        <v>0</v>
      </c>
      <c r="AJ271">
        <f t="shared" si="92"/>
        <v>17.5</v>
      </c>
      <c r="AK271">
        <v>0.1</v>
      </c>
      <c r="AL271">
        <v>0.24299999999999999</v>
      </c>
      <c r="AM271">
        <f t="shared" si="93"/>
        <v>0.75599999999999989</v>
      </c>
      <c r="AN271">
        <v>7947</v>
      </c>
      <c r="AO271">
        <v>2555</v>
      </c>
      <c r="AP271" s="3">
        <f t="shared" si="88"/>
        <v>32569.672131147527</v>
      </c>
      <c r="AQ271" s="3">
        <f t="shared" ref="AQ271:AQ289" si="100">AO271/(1-AM271)</f>
        <v>10471.311475409831</v>
      </c>
      <c r="AR271">
        <f t="shared" si="85"/>
        <v>0.23148148148148151</v>
      </c>
      <c r="AS271">
        <f t="shared" si="89"/>
        <v>0.58099999999999996</v>
      </c>
      <c r="AT271">
        <f t="shared" si="90"/>
        <v>18923</v>
      </c>
      <c r="AU271">
        <f t="shared" si="91"/>
        <v>5700</v>
      </c>
      <c r="AV271">
        <f t="shared" si="94"/>
        <v>15992</v>
      </c>
      <c r="AW271">
        <f t="shared" si="95"/>
        <v>6924</v>
      </c>
      <c r="AX271" s="3">
        <f t="shared" si="96"/>
        <v>9653.6721311475267</v>
      </c>
      <c r="AY271">
        <f t="shared" si="97"/>
        <v>9461</v>
      </c>
      <c r="AZ271">
        <f t="shared" si="98"/>
        <v>9652</v>
      </c>
      <c r="BA271" s="3">
        <f t="shared" si="99"/>
        <v>13456.672131147527</v>
      </c>
    </row>
    <row r="272" spans="1:53" x14ac:dyDescent="0.2">
      <c r="A272">
        <v>2005</v>
      </c>
      <c r="B272" t="s">
        <v>62</v>
      </c>
      <c r="C272" t="s">
        <v>63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12.7</v>
      </c>
      <c r="J272">
        <v>4.3</v>
      </c>
      <c r="K272">
        <f t="shared" si="86"/>
        <v>17</v>
      </c>
      <c r="L272">
        <v>0</v>
      </c>
      <c r="M272">
        <v>0</v>
      </c>
      <c r="N272">
        <v>0</v>
      </c>
      <c r="O272">
        <f t="shared" si="87"/>
        <v>0</v>
      </c>
      <c r="P272" s="1">
        <v>0</v>
      </c>
      <c r="Q272" s="1">
        <v>0</v>
      </c>
      <c r="R272" s="1">
        <v>6.4</v>
      </c>
      <c r="S272">
        <f t="shared" si="80"/>
        <v>6.4</v>
      </c>
      <c r="T272">
        <v>6.6</v>
      </c>
      <c r="U272">
        <v>1.8</v>
      </c>
      <c r="V272">
        <v>0.3</v>
      </c>
      <c r="W272">
        <v>0</v>
      </c>
      <c r="X272">
        <v>0</v>
      </c>
      <c r="Y272">
        <v>3.1</v>
      </c>
      <c r="Z272">
        <v>7.7</v>
      </c>
      <c r="AA272">
        <f t="shared" si="81"/>
        <v>19.5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4.5</v>
      </c>
      <c r="AI272">
        <v>0</v>
      </c>
      <c r="AJ272">
        <f t="shared" si="92"/>
        <v>4.5</v>
      </c>
      <c r="AK272">
        <v>0.4</v>
      </c>
      <c r="AL272">
        <v>0.52100000000000002</v>
      </c>
      <c r="AM272">
        <f t="shared" si="93"/>
        <v>0.47399999999999992</v>
      </c>
      <c r="AN272">
        <v>2523</v>
      </c>
      <c r="AO272">
        <v>1108</v>
      </c>
      <c r="AP272" s="3">
        <f t="shared" si="88"/>
        <v>4796.5779467680604</v>
      </c>
      <c r="AQ272" s="3">
        <f t="shared" si="100"/>
        <v>2106.4638783269961</v>
      </c>
      <c r="AR272">
        <f t="shared" si="85"/>
        <v>9.49367088607595E-2</v>
      </c>
      <c r="AS272">
        <f t="shared" si="89"/>
        <v>0.42899999999999999</v>
      </c>
      <c r="AT272">
        <f t="shared" si="90"/>
        <v>2058</v>
      </c>
      <c r="AU272">
        <f t="shared" si="91"/>
        <v>216</v>
      </c>
      <c r="AV272">
        <f t="shared" si="94"/>
        <v>1650</v>
      </c>
      <c r="AW272">
        <f t="shared" si="95"/>
        <v>248</v>
      </c>
      <c r="AX272" s="3">
        <f t="shared" si="96"/>
        <v>2898.5779467680604</v>
      </c>
      <c r="AY272">
        <f t="shared" si="97"/>
        <v>1029</v>
      </c>
      <c r="AZ272">
        <f t="shared" si="98"/>
        <v>297</v>
      </c>
      <c r="BA272" s="3">
        <f t="shared" si="99"/>
        <v>3470.5779467680604</v>
      </c>
    </row>
    <row r="273" spans="1:53" x14ac:dyDescent="0.2">
      <c r="A273">
        <v>2006</v>
      </c>
      <c r="B273" t="s">
        <v>62</v>
      </c>
      <c r="C273" t="s">
        <v>63</v>
      </c>
      <c r="D273">
        <v>0</v>
      </c>
      <c r="E273">
        <v>0</v>
      </c>
      <c r="F273">
        <v>0</v>
      </c>
      <c r="G273">
        <v>0.6</v>
      </c>
      <c r="H273">
        <v>0</v>
      </c>
      <c r="I273">
        <v>10</v>
      </c>
      <c r="J273">
        <v>1.8</v>
      </c>
      <c r="K273">
        <f t="shared" si="86"/>
        <v>12.4</v>
      </c>
      <c r="L273">
        <v>0</v>
      </c>
      <c r="M273">
        <v>0</v>
      </c>
      <c r="N273">
        <v>1.5</v>
      </c>
      <c r="O273">
        <f t="shared" si="87"/>
        <v>1.5</v>
      </c>
      <c r="P273" s="1">
        <v>0</v>
      </c>
      <c r="Q273" s="1">
        <v>0</v>
      </c>
      <c r="R273" s="1">
        <v>1.7</v>
      </c>
      <c r="S273">
        <f t="shared" si="80"/>
        <v>1.7</v>
      </c>
      <c r="T273">
        <v>6.8</v>
      </c>
      <c r="U273">
        <v>0.4</v>
      </c>
      <c r="V273">
        <v>0</v>
      </c>
      <c r="W273">
        <v>0</v>
      </c>
      <c r="X273">
        <v>0</v>
      </c>
      <c r="Y273">
        <v>5</v>
      </c>
      <c r="Z273">
        <v>9.4</v>
      </c>
      <c r="AA273">
        <f t="shared" si="81"/>
        <v>21.6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22.2</v>
      </c>
      <c r="AI273">
        <v>0</v>
      </c>
      <c r="AJ273">
        <f t="shared" si="92"/>
        <v>22.2</v>
      </c>
      <c r="AK273">
        <v>0</v>
      </c>
      <c r="AL273">
        <v>0.40600000000000003</v>
      </c>
      <c r="AM273">
        <f t="shared" si="93"/>
        <v>0.59399999999999997</v>
      </c>
      <c r="AN273">
        <v>5790</v>
      </c>
      <c r="AO273">
        <v>2586</v>
      </c>
      <c r="AP273" s="3">
        <f t="shared" si="88"/>
        <v>14261.083743842364</v>
      </c>
      <c r="AQ273" s="3">
        <f t="shared" si="100"/>
        <v>6369.458128078817</v>
      </c>
      <c r="AR273">
        <f t="shared" si="85"/>
        <v>0.37373737373737376</v>
      </c>
      <c r="AS273">
        <f t="shared" si="89"/>
        <v>0.37200000000000005</v>
      </c>
      <c r="AT273">
        <f t="shared" si="90"/>
        <v>5305</v>
      </c>
      <c r="AU273">
        <f t="shared" si="91"/>
        <v>3166</v>
      </c>
      <c r="AV273">
        <f t="shared" si="94"/>
        <v>4421</v>
      </c>
      <c r="AW273">
        <f t="shared" si="95"/>
        <v>3478</v>
      </c>
      <c r="AX273" s="3">
        <f t="shared" si="96"/>
        <v>6362.0837438423641</v>
      </c>
      <c r="AY273">
        <f t="shared" si="97"/>
        <v>2653</v>
      </c>
      <c r="AZ273">
        <f t="shared" si="98"/>
        <v>4103</v>
      </c>
      <c r="BA273" s="3">
        <f t="shared" si="99"/>
        <v>7505.0837438423641</v>
      </c>
    </row>
    <row r="274" spans="1:53" x14ac:dyDescent="0.2">
      <c r="A274">
        <v>2007</v>
      </c>
      <c r="B274" t="s">
        <v>62</v>
      </c>
      <c r="C274" t="s">
        <v>63</v>
      </c>
      <c r="D274">
        <v>0</v>
      </c>
      <c r="E274">
        <v>0</v>
      </c>
      <c r="F274">
        <v>0</v>
      </c>
      <c r="G274">
        <v>0.2</v>
      </c>
      <c r="H274">
        <v>0</v>
      </c>
      <c r="I274">
        <v>12.7</v>
      </c>
      <c r="J274">
        <v>3</v>
      </c>
      <c r="K274">
        <f t="shared" si="86"/>
        <v>15.899999999999999</v>
      </c>
      <c r="L274">
        <v>0</v>
      </c>
      <c r="M274">
        <v>0</v>
      </c>
      <c r="N274">
        <v>0</v>
      </c>
      <c r="O274">
        <f t="shared" si="87"/>
        <v>0</v>
      </c>
      <c r="P274" s="1">
        <v>0</v>
      </c>
      <c r="Q274" s="1">
        <v>0</v>
      </c>
      <c r="R274" s="1">
        <v>1.8</v>
      </c>
      <c r="S274">
        <f t="shared" si="80"/>
        <v>1.8</v>
      </c>
      <c r="T274">
        <v>4.0999999999999996</v>
      </c>
      <c r="U274">
        <v>0.3</v>
      </c>
      <c r="V274">
        <v>0.4</v>
      </c>
      <c r="W274">
        <v>0</v>
      </c>
      <c r="X274">
        <v>0</v>
      </c>
      <c r="Y274">
        <v>3</v>
      </c>
      <c r="Z274">
        <v>10.3</v>
      </c>
      <c r="AA274">
        <f t="shared" si="81"/>
        <v>18.100000000000001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27</v>
      </c>
      <c r="AI274">
        <v>0.5</v>
      </c>
      <c r="AJ274">
        <f t="shared" si="92"/>
        <v>27.5</v>
      </c>
      <c r="AK274">
        <v>0</v>
      </c>
      <c r="AL274">
        <v>0.36799999999999999</v>
      </c>
      <c r="AM274">
        <f t="shared" si="93"/>
        <v>0.63300000000000012</v>
      </c>
      <c r="AN274">
        <v>4301</v>
      </c>
      <c r="AO274">
        <v>1762</v>
      </c>
      <c r="AP274" s="3">
        <f t="shared" si="88"/>
        <v>11719.346049046326</v>
      </c>
      <c r="AQ274" s="3">
        <f t="shared" si="100"/>
        <v>4801.0899182561325</v>
      </c>
      <c r="AR274">
        <f t="shared" si="85"/>
        <v>0.43443917851500785</v>
      </c>
      <c r="AS274">
        <f t="shared" si="89"/>
        <v>0.35799999999999998</v>
      </c>
      <c r="AT274">
        <f t="shared" si="90"/>
        <v>4196</v>
      </c>
      <c r="AU274">
        <f t="shared" si="91"/>
        <v>3223</v>
      </c>
      <c r="AV274">
        <f t="shared" si="94"/>
        <v>3264</v>
      </c>
      <c r="AW274">
        <f t="shared" si="95"/>
        <v>3622</v>
      </c>
      <c r="AX274" s="3">
        <f t="shared" si="96"/>
        <v>4833.3460490463258</v>
      </c>
      <c r="AY274">
        <f t="shared" si="97"/>
        <v>2098</v>
      </c>
      <c r="AZ274">
        <f t="shared" si="98"/>
        <v>4122</v>
      </c>
      <c r="BA274" s="3">
        <f t="shared" si="99"/>
        <v>5499.3460490463258</v>
      </c>
    </row>
    <row r="275" spans="1:53" x14ac:dyDescent="0.2">
      <c r="A275">
        <v>2008</v>
      </c>
      <c r="B275" t="s">
        <v>62</v>
      </c>
      <c r="C275" t="s">
        <v>63</v>
      </c>
      <c r="D275">
        <v>0</v>
      </c>
      <c r="E275">
        <v>0</v>
      </c>
      <c r="F275">
        <v>0</v>
      </c>
      <c r="G275">
        <v>0.6</v>
      </c>
      <c r="H275">
        <v>0</v>
      </c>
      <c r="I275">
        <v>7.5</v>
      </c>
      <c r="J275">
        <v>4.3</v>
      </c>
      <c r="K275">
        <f t="shared" si="86"/>
        <v>12.399999999999999</v>
      </c>
      <c r="L275">
        <v>0</v>
      </c>
      <c r="M275">
        <v>0</v>
      </c>
      <c r="N275">
        <v>0</v>
      </c>
      <c r="O275">
        <f t="shared" si="87"/>
        <v>0</v>
      </c>
      <c r="P275" s="1">
        <v>0</v>
      </c>
      <c r="Q275" s="1">
        <v>0</v>
      </c>
      <c r="R275" s="1">
        <v>6.1</v>
      </c>
      <c r="S275">
        <f t="shared" si="80"/>
        <v>6.1</v>
      </c>
      <c r="T275">
        <v>4.5999999999999996</v>
      </c>
      <c r="U275">
        <v>0.2</v>
      </c>
      <c r="V275">
        <v>0</v>
      </c>
      <c r="W275">
        <v>0</v>
      </c>
      <c r="X275">
        <v>0</v>
      </c>
      <c r="Y275">
        <v>3.6</v>
      </c>
      <c r="Z275">
        <v>6</v>
      </c>
      <c r="AA275">
        <f t="shared" si="81"/>
        <v>14.4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27.6</v>
      </c>
      <c r="AI275">
        <v>0.6</v>
      </c>
      <c r="AJ275">
        <f t="shared" si="92"/>
        <v>28.200000000000003</v>
      </c>
      <c r="AK275">
        <v>0</v>
      </c>
      <c r="AL275">
        <v>0.38900000000000001</v>
      </c>
      <c r="AM275">
        <f t="shared" si="93"/>
        <v>0.6110000000000001</v>
      </c>
      <c r="AN275">
        <v>5971</v>
      </c>
      <c r="AO275">
        <v>3792</v>
      </c>
      <c r="AP275" s="3">
        <f t="shared" si="88"/>
        <v>15349.614395886892</v>
      </c>
      <c r="AQ275" s="3">
        <f t="shared" si="100"/>
        <v>9748.0719794344495</v>
      </c>
      <c r="AR275">
        <f t="shared" si="85"/>
        <v>0.46153846153846151</v>
      </c>
      <c r="AS275">
        <f t="shared" si="89"/>
        <v>0.32899999999999996</v>
      </c>
      <c r="AT275">
        <f t="shared" si="90"/>
        <v>5050</v>
      </c>
      <c r="AU275">
        <f t="shared" si="91"/>
        <v>4329</v>
      </c>
      <c r="AV275">
        <f t="shared" si="94"/>
        <v>4098</v>
      </c>
      <c r="AW275">
        <f t="shared" si="95"/>
        <v>4729</v>
      </c>
      <c r="AX275" s="3">
        <f t="shared" si="96"/>
        <v>6522.6143958868925</v>
      </c>
      <c r="AY275">
        <f t="shared" si="97"/>
        <v>2525</v>
      </c>
      <c r="AZ275">
        <f t="shared" si="98"/>
        <v>5390</v>
      </c>
      <c r="BA275" s="3">
        <f t="shared" si="99"/>
        <v>7434.6143958868925</v>
      </c>
    </row>
    <row r="276" spans="1:53" x14ac:dyDescent="0.2">
      <c r="A276">
        <v>2009</v>
      </c>
      <c r="B276" t="s">
        <v>62</v>
      </c>
      <c r="C276" t="s">
        <v>63</v>
      </c>
      <c r="D276">
        <v>0</v>
      </c>
      <c r="E276">
        <v>0.1</v>
      </c>
      <c r="F276">
        <v>0</v>
      </c>
      <c r="G276">
        <v>0.3</v>
      </c>
      <c r="H276">
        <v>0</v>
      </c>
      <c r="I276">
        <v>3.6</v>
      </c>
      <c r="J276">
        <v>6.4</v>
      </c>
      <c r="K276">
        <f t="shared" si="86"/>
        <v>10.4</v>
      </c>
      <c r="L276">
        <v>0</v>
      </c>
      <c r="M276">
        <v>0</v>
      </c>
      <c r="N276">
        <v>0</v>
      </c>
      <c r="O276">
        <f t="shared" si="87"/>
        <v>0</v>
      </c>
      <c r="P276" s="1">
        <v>0</v>
      </c>
      <c r="Q276" s="1">
        <v>0</v>
      </c>
      <c r="R276" s="1">
        <v>5</v>
      </c>
      <c r="S276">
        <f t="shared" si="80"/>
        <v>5</v>
      </c>
      <c r="T276">
        <v>1.6</v>
      </c>
      <c r="U276">
        <v>0.5</v>
      </c>
      <c r="V276">
        <v>0</v>
      </c>
      <c r="W276">
        <v>0</v>
      </c>
      <c r="X276">
        <v>0</v>
      </c>
      <c r="Y276">
        <v>3.2</v>
      </c>
      <c r="Z276">
        <v>5.4</v>
      </c>
      <c r="AA276">
        <f t="shared" si="81"/>
        <v>10.700000000000001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25.3</v>
      </c>
      <c r="AI276">
        <v>0.6</v>
      </c>
      <c r="AJ276">
        <f t="shared" si="92"/>
        <v>25.900000000000002</v>
      </c>
      <c r="AK276">
        <v>0.3</v>
      </c>
      <c r="AL276">
        <v>0.47799999999999998</v>
      </c>
      <c r="AM276">
        <f t="shared" si="93"/>
        <v>0.52</v>
      </c>
      <c r="AN276">
        <v>688</v>
      </c>
      <c r="AO276">
        <v>165</v>
      </c>
      <c r="AP276" s="3">
        <f t="shared" si="88"/>
        <v>1433.3333333333335</v>
      </c>
      <c r="AQ276" s="3">
        <f t="shared" si="100"/>
        <v>343.75</v>
      </c>
      <c r="AR276">
        <f t="shared" si="85"/>
        <v>0.49807692307692308</v>
      </c>
      <c r="AS276">
        <f t="shared" si="89"/>
        <v>0.26100000000000001</v>
      </c>
      <c r="AT276">
        <f t="shared" si="90"/>
        <v>374</v>
      </c>
      <c r="AU276">
        <f t="shared" si="91"/>
        <v>371</v>
      </c>
      <c r="AV276">
        <f t="shared" si="94"/>
        <v>300</v>
      </c>
      <c r="AW276">
        <f t="shared" si="95"/>
        <v>397</v>
      </c>
      <c r="AX276" s="3">
        <f t="shared" si="96"/>
        <v>736.33333333333348</v>
      </c>
      <c r="AY276">
        <f t="shared" si="97"/>
        <v>187</v>
      </c>
      <c r="AZ276">
        <f t="shared" si="98"/>
        <v>436</v>
      </c>
      <c r="BA276" s="3">
        <f t="shared" si="99"/>
        <v>810.33333333333348</v>
      </c>
    </row>
    <row r="277" spans="1:53" x14ac:dyDescent="0.2">
      <c r="A277">
        <v>2010</v>
      </c>
      <c r="B277" t="s">
        <v>62</v>
      </c>
      <c r="C277" t="s">
        <v>63</v>
      </c>
      <c r="D277">
        <v>0</v>
      </c>
      <c r="E277">
        <v>0</v>
      </c>
      <c r="F277">
        <v>0</v>
      </c>
      <c r="G277">
        <v>0</v>
      </c>
      <c r="H277">
        <v>0.5</v>
      </c>
      <c r="I277">
        <v>7.8</v>
      </c>
      <c r="J277">
        <v>6.6</v>
      </c>
      <c r="K277">
        <f t="shared" si="86"/>
        <v>14.9</v>
      </c>
      <c r="L277">
        <v>0</v>
      </c>
      <c r="M277">
        <v>0</v>
      </c>
      <c r="N277">
        <v>0.4</v>
      </c>
      <c r="O277">
        <f t="shared" si="87"/>
        <v>0.4</v>
      </c>
      <c r="P277" s="1">
        <v>0</v>
      </c>
      <c r="Q277" s="1">
        <v>0</v>
      </c>
      <c r="R277" s="1">
        <v>3.5</v>
      </c>
      <c r="S277">
        <f t="shared" si="80"/>
        <v>3.5</v>
      </c>
      <c r="T277">
        <v>2.4</v>
      </c>
      <c r="U277">
        <v>2.2000000000000002</v>
      </c>
      <c r="V277">
        <v>0</v>
      </c>
      <c r="W277">
        <v>0</v>
      </c>
      <c r="X277">
        <v>0</v>
      </c>
      <c r="Y277">
        <v>0</v>
      </c>
      <c r="Z277">
        <v>3.8</v>
      </c>
      <c r="AA277">
        <f t="shared" si="81"/>
        <v>8.3999999999999986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3</v>
      </c>
      <c r="AI277">
        <v>0</v>
      </c>
      <c r="AJ277">
        <f t="shared" si="92"/>
        <v>3</v>
      </c>
      <c r="AK277">
        <v>0</v>
      </c>
      <c r="AL277">
        <v>0.69799999999999995</v>
      </c>
      <c r="AM277">
        <f t="shared" si="93"/>
        <v>0.30200000000000005</v>
      </c>
      <c r="AN277">
        <v>2092</v>
      </c>
      <c r="AO277">
        <v>859</v>
      </c>
      <c r="AP277" s="3">
        <f t="shared" si="88"/>
        <v>2997.1346704871062</v>
      </c>
      <c r="AQ277" s="3">
        <f t="shared" si="100"/>
        <v>1230.6590257879657</v>
      </c>
      <c r="AR277">
        <f t="shared" si="85"/>
        <v>9.9337748344370841E-2</v>
      </c>
      <c r="AS277">
        <f t="shared" si="89"/>
        <v>0.27200000000000002</v>
      </c>
      <c r="AT277">
        <f t="shared" si="90"/>
        <v>815</v>
      </c>
      <c r="AU277">
        <f t="shared" si="91"/>
        <v>90</v>
      </c>
      <c r="AV277">
        <f t="shared" si="94"/>
        <v>592</v>
      </c>
      <c r="AW277">
        <f t="shared" si="95"/>
        <v>99</v>
      </c>
      <c r="AX277" s="3">
        <f t="shared" si="96"/>
        <v>2306.1346704871062</v>
      </c>
      <c r="AY277">
        <f t="shared" si="97"/>
        <v>408</v>
      </c>
      <c r="AZ277">
        <f t="shared" si="98"/>
        <v>107</v>
      </c>
      <c r="BA277" s="3">
        <f t="shared" si="99"/>
        <v>2482.1346704871062</v>
      </c>
    </row>
    <row r="278" spans="1:53" x14ac:dyDescent="0.2">
      <c r="A278">
        <v>2011</v>
      </c>
      <c r="B278" t="s">
        <v>62</v>
      </c>
      <c r="C278" t="s">
        <v>63</v>
      </c>
      <c r="D278">
        <v>0.4</v>
      </c>
      <c r="E278">
        <v>0.1</v>
      </c>
      <c r="F278">
        <v>0</v>
      </c>
      <c r="G278">
        <v>0</v>
      </c>
      <c r="H278">
        <v>0</v>
      </c>
      <c r="I278">
        <v>5.0999999999999996</v>
      </c>
      <c r="J278">
        <v>7</v>
      </c>
      <c r="K278">
        <f t="shared" si="86"/>
        <v>12.6</v>
      </c>
      <c r="L278">
        <v>0</v>
      </c>
      <c r="M278">
        <v>0</v>
      </c>
      <c r="N278">
        <v>0</v>
      </c>
      <c r="O278">
        <f t="shared" si="87"/>
        <v>0</v>
      </c>
      <c r="P278" s="1">
        <v>0</v>
      </c>
      <c r="Q278" s="1">
        <v>0</v>
      </c>
      <c r="R278" s="1">
        <v>10.4</v>
      </c>
      <c r="S278">
        <f t="shared" si="80"/>
        <v>10.4</v>
      </c>
      <c r="T278">
        <v>1.7</v>
      </c>
      <c r="U278">
        <v>0.4</v>
      </c>
      <c r="V278">
        <v>0.4</v>
      </c>
      <c r="W278">
        <v>0</v>
      </c>
      <c r="X278">
        <v>0</v>
      </c>
      <c r="Y278">
        <v>1.7</v>
      </c>
      <c r="Z278">
        <v>9.9</v>
      </c>
      <c r="AA278">
        <f t="shared" si="81"/>
        <v>14.100000000000001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19.899999999999999</v>
      </c>
      <c r="AI278">
        <v>0</v>
      </c>
      <c r="AJ278">
        <f t="shared" si="92"/>
        <v>19.899999999999999</v>
      </c>
      <c r="AK278">
        <v>0.1</v>
      </c>
      <c r="AL278">
        <v>0.43</v>
      </c>
      <c r="AM278">
        <f t="shared" si="93"/>
        <v>0.56999999999999995</v>
      </c>
      <c r="AN278">
        <v>993</v>
      </c>
      <c r="AO278">
        <v>459</v>
      </c>
      <c r="AP278" s="3">
        <f t="shared" si="88"/>
        <v>2309.3023255813951</v>
      </c>
      <c r="AQ278" s="3">
        <f t="shared" si="100"/>
        <v>1067.4418604651162</v>
      </c>
      <c r="AR278">
        <f t="shared" si="85"/>
        <v>0.34912280701754383</v>
      </c>
      <c r="AS278">
        <f t="shared" si="89"/>
        <v>0.371</v>
      </c>
      <c r="AT278">
        <f t="shared" si="90"/>
        <v>857</v>
      </c>
      <c r="AU278">
        <f t="shared" si="91"/>
        <v>460</v>
      </c>
      <c r="AV278">
        <f t="shared" si="94"/>
        <v>711</v>
      </c>
      <c r="AW278">
        <f t="shared" si="95"/>
        <v>506</v>
      </c>
      <c r="AX278" s="3">
        <f t="shared" si="96"/>
        <v>1092.3023255813951</v>
      </c>
      <c r="AY278">
        <f t="shared" si="97"/>
        <v>428</v>
      </c>
      <c r="AZ278">
        <f t="shared" si="98"/>
        <v>596</v>
      </c>
      <c r="BA278" s="3">
        <f t="shared" si="99"/>
        <v>1285.3023255813951</v>
      </c>
    </row>
    <row r="279" spans="1:53" x14ac:dyDescent="0.2">
      <c r="A279">
        <v>2012</v>
      </c>
      <c r="B279" t="s">
        <v>62</v>
      </c>
      <c r="C279" t="s">
        <v>63</v>
      </c>
      <c r="D279">
        <v>0</v>
      </c>
      <c r="E279">
        <v>0</v>
      </c>
      <c r="F279">
        <v>0</v>
      </c>
      <c r="G279">
        <v>0.4</v>
      </c>
      <c r="H279">
        <v>0</v>
      </c>
      <c r="I279">
        <v>2.9</v>
      </c>
      <c r="J279">
        <v>4.3</v>
      </c>
      <c r="K279">
        <f t="shared" si="86"/>
        <v>7.6</v>
      </c>
      <c r="L279">
        <v>0</v>
      </c>
      <c r="M279">
        <v>0</v>
      </c>
      <c r="N279">
        <v>0</v>
      </c>
      <c r="O279">
        <f t="shared" si="87"/>
        <v>0</v>
      </c>
      <c r="P279" s="1">
        <v>0</v>
      </c>
      <c r="Q279" s="1">
        <v>0</v>
      </c>
      <c r="R279" s="1">
        <v>8.8000000000000007</v>
      </c>
      <c r="S279">
        <f t="shared" ref="S279:S342" si="101">SUM(P279:R279)</f>
        <v>8.8000000000000007</v>
      </c>
      <c r="T279">
        <v>4</v>
      </c>
      <c r="U279">
        <v>0.5</v>
      </c>
      <c r="V279">
        <v>0.6</v>
      </c>
      <c r="W279">
        <v>0</v>
      </c>
      <c r="X279">
        <v>0</v>
      </c>
      <c r="Y279">
        <v>0.1</v>
      </c>
      <c r="Z279">
        <v>7.4</v>
      </c>
      <c r="AA279">
        <f t="shared" ref="AA279:AA342" si="102">SUM(T279:Z279)</f>
        <v>12.6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4.4000000000000004</v>
      </c>
      <c r="AI279">
        <v>0</v>
      </c>
      <c r="AJ279">
        <f t="shared" si="92"/>
        <v>4.4000000000000004</v>
      </c>
      <c r="AK279">
        <v>0.2</v>
      </c>
      <c r="AL279">
        <v>0.66500000000000004</v>
      </c>
      <c r="AM279">
        <f t="shared" si="93"/>
        <v>0.33399999999999996</v>
      </c>
      <c r="AN279">
        <v>3091</v>
      </c>
      <c r="AO279">
        <v>1638</v>
      </c>
      <c r="AP279" s="3">
        <f t="shared" si="88"/>
        <v>4641.1411411411409</v>
      </c>
      <c r="AQ279" s="3">
        <f t="shared" si="100"/>
        <v>2459.4594594594591</v>
      </c>
      <c r="AR279">
        <f t="shared" si="85"/>
        <v>0.13173652694610782</v>
      </c>
      <c r="AS279">
        <f t="shared" si="89"/>
        <v>0.28999999999999998</v>
      </c>
      <c r="AT279">
        <f t="shared" si="90"/>
        <v>1346</v>
      </c>
      <c r="AU279">
        <f t="shared" si="91"/>
        <v>204</v>
      </c>
      <c r="AV279">
        <f t="shared" si="94"/>
        <v>1170</v>
      </c>
      <c r="AW279">
        <f t="shared" si="95"/>
        <v>215</v>
      </c>
      <c r="AX279" s="3">
        <f t="shared" si="96"/>
        <v>3256.1411411411409</v>
      </c>
      <c r="AY279">
        <f t="shared" si="97"/>
        <v>673</v>
      </c>
      <c r="AZ279">
        <f t="shared" si="98"/>
        <v>246</v>
      </c>
      <c r="BA279" s="3">
        <f t="shared" si="99"/>
        <v>3722.1411411411409</v>
      </c>
    </row>
    <row r="280" spans="1:53" x14ac:dyDescent="0.2">
      <c r="A280">
        <v>2013</v>
      </c>
      <c r="B280" t="s">
        <v>62</v>
      </c>
      <c r="C280" t="s">
        <v>63</v>
      </c>
      <c r="D280">
        <v>0</v>
      </c>
      <c r="E280">
        <v>0.7</v>
      </c>
      <c r="F280">
        <v>0</v>
      </c>
      <c r="G280">
        <v>0</v>
      </c>
      <c r="H280">
        <v>0</v>
      </c>
      <c r="I280">
        <v>4.5999999999999996</v>
      </c>
      <c r="J280">
        <v>4.5999999999999996</v>
      </c>
      <c r="K280">
        <f t="shared" si="86"/>
        <v>9.8999999999999986</v>
      </c>
      <c r="L280">
        <v>0</v>
      </c>
      <c r="M280">
        <v>0</v>
      </c>
      <c r="N280">
        <v>0</v>
      </c>
      <c r="O280">
        <f t="shared" si="87"/>
        <v>0</v>
      </c>
      <c r="P280" s="1">
        <v>0</v>
      </c>
      <c r="Q280" s="1">
        <v>0</v>
      </c>
      <c r="R280" s="1">
        <v>5.0999999999999996</v>
      </c>
      <c r="S280">
        <f t="shared" si="101"/>
        <v>5.0999999999999996</v>
      </c>
      <c r="T280">
        <v>5.8</v>
      </c>
      <c r="U280">
        <v>1.2</v>
      </c>
      <c r="V280">
        <v>0</v>
      </c>
      <c r="W280">
        <v>0</v>
      </c>
      <c r="X280">
        <v>0</v>
      </c>
      <c r="Y280">
        <v>0.8</v>
      </c>
      <c r="Z280">
        <v>5.8</v>
      </c>
      <c r="AA280">
        <f t="shared" si="102"/>
        <v>13.6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4.7</v>
      </c>
      <c r="AI280">
        <v>0</v>
      </c>
      <c r="AJ280">
        <f t="shared" si="92"/>
        <v>4.7</v>
      </c>
      <c r="AK280">
        <v>0</v>
      </c>
      <c r="AL280">
        <v>0.66700000000000004</v>
      </c>
      <c r="AM280">
        <f t="shared" si="93"/>
        <v>0.33299999999999996</v>
      </c>
      <c r="AN280">
        <v>2041</v>
      </c>
      <c r="AO280">
        <v>524</v>
      </c>
      <c r="AP280" s="3">
        <f t="shared" si="88"/>
        <v>3059.9700149925034</v>
      </c>
      <c r="AQ280" s="3">
        <f t="shared" si="100"/>
        <v>785.607196401799</v>
      </c>
      <c r="AR280">
        <f t="shared" si="85"/>
        <v>0.14114114114114115</v>
      </c>
      <c r="AS280">
        <f t="shared" si="89"/>
        <v>0.28599999999999998</v>
      </c>
      <c r="AT280">
        <f t="shared" si="90"/>
        <v>875</v>
      </c>
      <c r="AU280">
        <f t="shared" si="91"/>
        <v>144</v>
      </c>
      <c r="AV280">
        <f t="shared" si="94"/>
        <v>724</v>
      </c>
      <c r="AW280">
        <f t="shared" si="95"/>
        <v>154</v>
      </c>
      <c r="AX280" s="3">
        <f t="shared" si="96"/>
        <v>2181.9700149925034</v>
      </c>
      <c r="AY280">
        <f t="shared" si="97"/>
        <v>438</v>
      </c>
      <c r="AZ280">
        <f t="shared" si="98"/>
        <v>173</v>
      </c>
      <c r="BA280" s="3">
        <f t="shared" si="99"/>
        <v>2448.9700149925034</v>
      </c>
    </row>
    <row r="281" spans="1:53" x14ac:dyDescent="0.2">
      <c r="A281">
        <v>2014</v>
      </c>
      <c r="B281" t="s">
        <v>62</v>
      </c>
      <c r="C281" t="s">
        <v>63</v>
      </c>
      <c r="D281">
        <v>1.8</v>
      </c>
      <c r="E281">
        <v>2.2999999999999998</v>
      </c>
      <c r="F281">
        <v>0</v>
      </c>
      <c r="G281">
        <v>0</v>
      </c>
      <c r="H281">
        <v>0</v>
      </c>
      <c r="I281">
        <v>6</v>
      </c>
      <c r="J281">
        <v>8</v>
      </c>
      <c r="K281">
        <f t="shared" si="86"/>
        <v>18.100000000000001</v>
      </c>
      <c r="L281">
        <v>0</v>
      </c>
      <c r="M281">
        <v>0</v>
      </c>
      <c r="N281">
        <v>0</v>
      </c>
      <c r="O281">
        <f t="shared" si="87"/>
        <v>0</v>
      </c>
      <c r="P281" s="1">
        <v>0</v>
      </c>
      <c r="Q281" s="1">
        <v>0</v>
      </c>
      <c r="R281" s="1">
        <v>1.6</v>
      </c>
      <c r="S281">
        <f t="shared" si="101"/>
        <v>1.6</v>
      </c>
      <c r="T281">
        <v>6.8</v>
      </c>
      <c r="U281">
        <v>2.5</v>
      </c>
      <c r="V281">
        <v>0.9</v>
      </c>
      <c r="W281">
        <v>0</v>
      </c>
      <c r="X281">
        <v>0</v>
      </c>
      <c r="Y281">
        <v>1.2</v>
      </c>
      <c r="Z281">
        <v>5.2</v>
      </c>
      <c r="AA281">
        <f t="shared" si="102"/>
        <v>16.600000000000001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8.4</v>
      </c>
      <c r="AI281">
        <v>0</v>
      </c>
      <c r="AJ281">
        <f t="shared" si="92"/>
        <v>8.4</v>
      </c>
      <c r="AK281">
        <v>0.4</v>
      </c>
      <c r="AL281">
        <v>0.54799999999999993</v>
      </c>
      <c r="AM281">
        <f t="shared" si="93"/>
        <v>0.44700000000000001</v>
      </c>
      <c r="AN281">
        <v>2730</v>
      </c>
      <c r="AO281">
        <v>756</v>
      </c>
      <c r="AP281" s="3">
        <f t="shared" si="88"/>
        <v>4936.7088607594942</v>
      </c>
      <c r="AQ281" s="3">
        <f t="shared" si="100"/>
        <v>1367.0886075949368</v>
      </c>
      <c r="AR281">
        <f t="shared" si="85"/>
        <v>0.18791946308724833</v>
      </c>
      <c r="AS281">
        <f t="shared" si="89"/>
        <v>0.36300000000000004</v>
      </c>
      <c r="AT281">
        <f t="shared" si="90"/>
        <v>1792</v>
      </c>
      <c r="AU281">
        <f t="shared" si="91"/>
        <v>415</v>
      </c>
      <c r="AV281">
        <f t="shared" si="94"/>
        <v>1345</v>
      </c>
      <c r="AW281">
        <f t="shared" si="95"/>
        <v>474</v>
      </c>
      <c r="AX281" s="3">
        <f t="shared" si="96"/>
        <v>3117.7088607594942</v>
      </c>
      <c r="AY281">
        <f t="shared" si="97"/>
        <v>896</v>
      </c>
      <c r="AZ281">
        <f t="shared" si="98"/>
        <v>533</v>
      </c>
      <c r="BA281" s="3">
        <f t="shared" si="99"/>
        <v>3507.7088607594942</v>
      </c>
    </row>
    <row r="282" spans="1:53" x14ac:dyDescent="0.2">
      <c r="A282">
        <v>2015</v>
      </c>
      <c r="B282" t="s">
        <v>62</v>
      </c>
      <c r="C282" t="s">
        <v>63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2.4</v>
      </c>
      <c r="J282">
        <v>1.9</v>
      </c>
      <c r="K282">
        <f t="shared" si="86"/>
        <v>4.3</v>
      </c>
      <c r="L282">
        <v>0</v>
      </c>
      <c r="M282">
        <v>0</v>
      </c>
      <c r="N282">
        <v>0</v>
      </c>
      <c r="O282">
        <f t="shared" si="87"/>
        <v>0</v>
      </c>
      <c r="P282" s="1">
        <v>0</v>
      </c>
      <c r="Q282" s="1">
        <v>0</v>
      </c>
      <c r="R282" s="1">
        <v>15.7</v>
      </c>
      <c r="S282">
        <f t="shared" si="101"/>
        <v>15.7</v>
      </c>
      <c r="T282">
        <v>10.3</v>
      </c>
      <c r="U282">
        <v>2.2999999999999998</v>
      </c>
      <c r="V282">
        <v>0.2</v>
      </c>
      <c r="W282">
        <v>0</v>
      </c>
      <c r="X282">
        <v>0</v>
      </c>
      <c r="Y282">
        <v>1.7</v>
      </c>
      <c r="Z282">
        <v>11.1</v>
      </c>
      <c r="AA282">
        <f t="shared" si="102"/>
        <v>25.6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1.5</v>
      </c>
      <c r="AI282">
        <v>0</v>
      </c>
      <c r="AJ282">
        <f t="shared" si="92"/>
        <v>1.5</v>
      </c>
      <c r="AK282">
        <v>0.2</v>
      </c>
      <c r="AL282">
        <v>0.52800000000000002</v>
      </c>
      <c r="AM282">
        <f t="shared" si="93"/>
        <v>0.47099999999999992</v>
      </c>
      <c r="AN282">
        <v>4087</v>
      </c>
      <c r="AO282">
        <v>864</v>
      </c>
      <c r="AP282" s="3">
        <f t="shared" si="88"/>
        <v>7725.8979206049125</v>
      </c>
      <c r="AQ282" s="3">
        <f t="shared" si="100"/>
        <v>1633.2703213610582</v>
      </c>
      <c r="AR282">
        <f t="shared" si="85"/>
        <v>3.184713375796179E-2</v>
      </c>
      <c r="AS282">
        <f t="shared" si="89"/>
        <v>0.45600000000000002</v>
      </c>
      <c r="AT282">
        <f t="shared" si="90"/>
        <v>3523</v>
      </c>
      <c r="AU282">
        <f t="shared" si="91"/>
        <v>116</v>
      </c>
      <c r="AV282">
        <f t="shared" si="94"/>
        <v>3357</v>
      </c>
      <c r="AW282">
        <f t="shared" si="95"/>
        <v>121</v>
      </c>
      <c r="AX282" s="3">
        <f t="shared" si="96"/>
        <v>4247.8979206049125</v>
      </c>
      <c r="AY282">
        <f t="shared" si="97"/>
        <v>1762</v>
      </c>
      <c r="AZ282">
        <f t="shared" si="98"/>
        <v>165</v>
      </c>
      <c r="BA282" s="3">
        <f t="shared" si="99"/>
        <v>5798.8979206049125</v>
      </c>
    </row>
    <row r="283" spans="1:53" x14ac:dyDescent="0.2">
      <c r="A283">
        <v>2016</v>
      </c>
      <c r="B283" t="s">
        <v>62</v>
      </c>
      <c r="C283" t="s">
        <v>63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1.5</v>
      </c>
      <c r="J283">
        <v>1.6</v>
      </c>
      <c r="K283">
        <f t="shared" si="86"/>
        <v>3.1</v>
      </c>
      <c r="L283">
        <v>0</v>
      </c>
      <c r="M283">
        <v>0</v>
      </c>
      <c r="N283">
        <v>0</v>
      </c>
      <c r="O283">
        <f t="shared" si="87"/>
        <v>0</v>
      </c>
      <c r="P283" s="1">
        <v>0</v>
      </c>
      <c r="Q283" s="1">
        <v>0</v>
      </c>
      <c r="R283" s="1">
        <v>14.4</v>
      </c>
      <c r="S283">
        <f t="shared" si="101"/>
        <v>14.4</v>
      </c>
      <c r="T283">
        <v>2.5</v>
      </c>
      <c r="U283">
        <v>0.2</v>
      </c>
      <c r="V283">
        <v>0</v>
      </c>
      <c r="W283">
        <v>0</v>
      </c>
      <c r="X283">
        <v>0</v>
      </c>
      <c r="Y283">
        <v>0.8</v>
      </c>
      <c r="Z283">
        <v>8.1999999999999993</v>
      </c>
      <c r="AA283">
        <f t="shared" si="102"/>
        <v>11.7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0.8</v>
      </c>
      <c r="AI283">
        <v>0</v>
      </c>
      <c r="AJ283">
        <f t="shared" si="92"/>
        <v>0.8</v>
      </c>
      <c r="AK283">
        <v>0.4</v>
      </c>
      <c r="AL283">
        <v>0.69599999999999995</v>
      </c>
      <c r="AM283">
        <f t="shared" si="93"/>
        <v>0.3</v>
      </c>
      <c r="AN283">
        <v>10063</v>
      </c>
      <c r="AO283">
        <v>2566</v>
      </c>
      <c r="AP283" s="3">
        <f t="shared" si="88"/>
        <v>14375.714285714286</v>
      </c>
      <c r="AQ283" s="3">
        <f t="shared" si="100"/>
        <v>3665.7142857142858</v>
      </c>
      <c r="AR283">
        <f t="shared" si="85"/>
        <v>2.6666666666666668E-2</v>
      </c>
      <c r="AS283">
        <f t="shared" si="89"/>
        <v>0.29199999999999998</v>
      </c>
      <c r="AT283">
        <f t="shared" si="90"/>
        <v>4198</v>
      </c>
      <c r="AU283">
        <f t="shared" si="91"/>
        <v>115</v>
      </c>
      <c r="AV283">
        <f t="shared" si="94"/>
        <v>3975</v>
      </c>
      <c r="AW283">
        <f t="shared" si="95"/>
        <v>118</v>
      </c>
      <c r="AX283" s="3">
        <f t="shared" si="96"/>
        <v>10282.714285714286</v>
      </c>
      <c r="AY283">
        <f t="shared" si="97"/>
        <v>2099</v>
      </c>
      <c r="AZ283">
        <f t="shared" si="98"/>
        <v>139</v>
      </c>
      <c r="BA283" s="3">
        <f t="shared" si="99"/>
        <v>12137.714285714286</v>
      </c>
    </row>
    <row r="284" spans="1:53" x14ac:dyDescent="0.2">
      <c r="A284">
        <v>2017</v>
      </c>
      <c r="B284" t="s">
        <v>62</v>
      </c>
      <c r="C284" t="s">
        <v>63</v>
      </c>
      <c r="D284">
        <v>0.3</v>
      </c>
      <c r="E284">
        <v>0</v>
      </c>
      <c r="F284">
        <v>0.4</v>
      </c>
      <c r="G284">
        <v>0</v>
      </c>
      <c r="H284">
        <v>0</v>
      </c>
      <c r="I284">
        <v>3.5</v>
      </c>
      <c r="J284">
        <v>5.5</v>
      </c>
      <c r="K284">
        <f t="shared" si="86"/>
        <v>9.6999999999999993</v>
      </c>
      <c r="L284">
        <v>0</v>
      </c>
      <c r="M284">
        <v>0</v>
      </c>
      <c r="N284">
        <v>0.6</v>
      </c>
      <c r="O284">
        <f t="shared" si="87"/>
        <v>0.6</v>
      </c>
      <c r="P284" s="1">
        <v>0</v>
      </c>
      <c r="Q284" s="1">
        <v>0</v>
      </c>
      <c r="R284" s="1">
        <v>4.8</v>
      </c>
      <c r="S284">
        <f t="shared" si="101"/>
        <v>4.8</v>
      </c>
      <c r="T284">
        <v>4.3</v>
      </c>
      <c r="U284">
        <v>1.5</v>
      </c>
      <c r="V284">
        <v>0.8</v>
      </c>
      <c r="W284">
        <v>0</v>
      </c>
      <c r="X284">
        <v>0</v>
      </c>
      <c r="Y284">
        <v>0.8</v>
      </c>
      <c r="Z284">
        <v>5.0999999999999996</v>
      </c>
      <c r="AA284">
        <f t="shared" si="102"/>
        <v>12.5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9.6</v>
      </c>
      <c r="AI284">
        <v>0</v>
      </c>
      <c r="AJ284">
        <f t="shared" si="92"/>
        <v>9.6</v>
      </c>
      <c r="AK284">
        <v>0.2</v>
      </c>
      <c r="AL284">
        <v>0.625</v>
      </c>
      <c r="AM284">
        <f t="shared" si="93"/>
        <v>0.37200000000000005</v>
      </c>
      <c r="AN284">
        <v>8357</v>
      </c>
      <c r="AO284">
        <v>2031</v>
      </c>
      <c r="AP284" s="3">
        <f t="shared" si="88"/>
        <v>13307.324840764333</v>
      </c>
      <c r="AQ284" s="3">
        <f t="shared" si="100"/>
        <v>3234.0764331210198</v>
      </c>
      <c r="AR284">
        <f t="shared" si="85"/>
        <v>0.25806451612903225</v>
      </c>
      <c r="AS284">
        <f t="shared" si="89"/>
        <v>0.27599999999999997</v>
      </c>
      <c r="AT284">
        <f t="shared" si="90"/>
        <v>3673</v>
      </c>
      <c r="AU284">
        <f t="shared" si="91"/>
        <v>1278</v>
      </c>
      <c r="AV284">
        <f t="shared" si="94"/>
        <v>3027</v>
      </c>
      <c r="AW284">
        <f t="shared" si="95"/>
        <v>1364</v>
      </c>
      <c r="AX284" s="3">
        <f t="shared" si="96"/>
        <v>8916.3248407643332</v>
      </c>
      <c r="AY284">
        <f t="shared" si="97"/>
        <v>1836</v>
      </c>
      <c r="AZ284">
        <f t="shared" si="98"/>
        <v>1522</v>
      </c>
      <c r="BA284" s="3">
        <f t="shared" si="99"/>
        <v>9949.3248407643332</v>
      </c>
    </row>
    <row r="285" spans="1:53" x14ac:dyDescent="0.2">
      <c r="A285">
        <v>2018</v>
      </c>
      <c r="B285" t="s">
        <v>62</v>
      </c>
      <c r="C285" t="s">
        <v>63</v>
      </c>
      <c r="D285">
        <v>0.3</v>
      </c>
      <c r="E285">
        <v>0.1</v>
      </c>
      <c r="F285">
        <v>0.3</v>
      </c>
      <c r="G285">
        <v>0.2</v>
      </c>
      <c r="H285">
        <v>0.3</v>
      </c>
      <c r="I285">
        <v>2.5</v>
      </c>
      <c r="J285">
        <v>3.9</v>
      </c>
      <c r="K285">
        <f t="shared" si="86"/>
        <v>7.6</v>
      </c>
      <c r="L285">
        <v>0</v>
      </c>
      <c r="M285">
        <v>0</v>
      </c>
      <c r="N285">
        <v>0.3</v>
      </c>
      <c r="O285">
        <f t="shared" si="87"/>
        <v>0.3</v>
      </c>
      <c r="P285" s="1">
        <v>0</v>
      </c>
      <c r="Q285" s="1">
        <v>0</v>
      </c>
      <c r="R285" s="1">
        <v>12.1</v>
      </c>
      <c r="S285">
        <f t="shared" si="101"/>
        <v>12.1</v>
      </c>
      <c r="T285">
        <v>6.4</v>
      </c>
      <c r="U285">
        <v>0.9</v>
      </c>
      <c r="V285">
        <v>0.1</v>
      </c>
      <c r="W285">
        <v>0</v>
      </c>
      <c r="X285">
        <v>0</v>
      </c>
      <c r="Y285">
        <v>1.1000000000000001</v>
      </c>
      <c r="Z285">
        <v>5.3</v>
      </c>
      <c r="AA285">
        <f t="shared" si="102"/>
        <v>13.8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21.9</v>
      </c>
      <c r="AI285">
        <v>0</v>
      </c>
      <c r="AJ285">
        <f t="shared" si="92"/>
        <v>21.9</v>
      </c>
      <c r="AK285">
        <v>0</v>
      </c>
      <c r="AL285">
        <v>0.44400000000000001</v>
      </c>
      <c r="AM285">
        <f t="shared" si="93"/>
        <v>0.55699999999999994</v>
      </c>
      <c r="AN285">
        <v>6891</v>
      </c>
      <c r="AO285">
        <v>2177</v>
      </c>
      <c r="AP285" s="3">
        <f t="shared" si="88"/>
        <v>15555.304740406318</v>
      </c>
      <c r="AQ285" s="3">
        <f t="shared" si="100"/>
        <v>4914.2212189616248</v>
      </c>
      <c r="AR285">
        <f t="shared" si="85"/>
        <v>0.39317773788150806</v>
      </c>
      <c r="AS285">
        <f t="shared" si="89"/>
        <v>0.33799999999999997</v>
      </c>
      <c r="AT285">
        <f t="shared" si="90"/>
        <v>5258</v>
      </c>
      <c r="AU285">
        <f t="shared" si="91"/>
        <v>3407</v>
      </c>
      <c r="AV285">
        <f t="shared" si="94"/>
        <v>4667</v>
      </c>
      <c r="AW285">
        <f t="shared" si="95"/>
        <v>3603</v>
      </c>
      <c r="AX285" s="3">
        <f t="shared" si="96"/>
        <v>7285.3047404063182</v>
      </c>
      <c r="AY285">
        <f t="shared" si="97"/>
        <v>2629</v>
      </c>
      <c r="AZ285">
        <f t="shared" si="98"/>
        <v>4277</v>
      </c>
      <c r="BA285" s="3">
        <f t="shared" si="99"/>
        <v>8649.3047404063182</v>
      </c>
    </row>
    <row r="286" spans="1:53" x14ac:dyDescent="0.2">
      <c r="A286">
        <v>2019</v>
      </c>
      <c r="B286" t="s">
        <v>62</v>
      </c>
      <c r="C286" t="s">
        <v>63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1.4</v>
      </c>
      <c r="J286">
        <v>6.5</v>
      </c>
      <c r="K286">
        <f t="shared" si="86"/>
        <v>7.9</v>
      </c>
      <c r="L286">
        <v>0</v>
      </c>
      <c r="M286">
        <v>0</v>
      </c>
      <c r="N286">
        <v>1.2</v>
      </c>
      <c r="O286">
        <f t="shared" si="87"/>
        <v>1.2</v>
      </c>
      <c r="P286" s="1">
        <v>0</v>
      </c>
      <c r="Q286" s="1">
        <v>0</v>
      </c>
      <c r="R286" s="1">
        <v>4.7</v>
      </c>
      <c r="S286">
        <f t="shared" si="101"/>
        <v>4.7</v>
      </c>
      <c r="T286">
        <v>2.4</v>
      </c>
      <c r="U286">
        <v>0.3</v>
      </c>
      <c r="V286">
        <v>0</v>
      </c>
      <c r="W286">
        <v>0</v>
      </c>
      <c r="X286">
        <v>0</v>
      </c>
      <c r="Y286">
        <v>0</v>
      </c>
      <c r="Z286">
        <v>9</v>
      </c>
      <c r="AA286">
        <f t="shared" si="102"/>
        <v>11.7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f t="shared" si="92"/>
        <v>0</v>
      </c>
      <c r="AK286">
        <v>0.1</v>
      </c>
      <c r="AL286">
        <v>0.746</v>
      </c>
      <c r="AM286">
        <f t="shared" si="93"/>
        <v>0.25499999999999995</v>
      </c>
      <c r="AN286">
        <v>2976</v>
      </c>
      <c r="AO286">
        <v>1360</v>
      </c>
      <c r="AP286" s="3">
        <f t="shared" si="88"/>
        <v>3994.6308724832211</v>
      </c>
      <c r="AQ286" s="3">
        <f t="shared" si="100"/>
        <v>1825.5033557046977</v>
      </c>
      <c r="AR286">
        <f t="shared" si="85"/>
        <v>0</v>
      </c>
      <c r="AS286">
        <f t="shared" si="89"/>
        <v>0.255</v>
      </c>
      <c r="AT286">
        <f t="shared" si="90"/>
        <v>1019</v>
      </c>
      <c r="AU286">
        <f t="shared" si="91"/>
        <v>0</v>
      </c>
      <c r="AV286">
        <f t="shared" si="94"/>
        <v>861</v>
      </c>
      <c r="AW286">
        <f t="shared" si="95"/>
        <v>0</v>
      </c>
      <c r="AX286" s="3">
        <f t="shared" si="96"/>
        <v>3133.6308724832211</v>
      </c>
      <c r="AY286">
        <f t="shared" si="97"/>
        <v>509</v>
      </c>
      <c r="AZ286">
        <f t="shared" si="98"/>
        <v>0</v>
      </c>
      <c r="BA286" s="3">
        <f t="shared" si="99"/>
        <v>3485.6308724832211</v>
      </c>
    </row>
    <row r="287" spans="1:53" x14ac:dyDescent="0.2">
      <c r="A287">
        <v>2020</v>
      </c>
      <c r="B287" t="s">
        <v>62</v>
      </c>
      <c r="C287" t="s">
        <v>63</v>
      </c>
      <c r="D287">
        <v>0.4</v>
      </c>
      <c r="E287">
        <v>0</v>
      </c>
      <c r="F287">
        <v>0</v>
      </c>
      <c r="G287">
        <v>0</v>
      </c>
      <c r="H287">
        <v>0</v>
      </c>
      <c r="I287">
        <v>1</v>
      </c>
      <c r="J287">
        <v>0.2</v>
      </c>
      <c r="K287">
        <f t="shared" si="86"/>
        <v>1.5999999999999999</v>
      </c>
      <c r="L287">
        <v>0</v>
      </c>
      <c r="M287">
        <v>0</v>
      </c>
      <c r="N287">
        <v>0</v>
      </c>
      <c r="O287">
        <f t="shared" si="87"/>
        <v>0</v>
      </c>
      <c r="P287" s="1">
        <v>0</v>
      </c>
      <c r="Q287" s="1">
        <v>0.1</v>
      </c>
      <c r="R287" s="1">
        <v>5.3</v>
      </c>
      <c r="S287">
        <f t="shared" si="101"/>
        <v>5.3999999999999995</v>
      </c>
      <c r="T287">
        <v>0.3</v>
      </c>
      <c r="U287">
        <v>0</v>
      </c>
      <c r="V287">
        <v>0</v>
      </c>
      <c r="W287">
        <v>0</v>
      </c>
      <c r="X287">
        <v>0</v>
      </c>
      <c r="Y287">
        <v>1.2</v>
      </c>
      <c r="Z287">
        <v>4.7</v>
      </c>
      <c r="AA287">
        <f t="shared" si="102"/>
        <v>6.2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0.3</v>
      </c>
      <c r="AI287">
        <v>0</v>
      </c>
      <c r="AJ287">
        <f t="shared" si="92"/>
        <v>0.3</v>
      </c>
      <c r="AK287">
        <v>0.3</v>
      </c>
      <c r="AL287">
        <v>0.86299999999999999</v>
      </c>
      <c r="AM287">
        <f t="shared" si="93"/>
        <v>0.13499999999999998</v>
      </c>
      <c r="AN287">
        <v>4300</v>
      </c>
      <c r="AO287">
        <v>1967</v>
      </c>
      <c r="AP287" s="3">
        <f t="shared" si="88"/>
        <v>4971.0982658959538</v>
      </c>
      <c r="AQ287" s="3">
        <f t="shared" si="100"/>
        <v>2273.9884393063585</v>
      </c>
      <c r="AR287">
        <f t="shared" si="85"/>
        <v>2.2222222222222227E-2</v>
      </c>
      <c r="AS287">
        <f t="shared" si="89"/>
        <v>0.13200000000000001</v>
      </c>
      <c r="AT287">
        <f t="shared" si="90"/>
        <v>656</v>
      </c>
      <c r="AU287">
        <f t="shared" si="91"/>
        <v>15</v>
      </c>
      <c r="AV287">
        <f t="shared" si="94"/>
        <v>616</v>
      </c>
      <c r="AW287">
        <f t="shared" si="95"/>
        <v>15</v>
      </c>
      <c r="AX287" s="3">
        <f t="shared" si="96"/>
        <v>4340.0982658959538</v>
      </c>
      <c r="AY287">
        <f t="shared" si="97"/>
        <v>328</v>
      </c>
      <c r="AZ287">
        <f t="shared" si="98"/>
        <v>16</v>
      </c>
      <c r="BA287" s="3">
        <f t="shared" si="99"/>
        <v>4627.0982658959538</v>
      </c>
    </row>
    <row r="288" spans="1:53" x14ac:dyDescent="0.2">
      <c r="A288">
        <v>2021</v>
      </c>
      <c r="B288" t="s">
        <v>62</v>
      </c>
      <c r="C288" t="s">
        <v>63</v>
      </c>
      <c r="D288">
        <v>0.6</v>
      </c>
      <c r="E288">
        <v>0</v>
      </c>
      <c r="F288">
        <v>0</v>
      </c>
      <c r="G288">
        <v>0</v>
      </c>
      <c r="H288">
        <v>0.5</v>
      </c>
      <c r="I288">
        <v>1.8</v>
      </c>
      <c r="J288">
        <v>3.2</v>
      </c>
      <c r="K288">
        <f t="shared" si="86"/>
        <v>6.1000000000000005</v>
      </c>
      <c r="L288">
        <v>0</v>
      </c>
      <c r="M288">
        <v>0</v>
      </c>
      <c r="N288">
        <v>0</v>
      </c>
      <c r="O288">
        <f t="shared" si="87"/>
        <v>0</v>
      </c>
      <c r="P288" s="1">
        <v>0</v>
      </c>
      <c r="Q288" s="1">
        <v>0</v>
      </c>
      <c r="R288" s="1">
        <v>4</v>
      </c>
      <c r="S288">
        <f t="shared" si="101"/>
        <v>4</v>
      </c>
      <c r="T288">
        <v>0.7</v>
      </c>
      <c r="U288">
        <v>0.2</v>
      </c>
      <c r="V288">
        <v>0</v>
      </c>
      <c r="W288">
        <v>0</v>
      </c>
      <c r="X288">
        <v>0</v>
      </c>
      <c r="Y288">
        <v>0</v>
      </c>
      <c r="Z288">
        <v>4.8</v>
      </c>
      <c r="AA288">
        <f t="shared" si="102"/>
        <v>5.6999999999999993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f t="shared" si="92"/>
        <v>0</v>
      </c>
      <c r="AK288">
        <v>0.1</v>
      </c>
      <c r="AL288">
        <v>0.84099999999999997</v>
      </c>
      <c r="AM288">
        <f t="shared" si="93"/>
        <v>0.158</v>
      </c>
      <c r="AN288">
        <v>3070</v>
      </c>
      <c r="AO288">
        <v>1200</v>
      </c>
      <c r="AP288" s="3">
        <f t="shared" si="88"/>
        <v>3646.080760095012</v>
      </c>
      <c r="AQ288" s="3">
        <f t="shared" si="100"/>
        <v>1425.1781472684086</v>
      </c>
      <c r="AR288">
        <f t="shared" si="85"/>
        <v>0</v>
      </c>
      <c r="AS288">
        <f t="shared" si="89"/>
        <v>0.158</v>
      </c>
      <c r="AT288">
        <f t="shared" si="90"/>
        <v>576</v>
      </c>
      <c r="AU288">
        <f t="shared" si="91"/>
        <v>0</v>
      </c>
      <c r="AV288">
        <f t="shared" si="94"/>
        <v>465</v>
      </c>
      <c r="AW288">
        <f t="shared" si="95"/>
        <v>0</v>
      </c>
      <c r="AX288" s="3">
        <f t="shared" si="96"/>
        <v>3181.080760095012</v>
      </c>
      <c r="AY288">
        <f t="shared" si="97"/>
        <v>288</v>
      </c>
      <c r="AZ288">
        <f t="shared" si="98"/>
        <v>0</v>
      </c>
      <c r="BA288" s="3">
        <f t="shared" si="99"/>
        <v>3358.080760095012</v>
      </c>
    </row>
    <row r="289" spans="1:53" x14ac:dyDescent="0.2">
      <c r="A289">
        <v>2022</v>
      </c>
      <c r="B289" t="s">
        <v>62</v>
      </c>
      <c r="C289" t="s">
        <v>63</v>
      </c>
      <c r="D289">
        <v>0</v>
      </c>
      <c r="E289">
        <v>0.2</v>
      </c>
      <c r="F289">
        <v>0</v>
      </c>
      <c r="G289">
        <v>1</v>
      </c>
      <c r="H289">
        <v>0</v>
      </c>
      <c r="I289">
        <v>1.5</v>
      </c>
      <c r="J289">
        <v>0.1</v>
      </c>
      <c r="K289">
        <f t="shared" si="86"/>
        <v>2.8000000000000003</v>
      </c>
      <c r="L289">
        <v>0</v>
      </c>
      <c r="M289">
        <v>0</v>
      </c>
      <c r="N289">
        <v>0</v>
      </c>
      <c r="O289">
        <f t="shared" si="87"/>
        <v>0</v>
      </c>
      <c r="P289" s="1">
        <v>0</v>
      </c>
      <c r="Q289" s="1">
        <v>0</v>
      </c>
      <c r="R289" s="1">
        <v>12.3</v>
      </c>
      <c r="S289">
        <f t="shared" si="101"/>
        <v>12.3</v>
      </c>
      <c r="T289">
        <v>3.4</v>
      </c>
      <c r="U289">
        <v>0.5</v>
      </c>
      <c r="V289">
        <v>0</v>
      </c>
      <c r="W289">
        <v>0</v>
      </c>
      <c r="X289">
        <v>0</v>
      </c>
      <c r="Y289">
        <v>0.2</v>
      </c>
      <c r="Z289">
        <v>5.4</v>
      </c>
      <c r="AA289">
        <f t="shared" si="102"/>
        <v>9.5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f t="shared" si="92"/>
        <v>0</v>
      </c>
      <c r="AK289">
        <v>0</v>
      </c>
      <c r="AL289">
        <v>0.753</v>
      </c>
      <c r="AM289">
        <f t="shared" si="93"/>
        <v>0.24600000000000002</v>
      </c>
      <c r="AN289">
        <v>5587</v>
      </c>
      <c r="AO289">
        <v>2435</v>
      </c>
      <c r="AP289" s="3">
        <f t="shared" si="88"/>
        <v>7409.8143236074275</v>
      </c>
      <c r="AQ289" s="3">
        <f t="shared" si="100"/>
        <v>3229.442970822281</v>
      </c>
      <c r="AR289">
        <f t="shared" si="85"/>
        <v>0</v>
      </c>
      <c r="AS289">
        <f t="shared" si="89"/>
        <v>0.24600000000000002</v>
      </c>
      <c r="AT289">
        <f t="shared" si="90"/>
        <v>1823</v>
      </c>
      <c r="AU289">
        <f t="shared" si="91"/>
        <v>0</v>
      </c>
      <c r="AV289">
        <f t="shared" si="94"/>
        <v>1719</v>
      </c>
      <c r="AW289">
        <f t="shared" si="95"/>
        <v>0</v>
      </c>
      <c r="AX289" s="3">
        <f t="shared" si="96"/>
        <v>5690.8143236074275</v>
      </c>
      <c r="AY289">
        <f t="shared" si="97"/>
        <v>911</v>
      </c>
      <c r="AZ289">
        <f t="shared" si="98"/>
        <v>0</v>
      </c>
      <c r="BA289" s="3">
        <f t="shared" si="99"/>
        <v>6498.8143236074275</v>
      </c>
    </row>
    <row r="290" spans="1:53" x14ac:dyDescent="0.2">
      <c r="A290">
        <v>2023</v>
      </c>
      <c r="B290" t="s">
        <v>62</v>
      </c>
      <c r="C290" t="s">
        <v>63</v>
      </c>
      <c r="D290" t="s">
        <v>13</v>
      </c>
      <c r="E290" t="s">
        <v>13</v>
      </c>
      <c r="F290" t="s">
        <v>13</v>
      </c>
      <c r="G290" t="s">
        <v>13</v>
      </c>
      <c r="H290" t="s">
        <v>13</v>
      </c>
      <c r="I290" t="s">
        <v>13</v>
      </c>
      <c r="J290" t="s">
        <v>13</v>
      </c>
      <c r="K290" t="s">
        <v>13</v>
      </c>
      <c r="L290" t="s">
        <v>13</v>
      </c>
      <c r="M290" t="s">
        <v>13</v>
      </c>
      <c r="N290" t="s">
        <v>13</v>
      </c>
      <c r="O290" t="s">
        <v>13</v>
      </c>
      <c r="P290" t="s">
        <v>13</v>
      </c>
      <c r="Q290" t="s">
        <v>13</v>
      </c>
      <c r="R290" t="s">
        <v>13</v>
      </c>
      <c r="S290" t="s">
        <v>13</v>
      </c>
      <c r="T290" t="s">
        <v>13</v>
      </c>
      <c r="U290" t="s">
        <v>13</v>
      </c>
      <c r="V290" t="s">
        <v>13</v>
      </c>
      <c r="W290" t="s">
        <v>13</v>
      </c>
      <c r="X290" t="s">
        <v>13</v>
      </c>
      <c r="Y290" t="s">
        <v>13</v>
      </c>
      <c r="Z290" t="s">
        <v>13</v>
      </c>
      <c r="AA290" t="s">
        <v>13</v>
      </c>
      <c r="AB290" t="s">
        <v>13</v>
      </c>
      <c r="AC290" t="s">
        <v>13</v>
      </c>
      <c r="AD290" t="s">
        <v>13</v>
      </c>
      <c r="AE290" t="s">
        <v>13</v>
      </c>
      <c r="AF290" t="s">
        <v>13</v>
      </c>
      <c r="AG290" t="s">
        <v>13</v>
      </c>
      <c r="AH290" t="s">
        <v>13</v>
      </c>
      <c r="AI290" t="s">
        <v>13</v>
      </c>
      <c r="AJ290" t="s">
        <v>13</v>
      </c>
      <c r="AK290" t="s">
        <v>13</v>
      </c>
      <c r="AL290" t="s">
        <v>13</v>
      </c>
      <c r="AM290">
        <f t="shared" si="93"/>
        <v>0</v>
      </c>
      <c r="AN290">
        <v>1713</v>
      </c>
      <c r="AO290">
        <v>484</v>
      </c>
      <c r="AP290" t="s">
        <v>13</v>
      </c>
      <c r="AQ290" t="s">
        <v>13</v>
      </c>
      <c r="AR290" t="s">
        <v>13</v>
      </c>
      <c r="AS290" t="s">
        <v>13</v>
      </c>
      <c r="AT290" t="s">
        <v>13</v>
      </c>
      <c r="AU290" t="s">
        <v>13</v>
      </c>
      <c r="AV290" t="s">
        <v>13</v>
      </c>
      <c r="AW290" t="s">
        <v>13</v>
      </c>
      <c r="AX290" t="s">
        <v>13</v>
      </c>
      <c r="AY290" t="s">
        <v>13</v>
      </c>
      <c r="AZ290" t="s">
        <v>13</v>
      </c>
      <c r="BA290" t="s">
        <v>13</v>
      </c>
    </row>
    <row r="291" spans="1:53" x14ac:dyDescent="0.2">
      <c r="A291">
        <v>1990</v>
      </c>
      <c r="B291" t="s">
        <v>64</v>
      </c>
      <c r="C291" t="s">
        <v>65</v>
      </c>
      <c r="D291">
        <v>9.8000000000000007</v>
      </c>
      <c r="E291">
        <v>1</v>
      </c>
      <c r="F291">
        <v>0.4</v>
      </c>
      <c r="G291">
        <v>5.5</v>
      </c>
      <c r="H291">
        <v>0.1</v>
      </c>
      <c r="I291">
        <v>9.6999999999999993</v>
      </c>
      <c r="J291">
        <v>3.9</v>
      </c>
      <c r="K291">
        <f t="shared" si="86"/>
        <v>30.400000000000002</v>
      </c>
      <c r="L291">
        <v>0.5</v>
      </c>
      <c r="M291">
        <v>0.5</v>
      </c>
      <c r="N291">
        <v>0</v>
      </c>
      <c r="O291">
        <f t="shared" si="87"/>
        <v>1</v>
      </c>
      <c r="P291" s="1">
        <v>0</v>
      </c>
      <c r="Q291" s="1">
        <v>0.3</v>
      </c>
      <c r="R291" s="1">
        <v>0</v>
      </c>
      <c r="S291">
        <f t="shared" si="101"/>
        <v>0.3</v>
      </c>
      <c r="T291">
        <v>0.7</v>
      </c>
      <c r="U291">
        <v>0.9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f t="shared" si="102"/>
        <v>1.6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22.7</v>
      </c>
      <c r="AI291">
        <v>6.4</v>
      </c>
      <c r="AJ291">
        <f t="shared" si="92"/>
        <v>29.1</v>
      </c>
      <c r="AK291">
        <v>0</v>
      </c>
      <c r="AL291">
        <v>0.377</v>
      </c>
      <c r="AM291">
        <f t="shared" si="93"/>
        <v>0.624</v>
      </c>
      <c r="AN291">
        <v>48820</v>
      </c>
      <c r="AO291" t="s">
        <v>13</v>
      </c>
      <c r="AP291" s="3">
        <f t="shared" si="88"/>
        <v>129840.42553191489</v>
      </c>
      <c r="AQ291" t="s">
        <v>13</v>
      </c>
      <c r="AR291">
        <f t="shared" si="85"/>
        <v>0.46634615384615391</v>
      </c>
      <c r="AS291">
        <f t="shared" ref="AS291:AS323" si="103">SUM(K291,O291,S291,AA291)/100</f>
        <v>0.33300000000000002</v>
      </c>
      <c r="AT291">
        <f t="shared" ref="AT291:AT323" si="104">ROUND(AS291*AP291,0)</f>
        <v>43237</v>
      </c>
      <c r="AU291">
        <f t="shared" ref="AU291:AU323" si="105">ROUND((AJ291/100)*AP291,0)</f>
        <v>37784</v>
      </c>
      <c r="AV291">
        <f t="shared" si="94"/>
        <v>23501</v>
      </c>
      <c r="AW291">
        <f t="shared" si="95"/>
        <v>46395</v>
      </c>
      <c r="AX291" s="3">
        <f t="shared" si="96"/>
        <v>59944.425531914894</v>
      </c>
      <c r="AY291">
        <f t="shared" si="97"/>
        <v>21618</v>
      </c>
      <c r="AZ291">
        <f t="shared" si="98"/>
        <v>47216</v>
      </c>
      <c r="BA291" s="3">
        <f t="shared" si="99"/>
        <v>61006.425531914894</v>
      </c>
    </row>
    <row r="292" spans="1:53" x14ac:dyDescent="0.2">
      <c r="A292">
        <v>1991</v>
      </c>
      <c r="B292" t="s">
        <v>64</v>
      </c>
      <c r="C292" t="s">
        <v>65</v>
      </c>
      <c r="D292">
        <v>11.3</v>
      </c>
      <c r="E292">
        <v>0</v>
      </c>
      <c r="F292">
        <v>1.6</v>
      </c>
      <c r="G292">
        <v>11</v>
      </c>
      <c r="H292">
        <v>0.6</v>
      </c>
      <c r="I292">
        <v>5.4</v>
      </c>
      <c r="J292">
        <v>0</v>
      </c>
      <c r="K292">
        <f t="shared" si="86"/>
        <v>29.9</v>
      </c>
      <c r="L292">
        <v>0.2</v>
      </c>
      <c r="M292">
        <v>0</v>
      </c>
      <c r="N292">
        <v>0</v>
      </c>
      <c r="O292">
        <f t="shared" si="87"/>
        <v>0.2</v>
      </c>
      <c r="P292" s="1">
        <v>0</v>
      </c>
      <c r="Q292" s="1">
        <v>0</v>
      </c>
      <c r="R292" s="1">
        <v>1.1000000000000001</v>
      </c>
      <c r="S292">
        <f t="shared" si="101"/>
        <v>1.1000000000000001</v>
      </c>
      <c r="T292">
        <v>0.6</v>
      </c>
      <c r="U292">
        <v>0</v>
      </c>
      <c r="V292">
        <v>0.6</v>
      </c>
      <c r="W292">
        <v>0.6</v>
      </c>
      <c r="X292">
        <v>0</v>
      </c>
      <c r="Y292">
        <v>0</v>
      </c>
      <c r="Z292">
        <v>0</v>
      </c>
      <c r="AA292">
        <f t="shared" si="102"/>
        <v>1.7999999999999998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23.5</v>
      </c>
      <c r="AI292">
        <v>4.0999999999999996</v>
      </c>
      <c r="AJ292">
        <f t="shared" si="92"/>
        <v>27.6</v>
      </c>
      <c r="AK292">
        <v>0</v>
      </c>
      <c r="AL292">
        <v>0.39500000000000002</v>
      </c>
      <c r="AM292">
        <f t="shared" si="93"/>
        <v>0.60600000000000009</v>
      </c>
      <c r="AN292">
        <v>40066</v>
      </c>
      <c r="AO292" t="s">
        <v>13</v>
      </c>
      <c r="AP292" s="3">
        <f t="shared" si="88"/>
        <v>101690.35532994926</v>
      </c>
      <c r="AQ292" t="s">
        <v>13</v>
      </c>
      <c r="AR292">
        <f t="shared" ref="AR292:AR355" si="106">(AJ292/100)/AM292</f>
        <v>0.45544554455445541</v>
      </c>
      <c r="AS292">
        <f t="shared" si="103"/>
        <v>0.33</v>
      </c>
      <c r="AT292">
        <f t="shared" si="104"/>
        <v>33558</v>
      </c>
      <c r="AU292">
        <f t="shared" si="105"/>
        <v>28067</v>
      </c>
      <c r="AV292">
        <f t="shared" si="94"/>
        <v>18355</v>
      </c>
      <c r="AW292">
        <f t="shared" si="95"/>
        <v>34330</v>
      </c>
      <c r="AX292" s="3">
        <f t="shared" si="96"/>
        <v>49005.355329949263</v>
      </c>
      <c r="AY292">
        <f t="shared" si="97"/>
        <v>16779</v>
      </c>
      <c r="AZ292">
        <f t="shared" si="98"/>
        <v>34979</v>
      </c>
      <c r="BA292" s="3">
        <f t="shared" si="99"/>
        <v>49932.355329949263</v>
      </c>
    </row>
    <row r="293" spans="1:53" x14ac:dyDescent="0.2">
      <c r="A293">
        <v>1992</v>
      </c>
      <c r="B293" t="s">
        <v>64</v>
      </c>
      <c r="C293" t="s">
        <v>65</v>
      </c>
      <c r="D293">
        <v>16.100000000000001</v>
      </c>
      <c r="E293">
        <v>17.600000000000001</v>
      </c>
      <c r="F293">
        <v>1.4</v>
      </c>
      <c r="G293">
        <v>6.2</v>
      </c>
      <c r="H293">
        <v>0</v>
      </c>
      <c r="I293">
        <v>15.1</v>
      </c>
      <c r="J293">
        <v>0</v>
      </c>
      <c r="K293">
        <f t="shared" si="86"/>
        <v>56.400000000000006</v>
      </c>
      <c r="L293">
        <v>0</v>
      </c>
      <c r="M293">
        <v>0</v>
      </c>
      <c r="N293">
        <v>0</v>
      </c>
      <c r="O293">
        <f t="shared" si="87"/>
        <v>0</v>
      </c>
      <c r="P293" s="1">
        <v>0</v>
      </c>
      <c r="Q293" s="1">
        <v>0</v>
      </c>
      <c r="R293" s="1">
        <v>0</v>
      </c>
      <c r="S293">
        <f t="shared" si="101"/>
        <v>0</v>
      </c>
      <c r="T293">
        <v>0</v>
      </c>
      <c r="U293">
        <v>0.9</v>
      </c>
      <c r="V293">
        <v>0.9</v>
      </c>
      <c r="W293">
        <v>0</v>
      </c>
      <c r="X293">
        <v>0</v>
      </c>
      <c r="Y293">
        <v>0</v>
      </c>
      <c r="Z293">
        <v>0</v>
      </c>
      <c r="AA293">
        <f t="shared" si="102"/>
        <v>1.8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14.4</v>
      </c>
      <c r="AI293">
        <v>1.4</v>
      </c>
      <c r="AJ293">
        <f t="shared" si="92"/>
        <v>15.8</v>
      </c>
      <c r="AK293">
        <v>0</v>
      </c>
      <c r="AL293">
        <v>0.25900000000000001</v>
      </c>
      <c r="AM293">
        <f t="shared" si="93"/>
        <v>0.74</v>
      </c>
      <c r="AN293">
        <v>41429</v>
      </c>
      <c r="AO293" t="s">
        <v>13</v>
      </c>
      <c r="AP293" s="3">
        <f t="shared" si="88"/>
        <v>159342.30769230769</v>
      </c>
      <c r="AQ293" t="s">
        <v>13</v>
      </c>
      <c r="AR293">
        <f t="shared" si="106"/>
        <v>0.21351351351351353</v>
      </c>
      <c r="AS293">
        <f t="shared" si="103"/>
        <v>0.58200000000000007</v>
      </c>
      <c r="AT293">
        <f t="shared" si="104"/>
        <v>92737</v>
      </c>
      <c r="AU293">
        <f t="shared" si="105"/>
        <v>25176</v>
      </c>
      <c r="AV293">
        <f t="shared" si="94"/>
        <v>47803</v>
      </c>
      <c r="AW293">
        <f t="shared" si="95"/>
        <v>42161</v>
      </c>
      <c r="AX293" s="3">
        <f t="shared" si="96"/>
        <v>69378.307692307688</v>
      </c>
      <c r="AY293">
        <f t="shared" si="97"/>
        <v>46369</v>
      </c>
      <c r="AZ293">
        <f t="shared" si="98"/>
        <v>42703</v>
      </c>
      <c r="BA293" s="3">
        <f t="shared" si="99"/>
        <v>70270.307692307688</v>
      </c>
    </row>
    <row r="294" spans="1:53" x14ac:dyDescent="0.2">
      <c r="A294">
        <v>1993</v>
      </c>
      <c r="B294" t="s">
        <v>64</v>
      </c>
      <c r="C294" t="s">
        <v>65</v>
      </c>
      <c r="D294">
        <v>20.399999999999999</v>
      </c>
      <c r="E294">
        <v>0</v>
      </c>
      <c r="F294">
        <v>2.2999999999999998</v>
      </c>
      <c r="G294">
        <v>3.3</v>
      </c>
      <c r="H294">
        <v>1.4</v>
      </c>
      <c r="I294">
        <v>6.4</v>
      </c>
      <c r="J294">
        <v>2</v>
      </c>
      <c r="K294">
        <f t="shared" si="86"/>
        <v>35.799999999999997</v>
      </c>
      <c r="L294">
        <v>0</v>
      </c>
      <c r="M294">
        <v>0.4</v>
      </c>
      <c r="N294">
        <v>0</v>
      </c>
      <c r="O294">
        <f t="shared" si="87"/>
        <v>0.4</v>
      </c>
      <c r="P294" s="1">
        <v>0</v>
      </c>
      <c r="Q294" s="1">
        <v>1.8</v>
      </c>
      <c r="R294" s="1">
        <v>0</v>
      </c>
      <c r="S294">
        <f t="shared" si="101"/>
        <v>1.8</v>
      </c>
      <c r="T294">
        <v>4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0.9</v>
      </c>
      <c r="AA294">
        <f t="shared" si="102"/>
        <v>4.9000000000000004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15.3</v>
      </c>
      <c r="AI294">
        <v>7.3</v>
      </c>
      <c r="AJ294">
        <f t="shared" si="92"/>
        <v>22.6</v>
      </c>
      <c r="AK294">
        <v>0</v>
      </c>
      <c r="AL294">
        <v>0.34499999999999997</v>
      </c>
      <c r="AM294">
        <f t="shared" si="93"/>
        <v>0.6549999999999998</v>
      </c>
      <c r="AN294">
        <v>42515</v>
      </c>
      <c r="AO294" t="s">
        <v>13</v>
      </c>
      <c r="AP294" s="3">
        <f t="shared" si="88"/>
        <v>123231.88405797095</v>
      </c>
      <c r="AQ294" t="s">
        <v>13</v>
      </c>
      <c r="AR294">
        <f t="shared" si="106"/>
        <v>0.34503816793893138</v>
      </c>
      <c r="AS294">
        <f t="shared" si="103"/>
        <v>0.42899999999999994</v>
      </c>
      <c r="AT294">
        <f t="shared" si="104"/>
        <v>52866</v>
      </c>
      <c r="AU294">
        <f t="shared" si="105"/>
        <v>27850</v>
      </c>
      <c r="AV294">
        <f t="shared" si="94"/>
        <v>30808</v>
      </c>
      <c r="AW294">
        <f t="shared" si="95"/>
        <v>36580</v>
      </c>
      <c r="AX294" s="3">
        <f t="shared" si="96"/>
        <v>55843.88405797095</v>
      </c>
      <c r="AY294">
        <f t="shared" si="97"/>
        <v>26433</v>
      </c>
      <c r="AZ294">
        <f t="shared" si="98"/>
        <v>38312</v>
      </c>
      <c r="BA294" s="3">
        <f t="shared" si="99"/>
        <v>58486.88405797095</v>
      </c>
    </row>
    <row r="295" spans="1:53" x14ac:dyDescent="0.2">
      <c r="A295">
        <v>1994</v>
      </c>
      <c r="B295" t="s">
        <v>64</v>
      </c>
      <c r="C295" t="s">
        <v>65</v>
      </c>
      <c r="D295">
        <v>18.3</v>
      </c>
      <c r="E295">
        <v>3.2</v>
      </c>
      <c r="F295">
        <v>0</v>
      </c>
      <c r="G295">
        <v>5.6</v>
      </c>
      <c r="H295">
        <v>0</v>
      </c>
      <c r="I295">
        <v>5</v>
      </c>
      <c r="J295">
        <v>0</v>
      </c>
      <c r="K295">
        <f t="shared" si="86"/>
        <v>32.1</v>
      </c>
      <c r="L295">
        <v>0.3</v>
      </c>
      <c r="M295">
        <v>1.2</v>
      </c>
      <c r="N295">
        <v>0</v>
      </c>
      <c r="O295">
        <f t="shared" si="87"/>
        <v>1.5</v>
      </c>
      <c r="P295" s="1">
        <v>0</v>
      </c>
      <c r="Q295" s="1">
        <v>0.3</v>
      </c>
      <c r="R295" s="1">
        <v>0</v>
      </c>
      <c r="S295">
        <f t="shared" si="101"/>
        <v>0.3</v>
      </c>
      <c r="T295">
        <v>0.7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f t="shared" si="102"/>
        <v>0.7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5.6</v>
      </c>
      <c r="AI295">
        <v>12.7</v>
      </c>
      <c r="AJ295">
        <f t="shared" si="92"/>
        <v>18.299999999999997</v>
      </c>
      <c r="AK295">
        <v>0</v>
      </c>
      <c r="AL295">
        <v>0.47100000000000003</v>
      </c>
      <c r="AM295">
        <f t="shared" si="93"/>
        <v>0.52900000000000003</v>
      </c>
      <c r="AN295">
        <v>66637</v>
      </c>
      <c r="AO295" t="s">
        <v>13</v>
      </c>
      <c r="AP295" s="3">
        <f t="shared" si="88"/>
        <v>141479.83014861998</v>
      </c>
      <c r="AQ295" t="s">
        <v>13</v>
      </c>
      <c r="AR295">
        <f t="shared" si="106"/>
        <v>0.34593572778827969</v>
      </c>
      <c r="AS295">
        <f t="shared" si="103"/>
        <v>0.34600000000000003</v>
      </c>
      <c r="AT295">
        <f t="shared" si="104"/>
        <v>48952</v>
      </c>
      <c r="AU295">
        <f t="shared" si="105"/>
        <v>25891</v>
      </c>
      <c r="AV295">
        <f t="shared" si="94"/>
        <v>26245</v>
      </c>
      <c r="AW295">
        <f t="shared" si="95"/>
        <v>32245</v>
      </c>
      <c r="AX295" s="3">
        <f t="shared" si="96"/>
        <v>82989.830148619978</v>
      </c>
      <c r="AY295">
        <f t="shared" si="97"/>
        <v>24476</v>
      </c>
      <c r="AZ295">
        <f t="shared" si="98"/>
        <v>32740</v>
      </c>
      <c r="BA295" s="3">
        <f t="shared" si="99"/>
        <v>84263.830148619978</v>
      </c>
    </row>
    <row r="296" spans="1:53" x14ac:dyDescent="0.2">
      <c r="A296">
        <v>1995</v>
      </c>
      <c r="B296" t="s">
        <v>64</v>
      </c>
      <c r="C296" t="s">
        <v>65</v>
      </c>
      <c r="D296">
        <v>13.9</v>
      </c>
      <c r="E296">
        <v>0</v>
      </c>
      <c r="F296">
        <v>4.4000000000000004</v>
      </c>
      <c r="G296">
        <v>5.8</v>
      </c>
      <c r="H296">
        <v>0</v>
      </c>
      <c r="I296">
        <v>3</v>
      </c>
      <c r="J296">
        <v>0</v>
      </c>
      <c r="K296">
        <f t="shared" si="86"/>
        <v>27.1</v>
      </c>
      <c r="L296">
        <v>0</v>
      </c>
      <c r="M296">
        <v>0</v>
      </c>
      <c r="N296">
        <v>0</v>
      </c>
      <c r="O296">
        <f t="shared" si="87"/>
        <v>0</v>
      </c>
      <c r="P296" s="1">
        <v>0</v>
      </c>
      <c r="Q296" s="1">
        <v>0</v>
      </c>
      <c r="R296" s="1">
        <v>0</v>
      </c>
      <c r="S296">
        <f t="shared" si="101"/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f t="shared" si="102"/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9.9</v>
      </c>
      <c r="AI296">
        <v>7.3</v>
      </c>
      <c r="AJ296">
        <f t="shared" si="92"/>
        <v>17.2</v>
      </c>
      <c r="AK296">
        <v>0</v>
      </c>
      <c r="AL296">
        <v>0.55700000000000005</v>
      </c>
      <c r="AM296">
        <f t="shared" si="93"/>
        <v>0.44299999999999995</v>
      </c>
      <c r="AN296">
        <v>50546</v>
      </c>
      <c r="AO296" t="s">
        <v>13</v>
      </c>
      <c r="AP296" s="3">
        <f t="shared" si="88"/>
        <v>90746.858168761217</v>
      </c>
      <c r="AQ296" t="s">
        <v>13</v>
      </c>
      <c r="AR296">
        <f t="shared" si="106"/>
        <v>0.38826185101580135</v>
      </c>
      <c r="AS296">
        <f t="shared" si="103"/>
        <v>0.27100000000000002</v>
      </c>
      <c r="AT296">
        <f t="shared" si="104"/>
        <v>24592</v>
      </c>
      <c r="AU296">
        <f t="shared" si="105"/>
        <v>15608</v>
      </c>
      <c r="AV296">
        <f t="shared" si="94"/>
        <v>12296</v>
      </c>
      <c r="AW296">
        <f t="shared" si="95"/>
        <v>18509</v>
      </c>
      <c r="AX296" s="3">
        <f t="shared" si="96"/>
        <v>59941.858168761217</v>
      </c>
      <c r="AY296">
        <f t="shared" si="97"/>
        <v>12296</v>
      </c>
      <c r="AZ296">
        <f t="shared" si="98"/>
        <v>18509</v>
      </c>
      <c r="BA296" s="3">
        <f t="shared" si="99"/>
        <v>59941.858168761217</v>
      </c>
    </row>
    <row r="297" spans="1:53" x14ac:dyDescent="0.2">
      <c r="A297">
        <v>1996</v>
      </c>
      <c r="B297" t="s">
        <v>64</v>
      </c>
      <c r="C297" t="s">
        <v>65</v>
      </c>
      <c r="D297">
        <v>14</v>
      </c>
      <c r="E297">
        <v>0</v>
      </c>
      <c r="F297">
        <v>0</v>
      </c>
      <c r="G297">
        <v>0.9</v>
      </c>
      <c r="H297">
        <v>0</v>
      </c>
      <c r="I297">
        <v>0.7</v>
      </c>
      <c r="J297">
        <v>0</v>
      </c>
      <c r="K297">
        <f t="shared" si="86"/>
        <v>15.6</v>
      </c>
      <c r="L297">
        <v>0</v>
      </c>
      <c r="M297">
        <v>0.7</v>
      </c>
      <c r="N297">
        <v>0</v>
      </c>
      <c r="O297">
        <f t="shared" si="87"/>
        <v>0.7</v>
      </c>
      <c r="P297" s="1">
        <v>0</v>
      </c>
      <c r="Q297" s="1">
        <v>0</v>
      </c>
      <c r="R297" s="1">
        <v>0</v>
      </c>
      <c r="S297">
        <f t="shared" si="101"/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f t="shared" si="102"/>
        <v>0</v>
      </c>
      <c r="AB297">
        <v>0</v>
      </c>
      <c r="AC297">
        <v>0</v>
      </c>
      <c r="AD297">
        <v>0</v>
      </c>
      <c r="AE297">
        <v>0</v>
      </c>
      <c r="AF297">
        <v>0.2</v>
      </c>
      <c r="AG297">
        <v>0</v>
      </c>
      <c r="AH297">
        <v>29.8</v>
      </c>
      <c r="AI297">
        <v>8.4</v>
      </c>
      <c r="AJ297">
        <f t="shared" si="92"/>
        <v>38.4</v>
      </c>
      <c r="AK297">
        <v>0</v>
      </c>
      <c r="AL297">
        <v>0.45299999999999996</v>
      </c>
      <c r="AM297">
        <f t="shared" si="93"/>
        <v>0.54700000000000004</v>
      </c>
      <c r="AN297">
        <v>53049</v>
      </c>
      <c r="AO297" t="s">
        <v>13</v>
      </c>
      <c r="AP297" s="3">
        <f t="shared" si="88"/>
        <v>117105.96026490067</v>
      </c>
      <c r="AQ297" t="s">
        <v>13</v>
      </c>
      <c r="AR297">
        <f t="shared" si="106"/>
        <v>0.70201096892138937</v>
      </c>
      <c r="AS297">
        <f t="shared" si="103"/>
        <v>0.16300000000000001</v>
      </c>
      <c r="AT297">
        <f t="shared" si="104"/>
        <v>19088</v>
      </c>
      <c r="AU297">
        <f t="shared" si="105"/>
        <v>44969</v>
      </c>
      <c r="AV297">
        <f t="shared" si="94"/>
        <v>9954</v>
      </c>
      <c r="AW297">
        <f t="shared" si="95"/>
        <v>49160</v>
      </c>
      <c r="AX297" s="3">
        <f t="shared" si="96"/>
        <v>57991.96026490067</v>
      </c>
      <c r="AY297">
        <f t="shared" si="97"/>
        <v>9544</v>
      </c>
      <c r="AZ297">
        <f t="shared" si="98"/>
        <v>49348</v>
      </c>
      <c r="BA297" s="3">
        <f t="shared" si="99"/>
        <v>58213.96026490067</v>
      </c>
    </row>
    <row r="298" spans="1:53" x14ac:dyDescent="0.2">
      <c r="A298">
        <v>1997</v>
      </c>
      <c r="B298" t="s">
        <v>64</v>
      </c>
      <c r="C298" t="s">
        <v>65</v>
      </c>
      <c r="D298">
        <v>18.8</v>
      </c>
      <c r="E298">
        <v>1.2</v>
      </c>
      <c r="F298">
        <v>0.2</v>
      </c>
      <c r="G298">
        <v>3.5</v>
      </c>
      <c r="H298">
        <v>3.5</v>
      </c>
      <c r="I298">
        <v>1</v>
      </c>
      <c r="J298">
        <v>0</v>
      </c>
      <c r="K298">
        <f t="shared" si="86"/>
        <v>28.2</v>
      </c>
      <c r="L298">
        <v>0</v>
      </c>
      <c r="M298">
        <v>0</v>
      </c>
      <c r="N298">
        <v>0</v>
      </c>
      <c r="O298">
        <f t="shared" si="87"/>
        <v>0</v>
      </c>
      <c r="P298" s="1">
        <v>0</v>
      </c>
      <c r="Q298" s="1">
        <v>0</v>
      </c>
      <c r="R298" s="1">
        <v>0</v>
      </c>
      <c r="S298">
        <f t="shared" si="101"/>
        <v>0</v>
      </c>
      <c r="T298">
        <v>0</v>
      </c>
      <c r="U298">
        <v>0</v>
      </c>
      <c r="V298">
        <v>1.1000000000000001</v>
      </c>
      <c r="W298">
        <v>0</v>
      </c>
      <c r="X298">
        <v>0</v>
      </c>
      <c r="Y298">
        <v>0</v>
      </c>
      <c r="Z298">
        <v>0</v>
      </c>
      <c r="AA298">
        <f t="shared" si="102"/>
        <v>1.1000000000000001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15.1</v>
      </c>
      <c r="AI298">
        <v>7.8</v>
      </c>
      <c r="AJ298">
        <f t="shared" si="92"/>
        <v>22.9</v>
      </c>
      <c r="AK298">
        <v>0</v>
      </c>
      <c r="AL298">
        <v>0.47799999999999998</v>
      </c>
      <c r="AM298">
        <f t="shared" si="93"/>
        <v>0.52200000000000002</v>
      </c>
      <c r="AN298">
        <v>50198</v>
      </c>
      <c r="AO298" t="s">
        <v>13</v>
      </c>
      <c r="AP298" s="3">
        <f t="shared" si="88"/>
        <v>105016.73640167364</v>
      </c>
      <c r="AQ298" t="s">
        <v>13</v>
      </c>
      <c r="AR298">
        <f t="shared" si="106"/>
        <v>0.43869731800766276</v>
      </c>
      <c r="AS298">
        <f t="shared" si="103"/>
        <v>0.29299999999999998</v>
      </c>
      <c r="AT298">
        <f t="shared" si="104"/>
        <v>30770</v>
      </c>
      <c r="AU298">
        <f t="shared" si="105"/>
        <v>24049</v>
      </c>
      <c r="AV298">
        <f t="shared" si="94"/>
        <v>15963</v>
      </c>
      <c r="AW298">
        <f t="shared" si="95"/>
        <v>28845</v>
      </c>
      <c r="AX298" s="3">
        <f t="shared" si="96"/>
        <v>60208.736401673639</v>
      </c>
      <c r="AY298">
        <f t="shared" si="97"/>
        <v>15385</v>
      </c>
      <c r="AZ298">
        <f t="shared" si="98"/>
        <v>29032</v>
      </c>
      <c r="BA298" s="3">
        <f t="shared" si="99"/>
        <v>60599.736401673639</v>
      </c>
    </row>
    <row r="299" spans="1:53" x14ac:dyDescent="0.2">
      <c r="A299">
        <v>1998</v>
      </c>
      <c r="B299" t="s">
        <v>64</v>
      </c>
      <c r="C299" t="s">
        <v>65</v>
      </c>
      <c r="D299">
        <v>15.6</v>
      </c>
      <c r="E299">
        <v>0</v>
      </c>
      <c r="F299">
        <v>0</v>
      </c>
      <c r="G299">
        <v>12.6</v>
      </c>
      <c r="H299">
        <v>0.9</v>
      </c>
      <c r="I299">
        <v>0</v>
      </c>
      <c r="J299">
        <v>0</v>
      </c>
      <c r="K299">
        <f t="shared" si="86"/>
        <v>29.099999999999998</v>
      </c>
      <c r="L299">
        <v>0</v>
      </c>
      <c r="M299">
        <v>0</v>
      </c>
      <c r="N299">
        <v>0</v>
      </c>
      <c r="O299">
        <f t="shared" si="87"/>
        <v>0</v>
      </c>
      <c r="P299" s="1">
        <v>0</v>
      </c>
      <c r="Q299" s="1">
        <v>0</v>
      </c>
      <c r="R299" s="1">
        <v>0</v>
      </c>
      <c r="S299">
        <f t="shared" si="101"/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f t="shared" si="102"/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19.100000000000001</v>
      </c>
      <c r="AI299">
        <v>7.3</v>
      </c>
      <c r="AJ299">
        <f t="shared" si="92"/>
        <v>26.400000000000002</v>
      </c>
      <c r="AK299">
        <v>0</v>
      </c>
      <c r="AL299">
        <v>0.44500000000000001</v>
      </c>
      <c r="AM299">
        <f t="shared" si="93"/>
        <v>0.55500000000000005</v>
      </c>
      <c r="AN299">
        <v>41936</v>
      </c>
      <c r="AO299" t="s">
        <v>13</v>
      </c>
      <c r="AP299" s="3">
        <f t="shared" si="88"/>
        <v>94238.202247191017</v>
      </c>
      <c r="AQ299" t="s">
        <v>13</v>
      </c>
      <c r="AR299">
        <f t="shared" si="106"/>
        <v>0.47567567567567565</v>
      </c>
      <c r="AS299">
        <f t="shared" si="103"/>
        <v>0.29099999999999998</v>
      </c>
      <c r="AT299">
        <f t="shared" si="104"/>
        <v>27423</v>
      </c>
      <c r="AU299">
        <f t="shared" si="105"/>
        <v>24879</v>
      </c>
      <c r="AV299">
        <f t="shared" si="94"/>
        <v>13712</v>
      </c>
      <c r="AW299">
        <f t="shared" si="95"/>
        <v>29984</v>
      </c>
      <c r="AX299" s="3">
        <f t="shared" si="96"/>
        <v>50542.202247191017</v>
      </c>
      <c r="AY299">
        <f t="shared" si="97"/>
        <v>13712</v>
      </c>
      <c r="AZ299">
        <f t="shared" si="98"/>
        <v>29984</v>
      </c>
      <c r="BA299" s="3">
        <f t="shared" si="99"/>
        <v>50542.202247191017</v>
      </c>
    </row>
    <row r="300" spans="1:53" x14ac:dyDescent="0.2">
      <c r="A300">
        <v>1999</v>
      </c>
      <c r="B300" t="s">
        <v>64</v>
      </c>
      <c r="C300" t="s">
        <v>65</v>
      </c>
      <c r="D300">
        <v>15.5</v>
      </c>
      <c r="E300">
        <v>0.5</v>
      </c>
      <c r="F300">
        <v>2.5</v>
      </c>
      <c r="G300">
        <v>14.8</v>
      </c>
      <c r="H300">
        <v>0</v>
      </c>
      <c r="I300">
        <v>0</v>
      </c>
      <c r="J300">
        <v>0</v>
      </c>
      <c r="K300">
        <f t="shared" si="86"/>
        <v>33.299999999999997</v>
      </c>
      <c r="L300">
        <v>0</v>
      </c>
      <c r="M300">
        <v>0</v>
      </c>
      <c r="N300">
        <v>0</v>
      </c>
      <c r="O300">
        <f t="shared" si="87"/>
        <v>0</v>
      </c>
      <c r="P300" s="1">
        <v>0</v>
      </c>
      <c r="Q300" s="1">
        <v>0</v>
      </c>
      <c r="R300" s="1">
        <v>0</v>
      </c>
      <c r="S300">
        <f t="shared" si="101"/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f t="shared" si="102"/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13</v>
      </c>
      <c r="AI300">
        <v>6.9</v>
      </c>
      <c r="AJ300">
        <f t="shared" si="92"/>
        <v>19.899999999999999</v>
      </c>
      <c r="AK300">
        <v>0</v>
      </c>
      <c r="AL300">
        <v>0.46799999999999997</v>
      </c>
      <c r="AM300">
        <f t="shared" si="93"/>
        <v>0.53200000000000003</v>
      </c>
      <c r="AN300">
        <v>43549</v>
      </c>
      <c r="AO300" t="s">
        <v>13</v>
      </c>
      <c r="AP300" s="3">
        <f t="shared" si="88"/>
        <v>93053.418803418812</v>
      </c>
      <c r="AQ300" t="s">
        <v>13</v>
      </c>
      <c r="AR300">
        <f t="shared" si="106"/>
        <v>0.37406015037593981</v>
      </c>
      <c r="AS300">
        <f t="shared" si="103"/>
        <v>0.33299999999999996</v>
      </c>
      <c r="AT300">
        <f t="shared" si="104"/>
        <v>30987</v>
      </c>
      <c r="AU300">
        <f t="shared" si="105"/>
        <v>18518</v>
      </c>
      <c r="AV300">
        <f t="shared" si="94"/>
        <v>15493</v>
      </c>
      <c r="AW300">
        <f t="shared" si="95"/>
        <v>23141</v>
      </c>
      <c r="AX300" s="3">
        <f t="shared" si="96"/>
        <v>54419.418803418812</v>
      </c>
      <c r="AY300">
        <f t="shared" si="97"/>
        <v>15493</v>
      </c>
      <c r="AZ300">
        <f t="shared" si="98"/>
        <v>23141</v>
      </c>
      <c r="BA300" s="3">
        <f t="shared" si="99"/>
        <v>54419.418803418812</v>
      </c>
    </row>
    <row r="301" spans="1:53" x14ac:dyDescent="0.2">
      <c r="A301">
        <v>2000</v>
      </c>
      <c r="B301" t="s">
        <v>64</v>
      </c>
      <c r="C301" t="s">
        <v>65</v>
      </c>
      <c r="D301">
        <v>23</v>
      </c>
      <c r="E301">
        <v>0.4</v>
      </c>
      <c r="F301">
        <v>3.5</v>
      </c>
      <c r="G301">
        <v>0</v>
      </c>
      <c r="H301">
        <v>0</v>
      </c>
      <c r="I301">
        <v>0</v>
      </c>
      <c r="J301">
        <v>0</v>
      </c>
      <c r="K301">
        <f t="shared" si="86"/>
        <v>26.9</v>
      </c>
      <c r="L301">
        <v>0</v>
      </c>
      <c r="M301">
        <v>0</v>
      </c>
      <c r="N301">
        <v>0</v>
      </c>
      <c r="O301">
        <f t="shared" si="87"/>
        <v>0</v>
      </c>
      <c r="P301" s="1">
        <v>0</v>
      </c>
      <c r="Q301" s="1">
        <v>0</v>
      </c>
      <c r="R301" s="1">
        <v>0</v>
      </c>
      <c r="S301">
        <f t="shared" si="101"/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f t="shared" si="102"/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31.7</v>
      </c>
      <c r="AI301">
        <v>6.2</v>
      </c>
      <c r="AJ301">
        <f t="shared" si="92"/>
        <v>37.9</v>
      </c>
      <c r="AK301">
        <v>0</v>
      </c>
      <c r="AL301">
        <v>0.35200000000000004</v>
      </c>
      <c r="AM301">
        <f t="shared" si="93"/>
        <v>0.64800000000000002</v>
      </c>
      <c r="AN301">
        <v>49579</v>
      </c>
      <c r="AO301" t="s">
        <v>13</v>
      </c>
      <c r="AP301" s="3">
        <f t="shared" si="88"/>
        <v>140849.43181818182</v>
      </c>
      <c r="AQ301" t="s">
        <v>13</v>
      </c>
      <c r="AR301">
        <f t="shared" si="106"/>
        <v>0.58487654320987648</v>
      </c>
      <c r="AS301">
        <f t="shared" si="103"/>
        <v>0.26899999999999996</v>
      </c>
      <c r="AT301">
        <f t="shared" si="104"/>
        <v>37888</v>
      </c>
      <c r="AU301">
        <f t="shared" si="105"/>
        <v>53382</v>
      </c>
      <c r="AV301">
        <f t="shared" si="94"/>
        <v>18944</v>
      </c>
      <c r="AW301">
        <f t="shared" si="95"/>
        <v>63204</v>
      </c>
      <c r="AX301" s="3">
        <f t="shared" si="96"/>
        <v>58701.431818181823</v>
      </c>
      <c r="AY301">
        <f t="shared" si="97"/>
        <v>18944</v>
      </c>
      <c r="AZ301">
        <f t="shared" si="98"/>
        <v>63204</v>
      </c>
      <c r="BA301" s="3">
        <f t="shared" si="99"/>
        <v>58701.431818181823</v>
      </c>
    </row>
    <row r="302" spans="1:53" x14ac:dyDescent="0.2">
      <c r="A302">
        <v>2001</v>
      </c>
      <c r="B302" t="s">
        <v>64</v>
      </c>
      <c r="C302" t="s">
        <v>65</v>
      </c>
      <c r="D302">
        <v>7.2</v>
      </c>
      <c r="E302">
        <v>0.7</v>
      </c>
      <c r="F302">
        <v>1.9</v>
      </c>
      <c r="G302">
        <v>0</v>
      </c>
      <c r="H302">
        <v>0</v>
      </c>
      <c r="I302">
        <v>0</v>
      </c>
      <c r="J302">
        <v>0</v>
      </c>
      <c r="K302">
        <f t="shared" ref="K302:K365" si="107">SUM(D302:J302)</f>
        <v>9.8000000000000007</v>
      </c>
      <c r="L302">
        <v>0</v>
      </c>
      <c r="M302">
        <v>0</v>
      </c>
      <c r="N302">
        <v>0</v>
      </c>
      <c r="O302">
        <f t="shared" ref="O302:O365" si="108">SUM(L302:N302)</f>
        <v>0</v>
      </c>
      <c r="P302" s="1">
        <v>0</v>
      </c>
      <c r="Q302" s="1">
        <v>0</v>
      </c>
      <c r="R302" s="1">
        <v>0</v>
      </c>
      <c r="S302">
        <f t="shared" si="101"/>
        <v>0</v>
      </c>
      <c r="T302">
        <v>1.1000000000000001</v>
      </c>
      <c r="U302">
        <v>0</v>
      </c>
      <c r="V302">
        <v>0.7</v>
      </c>
      <c r="W302">
        <v>0</v>
      </c>
      <c r="X302">
        <v>0</v>
      </c>
      <c r="Y302">
        <v>0</v>
      </c>
      <c r="Z302">
        <v>0</v>
      </c>
      <c r="AA302">
        <f t="shared" si="102"/>
        <v>1.8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24.1</v>
      </c>
      <c r="AI302">
        <v>17.600000000000001</v>
      </c>
      <c r="AJ302">
        <f t="shared" si="92"/>
        <v>41.7</v>
      </c>
      <c r="AK302">
        <v>0</v>
      </c>
      <c r="AL302">
        <v>0.46799999999999997</v>
      </c>
      <c r="AM302">
        <f t="shared" si="93"/>
        <v>0.53300000000000014</v>
      </c>
      <c r="AN302">
        <v>84445</v>
      </c>
      <c r="AO302" t="s">
        <v>13</v>
      </c>
      <c r="AP302" s="3">
        <f t="shared" si="88"/>
        <v>180824.4111349037</v>
      </c>
      <c r="AQ302" t="s">
        <v>13</v>
      </c>
      <c r="AR302">
        <f t="shared" si="106"/>
        <v>0.78236397748592856</v>
      </c>
      <c r="AS302">
        <f t="shared" si="103"/>
        <v>0.11600000000000002</v>
      </c>
      <c r="AT302">
        <f t="shared" si="104"/>
        <v>20976</v>
      </c>
      <c r="AU302">
        <f t="shared" si="105"/>
        <v>75404</v>
      </c>
      <c r="AV302">
        <f t="shared" si="94"/>
        <v>12115</v>
      </c>
      <c r="AW302">
        <f t="shared" si="95"/>
        <v>79584</v>
      </c>
      <c r="AX302" s="3">
        <f t="shared" si="96"/>
        <v>89125.411134903698</v>
      </c>
      <c r="AY302">
        <f t="shared" si="97"/>
        <v>10488</v>
      </c>
      <c r="AZ302">
        <f t="shared" si="98"/>
        <v>80351</v>
      </c>
      <c r="BA302" s="3">
        <f t="shared" si="99"/>
        <v>89985.411134903698</v>
      </c>
    </row>
    <row r="303" spans="1:53" x14ac:dyDescent="0.2">
      <c r="A303">
        <v>2002</v>
      </c>
      <c r="B303" t="s">
        <v>64</v>
      </c>
      <c r="C303" t="s">
        <v>65</v>
      </c>
      <c r="D303">
        <v>19.8</v>
      </c>
      <c r="E303">
        <v>0</v>
      </c>
      <c r="F303">
        <v>1.5</v>
      </c>
      <c r="G303">
        <v>0.9</v>
      </c>
      <c r="H303">
        <v>0.6</v>
      </c>
      <c r="I303">
        <v>3</v>
      </c>
      <c r="J303">
        <v>0</v>
      </c>
      <c r="K303">
        <f t="shared" si="107"/>
        <v>25.8</v>
      </c>
      <c r="L303">
        <v>0</v>
      </c>
      <c r="M303">
        <v>0</v>
      </c>
      <c r="N303">
        <v>0</v>
      </c>
      <c r="O303">
        <f t="shared" si="108"/>
        <v>0</v>
      </c>
      <c r="P303" s="1">
        <v>0</v>
      </c>
      <c r="Q303" s="1">
        <v>0</v>
      </c>
      <c r="R303" s="1">
        <v>0</v>
      </c>
      <c r="S303">
        <f t="shared" si="101"/>
        <v>0</v>
      </c>
      <c r="T303">
        <v>1</v>
      </c>
      <c r="U303">
        <v>0</v>
      </c>
      <c r="V303">
        <v>0.7</v>
      </c>
      <c r="W303">
        <v>0.3</v>
      </c>
      <c r="X303">
        <v>0</v>
      </c>
      <c r="Y303">
        <v>0</v>
      </c>
      <c r="Z303">
        <v>0</v>
      </c>
      <c r="AA303">
        <f t="shared" si="102"/>
        <v>2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10.6</v>
      </c>
      <c r="AI303">
        <v>11.9</v>
      </c>
      <c r="AJ303">
        <f t="shared" si="92"/>
        <v>22.5</v>
      </c>
      <c r="AK303">
        <v>2.1</v>
      </c>
      <c r="AL303">
        <v>0.47499999999999998</v>
      </c>
      <c r="AM303">
        <f t="shared" si="93"/>
        <v>0.503</v>
      </c>
      <c r="AN303">
        <v>116628</v>
      </c>
      <c r="AO303" t="s">
        <v>13</v>
      </c>
      <c r="AP303" s="3">
        <f t="shared" ref="AP303:AP366" si="109">AN303/(1-AM303)</f>
        <v>234663.98390342054</v>
      </c>
      <c r="AQ303" t="s">
        <v>13</v>
      </c>
      <c r="AR303">
        <f t="shared" si="106"/>
        <v>0.44731610337972166</v>
      </c>
      <c r="AS303">
        <f t="shared" si="103"/>
        <v>0.27800000000000002</v>
      </c>
      <c r="AT303">
        <f t="shared" si="104"/>
        <v>65237</v>
      </c>
      <c r="AU303">
        <f t="shared" si="105"/>
        <v>52799</v>
      </c>
      <c r="AV303">
        <f t="shared" si="94"/>
        <v>34965</v>
      </c>
      <c r="AW303">
        <f t="shared" si="95"/>
        <v>62233</v>
      </c>
      <c r="AX303" s="3">
        <f t="shared" si="96"/>
        <v>137465.98390342054</v>
      </c>
      <c r="AY303">
        <f t="shared" si="97"/>
        <v>32618</v>
      </c>
      <c r="AZ303">
        <f t="shared" si="98"/>
        <v>62964</v>
      </c>
      <c r="BA303" s="3">
        <f t="shared" si="99"/>
        <v>139081.98390342054</v>
      </c>
    </row>
    <row r="304" spans="1:53" x14ac:dyDescent="0.2">
      <c r="A304">
        <v>2003</v>
      </c>
      <c r="B304" t="s">
        <v>64</v>
      </c>
      <c r="C304" t="s">
        <v>65</v>
      </c>
      <c r="D304">
        <v>16.5</v>
      </c>
      <c r="E304">
        <v>0</v>
      </c>
      <c r="F304">
        <v>0.9</v>
      </c>
      <c r="G304">
        <v>5</v>
      </c>
      <c r="H304">
        <v>1.3</v>
      </c>
      <c r="I304">
        <v>0</v>
      </c>
      <c r="J304">
        <v>0.5</v>
      </c>
      <c r="K304">
        <f t="shared" si="107"/>
        <v>24.2</v>
      </c>
      <c r="L304">
        <v>0</v>
      </c>
      <c r="M304">
        <v>0</v>
      </c>
      <c r="N304">
        <v>0</v>
      </c>
      <c r="O304">
        <f t="shared" si="108"/>
        <v>0</v>
      </c>
      <c r="P304" s="1">
        <v>0</v>
      </c>
      <c r="Q304" s="1">
        <v>0</v>
      </c>
      <c r="R304" s="1">
        <v>0</v>
      </c>
      <c r="S304">
        <f t="shared" si="101"/>
        <v>0</v>
      </c>
      <c r="T304">
        <v>0.4</v>
      </c>
      <c r="U304">
        <v>0.4</v>
      </c>
      <c r="V304">
        <v>0.3</v>
      </c>
      <c r="W304">
        <v>0</v>
      </c>
      <c r="X304">
        <v>0</v>
      </c>
      <c r="Y304">
        <v>0</v>
      </c>
      <c r="Z304">
        <v>0</v>
      </c>
      <c r="AA304">
        <f t="shared" si="102"/>
        <v>1.1000000000000001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16.7</v>
      </c>
      <c r="AI304">
        <v>11.2</v>
      </c>
      <c r="AJ304">
        <f t="shared" si="92"/>
        <v>27.9</v>
      </c>
      <c r="AK304">
        <v>0</v>
      </c>
      <c r="AL304">
        <v>0.46799999999999997</v>
      </c>
      <c r="AM304">
        <f t="shared" si="93"/>
        <v>0.53199999999999992</v>
      </c>
      <c r="AN304">
        <v>160609</v>
      </c>
      <c r="AO304" t="s">
        <v>13</v>
      </c>
      <c r="AP304" s="3">
        <f t="shared" si="109"/>
        <v>343181.62393162388</v>
      </c>
      <c r="AQ304" t="s">
        <v>13</v>
      </c>
      <c r="AR304">
        <f t="shared" si="106"/>
        <v>0.52443609022556392</v>
      </c>
      <c r="AS304">
        <f t="shared" si="103"/>
        <v>0.253</v>
      </c>
      <c r="AT304">
        <f t="shared" si="104"/>
        <v>86825</v>
      </c>
      <c r="AU304">
        <f t="shared" si="105"/>
        <v>95748</v>
      </c>
      <c r="AV304">
        <f t="shared" si="94"/>
        <v>45300</v>
      </c>
      <c r="AW304">
        <f t="shared" si="95"/>
        <v>111257</v>
      </c>
      <c r="AX304" s="3">
        <f t="shared" si="96"/>
        <v>186624.62393162388</v>
      </c>
      <c r="AY304">
        <f t="shared" si="97"/>
        <v>43412</v>
      </c>
      <c r="AZ304">
        <f t="shared" si="98"/>
        <v>111963</v>
      </c>
      <c r="BA304" s="3">
        <f t="shared" si="99"/>
        <v>187806.62393162388</v>
      </c>
    </row>
    <row r="305" spans="1:53" x14ac:dyDescent="0.2">
      <c r="A305">
        <v>2004</v>
      </c>
      <c r="B305" t="s">
        <v>64</v>
      </c>
      <c r="C305" t="s">
        <v>65</v>
      </c>
      <c r="D305">
        <v>22.2</v>
      </c>
      <c r="E305">
        <v>2.4</v>
      </c>
      <c r="F305">
        <v>3.3</v>
      </c>
      <c r="G305">
        <v>7.8</v>
      </c>
      <c r="H305">
        <v>3.9</v>
      </c>
      <c r="I305">
        <v>3.4</v>
      </c>
      <c r="J305">
        <v>0</v>
      </c>
      <c r="K305">
        <f t="shared" si="107"/>
        <v>42.999999999999993</v>
      </c>
      <c r="L305">
        <v>0</v>
      </c>
      <c r="M305">
        <v>0</v>
      </c>
      <c r="N305">
        <v>0</v>
      </c>
      <c r="O305">
        <f t="shared" si="108"/>
        <v>0</v>
      </c>
      <c r="P305" s="1">
        <v>0</v>
      </c>
      <c r="Q305" s="1">
        <v>0</v>
      </c>
      <c r="R305" s="1">
        <v>0.5</v>
      </c>
      <c r="S305">
        <f t="shared" si="101"/>
        <v>0.5</v>
      </c>
      <c r="T305">
        <v>0.2</v>
      </c>
      <c r="U305">
        <v>0.4</v>
      </c>
      <c r="V305">
        <v>0.3</v>
      </c>
      <c r="W305">
        <v>0</v>
      </c>
      <c r="X305">
        <v>0.2</v>
      </c>
      <c r="Y305">
        <v>0</v>
      </c>
      <c r="Z305">
        <v>0</v>
      </c>
      <c r="AA305">
        <f t="shared" si="102"/>
        <v>1.1000000000000001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15.3</v>
      </c>
      <c r="AI305">
        <v>4.7</v>
      </c>
      <c r="AJ305">
        <f t="shared" si="92"/>
        <v>20</v>
      </c>
      <c r="AK305">
        <v>0</v>
      </c>
      <c r="AL305">
        <v>0.35399999999999998</v>
      </c>
      <c r="AM305">
        <f t="shared" si="93"/>
        <v>0.64599999999999991</v>
      </c>
      <c r="AN305">
        <v>147623</v>
      </c>
      <c r="AO305" t="s">
        <v>13</v>
      </c>
      <c r="AP305" s="3">
        <f t="shared" si="109"/>
        <v>417014.12429378519</v>
      </c>
      <c r="AQ305" t="s">
        <v>13</v>
      </c>
      <c r="AR305">
        <f t="shared" si="106"/>
        <v>0.30959752321981432</v>
      </c>
      <c r="AS305">
        <f t="shared" si="103"/>
        <v>0.44599999999999995</v>
      </c>
      <c r="AT305">
        <f t="shared" si="104"/>
        <v>185988</v>
      </c>
      <c r="AU305">
        <f t="shared" si="105"/>
        <v>83403</v>
      </c>
      <c r="AV305">
        <f t="shared" si="94"/>
        <v>96330</v>
      </c>
      <c r="AW305">
        <f t="shared" si="95"/>
        <v>115771</v>
      </c>
      <c r="AX305" s="3">
        <f t="shared" si="96"/>
        <v>204913.12429378519</v>
      </c>
      <c r="AY305">
        <f t="shared" si="97"/>
        <v>92994</v>
      </c>
      <c r="AZ305">
        <f t="shared" si="98"/>
        <v>116975</v>
      </c>
      <c r="BA305" s="3">
        <f t="shared" si="99"/>
        <v>207045.12429378519</v>
      </c>
    </row>
    <row r="306" spans="1:53" x14ac:dyDescent="0.2">
      <c r="A306">
        <v>2005</v>
      </c>
      <c r="B306" t="s">
        <v>64</v>
      </c>
      <c r="C306" t="s">
        <v>65</v>
      </c>
      <c r="D306">
        <v>14.8</v>
      </c>
      <c r="E306">
        <v>0</v>
      </c>
      <c r="F306">
        <v>0</v>
      </c>
      <c r="G306">
        <v>9.8000000000000007</v>
      </c>
      <c r="H306">
        <v>3.2</v>
      </c>
      <c r="I306">
        <v>4.5999999999999996</v>
      </c>
      <c r="J306">
        <v>0.9</v>
      </c>
      <c r="K306">
        <f t="shared" si="107"/>
        <v>33.299999999999997</v>
      </c>
      <c r="L306">
        <v>0</v>
      </c>
      <c r="M306">
        <v>0</v>
      </c>
      <c r="N306">
        <v>0</v>
      </c>
      <c r="O306">
        <f t="shared" si="108"/>
        <v>0</v>
      </c>
      <c r="P306" s="1">
        <v>0</v>
      </c>
      <c r="Q306" s="1">
        <v>0</v>
      </c>
      <c r="R306" s="1">
        <v>0</v>
      </c>
      <c r="S306">
        <f t="shared" si="101"/>
        <v>0</v>
      </c>
      <c r="T306">
        <v>2.6</v>
      </c>
      <c r="U306">
        <v>1.3</v>
      </c>
      <c r="V306">
        <v>0.5</v>
      </c>
      <c r="W306">
        <v>0</v>
      </c>
      <c r="X306">
        <v>0</v>
      </c>
      <c r="Y306">
        <v>0</v>
      </c>
      <c r="Z306">
        <v>0</v>
      </c>
      <c r="AA306">
        <f t="shared" si="102"/>
        <v>4.4000000000000004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13.2</v>
      </c>
      <c r="AI306">
        <v>17</v>
      </c>
      <c r="AJ306">
        <f t="shared" si="92"/>
        <v>30.2</v>
      </c>
      <c r="AK306">
        <v>0</v>
      </c>
      <c r="AL306">
        <v>0.32100000000000001</v>
      </c>
      <c r="AM306">
        <f t="shared" si="93"/>
        <v>0.67899999999999994</v>
      </c>
      <c r="AN306">
        <v>110116</v>
      </c>
      <c r="AO306" t="s">
        <v>13</v>
      </c>
      <c r="AP306" s="3">
        <f t="shared" si="109"/>
        <v>343040.49844236753</v>
      </c>
      <c r="AQ306" t="s">
        <v>13</v>
      </c>
      <c r="AR306">
        <f t="shared" si="106"/>
        <v>0.44477172312223862</v>
      </c>
      <c r="AS306">
        <f t="shared" si="103"/>
        <v>0.37699999999999995</v>
      </c>
      <c r="AT306">
        <f t="shared" si="104"/>
        <v>129326</v>
      </c>
      <c r="AU306">
        <f t="shared" si="105"/>
        <v>103598</v>
      </c>
      <c r="AV306">
        <f t="shared" si="94"/>
        <v>72210</v>
      </c>
      <c r="AW306">
        <f t="shared" si="95"/>
        <v>131285</v>
      </c>
      <c r="AX306" s="3">
        <f t="shared" si="96"/>
        <v>139545.49844236753</v>
      </c>
      <c r="AY306">
        <f t="shared" si="97"/>
        <v>64663</v>
      </c>
      <c r="AZ306">
        <f t="shared" si="98"/>
        <v>134943</v>
      </c>
      <c r="BA306" s="3">
        <f t="shared" si="99"/>
        <v>143434.49844236753</v>
      </c>
    </row>
    <row r="307" spans="1:53" x14ac:dyDescent="0.2">
      <c r="A307">
        <v>2006</v>
      </c>
      <c r="B307" t="s">
        <v>64</v>
      </c>
      <c r="C307" t="s">
        <v>65</v>
      </c>
      <c r="D307">
        <v>21.8</v>
      </c>
      <c r="E307">
        <v>0</v>
      </c>
      <c r="F307">
        <v>1.4</v>
      </c>
      <c r="G307">
        <v>5.9</v>
      </c>
      <c r="H307">
        <v>0</v>
      </c>
      <c r="I307">
        <v>3.1</v>
      </c>
      <c r="J307">
        <v>2.6</v>
      </c>
      <c r="K307">
        <f t="shared" si="107"/>
        <v>34.800000000000004</v>
      </c>
      <c r="L307">
        <v>0</v>
      </c>
      <c r="M307">
        <v>0</v>
      </c>
      <c r="N307">
        <v>0</v>
      </c>
      <c r="O307">
        <f t="shared" si="108"/>
        <v>0</v>
      </c>
      <c r="P307" s="1">
        <v>0</v>
      </c>
      <c r="Q307" s="1">
        <v>0</v>
      </c>
      <c r="R307" s="1">
        <v>0</v>
      </c>
      <c r="S307">
        <f t="shared" si="101"/>
        <v>0</v>
      </c>
      <c r="T307">
        <v>0.5</v>
      </c>
      <c r="U307">
        <v>0</v>
      </c>
      <c r="V307">
        <v>0.5</v>
      </c>
      <c r="W307">
        <v>0</v>
      </c>
      <c r="X307">
        <v>0</v>
      </c>
      <c r="Y307">
        <v>0</v>
      </c>
      <c r="Z307">
        <v>0</v>
      </c>
      <c r="AA307">
        <f t="shared" si="102"/>
        <v>1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16.600000000000001</v>
      </c>
      <c r="AI307">
        <v>21.8</v>
      </c>
      <c r="AJ307">
        <f t="shared" si="92"/>
        <v>38.400000000000006</v>
      </c>
      <c r="AK307">
        <v>0</v>
      </c>
      <c r="AL307">
        <v>0.25800000000000001</v>
      </c>
      <c r="AM307">
        <f t="shared" si="93"/>
        <v>0.74199999999999988</v>
      </c>
      <c r="AN307">
        <v>75483</v>
      </c>
      <c r="AO307" t="s">
        <v>13</v>
      </c>
      <c r="AP307" s="3">
        <f t="shared" si="109"/>
        <v>292569.76744186034</v>
      </c>
      <c r="AQ307" t="s">
        <v>13</v>
      </c>
      <c r="AR307">
        <f t="shared" si="106"/>
        <v>0.51752021563342332</v>
      </c>
      <c r="AS307">
        <f t="shared" si="103"/>
        <v>0.35800000000000004</v>
      </c>
      <c r="AT307">
        <f t="shared" si="104"/>
        <v>104740</v>
      </c>
      <c r="AU307">
        <f t="shared" si="105"/>
        <v>112347</v>
      </c>
      <c r="AV307">
        <f t="shared" si="94"/>
        <v>53833</v>
      </c>
      <c r="AW307">
        <f t="shared" si="95"/>
        <v>142796</v>
      </c>
      <c r="AX307" s="3">
        <f t="shared" si="96"/>
        <v>95940.767441860342</v>
      </c>
      <c r="AY307">
        <f t="shared" si="97"/>
        <v>52370</v>
      </c>
      <c r="AZ307">
        <f t="shared" si="98"/>
        <v>143671</v>
      </c>
      <c r="BA307" s="3">
        <f t="shared" si="99"/>
        <v>96528.767441860342</v>
      </c>
    </row>
    <row r="308" spans="1:53" x14ac:dyDescent="0.2">
      <c r="A308">
        <v>2007</v>
      </c>
      <c r="B308" t="s">
        <v>64</v>
      </c>
      <c r="C308" t="s">
        <v>65</v>
      </c>
      <c r="D308">
        <v>25</v>
      </c>
      <c r="E308">
        <v>0</v>
      </c>
      <c r="F308">
        <v>1.7</v>
      </c>
      <c r="G308">
        <v>7.2</v>
      </c>
      <c r="H308">
        <v>8.1</v>
      </c>
      <c r="I308">
        <v>2.9</v>
      </c>
      <c r="J308">
        <v>0</v>
      </c>
      <c r="K308">
        <f t="shared" si="107"/>
        <v>44.9</v>
      </c>
      <c r="L308">
        <v>0</v>
      </c>
      <c r="M308">
        <v>1.6</v>
      </c>
      <c r="N308">
        <v>0</v>
      </c>
      <c r="O308">
        <f t="shared" si="108"/>
        <v>1.6</v>
      </c>
      <c r="P308" s="1">
        <v>0</v>
      </c>
      <c r="Q308" s="1">
        <v>0</v>
      </c>
      <c r="R308" s="1">
        <v>0</v>
      </c>
      <c r="S308">
        <f t="shared" si="101"/>
        <v>0</v>
      </c>
      <c r="T308">
        <v>0.7</v>
      </c>
      <c r="U308">
        <v>0</v>
      </c>
      <c r="V308">
        <v>0.8</v>
      </c>
      <c r="W308">
        <v>0</v>
      </c>
      <c r="X308">
        <v>0</v>
      </c>
      <c r="Y308">
        <v>0</v>
      </c>
      <c r="Z308">
        <v>0</v>
      </c>
      <c r="AA308">
        <f t="shared" si="102"/>
        <v>1.5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6.9</v>
      </c>
      <c r="AI308">
        <v>17.5</v>
      </c>
      <c r="AJ308">
        <f t="shared" si="92"/>
        <v>24.4</v>
      </c>
      <c r="AK308">
        <v>0</v>
      </c>
      <c r="AL308">
        <v>0.27600000000000002</v>
      </c>
      <c r="AM308">
        <f t="shared" si="93"/>
        <v>0.72400000000000009</v>
      </c>
      <c r="AN308">
        <v>44698</v>
      </c>
      <c r="AO308" t="s">
        <v>13</v>
      </c>
      <c r="AP308" s="3">
        <f t="shared" si="109"/>
        <v>161949.27536231891</v>
      </c>
      <c r="AQ308" t="s">
        <v>13</v>
      </c>
      <c r="AR308">
        <f t="shared" si="106"/>
        <v>0.33701657458563533</v>
      </c>
      <c r="AS308">
        <f t="shared" si="103"/>
        <v>0.48</v>
      </c>
      <c r="AT308">
        <f t="shared" si="104"/>
        <v>77736</v>
      </c>
      <c r="AU308">
        <f t="shared" si="105"/>
        <v>39516</v>
      </c>
      <c r="AV308">
        <f t="shared" si="94"/>
        <v>41378</v>
      </c>
      <c r="AW308">
        <f t="shared" si="95"/>
        <v>56577</v>
      </c>
      <c r="AX308" s="3">
        <f t="shared" si="96"/>
        <v>63994.275362318906</v>
      </c>
      <c r="AY308">
        <f t="shared" si="97"/>
        <v>38868</v>
      </c>
      <c r="AZ308">
        <f t="shared" si="98"/>
        <v>57754</v>
      </c>
      <c r="BA308" s="3">
        <f t="shared" si="99"/>
        <v>65327.275362318906</v>
      </c>
    </row>
    <row r="309" spans="1:53" x14ac:dyDescent="0.2">
      <c r="A309">
        <v>2008</v>
      </c>
      <c r="B309" t="s">
        <v>64</v>
      </c>
      <c r="C309" t="s">
        <v>65</v>
      </c>
      <c r="D309">
        <v>36.1</v>
      </c>
      <c r="E309">
        <v>0</v>
      </c>
      <c r="F309">
        <v>5.0999999999999996</v>
      </c>
      <c r="G309">
        <v>1.8</v>
      </c>
      <c r="H309">
        <v>2.5</v>
      </c>
      <c r="I309">
        <v>3.6</v>
      </c>
      <c r="J309">
        <v>2.2999999999999998</v>
      </c>
      <c r="K309">
        <f t="shared" si="107"/>
        <v>51.4</v>
      </c>
      <c r="L309">
        <v>0</v>
      </c>
      <c r="M309">
        <v>0</v>
      </c>
      <c r="N309">
        <v>0</v>
      </c>
      <c r="O309">
        <f t="shared" si="108"/>
        <v>0</v>
      </c>
      <c r="P309" s="1">
        <v>0</v>
      </c>
      <c r="Q309" s="1">
        <v>0</v>
      </c>
      <c r="R309" s="1">
        <v>0</v>
      </c>
      <c r="S309">
        <f t="shared" si="101"/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f t="shared" si="102"/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17.600000000000001</v>
      </c>
      <c r="AI309">
        <v>6.7</v>
      </c>
      <c r="AJ309">
        <f t="shared" si="92"/>
        <v>24.3</v>
      </c>
      <c r="AK309">
        <v>1</v>
      </c>
      <c r="AL309">
        <v>0.23499999999999999</v>
      </c>
      <c r="AM309">
        <f t="shared" si="93"/>
        <v>0.7569999999999999</v>
      </c>
      <c r="AN309">
        <v>72406</v>
      </c>
      <c r="AO309" t="s">
        <v>13</v>
      </c>
      <c r="AP309" s="3">
        <f t="shared" si="109"/>
        <v>297967.07818930026</v>
      </c>
      <c r="AQ309" t="s">
        <v>13</v>
      </c>
      <c r="AR309">
        <f t="shared" si="106"/>
        <v>0.32100396301188905</v>
      </c>
      <c r="AS309">
        <f t="shared" si="103"/>
        <v>0.51400000000000001</v>
      </c>
      <c r="AT309">
        <f t="shared" si="104"/>
        <v>153155</v>
      </c>
      <c r="AU309">
        <f t="shared" si="105"/>
        <v>72406</v>
      </c>
      <c r="AV309">
        <f t="shared" si="94"/>
        <v>76578</v>
      </c>
      <c r="AW309">
        <f t="shared" si="95"/>
        <v>110694</v>
      </c>
      <c r="AX309" s="3">
        <f t="shared" si="96"/>
        <v>110695.07818930026</v>
      </c>
      <c r="AY309">
        <f t="shared" si="97"/>
        <v>76578</v>
      </c>
      <c r="AZ309">
        <f t="shared" si="98"/>
        <v>110694</v>
      </c>
      <c r="BA309" s="3">
        <f t="shared" si="99"/>
        <v>110695.07818930026</v>
      </c>
    </row>
    <row r="310" spans="1:53" x14ac:dyDescent="0.2">
      <c r="A310">
        <v>2009</v>
      </c>
      <c r="B310" t="s">
        <v>64</v>
      </c>
      <c r="C310" t="s">
        <v>65</v>
      </c>
      <c r="D310">
        <v>21.3</v>
      </c>
      <c r="E310">
        <v>0</v>
      </c>
      <c r="F310">
        <v>2</v>
      </c>
      <c r="G310">
        <v>4</v>
      </c>
      <c r="H310">
        <v>2.6</v>
      </c>
      <c r="I310">
        <v>1.4</v>
      </c>
      <c r="J310">
        <v>2.7</v>
      </c>
      <c r="K310">
        <f t="shared" si="107"/>
        <v>34</v>
      </c>
      <c r="L310">
        <v>0</v>
      </c>
      <c r="M310">
        <v>0</v>
      </c>
      <c r="N310">
        <v>0</v>
      </c>
      <c r="O310">
        <f t="shared" si="108"/>
        <v>0</v>
      </c>
      <c r="P310" s="1">
        <v>0</v>
      </c>
      <c r="Q310" s="1">
        <v>0</v>
      </c>
      <c r="R310" s="1">
        <v>3.4</v>
      </c>
      <c r="S310">
        <f t="shared" si="101"/>
        <v>3.4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f t="shared" si="102"/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48</v>
      </c>
      <c r="AI310">
        <v>4.5</v>
      </c>
      <c r="AJ310">
        <f t="shared" si="92"/>
        <v>52.5</v>
      </c>
      <c r="AK310">
        <v>0</v>
      </c>
      <c r="AL310">
        <v>0.1</v>
      </c>
      <c r="AM310">
        <f t="shared" si="93"/>
        <v>0.89900000000000002</v>
      </c>
      <c r="AN310">
        <v>83778</v>
      </c>
      <c r="AO310" t="s">
        <v>13</v>
      </c>
      <c r="AP310" s="3">
        <f t="shared" si="109"/>
        <v>829485.14851485169</v>
      </c>
      <c r="AQ310" t="s">
        <v>13</v>
      </c>
      <c r="AR310">
        <f t="shared" si="106"/>
        <v>0.58398220244716348</v>
      </c>
      <c r="AS310">
        <f t="shared" si="103"/>
        <v>0.374</v>
      </c>
      <c r="AT310">
        <f t="shared" si="104"/>
        <v>310227</v>
      </c>
      <c r="AU310">
        <f t="shared" si="105"/>
        <v>435480</v>
      </c>
      <c r="AV310">
        <f t="shared" si="94"/>
        <v>169215</v>
      </c>
      <c r="AW310">
        <f t="shared" si="95"/>
        <v>553741</v>
      </c>
      <c r="AX310" s="3">
        <f t="shared" si="96"/>
        <v>106529.14851485169</v>
      </c>
      <c r="AY310">
        <f t="shared" si="97"/>
        <v>155114</v>
      </c>
      <c r="AZ310">
        <f t="shared" si="98"/>
        <v>565567</v>
      </c>
      <c r="BA310" s="3">
        <f t="shared" si="99"/>
        <v>108804.14851485169</v>
      </c>
    </row>
    <row r="311" spans="1:53" x14ac:dyDescent="0.2">
      <c r="A311">
        <v>2010</v>
      </c>
      <c r="B311" t="s">
        <v>64</v>
      </c>
      <c r="C311" t="s">
        <v>65</v>
      </c>
      <c r="D311">
        <v>16.8</v>
      </c>
      <c r="E311">
        <v>0</v>
      </c>
      <c r="F311">
        <v>6.7</v>
      </c>
      <c r="G311">
        <v>8.6</v>
      </c>
      <c r="H311">
        <v>4</v>
      </c>
      <c r="I311">
        <v>0.8</v>
      </c>
      <c r="J311">
        <v>1.6</v>
      </c>
      <c r="K311">
        <f t="shared" si="107"/>
        <v>38.5</v>
      </c>
      <c r="L311">
        <v>0</v>
      </c>
      <c r="M311">
        <v>0</v>
      </c>
      <c r="N311">
        <v>0</v>
      </c>
      <c r="O311">
        <f t="shared" si="108"/>
        <v>0</v>
      </c>
      <c r="P311" s="1">
        <v>0</v>
      </c>
      <c r="Q311" s="1">
        <v>0</v>
      </c>
      <c r="R311" s="1">
        <v>0</v>
      </c>
      <c r="S311">
        <f t="shared" si="101"/>
        <v>0</v>
      </c>
      <c r="T311">
        <v>1.5</v>
      </c>
      <c r="U311">
        <v>0.6</v>
      </c>
      <c r="V311">
        <v>0.4</v>
      </c>
      <c r="W311">
        <v>0</v>
      </c>
      <c r="X311">
        <v>0</v>
      </c>
      <c r="Y311">
        <v>0</v>
      </c>
      <c r="Z311">
        <v>0</v>
      </c>
      <c r="AA311">
        <f t="shared" si="102"/>
        <v>2.5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11.2</v>
      </c>
      <c r="AI311">
        <v>4.7</v>
      </c>
      <c r="AJ311">
        <f t="shared" si="92"/>
        <v>15.899999999999999</v>
      </c>
      <c r="AK311">
        <v>0</v>
      </c>
      <c r="AL311">
        <v>0.43</v>
      </c>
      <c r="AM311">
        <f t="shared" si="93"/>
        <v>0.56900000000000006</v>
      </c>
      <c r="AN311">
        <v>164917</v>
      </c>
      <c r="AO311" t="s">
        <v>13</v>
      </c>
      <c r="AP311" s="3">
        <f t="shared" si="109"/>
        <v>382638.05104408361</v>
      </c>
      <c r="AQ311" t="s">
        <v>13</v>
      </c>
      <c r="AR311">
        <f t="shared" si="106"/>
        <v>0.27943760984182769</v>
      </c>
      <c r="AS311">
        <f t="shared" si="103"/>
        <v>0.41</v>
      </c>
      <c r="AT311">
        <f t="shared" si="104"/>
        <v>156882</v>
      </c>
      <c r="AU311">
        <f t="shared" si="105"/>
        <v>60839</v>
      </c>
      <c r="AV311">
        <f t="shared" si="94"/>
        <v>83224</v>
      </c>
      <c r="AW311">
        <f t="shared" si="95"/>
        <v>80689</v>
      </c>
      <c r="AX311" s="3">
        <f t="shared" si="96"/>
        <v>218725.05104408361</v>
      </c>
      <c r="AY311">
        <f t="shared" si="97"/>
        <v>78441</v>
      </c>
      <c r="AZ311">
        <f t="shared" si="98"/>
        <v>81978</v>
      </c>
      <c r="BA311" s="3">
        <f t="shared" si="99"/>
        <v>222219.05104408361</v>
      </c>
    </row>
    <row r="312" spans="1:53" x14ac:dyDescent="0.2">
      <c r="A312">
        <v>2011</v>
      </c>
      <c r="B312" t="s">
        <v>64</v>
      </c>
      <c r="C312" t="s">
        <v>65</v>
      </c>
      <c r="D312">
        <v>21.8</v>
      </c>
      <c r="E312">
        <v>0.7</v>
      </c>
      <c r="F312">
        <v>0</v>
      </c>
      <c r="G312">
        <v>2</v>
      </c>
      <c r="H312">
        <v>6.3</v>
      </c>
      <c r="I312">
        <v>2.4</v>
      </c>
      <c r="J312">
        <v>0</v>
      </c>
      <c r="K312">
        <f t="shared" si="107"/>
        <v>33.200000000000003</v>
      </c>
      <c r="L312">
        <v>0</v>
      </c>
      <c r="M312">
        <v>0</v>
      </c>
      <c r="N312">
        <v>0</v>
      </c>
      <c r="O312">
        <f t="shared" si="108"/>
        <v>0</v>
      </c>
      <c r="P312" s="1">
        <v>0</v>
      </c>
      <c r="Q312" s="1">
        <v>0</v>
      </c>
      <c r="R312" s="1">
        <v>1.5</v>
      </c>
      <c r="S312">
        <f t="shared" si="101"/>
        <v>1.5</v>
      </c>
      <c r="T312">
        <v>0</v>
      </c>
      <c r="U312">
        <v>0.2</v>
      </c>
      <c r="V312">
        <v>0.8</v>
      </c>
      <c r="W312">
        <v>0.9</v>
      </c>
      <c r="X312">
        <v>0.7</v>
      </c>
      <c r="Y312">
        <v>0</v>
      </c>
      <c r="Z312">
        <v>0</v>
      </c>
      <c r="AA312">
        <f t="shared" si="102"/>
        <v>2.5999999999999996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21.6</v>
      </c>
      <c r="AI312">
        <v>8.6</v>
      </c>
      <c r="AJ312">
        <f t="shared" si="92"/>
        <v>30.200000000000003</v>
      </c>
      <c r="AK312">
        <v>0</v>
      </c>
      <c r="AL312">
        <v>0.32299999999999995</v>
      </c>
      <c r="AM312">
        <f t="shared" si="93"/>
        <v>0.67500000000000016</v>
      </c>
      <c r="AN312">
        <v>128280</v>
      </c>
      <c r="AO312" t="s">
        <v>13</v>
      </c>
      <c r="AP312" s="3">
        <f t="shared" si="109"/>
        <v>394707.69230769249</v>
      </c>
      <c r="AQ312" t="s">
        <v>13</v>
      </c>
      <c r="AR312">
        <f t="shared" si="106"/>
        <v>0.44740740740740736</v>
      </c>
      <c r="AS312">
        <f t="shared" si="103"/>
        <v>0.37300000000000005</v>
      </c>
      <c r="AT312">
        <f t="shared" si="104"/>
        <v>147226</v>
      </c>
      <c r="AU312">
        <f t="shared" si="105"/>
        <v>119202</v>
      </c>
      <c r="AV312">
        <f t="shared" si="94"/>
        <v>81704</v>
      </c>
      <c r="AW312">
        <f t="shared" si="95"/>
        <v>150761</v>
      </c>
      <c r="AX312" s="3">
        <f t="shared" si="96"/>
        <v>162242.69230769249</v>
      </c>
      <c r="AY312">
        <f t="shared" si="97"/>
        <v>73613</v>
      </c>
      <c r="AZ312">
        <f t="shared" si="98"/>
        <v>154658</v>
      </c>
      <c r="BA312" s="3">
        <f t="shared" si="99"/>
        <v>166436.69230769249</v>
      </c>
    </row>
    <row r="313" spans="1:53" x14ac:dyDescent="0.2">
      <c r="A313">
        <v>2012</v>
      </c>
      <c r="B313" t="s">
        <v>64</v>
      </c>
      <c r="C313" t="s">
        <v>65</v>
      </c>
      <c r="D313">
        <v>15.6</v>
      </c>
      <c r="E313">
        <v>0.7</v>
      </c>
      <c r="F313">
        <v>4.4000000000000004</v>
      </c>
      <c r="G313">
        <v>5.2</v>
      </c>
      <c r="H313">
        <v>3</v>
      </c>
      <c r="I313">
        <v>5.4</v>
      </c>
      <c r="J313">
        <v>6.5</v>
      </c>
      <c r="K313">
        <f t="shared" si="107"/>
        <v>40.800000000000004</v>
      </c>
      <c r="L313">
        <v>0</v>
      </c>
      <c r="M313">
        <v>0</v>
      </c>
      <c r="N313">
        <v>0</v>
      </c>
      <c r="O313">
        <f t="shared" si="108"/>
        <v>0</v>
      </c>
      <c r="P313" s="1">
        <v>0</v>
      </c>
      <c r="Q313" s="1">
        <v>0</v>
      </c>
      <c r="R313" s="1">
        <v>0</v>
      </c>
      <c r="S313">
        <f t="shared" si="101"/>
        <v>0</v>
      </c>
      <c r="T313">
        <v>4.5</v>
      </c>
      <c r="U313">
        <v>0.2</v>
      </c>
      <c r="V313">
        <v>0.5</v>
      </c>
      <c r="W313">
        <v>0.8</v>
      </c>
      <c r="X313">
        <v>0</v>
      </c>
      <c r="Y313">
        <v>0</v>
      </c>
      <c r="Z313">
        <v>0.3</v>
      </c>
      <c r="AA313">
        <f t="shared" si="102"/>
        <v>6.3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15.4</v>
      </c>
      <c r="AI313">
        <v>16.3</v>
      </c>
      <c r="AJ313">
        <f t="shared" si="92"/>
        <v>31.700000000000003</v>
      </c>
      <c r="AK313">
        <v>0</v>
      </c>
      <c r="AL313">
        <v>0.21299999999999999</v>
      </c>
      <c r="AM313">
        <f t="shared" si="93"/>
        <v>0.78800000000000014</v>
      </c>
      <c r="AN313">
        <v>128074</v>
      </c>
      <c r="AO313" t="s">
        <v>13</v>
      </c>
      <c r="AP313" s="3">
        <f t="shared" si="109"/>
        <v>604122.64150943432</v>
      </c>
      <c r="AQ313" t="s">
        <v>13</v>
      </c>
      <c r="AR313">
        <f t="shared" si="106"/>
        <v>0.40228426395939082</v>
      </c>
      <c r="AS313">
        <f t="shared" si="103"/>
        <v>0.47100000000000003</v>
      </c>
      <c r="AT313">
        <f t="shared" si="104"/>
        <v>284542</v>
      </c>
      <c r="AU313">
        <f t="shared" si="105"/>
        <v>191507</v>
      </c>
      <c r="AV313">
        <f t="shared" si="94"/>
        <v>161301</v>
      </c>
      <c r="AW313">
        <f t="shared" si="95"/>
        <v>265359</v>
      </c>
      <c r="AX313" s="3">
        <f t="shared" si="96"/>
        <v>177462.64150943432</v>
      </c>
      <c r="AY313">
        <f t="shared" si="97"/>
        <v>142271</v>
      </c>
      <c r="AZ313">
        <f t="shared" si="98"/>
        <v>276762</v>
      </c>
      <c r="BA313" s="3">
        <f t="shared" si="99"/>
        <v>185089.64150943432</v>
      </c>
    </row>
    <row r="314" spans="1:53" x14ac:dyDescent="0.2">
      <c r="A314">
        <v>2013</v>
      </c>
      <c r="B314" t="s">
        <v>64</v>
      </c>
      <c r="C314" t="s">
        <v>65</v>
      </c>
      <c r="D314">
        <v>7.6</v>
      </c>
      <c r="E314">
        <v>0</v>
      </c>
      <c r="F314">
        <v>2.1</v>
      </c>
      <c r="G314">
        <v>4.7</v>
      </c>
      <c r="H314">
        <v>3.1</v>
      </c>
      <c r="I314">
        <v>1.5</v>
      </c>
      <c r="J314">
        <v>1.8</v>
      </c>
      <c r="K314">
        <f t="shared" si="107"/>
        <v>20.8</v>
      </c>
      <c r="L314">
        <v>0</v>
      </c>
      <c r="M314">
        <v>0</v>
      </c>
      <c r="N314">
        <v>0</v>
      </c>
      <c r="O314">
        <f t="shared" si="108"/>
        <v>0</v>
      </c>
      <c r="P314" s="1">
        <v>0</v>
      </c>
      <c r="Q314" s="1">
        <v>0</v>
      </c>
      <c r="R314" s="1">
        <v>0.8</v>
      </c>
      <c r="S314">
        <f t="shared" si="101"/>
        <v>0.8</v>
      </c>
      <c r="T314">
        <v>1.3</v>
      </c>
      <c r="U314">
        <v>0.4</v>
      </c>
      <c r="V314">
        <v>1.4</v>
      </c>
      <c r="W314">
        <v>0.3</v>
      </c>
      <c r="X314">
        <v>0</v>
      </c>
      <c r="Y314">
        <v>0</v>
      </c>
      <c r="Z314">
        <v>0</v>
      </c>
      <c r="AA314">
        <f t="shared" si="102"/>
        <v>3.4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23.9</v>
      </c>
      <c r="AI314">
        <v>10.6</v>
      </c>
      <c r="AJ314">
        <f t="shared" si="92"/>
        <v>34.5</v>
      </c>
      <c r="AK314">
        <v>0</v>
      </c>
      <c r="AL314">
        <v>0.40399999999999997</v>
      </c>
      <c r="AM314">
        <f t="shared" si="93"/>
        <v>0.59499999999999997</v>
      </c>
      <c r="AN314">
        <v>365920</v>
      </c>
      <c r="AO314" t="s">
        <v>13</v>
      </c>
      <c r="AP314" s="3">
        <f t="shared" si="109"/>
        <v>903506.17283950606</v>
      </c>
      <c r="AQ314" t="s">
        <v>13</v>
      </c>
      <c r="AR314">
        <f t="shared" si="106"/>
        <v>0.57983193277310918</v>
      </c>
      <c r="AS314">
        <f t="shared" si="103"/>
        <v>0.25</v>
      </c>
      <c r="AT314">
        <f t="shared" si="104"/>
        <v>225877</v>
      </c>
      <c r="AU314">
        <f t="shared" si="105"/>
        <v>311710</v>
      </c>
      <c r="AV314">
        <f t="shared" si="94"/>
        <v>131912</v>
      </c>
      <c r="AW314">
        <f t="shared" si="95"/>
        <v>354934</v>
      </c>
      <c r="AX314" s="3">
        <f t="shared" si="96"/>
        <v>416660.17283950606</v>
      </c>
      <c r="AY314">
        <f t="shared" si="97"/>
        <v>112938</v>
      </c>
      <c r="AZ314">
        <f t="shared" si="98"/>
        <v>363662</v>
      </c>
      <c r="BA314" s="3">
        <f t="shared" si="99"/>
        <v>426906.17283950606</v>
      </c>
    </row>
    <row r="315" spans="1:53" x14ac:dyDescent="0.2">
      <c r="A315">
        <v>2014</v>
      </c>
      <c r="B315" t="s">
        <v>64</v>
      </c>
      <c r="C315" t="s">
        <v>65</v>
      </c>
      <c r="D315">
        <v>13.5</v>
      </c>
      <c r="E315">
        <v>0.4</v>
      </c>
      <c r="F315">
        <v>2.6</v>
      </c>
      <c r="G315">
        <v>4.5999999999999996</v>
      </c>
      <c r="H315">
        <v>1.5</v>
      </c>
      <c r="I315">
        <v>2.5</v>
      </c>
      <c r="J315">
        <v>1.3</v>
      </c>
      <c r="K315">
        <f t="shared" si="107"/>
        <v>26.400000000000002</v>
      </c>
      <c r="L315">
        <v>0</v>
      </c>
      <c r="M315">
        <v>0</v>
      </c>
      <c r="N315">
        <v>0.7</v>
      </c>
      <c r="O315">
        <f t="shared" si="108"/>
        <v>0.7</v>
      </c>
      <c r="P315" s="1">
        <v>0</v>
      </c>
      <c r="Q315" s="1">
        <v>0</v>
      </c>
      <c r="R315" s="1">
        <v>0.5</v>
      </c>
      <c r="S315">
        <f t="shared" si="101"/>
        <v>0.5</v>
      </c>
      <c r="T315">
        <v>1.3</v>
      </c>
      <c r="U315">
        <v>0.2</v>
      </c>
      <c r="V315">
        <v>2.5</v>
      </c>
      <c r="W315">
        <v>0</v>
      </c>
      <c r="X315">
        <v>0</v>
      </c>
      <c r="Y315">
        <v>0</v>
      </c>
      <c r="Z315">
        <v>0</v>
      </c>
      <c r="AA315">
        <f t="shared" si="102"/>
        <v>4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17.7</v>
      </c>
      <c r="AI315">
        <v>9.1999999999999993</v>
      </c>
      <c r="AJ315">
        <f t="shared" si="92"/>
        <v>26.9</v>
      </c>
      <c r="AK315">
        <v>0</v>
      </c>
      <c r="AL315">
        <v>0.41499999999999998</v>
      </c>
      <c r="AM315">
        <f t="shared" si="93"/>
        <v>0.58499999999999996</v>
      </c>
      <c r="AN315">
        <v>297063</v>
      </c>
      <c r="AO315" t="s">
        <v>13</v>
      </c>
      <c r="AP315" s="3">
        <f t="shared" si="109"/>
        <v>715814.45783132524</v>
      </c>
      <c r="AQ315" t="s">
        <v>13</v>
      </c>
      <c r="AR315">
        <f t="shared" si="106"/>
        <v>0.45982905982905981</v>
      </c>
      <c r="AS315">
        <f t="shared" si="103"/>
        <v>0.316</v>
      </c>
      <c r="AT315">
        <f t="shared" si="104"/>
        <v>226197</v>
      </c>
      <c r="AU315">
        <f t="shared" si="105"/>
        <v>192554</v>
      </c>
      <c r="AV315">
        <f t="shared" si="94"/>
        <v>131710</v>
      </c>
      <c r="AW315">
        <f t="shared" si="95"/>
        <v>229713</v>
      </c>
      <c r="AX315" s="3">
        <f t="shared" si="96"/>
        <v>354391.45783132524</v>
      </c>
      <c r="AY315">
        <f t="shared" si="97"/>
        <v>113099</v>
      </c>
      <c r="AZ315">
        <f t="shared" si="98"/>
        <v>237033</v>
      </c>
      <c r="BA315" s="3">
        <f t="shared" si="99"/>
        <v>365682.45783132524</v>
      </c>
    </row>
    <row r="316" spans="1:53" x14ac:dyDescent="0.2">
      <c r="A316">
        <v>2015</v>
      </c>
      <c r="B316" t="s">
        <v>64</v>
      </c>
      <c r="C316" t="s">
        <v>65</v>
      </c>
      <c r="D316">
        <v>14.2</v>
      </c>
      <c r="E316">
        <v>1.8</v>
      </c>
      <c r="F316">
        <v>1.9</v>
      </c>
      <c r="G316">
        <v>2.5</v>
      </c>
      <c r="H316">
        <v>3.9</v>
      </c>
      <c r="I316">
        <v>0.6</v>
      </c>
      <c r="J316">
        <v>1</v>
      </c>
      <c r="K316">
        <f t="shared" si="107"/>
        <v>25.9</v>
      </c>
      <c r="L316">
        <v>0</v>
      </c>
      <c r="M316">
        <v>0</v>
      </c>
      <c r="N316">
        <v>0.1</v>
      </c>
      <c r="O316">
        <f t="shared" si="108"/>
        <v>0.1</v>
      </c>
      <c r="P316" s="1">
        <v>0</v>
      </c>
      <c r="Q316" s="1">
        <v>0</v>
      </c>
      <c r="R316" s="1">
        <v>0.3</v>
      </c>
      <c r="S316">
        <f t="shared" si="101"/>
        <v>0.3</v>
      </c>
      <c r="T316">
        <v>1.8</v>
      </c>
      <c r="U316">
        <v>0.9</v>
      </c>
      <c r="V316">
        <v>0.9</v>
      </c>
      <c r="W316">
        <v>0</v>
      </c>
      <c r="X316">
        <v>0</v>
      </c>
      <c r="Y316">
        <v>0</v>
      </c>
      <c r="Z316">
        <v>0</v>
      </c>
      <c r="AA316">
        <f t="shared" si="102"/>
        <v>3.6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16.899999999999999</v>
      </c>
      <c r="AI316">
        <v>6.2</v>
      </c>
      <c r="AJ316">
        <f t="shared" si="92"/>
        <v>23.099999999999998</v>
      </c>
      <c r="AK316">
        <v>0</v>
      </c>
      <c r="AL316">
        <v>0.47</v>
      </c>
      <c r="AM316">
        <f t="shared" si="93"/>
        <v>0.52999999999999992</v>
      </c>
      <c r="AN316">
        <v>383944</v>
      </c>
      <c r="AO316" t="s">
        <v>13</v>
      </c>
      <c r="AP316" s="3">
        <f t="shared" si="109"/>
        <v>816902.12765957427</v>
      </c>
      <c r="AQ316" t="s">
        <v>13</v>
      </c>
      <c r="AR316">
        <f t="shared" si="106"/>
        <v>0.4358490566037736</v>
      </c>
      <c r="AS316">
        <f t="shared" si="103"/>
        <v>0.29900000000000004</v>
      </c>
      <c r="AT316">
        <f t="shared" si="104"/>
        <v>244254</v>
      </c>
      <c r="AU316">
        <f t="shared" si="105"/>
        <v>188704</v>
      </c>
      <c r="AV316">
        <f t="shared" si="94"/>
        <v>138465</v>
      </c>
      <c r="AW316">
        <f t="shared" si="95"/>
        <v>223565</v>
      </c>
      <c r="AX316" s="3">
        <f t="shared" si="96"/>
        <v>454872.12765957427</v>
      </c>
      <c r="AY316">
        <f t="shared" si="97"/>
        <v>122127</v>
      </c>
      <c r="AZ316">
        <f t="shared" si="98"/>
        <v>228948</v>
      </c>
      <c r="BA316" s="3">
        <f t="shared" si="99"/>
        <v>465827.12765957427</v>
      </c>
    </row>
    <row r="317" spans="1:53" x14ac:dyDescent="0.2">
      <c r="A317">
        <v>2016</v>
      </c>
      <c r="B317" t="s">
        <v>64</v>
      </c>
      <c r="C317" t="s">
        <v>65</v>
      </c>
      <c r="D317">
        <v>15.4</v>
      </c>
      <c r="E317">
        <v>0.6</v>
      </c>
      <c r="F317">
        <v>3.5</v>
      </c>
      <c r="G317">
        <v>4.8</v>
      </c>
      <c r="H317">
        <v>1.7</v>
      </c>
      <c r="I317">
        <v>1.6</v>
      </c>
      <c r="J317">
        <v>0.7</v>
      </c>
      <c r="K317">
        <f t="shared" si="107"/>
        <v>28.3</v>
      </c>
      <c r="L317">
        <v>0</v>
      </c>
      <c r="M317">
        <v>0</v>
      </c>
      <c r="N317">
        <v>0</v>
      </c>
      <c r="O317">
        <f t="shared" si="108"/>
        <v>0</v>
      </c>
      <c r="P317" s="1">
        <v>0</v>
      </c>
      <c r="Q317" s="1">
        <v>0</v>
      </c>
      <c r="R317" s="1">
        <v>0</v>
      </c>
      <c r="S317">
        <f t="shared" si="101"/>
        <v>0</v>
      </c>
      <c r="T317">
        <v>1</v>
      </c>
      <c r="U317">
        <v>0</v>
      </c>
      <c r="V317">
        <v>0.7</v>
      </c>
      <c r="W317">
        <v>0</v>
      </c>
      <c r="X317">
        <v>0</v>
      </c>
      <c r="Y317">
        <v>0</v>
      </c>
      <c r="Z317">
        <v>0</v>
      </c>
      <c r="AA317">
        <f t="shared" si="102"/>
        <v>1.7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19.600000000000001</v>
      </c>
      <c r="AI317">
        <v>8.3000000000000007</v>
      </c>
      <c r="AJ317">
        <f t="shared" si="92"/>
        <v>27.900000000000002</v>
      </c>
      <c r="AK317">
        <v>0</v>
      </c>
      <c r="AL317">
        <v>0.42</v>
      </c>
      <c r="AM317">
        <f t="shared" si="93"/>
        <v>0.57900000000000007</v>
      </c>
      <c r="AN317">
        <v>186006</v>
      </c>
      <c r="AO317" t="s">
        <v>13</v>
      </c>
      <c r="AP317" s="3">
        <f t="shared" si="109"/>
        <v>441819.4774346794</v>
      </c>
      <c r="AQ317" t="s">
        <v>13</v>
      </c>
      <c r="AR317">
        <f t="shared" si="106"/>
        <v>0.48186528497409326</v>
      </c>
      <c r="AS317">
        <f t="shared" si="103"/>
        <v>0.3</v>
      </c>
      <c r="AT317">
        <f t="shared" si="104"/>
        <v>132546</v>
      </c>
      <c r="AU317">
        <f t="shared" si="105"/>
        <v>123268</v>
      </c>
      <c r="AV317">
        <f t="shared" si="94"/>
        <v>70028</v>
      </c>
      <c r="AW317">
        <f t="shared" si="95"/>
        <v>148186</v>
      </c>
      <c r="AX317" s="3">
        <f t="shared" si="96"/>
        <v>223605.4774346794</v>
      </c>
      <c r="AY317">
        <f t="shared" si="97"/>
        <v>66273</v>
      </c>
      <c r="AZ317">
        <f t="shared" si="98"/>
        <v>149683</v>
      </c>
      <c r="BA317" s="3">
        <f t="shared" si="99"/>
        <v>225863.4774346794</v>
      </c>
    </row>
    <row r="318" spans="1:53" x14ac:dyDescent="0.2">
      <c r="A318">
        <v>2017</v>
      </c>
      <c r="B318" t="s">
        <v>64</v>
      </c>
      <c r="C318" t="s">
        <v>65</v>
      </c>
      <c r="D318">
        <v>12.6</v>
      </c>
      <c r="E318">
        <v>0</v>
      </c>
      <c r="F318">
        <v>5.0999999999999996</v>
      </c>
      <c r="G318">
        <v>3.5</v>
      </c>
      <c r="H318">
        <v>1.3</v>
      </c>
      <c r="I318">
        <v>0.5</v>
      </c>
      <c r="J318">
        <v>0.1</v>
      </c>
      <c r="K318">
        <f t="shared" si="107"/>
        <v>23.1</v>
      </c>
      <c r="L318">
        <v>0</v>
      </c>
      <c r="M318">
        <v>0</v>
      </c>
      <c r="N318">
        <v>0</v>
      </c>
      <c r="O318">
        <f t="shared" si="108"/>
        <v>0</v>
      </c>
      <c r="P318" s="1">
        <v>0</v>
      </c>
      <c r="Q318" s="1">
        <v>0</v>
      </c>
      <c r="R318" s="1">
        <v>0</v>
      </c>
      <c r="S318">
        <f t="shared" si="101"/>
        <v>0</v>
      </c>
      <c r="T318">
        <v>1.1000000000000001</v>
      </c>
      <c r="U318">
        <v>0.6</v>
      </c>
      <c r="V318">
        <v>0.4</v>
      </c>
      <c r="W318">
        <v>0</v>
      </c>
      <c r="X318">
        <v>0</v>
      </c>
      <c r="Y318">
        <v>0</v>
      </c>
      <c r="Z318">
        <v>0</v>
      </c>
      <c r="AA318">
        <f t="shared" si="102"/>
        <v>2.1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20.7</v>
      </c>
      <c r="AI318">
        <v>16.100000000000001</v>
      </c>
      <c r="AJ318">
        <f t="shared" si="92"/>
        <v>36.799999999999997</v>
      </c>
      <c r="AK318">
        <v>0</v>
      </c>
      <c r="AL318">
        <v>0.38</v>
      </c>
      <c r="AM318">
        <f t="shared" si="93"/>
        <v>0.62</v>
      </c>
      <c r="AN318">
        <v>124748</v>
      </c>
      <c r="AO318" t="s">
        <v>13</v>
      </c>
      <c r="AP318" s="3">
        <f t="shared" si="109"/>
        <v>328284.21052631579</v>
      </c>
      <c r="AQ318" t="s">
        <v>13</v>
      </c>
      <c r="AR318">
        <f t="shared" si="106"/>
        <v>0.59354838709677415</v>
      </c>
      <c r="AS318">
        <f t="shared" si="103"/>
        <v>0.252</v>
      </c>
      <c r="AT318">
        <f t="shared" si="104"/>
        <v>82728</v>
      </c>
      <c r="AU318">
        <f t="shared" si="105"/>
        <v>120809</v>
      </c>
      <c r="AV318">
        <f t="shared" si="94"/>
        <v>44811</v>
      </c>
      <c r="AW318">
        <f t="shared" si="95"/>
        <v>139463</v>
      </c>
      <c r="AX318" s="3">
        <f t="shared" si="96"/>
        <v>144010.21052631579</v>
      </c>
      <c r="AY318">
        <f t="shared" si="97"/>
        <v>41364</v>
      </c>
      <c r="AZ318">
        <f t="shared" si="98"/>
        <v>141159</v>
      </c>
      <c r="BA318" s="3">
        <f t="shared" si="99"/>
        <v>145761.21052631579</v>
      </c>
    </row>
    <row r="319" spans="1:53" x14ac:dyDescent="0.2">
      <c r="A319">
        <v>2018</v>
      </c>
      <c r="B319" t="s">
        <v>64</v>
      </c>
      <c r="C319" t="s">
        <v>65</v>
      </c>
      <c r="D319">
        <v>5.8</v>
      </c>
      <c r="E319">
        <v>0</v>
      </c>
      <c r="F319">
        <v>5.0999999999999996</v>
      </c>
      <c r="G319">
        <v>5.5</v>
      </c>
      <c r="H319">
        <v>3.3</v>
      </c>
      <c r="I319">
        <v>0</v>
      </c>
      <c r="J319">
        <v>0</v>
      </c>
      <c r="K319">
        <f t="shared" si="107"/>
        <v>19.7</v>
      </c>
      <c r="L319">
        <v>0</v>
      </c>
      <c r="M319">
        <v>0</v>
      </c>
      <c r="N319">
        <v>0</v>
      </c>
      <c r="O319">
        <f t="shared" si="108"/>
        <v>0</v>
      </c>
      <c r="P319" s="1">
        <v>0</v>
      </c>
      <c r="Q319" s="1">
        <v>0</v>
      </c>
      <c r="R319" s="1">
        <v>0</v>
      </c>
      <c r="S319">
        <f t="shared" si="101"/>
        <v>0</v>
      </c>
      <c r="T319">
        <v>1.3</v>
      </c>
      <c r="U319">
        <v>0</v>
      </c>
      <c r="V319">
        <v>1.8</v>
      </c>
      <c r="W319">
        <v>0</v>
      </c>
      <c r="X319">
        <v>0</v>
      </c>
      <c r="Y319">
        <v>0</v>
      </c>
      <c r="Z319">
        <v>0</v>
      </c>
      <c r="AA319">
        <f t="shared" si="102"/>
        <v>3.1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12.2</v>
      </c>
      <c r="AI319">
        <v>7.9</v>
      </c>
      <c r="AJ319">
        <f t="shared" si="92"/>
        <v>20.100000000000001</v>
      </c>
      <c r="AK319">
        <v>0</v>
      </c>
      <c r="AL319">
        <v>0.57200000000000006</v>
      </c>
      <c r="AM319">
        <f t="shared" si="93"/>
        <v>0.42899999999999999</v>
      </c>
      <c r="AN319">
        <v>73893</v>
      </c>
      <c r="AO319" t="s">
        <v>13</v>
      </c>
      <c r="AP319" s="3">
        <f t="shared" si="109"/>
        <v>129409.80735551665</v>
      </c>
      <c r="AQ319" t="s">
        <v>13</v>
      </c>
      <c r="AR319">
        <f t="shared" si="106"/>
        <v>0.46853146853146854</v>
      </c>
      <c r="AS319">
        <f t="shared" si="103"/>
        <v>0.22800000000000001</v>
      </c>
      <c r="AT319">
        <f t="shared" si="104"/>
        <v>29505</v>
      </c>
      <c r="AU319">
        <f t="shared" si="105"/>
        <v>26011</v>
      </c>
      <c r="AV319">
        <f t="shared" si="94"/>
        <v>16759</v>
      </c>
      <c r="AW319">
        <f t="shared" si="95"/>
        <v>29330</v>
      </c>
      <c r="AX319" s="3">
        <f t="shared" si="96"/>
        <v>83320.807355516648</v>
      </c>
      <c r="AY319">
        <f t="shared" si="97"/>
        <v>14753</v>
      </c>
      <c r="AZ319">
        <f t="shared" si="98"/>
        <v>29852</v>
      </c>
      <c r="BA319" s="3">
        <f t="shared" si="99"/>
        <v>84804.807355516648</v>
      </c>
    </row>
    <row r="320" spans="1:53" x14ac:dyDescent="0.2">
      <c r="A320">
        <v>2019</v>
      </c>
      <c r="B320" t="s">
        <v>64</v>
      </c>
      <c r="C320" t="s">
        <v>65</v>
      </c>
      <c r="D320">
        <v>11.1</v>
      </c>
      <c r="E320">
        <v>0</v>
      </c>
      <c r="F320">
        <v>0</v>
      </c>
      <c r="G320">
        <v>11.6</v>
      </c>
      <c r="H320">
        <v>1.9</v>
      </c>
      <c r="I320">
        <v>1</v>
      </c>
      <c r="J320">
        <v>0</v>
      </c>
      <c r="K320">
        <f t="shared" si="107"/>
        <v>25.599999999999998</v>
      </c>
      <c r="L320">
        <v>0</v>
      </c>
      <c r="M320">
        <v>0</v>
      </c>
      <c r="N320">
        <v>2.1</v>
      </c>
      <c r="O320">
        <f t="shared" si="108"/>
        <v>2.1</v>
      </c>
      <c r="P320" s="1">
        <v>0</v>
      </c>
      <c r="Q320" s="1">
        <v>0</v>
      </c>
      <c r="R320" s="1">
        <v>0</v>
      </c>
      <c r="S320">
        <f t="shared" si="101"/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f t="shared" si="102"/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4</v>
      </c>
      <c r="AI320">
        <v>12.4</v>
      </c>
      <c r="AJ320">
        <f t="shared" si="92"/>
        <v>16.399999999999999</v>
      </c>
      <c r="AK320">
        <v>0.5</v>
      </c>
      <c r="AL320">
        <v>0.55399999999999994</v>
      </c>
      <c r="AM320">
        <f t="shared" si="93"/>
        <v>0.441</v>
      </c>
      <c r="AN320">
        <v>94796</v>
      </c>
      <c r="AO320" t="s">
        <v>13</v>
      </c>
      <c r="AP320" s="3">
        <f t="shared" si="109"/>
        <v>169581.39534883722</v>
      </c>
      <c r="AQ320" t="s">
        <v>13</v>
      </c>
      <c r="AR320">
        <f t="shared" si="106"/>
        <v>0.37188208616780039</v>
      </c>
      <c r="AS320">
        <f t="shared" si="103"/>
        <v>0.27699999999999997</v>
      </c>
      <c r="AT320">
        <f t="shared" si="104"/>
        <v>46974</v>
      </c>
      <c r="AU320">
        <f t="shared" si="105"/>
        <v>27811</v>
      </c>
      <c r="AV320">
        <f t="shared" si="94"/>
        <v>25268</v>
      </c>
      <c r="AW320">
        <f t="shared" si="95"/>
        <v>32735</v>
      </c>
      <c r="AX320" s="3">
        <f t="shared" si="96"/>
        <v>111578.39534883722</v>
      </c>
      <c r="AY320">
        <f t="shared" si="97"/>
        <v>23487</v>
      </c>
      <c r="AZ320">
        <f t="shared" si="98"/>
        <v>33139</v>
      </c>
      <c r="BA320" s="3">
        <f t="shared" si="99"/>
        <v>112955.39534883722</v>
      </c>
    </row>
    <row r="321" spans="1:53" x14ac:dyDescent="0.2">
      <c r="A321">
        <v>2020</v>
      </c>
      <c r="B321" t="s">
        <v>64</v>
      </c>
      <c r="C321" t="s">
        <v>65</v>
      </c>
      <c r="D321">
        <v>14.1</v>
      </c>
      <c r="E321">
        <v>1</v>
      </c>
      <c r="F321">
        <v>1.5</v>
      </c>
      <c r="G321">
        <v>5.8</v>
      </c>
      <c r="H321">
        <v>0.9</v>
      </c>
      <c r="I321">
        <v>0</v>
      </c>
      <c r="J321">
        <v>0.2</v>
      </c>
      <c r="K321">
        <f t="shared" si="107"/>
        <v>23.5</v>
      </c>
      <c r="L321">
        <v>0</v>
      </c>
      <c r="M321">
        <v>0</v>
      </c>
      <c r="N321">
        <v>0</v>
      </c>
      <c r="O321">
        <f t="shared" si="108"/>
        <v>0</v>
      </c>
      <c r="P321" s="1">
        <v>0</v>
      </c>
      <c r="Q321" s="1">
        <v>0</v>
      </c>
      <c r="R321" s="1">
        <v>0</v>
      </c>
      <c r="S321">
        <f t="shared" si="101"/>
        <v>0</v>
      </c>
      <c r="T321">
        <v>0.8</v>
      </c>
      <c r="U321">
        <v>1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f t="shared" si="102"/>
        <v>1.8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9.6</v>
      </c>
      <c r="AI321">
        <v>9.1</v>
      </c>
      <c r="AJ321">
        <f t="shared" si="92"/>
        <v>18.7</v>
      </c>
      <c r="AK321">
        <v>0</v>
      </c>
      <c r="AL321">
        <v>0.56000000000000005</v>
      </c>
      <c r="AM321">
        <f t="shared" si="93"/>
        <v>0.44</v>
      </c>
      <c r="AN321">
        <v>125815</v>
      </c>
      <c r="AO321" t="s">
        <v>13</v>
      </c>
      <c r="AP321" s="3">
        <f t="shared" si="109"/>
        <v>224669.64285714284</v>
      </c>
      <c r="AQ321" t="s">
        <v>13</v>
      </c>
      <c r="AR321">
        <f t="shared" si="106"/>
        <v>0.42499999999999999</v>
      </c>
      <c r="AS321">
        <f t="shared" si="103"/>
        <v>0.253</v>
      </c>
      <c r="AT321">
        <f t="shared" si="104"/>
        <v>56841</v>
      </c>
      <c r="AU321">
        <f t="shared" si="105"/>
        <v>42013</v>
      </c>
      <c r="AV321">
        <f t="shared" si="94"/>
        <v>30443</v>
      </c>
      <c r="AW321">
        <f t="shared" si="95"/>
        <v>48621</v>
      </c>
      <c r="AX321" s="3">
        <f t="shared" si="96"/>
        <v>145605.64285714284</v>
      </c>
      <c r="AY321">
        <f t="shared" si="97"/>
        <v>28421</v>
      </c>
      <c r="AZ321">
        <f t="shared" si="98"/>
        <v>49127</v>
      </c>
      <c r="BA321" s="3">
        <f t="shared" si="99"/>
        <v>147121.64285714284</v>
      </c>
    </row>
    <row r="322" spans="1:53" x14ac:dyDescent="0.2">
      <c r="A322">
        <v>2021</v>
      </c>
      <c r="B322" t="s">
        <v>64</v>
      </c>
      <c r="C322" t="s">
        <v>65</v>
      </c>
      <c r="D322">
        <v>9.5</v>
      </c>
      <c r="E322">
        <v>0</v>
      </c>
      <c r="F322">
        <v>4.0999999999999996</v>
      </c>
      <c r="G322">
        <v>4.4000000000000004</v>
      </c>
      <c r="H322">
        <v>0</v>
      </c>
      <c r="I322">
        <v>0</v>
      </c>
      <c r="J322">
        <v>0</v>
      </c>
      <c r="K322">
        <f t="shared" si="107"/>
        <v>18</v>
      </c>
      <c r="L322">
        <v>0</v>
      </c>
      <c r="M322">
        <v>0</v>
      </c>
      <c r="N322">
        <v>0.8</v>
      </c>
      <c r="O322">
        <f t="shared" si="108"/>
        <v>0.8</v>
      </c>
      <c r="P322" s="1">
        <v>0</v>
      </c>
      <c r="Q322" s="1">
        <v>0</v>
      </c>
      <c r="R322" s="1">
        <v>0</v>
      </c>
      <c r="S322">
        <f t="shared" si="101"/>
        <v>0</v>
      </c>
      <c r="T322">
        <v>0.3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f t="shared" si="102"/>
        <v>0.3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14.1</v>
      </c>
      <c r="AI322">
        <v>6.1</v>
      </c>
      <c r="AJ322">
        <f t="shared" si="92"/>
        <v>20.2</v>
      </c>
      <c r="AK322">
        <v>5.9</v>
      </c>
      <c r="AL322">
        <v>0.54700000000000004</v>
      </c>
      <c r="AM322">
        <f t="shared" si="93"/>
        <v>0.39299999999999996</v>
      </c>
      <c r="AN322">
        <v>117077</v>
      </c>
      <c r="AO322" t="s">
        <v>13</v>
      </c>
      <c r="AP322" s="3">
        <f t="shared" si="109"/>
        <v>192878.08896210874</v>
      </c>
      <c r="AQ322" t="s">
        <v>13</v>
      </c>
      <c r="AR322">
        <f t="shared" si="106"/>
        <v>0.51399491094147587</v>
      </c>
      <c r="AS322">
        <f t="shared" si="103"/>
        <v>0.191</v>
      </c>
      <c r="AT322">
        <f t="shared" si="104"/>
        <v>36840</v>
      </c>
      <c r="AU322">
        <f t="shared" si="105"/>
        <v>38961</v>
      </c>
      <c r="AV322">
        <f t="shared" si="94"/>
        <v>19481</v>
      </c>
      <c r="AW322">
        <f t="shared" si="95"/>
        <v>43295</v>
      </c>
      <c r="AX322" s="3">
        <f t="shared" si="96"/>
        <v>130102.08896210874</v>
      </c>
      <c r="AY322">
        <f t="shared" si="97"/>
        <v>18420</v>
      </c>
      <c r="AZ322">
        <f t="shared" si="98"/>
        <v>43560</v>
      </c>
      <c r="BA322" s="3">
        <f t="shared" si="99"/>
        <v>130898.08896210874</v>
      </c>
    </row>
    <row r="323" spans="1:53" x14ac:dyDescent="0.2">
      <c r="A323">
        <v>2022</v>
      </c>
      <c r="B323" t="s">
        <v>64</v>
      </c>
      <c r="C323" t="s">
        <v>65</v>
      </c>
      <c r="D323">
        <v>8.6</v>
      </c>
      <c r="E323">
        <v>5.5</v>
      </c>
      <c r="F323">
        <v>4.3</v>
      </c>
      <c r="G323">
        <v>2.5</v>
      </c>
      <c r="H323">
        <v>3.4</v>
      </c>
      <c r="I323">
        <v>1.6</v>
      </c>
      <c r="J323">
        <v>0</v>
      </c>
      <c r="K323">
        <f t="shared" si="107"/>
        <v>25.9</v>
      </c>
      <c r="L323">
        <v>0</v>
      </c>
      <c r="M323">
        <v>0</v>
      </c>
      <c r="N323">
        <v>0</v>
      </c>
      <c r="O323">
        <f t="shared" si="108"/>
        <v>0</v>
      </c>
      <c r="P323" s="1">
        <v>0</v>
      </c>
      <c r="Q323" s="1">
        <v>0</v>
      </c>
      <c r="R323" s="1">
        <v>0</v>
      </c>
      <c r="S323">
        <f t="shared" si="101"/>
        <v>0</v>
      </c>
      <c r="T323">
        <v>1.3</v>
      </c>
      <c r="U323">
        <v>0</v>
      </c>
      <c r="V323">
        <v>0.3</v>
      </c>
      <c r="W323">
        <v>0</v>
      </c>
      <c r="X323">
        <v>0</v>
      </c>
      <c r="Y323">
        <v>0</v>
      </c>
      <c r="Z323">
        <v>0</v>
      </c>
      <c r="AA323">
        <f t="shared" si="102"/>
        <v>1.6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19.399999999999999</v>
      </c>
      <c r="AI323">
        <v>4</v>
      </c>
      <c r="AJ323">
        <f t="shared" ref="AJ323:AJ386" si="110">SUM(AB323:AI323)</f>
        <v>23.4</v>
      </c>
      <c r="AK323">
        <v>0</v>
      </c>
      <c r="AL323">
        <v>0.49299999999999999</v>
      </c>
      <c r="AM323">
        <f t="shared" ref="AM323:AM386" si="111">SUM(AB323:AI323,T323:Z323,P323:R323,L323:N323,D323:J323)/100</f>
        <v>0.50900000000000001</v>
      </c>
      <c r="AN323">
        <v>95558</v>
      </c>
      <c r="AO323" t="s">
        <v>13</v>
      </c>
      <c r="AP323" s="3">
        <f t="shared" si="109"/>
        <v>194619.14460285133</v>
      </c>
      <c r="AQ323" t="s">
        <v>13</v>
      </c>
      <c r="AR323">
        <f t="shared" si="106"/>
        <v>0.45972495088408644</v>
      </c>
      <c r="AS323">
        <f t="shared" si="103"/>
        <v>0.27500000000000002</v>
      </c>
      <c r="AT323">
        <f t="shared" si="104"/>
        <v>53520</v>
      </c>
      <c r="AU323">
        <f t="shared" si="105"/>
        <v>45541</v>
      </c>
      <c r="AV323">
        <f t="shared" ref="AV323:AV386" si="112">ROUND((((K323*0.5)+O323+S323+AA323)/100)*AP323,0)</f>
        <v>28317</v>
      </c>
      <c r="AW323">
        <f t="shared" ref="AW323:AW386" si="113">ROUND((AU323/(AP323-AT323))*(AP323-AV323),0)</f>
        <v>53675</v>
      </c>
      <c r="AX323" s="3">
        <f t="shared" ref="AX323:AX386" si="114">AP323-AV323-AW323</f>
        <v>112627.14460285133</v>
      </c>
      <c r="AY323">
        <f t="shared" ref="AY323:AY386" si="115">ROUND((0.5*AS323)*AP323,0)</f>
        <v>26760</v>
      </c>
      <c r="AZ323">
        <f t="shared" ref="AZ323:AZ386" si="116">ROUND((AU323/(AP323-AT323))*(AP323-AY323),0)</f>
        <v>54178</v>
      </c>
      <c r="BA323" s="3">
        <f t="shared" ref="BA323:BA386" si="117">AP323-AZ323-AY323</f>
        <v>113681.14460285133</v>
      </c>
    </row>
    <row r="324" spans="1:53" x14ac:dyDescent="0.2">
      <c r="A324">
        <v>2023</v>
      </c>
      <c r="B324" t="s">
        <v>64</v>
      </c>
      <c r="C324" t="s">
        <v>65</v>
      </c>
      <c r="D324" t="s">
        <v>13</v>
      </c>
      <c r="E324" t="s">
        <v>13</v>
      </c>
      <c r="F324" t="s">
        <v>13</v>
      </c>
      <c r="G324" t="s">
        <v>13</v>
      </c>
      <c r="H324" t="s">
        <v>13</v>
      </c>
      <c r="I324" t="s">
        <v>13</v>
      </c>
      <c r="J324" t="s">
        <v>13</v>
      </c>
      <c r="K324" t="s">
        <v>13</v>
      </c>
      <c r="L324" t="s">
        <v>13</v>
      </c>
      <c r="M324" t="s">
        <v>13</v>
      </c>
      <c r="N324" t="s">
        <v>13</v>
      </c>
      <c r="O324" t="s">
        <v>13</v>
      </c>
      <c r="P324" t="s">
        <v>13</v>
      </c>
      <c r="Q324" t="s">
        <v>13</v>
      </c>
      <c r="R324" t="s">
        <v>13</v>
      </c>
      <c r="S324" t="s">
        <v>13</v>
      </c>
      <c r="T324" t="s">
        <v>13</v>
      </c>
      <c r="U324" t="s">
        <v>13</v>
      </c>
      <c r="V324" t="s">
        <v>13</v>
      </c>
      <c r="W324" t="s">
        <v>13</v>
      </c>
      <c r="X324" t="s">
        <v>13</v>
      </c>
      <c r="Y324" t="s">
        <v>13</v>
      </c>
      <c r="Z324" t="s">
        <v>13</v>
      </c>
      <c r="AA324" t="s">
        <v>13</v>
      </c>
      <c r="AB324" t="s">
        <v>13</v>
      </c>
      <c r="AC324" t="s">
        <v>13</v>
      </c>
      <c r="AD324" t="s">
        <v>13</v>
      </c>
      <c r="AE324" t="s">
        <v>13</v>
      </c>
      <c r="AF324" t="s">
        <v>13</v>
      </c>
      <c r="AG324" t="s">
        <v>13</v>
      </c>
      <c r="AH324" t="s">
        <v>13</v>
      </c>
      <c r="AI324" t="s">
        <v>13</v>
      </c>
      <c r="AJ324" t="s">
        <v>13</v>
      </c>
      <c r="AK324" t="s">
        <v>13</v>
      </c>
      <c r="AL324" t="s">
        <v>13</v>
      </c>
      <c r="AM324">
        <f t="shared" si="111"/>
        <v>0</v>
      </c>
      <c r="AN324">
        <v>102311</v>
      </c>
      <c r="AO324" t="s">
        <v>13</v>
      </c>
      <c r="AP324" s="3" t="s">
        <v>13</v>
      </c>
      <c r="AQ324" t="s">
        <v>13</v>
      </c>
      <c r="AR324" t="s">
        <v>13</v>
      </c>
      <c r="AS324" t="s">
        <v>13</v>
      </c>
      <c r="AT324" t="s">
        <v>13</v>
      </c>
      <c r="AU324" t="s">
        <v>13</v>
      </c>
      <c r="AV324" t="s">
        <v>13</v>
      </c>
      <c r="AW324" t="s">
        <v>13</v>
      </c>
      <c r="AX324" t="s">
        <v>13</v>
      </c>
      <c r="AY324" t="e">
        <f t="shared" si="115"/>
        <v>#VALUE!</v>
      </c>
      <c r="AZ324" t="e">
        <f t="shared" si="116"/>
        <v>#VALUE!</v>
      </c>
      <c r="BA324" s="3" t="e">
        <f t="shared" si="117"/>
        <v>#VALUE!</v>
      </c>
    </row>
    <row r="325" spans="1:53" x14ac:dyDescent="0.2">
      <c r="A325">
        <v>1985</v>
      </c>
      <c r="B325" t="s">
        <v>66</v>
      </c>
      <c r="C325" t="s">
        <v>57</v>
      </c>
      <c r="D325">
        <v>0.2</v>
      </c>
      <c r="E325">
        <v>0</v>
      </c>
      <c r="F325">
        <v>0</v>
      </c>
      <c r="G325">
        <v>1.1000000000000001</v>
      </c>
      <c r="H325">
        <v>0</v>
      </c>
      <c r="I325">
        <v>22.8</v>
      </c>
      <c r="J325">
        <v>0.4</v>
      </c>
      <c r="K325">
        <f t="shared" si="107"/>
        <v>24.5</v>
      </c>
      <c r="L325">
        <v>1.7</v>
      </c>
      <c r="M325">
        <v>1.2</v>
      </c>
      <c r="N325">
        <v>0</v>
      </c>
      <c r="O325">
        <f t="shared" si="108"/>
        <v>2.9</v>
      </c>
      <c r="P325">
        <v>7.7</v>
      </c>
      <c r="Q325">
        <v>3.3</v>
      </c>
      <c r="R325">
        <v>24.4</v>
      </c>
      <c r="S325">
        <f t="shared" si="101"/>
        <v>35.4</v>
      </c>
      <c r="T325">
        <v>0.9</v>
      </c>
      <c r="U325">
        <v>0.2</v>
      </c>
      <c r="V325" s="1">
        <v>0.1</v>
      </c>
      <c r="W325" s="1">
        <v>0</v>
      </c>
      <c r="X325">
        <v>0</v>
      </c>
      <c r="Y325">
        <v>3</v>
      </c>
      <c r="Z325">
        <v>3.2</v>
      </c>
      <c r="AA325">
        <f t="shared" si="102"/>
        <v>7.4</v>
      </c>
      <c r="AB325">
        <v>0</v>
      </c>
      <c r="AC325">
        <v>0</v>
      </c>
      <c r="AD325">
        <v>0</v>
      </c>
      <c r="AE325">
        <v>0</v>
      </c>
      <c r="AF325">
        <v>0.4</v>
      </c>
      <c r="AG325">
        <v>0</v>
      </c>
      <c r="AH325">
        <v>0.4</v>
      </c>
      <c r="AI325">
        <v>0</v>
      </c>
      <c r="AJ325">
        <f t="shared" si="110"/>
        <v>0.8</v>
      </c>
      <c r="AK325">
        <v>0</v>
      </c>
      <c r="AL325">
        <v>0.28800000000000003</v>
      </c>
      <c r="AM325">
        <f t="shared" si="111"/>
        <v>0.71000000000000019</v>
      </c>
      <c r="AN325">
        <v>174776</v>
      </c>
      <c r="AO325" t="s">
        <v>13</v>
      </c>
      <c r="AP325" s="3">
        <f t="shared" si="109"/>
        <v>602675.86206896591</v>
      </c>
      <c r="AQ325" t="s">
        <v>13</v>
      </c>
      <c r="AR325">
        <f t="shared" si="106"/>
        <v>1.1267605633802814E-2</v>
      </c>
      <c r="AS325">
        <f t="shared" ref="AS325:AS356" si="118">SUM(K325,O325,S325,AA325)/100</f>
        <v>0.70200000000000007</v>
      </c>
      <c r="AT325">
        <f t="shared" ref="AT325:AT356" si="119">ROUND(AS325*AP325,0)</f>
        <v>423078</v>
      </c>
      <c r="AU325">
        <f t="shared" ref="AU325:AU356" si="120">ROUND((AJ325/100)*AP325,0)</f>
        <v>4821</v>
      </c>
      <c r="AV325">
        <f t="shared" si="112"/>
        <v>349251</v>
      </c>
      <c r="AW325">
        <f t="shared" si="113"/>
        <v>6803</v>
      </c>
      <c r="AX325" s="3">
        <f t="shared" si="114"/>
        <v>246621.86206896591</v>
      </c>
      <c r="AY325">
        <f t="shared" si="115"/>
        <v>211539</v>
      </c>
      <c r="AZ325">
        <f t="shared" si="116"/>
        <v>10499</v>
      </c>
      <c r="BA325" s="3">
        <f t="shared" si="117"/>
        <v>380637.86206896591</v>
      </c>
    </row>
    <row r="326" spans="1:53" x14ac:dyDescent="0.2">
      <c r="A326">
        <v>1986</v>
      </c>
      <c r="B326" t="s">
        <v>66</v>
      </c>
      <c r="C326" t="s">
        <v>57</v>
      </c>
      <c r="D326">
        <v>1.6</v>
      </c>
      <c r="E326">
        <v>0</v>
      </c>
      <c r="F326">
        <v>0</v>
      </c>
      <c r="G326">
        <v>0.4</v>
      </c>
      <c r="H326">
        <v>0</v>
      </c>
      <c r="I326">
        <v>17.100000000000001</v>
      </c>
      <c r="J326">
        <v>0.4</v>
      </c>
      <c r="K326">
        <f t="shared" si="107"/>
        <v>19.5</v>
      </c>
      <c r="L326">
        <v>2.7</v>
      </c>
      <c r="M326">
        <v>1.6</v>
      </c>
      <c r="N326">
        <v>0.4</v>
      </c>
      <c r="O326">
        <f t="shared" si="108"/>
        <v>4.7000000000000011</v>
      </c>
      <c r="P326">
        <v>18.2</v>
      </c>
      <c r="Q326">
        <v>9</v>
      </c>
      <c r="R326">
        <v>22.6</v>
      </c>
      <c r="S326">
        <f t="shared" si="101"/>
        <v>49.8</v>
      </c>
      <c r="T326">
        <v>0</v>
      </c>
      <c r="U326">
        <v>0</v>
      </c>
      <c r="V326" s="1">
        <v>0</v>
      </c>
      <c r="W326" s="1">
        <v>0</v>
      </c>
      <c r="X326">
        <v>0</v>
      </c>
      <c r="Y326">
        <v>0.5</v>
      </c>
      <c r="Z326">
        <v>4</v>
      </c>
      <c r="AA326">
        <f t="shared" si="102"/>
        <v>4.5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0.5</v>
      </c>
      <c r="AI326">
        <v>0</v>
      </c>
      <c r="AJ326">
        <f t="shared" si="110"/>
        <v>0.5</v>
      </c>
      <c r="AK326">
        <v>0</v>
      </c>
      <c r="AL326">
        <v>0.21</v>
      </c>
      <c r="AM326">
        <f t="shared" si="111"/>
        <v>0.79000000000000015</v>
      </c>
      <c r="AN326">
        <v>162594</v>
      </c>
      <c r="AO326" t="s">
        <v>13</v>
      </c>
      <c r="AP326" s="3">
        <f t="shared" si="109"/>
        <v>774257.14285714342</v>
      </c>
      <c r="AQ326" t="s">
        <v>13</v>
      </c>
      <c r="AR326">
        <f t="shared" si="106"/>
        <v>6.3291139240506319E-3</v>
      </c>
      <c r="AS326">
        <f t="shared" si="118"/>
        <v>0.78500000000000003</v>
      </c>
      <c r="AT326">
        <f t="shared" si="119"/>
        <v>607792</v>
      </c>
      <c r="AU326">
        <f t="shared" si="120"/>
        <v>3871</v>
      </c>
      <c r="AV326">
        <f t="shared" si="112"/>
        <v>532302</v>
      </c>
      <c r="AW326">
        <f t="shared" si="113"/>
        <v>5626</v>
      </c>
      <c r="AX326" s="3">
        <f t="shared" si="114"/>
        <v>236329.14285714342</v>
      </c>
      <c r="AY326">
        <f t="shared" si="115"/>
        <v>303896</v>
      </c>
      <c r="AZ326">
        <f t="shared" si="116"/>
        <v>10938</v>
      </c>
      <c r="BA326" s="3">
        <f t="shared" si="117"/>
        <v>459423.14285714342</v>
      </c>
    </row>
    <row r="327" spans="1:53" x14ac:dyDescent="0.2">
      <c r="A327">
        <v>1987</v>
      </c>
      <c r="B327" t="s">
        <v>66</v>
      </c>
      <c r="C327" t="s">
        <v>57</v>
      </c>
      <c r="D327">
        <v>0.9</v>
      </c>
      <c r="E327">
        <v>0</v>
      </c>
      <c r="F327">
        <v>0</v>
      </c>
      <c r="G327">
        <v>0</v>
      </c>
      <c r="H327">
        <v>0</v>
      </c>
      <c r="I327">
        <v>9</v>
      </c>
      <c r="J327">
        <v>0</v>
      </c>
      <c r="K327">
        <f t="shared" si="107"/>
        <v>9.9</v>
      </c>
      <c r="L327">
        <v>0.6</v>
      </c>
      <c r="M327">
        <v>1.5</v>
      </c>
      <c r="N327">
        <v>0</v>
      </c>
      <c r="O327">
        <f t="shared" si="108"/>
        <v>2.1</v>
      </c>
      <c r="P327">
        <v>8.5</v>
      </c>
      <c r="Q327">
        <v>4.5</v>
      </c>
      <c r="R327">
        <v>25</v>
      </c>
      <c r="S327">
        <f t="shared" si="101"/>
        <v>38</v>
      </c>
      <c r="T327">
        <v>3.3</v>
      </c>
      <c r="U327">
        <v>0.4</v>
      </c>
      <c r="V327" s="1">
        <v>0</v>
      </c>
      <c r="W327" s="1">
        <v>0</v>
      </c>
      <c r="X327">
        <v>0</v>
      </c>
      <c r="Y327">
        <v>5.5</v>
      </c>
      <c r="Z327">
        <v>2</v>
      </c>
      <c r="AA327">
        <f t="shared" si="102"/>
        <v>11.2</v>
      </c>
      <c r="AB327">
        <v>0</v>
      </c>
      <c r="AC327">
        <v>0</v>
      </c>
      <c r="AD327">
        <v>0</v>
      </c>
      <c r="AE327">
        <v>0</v>
      </c>
      <c r="AF327">
        <v>0.9</v>
      </c>
      <c r="AG327">
        <v>0</v>
      </c>
      <c r="AH327">
        <v>1.1000000000000001</v>
      </c>
      <c r="AI327">
        <v>0</v>
      </c>
      <c r="AJ327">
        <f t="shared" si="110"/>
        <v>2</v>
      </c>
      <c r="AK327">
        <v>0</v>
      </c>
      <c r="AL327">
        <v>0.37</v>
      </c>
      <c r="AM327">
        <f t="shared" si="111"/>
        <v>0.63200000000000001</v>
      </c>
      <c r="AN327">
        <v>79036</v>
      </c>
      <c r="AO327" t="s">
        <v>13</v>
      </c>
      <c r="AP327" s="3">
        <f t="shared" si="109"/>
        <v>214771.73913043478</v>
      </c>
      <c r="AQ327" t="s">
        <v>13</v>
      </c>
      <c r="AR327">
        <f t="shared" si="106"/>
        <v>3.1645569620253167E-2</v>
      </c>
      <c r="AS327">
        <f t="shared" si="118"/>
        <v>0.61199999999999999</v>
      </c>
      <c r="AT327">
        <f t="shared" si="119"/>
        <v>131440</v>
      </c>
      <c r="AU327">
        <f t="shared" si="120"/>
        <v>4295</v>
      </c>
      <c r="AV327">
        <f t="shared" si="112"/>
        <v>120809</v>
      </c>
      <c r="AW327">
        <f t="shared" si="113"/>
        <v>4843</v>
      </c>
      <c r="AX327" s="3">
        <f t="shared" si="114"/>
        <v>89119.739130434784</v>
      </c>
      <c r="AY327">
        <f t="shared" si="115"/>
        <v>65720</v>
      </c>
      <c r="AZ327">
        <f t="shared" si="116"/>
        <v>7682</v>
      </c>
      <c r="BA327" s="3">
        <f t="shared" si="117"/>
        <v>141369.73913043478</v>
      </c>
    </row>
    <row r="328" spans="1:53" x14ac:dyDescent="0.2">
      <c r="A328">
        <v>1988</v>
      </c>
      <c r="B328" t="s">
        <v>66</v>
      </c>
      <c r="C328" t="s">
        <v>57</v>
      </c>
      <c r="D328">
        <v>0.4</v>
      </c>
      <c r="E328">
        <v>0</v>
      </c>
      <c r="F328">
        <v>0.6</v>
      </c>
      <c r="G328">
        <v>0</v>
      </c>
      <c r="H328">
        <v>0</v>
      </c>
      <c r="I328">
        <v>3.5</v>
      </c>
      <c r="J328">
        <v>2.1</v>
      </c>
      <c r="K328">
        <f t="shared" si="107"/>
        <v>6.6</v>
      </c>
      <c r="L328">
        <v>1</v>
      </c>
      <c r="M328">
        <v>1.6</v>
      </c>
      <c r="N328">
        <v>0</v>
      </c>
      <c r="O328">
        <f t="shared" si="108"/>
        <v>2.6</v>
      </c>
      <c r="P328">
        <v>9.9</v>
      </c>
      <c r="Q328">
        <v>5.7</v>
      </c>
      <c r="R328">
        <v>31.8</v>
      </c>
      <c r="S328">
        <f t="shared" si="101"/>
        <v>47.400000000000006</v>
      </c>
      <c r="T328">
        <v>3.3</v>
      </c>
      <c r="U328">
        <v>0</v>
      </c>
      <c r="V328" s="1">
        <v>0.7</v>
      </c>
      <c r="W328" s="1">
        <v>0</v>
      </c>
      <c r="X328">
        <v>0</v>
      </c>
      <c r="Y328">
        <v>6.7</v>
      </c>
      <c r="Z328">
        <v>5.4</v>
      </c>
      <c r="AA328">
        <f t="shared" si="102"/>
        <v>16.100000000000001</v>
      </c>
      <c r="AB328">
        <v>0</v>
      </c>
      <c r="AC328">
        <v>0</v>
      </c>
      <c r="AD328">
        <v>0</v>
      </c>
      <c r="AE328">
        <v>0</v>
      </c>
      <c r="AF328">
        <v>0.3</v>
      </c>
      <c r="AG328">
        <v>0</v>
      </c>
      <c r="AH328">
        <v>0</v>
      </c>
      <c r="AI328">
        <v>0</v>
      </c>
      <c r="AJ328">
        <f t="shared" si="110"/>
        <v>0.3</v>
      </c>
      <c r="AK328">
        <v>0</v>
      </c>
      <c r="AL328">
        <v>0.27</v>
      </c>
      <c r="AM328">
        <f t="shared" si="111"/>
        <v>0.72999999999999987</v>
      </c>
      <c r="AN328">
        <v>35114</v>
      </c>
      <c r="AO328" t="s">
        <v>13</v>
      </c>
      <c r="AP328" s="3">
        <f t="shared" si="109"/>
        <v>130051.8518518518</v>
      </c>
      <c r="AQ328" t="s">
        <v>13</v>
      </c>
      <c r="AR328">
        <f t="shared" si="106"/>
        <v>4.1095890410958909E-3</v>
      </c>
      <c r="AS328">
        <f t="shared" si="118"/>
        <v>0.7270000000000002</v>
      </c>
      <c r="AT328">
        <f t="shared" si="119"/>
        <v>94548</v>
      </c>
      <c r="AU328">
        <f t="shared" si="120"/>
        <v>390</v>
      </c>
      <c r="AV328">
        <f t="shared" si="112"/>
        <v>90256</v>
      </c>
      <c r="AW328">
        <f t="shared" si="113"/>
        <v>437</v>
      </c>
      <c r="AX328" s="3">
        <f t="shared" si="114"/>
        <v>39358.851851851796</v>
      </c>
      <c r="AY328">
        <f t="shared" si="115"/>
        <v>47274</v>
      </c>
      <c r="AZ328">
        <f t="shared" si="116"/>
        <v>909</v>
      </c>
      <c r="BA328" s="3">
        <f t="shared" si="117"/>
        <v>81868.851851851796</v>
      </c>
    </row>
    <row r="329" spans="1:53" x14ac:dyDescent="0.2">
      <c r="A329">
        <v>1989</v>
      </c>
      <c r="B329" t="s">
        <v>66</v>
      </c>
      <c r="C329" t="s">
        <v>57</v>
      </c>
      <c r="D329">
        <v>0.2</v>
      </c>
      <c r="E329">
        <v>0</v>
      </c>
      <c r="F329">
        <v>0</v>
      </c>
      <c r="G329">
        <v>0.3</v>
      </c>
      <c r="H329">
        <v>0</v>
      </c>
      <c r="I329">
        <v>24.1</v>
      </c>
      <c r="J329">
        <v>0.9</v>
      </c>
      <c r="K329">
        <f t="shared" si="107"/>
        <v>25.5</v>
      </c>
      <c r="L329">
        <v>0.6</v>
      </c>
      <c r="M329">
        <v>0.3</v>
      </c>
      <c r="N329">
        <v>0</v>
      </c>
      <c r="O329">
        <f t="shared" si="108"/>
        <v>0.89999999999999991</v>
      </c>
      <c r="P329">
        <v>5.4</v>
      </c>
      <c r="Q329">
        <v>5.6</v>
      </c>
      <c r="R329">
        <v>23</v>
      </c>
      <c r="S329">
        <f t="shared" si="101"/>
        <v>34</v>
      </c>
      <c r="T329">
        <v>5.5</v>
      </c>
      <c r="U329">
        <v>0.2</v>
      </c>
      <c r="V329" s="1">
        <v>0.8</v>
      </c>
      <c r="W329" s="1">
        <v>0</v>
      </c>
      <c r="X329">
        <v>0</v>
      </c>
      <c r="Y329">
        <v>4</v>
      </c>
      <c r="Z329">
        <v>4.5999999999999996</v>
      </c>
      <c r="AA329">
        <f t="shared" si="102"/>
        <v>15.1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0.3</v>
      </c>
      <c r="AI329">
        <v>0</v>
      </c>
      <c r="AJ329">
        <f t="shared" si="110"/>
        <v>0.3</v>
      </c>
      <c r="AK329">
        <v>0</v>
      </c>
      <c r="AL329">
        <v>0.24</v>
      </c>
      <c r="AM329">
        <f t="shared" si="111"/>
        <v>0.75800000000000012</v>
      </c>
      <c r="AN329">
        <v>74683</v>
      </c>
      <c r="AO329" t="s">
        <v>13</v>
      </c>
      <c r="AP329" s="3">
        <f t="shared" si="109"/>
        <v>308607.43801652908</v>
      </c>
      <c r="AQ329" t="s">
        <v>13</v>
      </c>
      <c r="AR329">
        <f t="shared" si="106"/>
        <v>3.9577836411609493E-3</v>
      </c>
      <c r="AS329">
        <f t="shared" si="118"/>
        <v>0.755</v>
      </c>
      <c r="AT329">
        <f t="shared" si="119"/>
        <v>232999</v>
      </c>
      <c r="AU329">
        <f t="shared" si="120"/>
        <v>926</v>
      </c>
      <c r="AV329">
        <f t="shared" si="112"/>
        <v>193651</v>
      </c>
      <c r="AW329">
        <f t="shared" si="113"/>
        <v>1408</v>
      </c>
      <c r="AX329" s="3">
        <f t="shared" si="114"/>
        <v>113548.43801652908</v>
      </c>
      <c r="AY329">
        <f t="shared" si="115"/>
        <v>116499</v>
      </c>
      <c r="AZ329">
        <f t="shared" si="116"/>
        <v>2353</v>
      </c>
      <c r="BA329" s="3">
        <f t="shared" si="117"/>
        <v>189755.43801652908</v>
      </c>
    </row>
    <row r="330" spans="1:53" x14ac:dyDescent="0.2">
      <c r="A330">
        <v>1990</v>
      </c>
      <c r="B330" t="s">
        <v>66</v>
      </c>
      <c r="C330" t="s">
        <v>57</v>
      </c>
      <c r="D330">
        <v>0.5</v>
      </c>
      <c r="E330">
        <v>0</v>
      </c>
      <c r="F330">
        <v>0</v>
      </c>
      <c r="G330">
        <v>0.8</v>
      </c>
      <c r="H330">
        <v>0</v>
      </c>
      <c r="I330">
        <v>19.399999999999999</v>
      </c>
      <c r="J330">
        <v>1.3</v>
      </c>
      <c r="K330">
        <f t="shared" si="107"/>
        <v>22</v>
      </c>
      <c r="L330">
        <v>0.6</v>
      </c>
      <c r="M330">
        <v>0.5</v>
      </c>
      <c r="N330">
        <v>0</v>
      </c>
      <c r="O330">
        <f t="shared" si="108"/>
        <v>1.1000000000000001</v>
      </c>
      <c r="P330">
        <v>4.5999999999999996</v>
      </c>
      <c r="Q330">
        <v>1</v>
      </c>
      <c r="R330">
        <v>11.4</v>
      </c>
      <c r="S330">
        <f t="shared" si="101"/>
        <v>17</v>
      </c>
      <c r="T330">
        <v>6</v>
      </c>
      <c r="U330">
        <v>0.1</v>
      </c>
      <c r="V330" s="1">
        <v>0</v>
      </c>
      <c r="W330" s="1">
        <v>0</v>
      </c>
      <c r="X330">
        <v>0</v>
      </c>
      <c r="Y330">
        <v>2.5</v>
      </c>
      <c r="Z330">
        <v>6</v>
      </c>
      <c r="AA330">
        <f t="shared" si="102"/>
        <v>14.6</v>
      </c>
      <c r="AB330">
        <v>0</v>
      </c>
      <c r="AC330">
        <v>0</v>
      </c>
      <c r="AD330">
        <v>0</v>
      </c>
      <c r="AE330">
        <v>1.3</v>
      </c>
      <c r="AF330">
        <v>0.3</v>
      </c>
      <c r="AG330">
        <v>0</v>
      </c>
      <c r="AH330">
        <v>0.1</v>
      </c>
      <c r="AI330">
        <v>0</v>
      </c>
      <c r="AJ330">
        <f t="shared" si="110"/>
        <v>1.7000000000000002</v>
      </c>
      <c r="AK330">
        <v>0</v>
      </c>
      <c r="AL330">
        <v>0.434</v>
      </c>
      <c r="AM330">
        <f t="shared" si="111"/>
        <v>0.56399999999999995</v>
      </c>
      <c r="AN330">
        <v>177373</v>
      </c>
      <c r="AO330" t="s">
        <v>13</v>
      </c>
      <c r="AP330" s="3">
        <f t="shared" si="109"/>
        <v>406818.80733944947</v>
      </c>
      <c r="AQ330" t="s">
        <v>13</v>
      </c>
      <c r="AR330">
        <f t="shared" si="106"/>
        <v>3.0141843971631211E-2</v>
      </c>
      <c r="AS330">
        <f t="shared" si="118"/>
        <v>0.54700000000000004</v>
      </c>
      <c r="AT330">
        <f t="shared" si="119"/>
        <v>222530</v>
      </c>
      <c r="AU330">
        <f t="shared" si="120"/>
        <v>6916</v>
      </c>
      <c r="AV330">
        <f t="shared" si="112"/>
        <v>177780</v>
      </c>
      <c r="AW330">
        <f t="shared" si="113"/>
        <v>8595</v>
      </c>
      <c r="AX330" s="3">
        <f t="shared" si="114"/>
        <v>220443.80733944947</v>
      </c>
      <c r="AY330">
        <f t="shared" si="115"/>
        <v>111265</v>
      </c>
      <c r="AZ330">
        <f t="shared" si="116"/>
        <v>11092</v>
      </c>
      <c r="BA330" s="3">
        <f t="shared" si="117"/>
        <v>284461.80733944947</v>
      </c>
    </row>
    <row r="331" spans="1:53" x14ac:dyDescent="0.2">
      <c r="A331">
        <v>1991</v>
      </c>
      <c r="B331" t="s">
        <v>66</v>
      </c>
      <c r="C331" t="s">
        <v>57</v>
      </c>
      <c r="D331">
        <v>0</v>
      </c>
      <c r="E331">
        <v>0.1</v>
      </c>
      <c r="F331">
        <v>0</v>
      </c>
      <c r="G331">
        <v>0</v>
      </c>
      <c r="H331">
        <v>0</v>
      </c>
      <c r="I331">
        <v>28.1</v>
      </c>
      <c r="J331">
        <v>0</v>
      </c>
      <c r="K331">
        <f t="shared" si="107"/>
        <v>28.200000000000003</v>
      </c>
      <c r="L331">
        <v>0.3</v>
      </c>
      <c r="M331">
        <v>1.1000000000000001</v>
      </c>
      <c r="N331">
        <v>0</v>
      </c>
      <c r="O331">
        <f t="shared" si="108"/>
        <v>1.4000000000000001</v>
      </c>
      <c r="P331">
        <v>8.3000000000000007</v>
      </c>
      <c r="Q331">
        <v>2.9</v>
      </c>
      <c r="R331">
        <v>12.8</v>
      </c>
      <c r="S331">
        <f t="shared" si="101"/>
        <v>24</v>
      </c>
      <c r="T331">
        <v>10.7</v>
      </c>
      <c r="U331">
        <v>0</v>
      </c>
      <c r="V331" s="1">
        <v>0.9</v>
      </c>
      <c r="W331" s="1">
        <v>0</v>
      </c>
      <c r="X331">
        <v>0</v>
      </c>
      <c r="Y331">
        <v>1.9</v>
      </c>
      <c r="Z331">
        <v>4.5</v>
      </c>
      <c r="AA331">
        <f t="shared" si="102"/>
        <v>18</v>
      </c>
      <c r="AB331">
        <v>0</v>
      </c>
      <c r="AC331">
        <v>0</v>
      </c>
      <c r="AD331">
        <v>0</v>
      </c>
      <c r="AE331">
        <v>1.2</v>
      </c>
      <c r="AF331">
        <v>0.4</v>
      </c>
      <c r="AG331">
        <v>0</v>
      </c>
      <c r="AH331">
        <v>0</v>
      </c>
      <c r="AI331">
        <v>0</v>
      </c>
      <c r="AJ331">
        <f t="shared" si="110"/>
        <v>1.6</v>
      </c>
      <c r="AK331">
        <v>0</v>
      </c>
      <c r="AL331">
        <v>0.26800000000000002</v>
      </c>
      <c r="AM331">
        <f t="shared" si="111"/>
        <v>0.73199999999999998</v>
      </c>
      <c r="AN331">
        <v>90636</v>
      </c>
      <c r="AO331" t="s">
        <v>13</v>
      </c>
      <c r="AP331" s="3">
        <f t="shared" si="109"/>
        <v>338194.02985074627</v>
      </c>
      <c r="AQ331" t="s">
        <v>13</v>
      </c>
      <c r="AR331">
        <f t="shared" si="106"/>
        <v>2.185792349726776E-2</v>
      </c>
      <c r="AS331">
        <f t="shared" si="118"/>
        <v>0.71599999999999997</v>
      </c>
      <c r="AT331">
        <f t="shared" si="119"/>
        <v>242147</v>
      </c>
      <c r="AU331">
        <f t="shared" si="120"/>
        <v>5411</v>
      </c>
      <c r="AV331">
        <f t="shared" si="112"/>
        <v>194462</v>
      </c>
      <c r="AW331">
        <f t="shared" si="113"/>
        <v>8097</v>
      </c>
      <c r="AX331" s="3">
        <f t="shared" si="114"/>
        <v>135635.02985074627</v>
      </c>
      <c r="AY331">
        <f t="shared" si="115"/>
        <v>121073</v>
      </c>
      <c r="AZ331">
        <f t="shared" si="116"/>
        <v>12232</v>
      </c>
      <c r="BA331" s="3">
        <f t="shared" si="117"/>
        <v>204889.02985074627</v>
      </c>
    </row>
    <row r="332" spans="1:53" x14ac:dyDescent="0.2">
      <c r="A332">
        <v>1992</v>
      </c>
      <c r="B332" t="s">
        <v>66</v>
      </c>
      <c r="C332" t="s">
        <v>57</v>
      </c>
      <c r="D332">
        <v>0</v>
      </c>
      <c r="E332">
        <v>0</v>
      </c>
      <c r="F332">
        <v>0</v>
      </c>
      <c r="G332">
        <v>0.4</v>
      </c>
      <c r="H332">
        <v>0</v>
      </c>
      <c r="I332">
        <v>17.8</v>
      </c>
      <c r="J332">
        <v>0</v>
      </c>
      <c r="K332">
        <f t="shared" si="107"/>
        <v>18.2</v>
      </c>
      <c r="L332">
        <v>0.2</v>
      </c>
      <c r="M332">
        <v>0.1</v>
      </c>
      <c r="N332">
        <v>0</v>
      </c>
      <c r="O332">
        <f t="shared" si="108"/>
        <v>0.30000000000000004</v>
      </c>
      <c r="P332">
        <v>12.6</v>
      </c>
      <c r="Q332">
        <v>1.2</v>
      </c>
      <c r="R332">
        <v>11.8</v>
      </c>
      <c r="S332">
        <f t="shared" si="101"/>
        <v>25.6</v>
      </c>
      <c r="T332">
        <v>12.5</v>
      </c>
      <c r="U332">
        <v>0</v>
      </c>
      <c r="V332" s="1">
        <v>0.3</v>
      </c>
      <c r="W332" s="1">
        <v>0</v>
      </c>
      <c r="X332">
        <v>0</v>
      </c>
      <c r="Y332">
        <v>1</v>
      </c>
      <c r="Z332">
        <v>6.9</v>
      </c>
      <c r="AA332">
        <f t="shared" si="102"/>
        <v>20.700000000000003</v>
      </c>
      <c r="AB332">
        <v>0</v>
      </c>
      <c r="AC332">
        <v>0</v>
      </c>
      <c r="AD332">
        <v>0</v>
      </c>
      <c r="AE332">
        <v>0.6</v>
      </c>
      <c r="AF332">
        <v>0.2</v>
      </c>
      <c r="AG332">
        <v>0</v>
      </c>
      <c r="AH332">
        <v>0</v>
      </c>
      <c r="AI332">
        <v>0</v>
      </c>
      <c r="AJ332">
        <f t="shared" si="110"/>
        <v>0.8</v>
      </c>
      <c r="AK332">
        <v>0</v>
      </c>
      <c r="AL332">
        <v>0.34499999999999997</v>
      </c>
      <c r="AM332">
        <f t="shared" si="111"/>
        <v>0.65600000000000014</v>
      </c>
      <c r="AN332">
        <v>130409</v>
      </c>
      <c r="AO332" t="s">
        <v>13</v>
      </c>
      <c r="AP332" s="3">
        <f t="shared" si="109"/>
        <v>379095.93023255828</v>
      </c>
      <c r="AQ332" t="s">
        <v>13</v>
      </c>
      <c r="AR332">
        <f t="shared" si="106"/>
        <v>1.2195121951219509E-2</v>
      </c>
      <c r="AS332">
        <f t="shared" si="118"/>
        <v>0.64800000000000013</v>
      </c>
      <c r="AT332">
        <f t="shared" si="119"/>
        <v>245654</v>
      </c>
      <c r="AU332">
        <f t="shared" si="120"/>
        <v>3033</v>
      </c>
      <c r="AV332">
        <f t="shared" si="112"/>
        <v>211156</v>
      </c>
      <c r="AW332">
        <f t="shared" si="113"/>
        <v>3817</v>
      </c>
      <c r="AX332" s="3">
        <f t="shared" si="114"/>
        <v>164122.93023255828</v>
      </c>
      <c r="AY332">
        <f t="shared" si="115"/>
        <v>122827</v>
      </c>
      <c r="AZ332">
        <f t="shared" si="116"/>
        <v>5825</v>
      </c>
      <c r="BA332" s="3">
        <f t="shared" si="117"/>
        <v>250443.93023255828</v>
      </c>
    </row>
    <row r="333" spans="1:53" x14ac:dyDescent="0.2">
      <c r="A333">
        <v>1993</v>
      </c>
      <c r="B333" t="s">
        <v>66</v>
      </c>
      <c r="C333" t="s">
        <v>57</v>
      </c>
      <c r="D333">
        <v>1</v>
      </c>
      <c r="E333">
        <v>0</v>
      </c>
      <c r="F333">
        <v>0</v>
      </c>
      <c r="G333">
        <v>0.3</v>
      </c>
      <c r="H333">
        <v>0</v>
      </c>
      <c r="I333">
        <v>19</v>
      </c>
      <c r="J333">
        <v>0</v>
      </c>
      <c r="K333">
        <f t="shared" si="107"/>
        <v>20.3</v>
      </c>
      <c r="L333">
        <v>0.5</v>
      </c>
      <c r="M333">
        <v>0.2</v>
      </c>
      <c r="N333">
        <v>0</v>
      </c>
      <c r="O333">
        <f t="shared" si="108"/>
        <v>0.7</v>
      </c>
      <c r="P333">
        <v>6.5</v>
      </c>
      <c r="Q333">
        <v>0.8</v>
      </c>
      <c r="R333">
        <v>7.3</v>
      </c>
      <c r="S333">
        <f t="shared" si="101"/>
        <v>14.6</v>
      </c>
      <c r="T333">
        <v>9</v>
      </c>
      <c r="U333">
        <v>0</v>
      </c>
      <c r="V333" s="1">
        <v>0.9</v>
      </c>
      <c r="W333" s="1">
        <v>0</v>
      </c>
      <c r="X333">
        <v>0</v>
      </c>
      <c r="Y333">
        <v>0</v>
      </c>
      <c r="Z333">
        <v>2.2000000000000002</v>
      </c>
      <c r="AA333">
        <f t="shared" si="102"/>
        <v>12.100000000000001</v>
      </c>
      <c r="AB333">
        <v>0</v>
      </c>
      <c r="AC333">
        <v>0</v>
      </c>
      <c r="AD333">
        <v>0</v>
      </c>
      <c r="AE333">
        <v>2</v>
      </c>
      <c r="AF333">
        <v>0</v>
      </c>
      <c r="AG333">
        <v>0</v>
      </c>
      <c r="AH333">
        <v>0.6</v>
      </c>
      <c r="AI333">
        <v>0</v>
      </c>
      <c r="AJ333">
        <f t="shared" si="110"/>
        <v>2.6</v>
      </c>
      <c r="AK333">
        <v>0</v>
      </c>
      <c r="AL333">
        <v>0.496</v>
      </c>
      <c r="AM333">
        <f t="shared" si="111"/>
        <v>0.503</v>
      </c>
      <c r="AN333">
        <v>118997</v>
      </c>
      <c r="AO333" t="s">
        <v>13</v>
      </c>
      <c r="AP333" s="3">
        <f t="shared" si="109"/>
        <v>239430.58350100604</v>
      </c>
      <c r="AQ333" t="s">
        <v>13</v>
      </c>
      <c r="AR333">
        <f t="shared" si="106"/>
        <v>5.1689860834990067E-2</v>
      </c>
      <c r="AS333">
        <f t="shared" si="118"/>
        <v>0.47700000000000004</v>
      </c>
      <c r="AT333">
        <f t="shared" si="119"/>
        <v>114208</v>
      </c>
      <c r="AU333">
        <f t="shared" si="120"/>
        <v>6225</v>
      </c>
      <c r="AV333">
        <f t="shared" si="112"/>
        <v>89906</v>
      </c>
      <c r="AW333">
        <f t="shared" si="113"/>
        <v>7433</v>
      </c>
      <c r="AX333" s="3">
        <f t="shared" si="114"/>
        <v>142091.58350100604</v>
      </c>
      <c r="AY333">
        <f t="shared" si="115"/>
        <v>57104</v>
      </c>
      <c r="AZ333">
        <f t="shared" si="116"/>
        <v>9064</v>
      </c>
      <c r="BA333" s="3">
        <f t="shared" si="117"/>
        <v>173262.58350100604</v>
      </c>
    </row>
    <row r="334" spans="1:53" x14ac:dyDescent="0.2">
      <c r="A334">
        <v>1994</v>
      </c>
      <c r="B334" t="s">
        <v>66</v>
      </c>
      <c r="C334" t="s">
        <v>57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20.8</v>
      </c>
      <c r="J334">
        <v>2.1</v>
      </c>
      <c r="K334">
        <f t="shared" si="107"/>
        <v>22.900000000000002</v>
      </c>
      <c r="L334">
        <v>0</v>
      </c>
      <c r="M334">
        <v>0.4</v>
      </c>
      <c r="N334">
        <v>0</v>
      </c>
      <c r="O334">
        <f t="shared" si="108"/>
        <v>0.4</v>
      </c>
      <c r="P334">
        <v>9.9</v>
      </c>
      <c r="Q334">
        <v>3.3</v>
      </c>
      <c r="R334">
        <v>7.3</v>
      </c>
      <c r="S334">
        <f t="shared" si="101"/>
        <v>20.5</v>
      </c>
      <c r="T334">
        <v>2.5</v>
      </c>
      <c r="U334">
        <v>0</v>
      </c>
      <c r="V334" s="1">
        <v>1.1000000000000001</v>
      </c>
      <c r="W334" s="1">
        <v>0</v>
      </c>
      <c r="X334">
        <v>0</v>
      </c>
      <c r="Y334">
        <v>2.9</v>
      </c>
      <c r="Z334">
        <v>2.2999999999999998</v>
      </c>
      <c r="AA334">
        <f t="shared" si="102"/>
        <v>8.8000000000000007</v>
      </c>
      <c r="AB334">
        <v>0</v>
      </c>
      <c r="AC334">
        <v>0</v>
      </c>
      <c r="AD334">
        <v>0</v>
      </c>
      <c r="AE334">
        <v>1.9</v>
      </c>
      <c r="AF334">
        <v>1</v>
      </c>
      <c r="AG334">
        <v>0</v>
      </c>
      <c r="AH334">
        <v>0</v>
      </c>
      <c r="AI334">
        <v>0</v>
      </c>
      <c r="AJ334">
        <f t="shared" si="110"/>
        <v>2.9</v>
      </c>
      <c r="AK334">
        <v>0</v>
      </c>
      <c r="AL334">
        <v>0.44400000000000001</v>
      </c>
      <c r="AM334">
        <f t="shared" si="111"/>
        <v>0.55500000000000005</v>
      </c>
      <c r="AN334">
        <v>98342</v>
      </c>
      <c r="AO334" t="s">
        <v>13</v>
      </c>
      <c r="AP334" s="3">
        <f t="shared" si="109"/>
        <v>220993.25842696632</v>
      </c>
      <c r="AQ334" t="s">
        <v>13</v>
      </c>
      <c r="AR334">
        <f t="shared" si="106"/>
        <v>5.2252252252252246E-2</v>
      </c>
      <c r="AS334">
        <f t="shared" si="118"/>
        <v>0.52599999999999991</v>
      </c>
      <c r="AT334">
        <f t="shared" si="119"/>
        <v>116242</v>
      </c>
      <c r="AU334">
        <f t="shared" si="120"/>
        <v>6409</v>
      </c>
      <c r="AV334">
        <f t="shared" si="112"/>
        <v>90939</v>
      </c>
      <c r="AW334">
        <f t="shared" si="113"/>
        <v>7957</v>
      </c>
      <c r="AX334" s="3">
        <f t="shared" si="114"/>
        <v>122097.25842696632</v>
      </c>
      <c r="AY334">
        <f t="shared" si="115"/>
        <v>58121</v>
      </c>
      <c r="AZ334">
        <f t="shared" si="116"/>
        <v>9965</v>
      </c>
      <c r="BA334" s="3">
        <f t="shared" si="117"/>
        <v>152907.25842696632</v>
      </c>
    </row>
    <row r="335" spans="1:53" x14ac:dyDescent="0.2">
      <c r="A335">
        <v>1995</v>
      </c>
      <c r="B335" t="s">
        <v>66</v>
      </c>
      <c r="C335" t="s">
        <v>57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17.899999999999999</v>
      </c>
      <c r="J335">
        <v>0</v>
      </c>
      <c r="K335">
        <f t="shared" si="107"/>
        <v>17.899999999999999</v>
      </c>
      <c r="L335">
        <v>0</v>
      </c>
      <c r="M335">
        <v>1.7</v>
      </c>
      <c r="N335">
        <v>0</v>
      </c>
      <c r="O335">
        <f t="shared" si="108"/>
        <v>1.7</v>
      </c>
      <c r="P335">
        <v>0</v>
      </c>
      <c r="Q335">
        <v>0.8</v>
      </c>
      <c r="R335">
        <v>18.5</v>
      </c>
      <c r="S335">
        <f t="shared" si="101"/>
        <v>19.3</v>
      </c>
      <c r="T335">
        <v>6.4</v>
      </c>
      <c r="U335">
        <v>0.4</v>
      </c>
      <c r="V335" s="1">
        <v>1.2</v>
      </c>
      <c r="W335" s="1">
        <v>0</v>
      </c>
      <c r="X335">
        <v>0</v>
      </c>
      <c r="Y335">
        <v>3</v>
      </c>
      <c r="Z335">
        <v>3.6</v>
      </c>
      <c r="AA335">
        <f t="shared" si="102"/>
        <v>14.6</v>
      </c>
      <c r="AB335">
        <v>0</v>
      </c>
      <c r="AC335">
        <v>0</v>
      </c>
      <c r="AD335">
        <v>0</v>
      </c>
      <c r="AE335">
        <v>2.1</v>
      </c>
      <c r="AF335">
        <v>0.7</v>
      </c>
      <c r="AG335">
        <v>0</v>
      </c>
      <c r="AH335">
        <v>0</v>
      </c>
      <c r="AI335">
        <v>0</v>
      </c>
      <c r="AJ335">
        <f t="shared" si="110"/>
        <v>2.8</v>
      </c>
      <c r="AK335">
        <v>4.5999999999999996</v>
      </c>
      <c r="AL335">
        <v>0.39100000000000001</v>
      </c>
      <c r="AM335">
        <f t="shared" si="111"/>
        <v>0.56300000000000006</v>
      </c>
      <c r="AN335">
        <v>28616</v>
      </c>
      <c r="AO335" t="s">
        <v>13</v>
      </c>
      <c r="AP335" s="3">
        <f t="shared" si="109"/>
        <v>65482.837528604126</v>
      </c>
      <c r="AQ335" t="s">
        <v>13</v>
      </c>
      <c r="AR335">
        <f t="shared" si="106"/>
        <v>4.9733570159857896E-2</v>
      </c>
      <c r="AS335">
        <f t="shared" si="118"/>
        <v>0.53500000000000003</v>
      </c>
      <c r="AT335">
        <f t="shared" si="119"/>
        <v>35033</v>
      </c>
      <c r="AU335">
        <f t="shared" si="120"/>
        <v>1834</v>
      </c>
      <c r="AV335">
        <f t="shared" si="112"/>
        <v>29173</v>
      </c>
      <c r="AW335">
        <f t="shared" si="113"/>
        <v>2187</v>
      </c>
      <c r="AX335" s="3">
        <f t="shared" si="114"/>
        <v>34122.837528604126</v>
      </c>
      <c r="AY335">
        <f t="shared" si="115"/>
        <v>17517</v>
      </c>
      <c r="AZ335">
        <f t="shared" si="116"/>
        <v>2889</v>
      </c>
      <c r="BA335" s="3">
        <f t="shared" si="117"/>
        <v>45076.837528604126</v>
      </c>
    </row>
    <row r="336" spans="1:53" x14ac:dyDescent="0.2">
      <c r="A336">
        <v>1996</v>
      </c>
      <c r="B336" t="s">
        <v>66</v>
      </c>
      <c r="C336" t="s">
        <v>57</v>
      </c>
      <c r="D336">
        <v>0</v>
      </c>
      <c r="E336">
        <v>0.2</v>
      </c>
      <c r="F336">
        <v>0</v>
      </c>
      <c r="G336">
        <v>0</v>
      </c>
      <c r="H336">
        <v>0</v>
      </c>
      <c r="I336">
        <v>1.5</v>
      </c>
      <c r="J336">
        <v>0.2</v>
      </c>
      <c r="K336">
        <f t="shared" si="107"/>
        <v>1.9</v>
      </c>
      <c r="L336">
        <v>0</v>
      </c>
      <c r="M336">
        <v>0.4</v>
      </c>
      <c r="N336">
        <v>0</v>
      </c>
      <c r="O336">
        <f t="shared" si="108"/>
        <v>0.4</v>
      </c>
      <c r="P336">
        <v>0</v>
      </c>
      <c r="Q336">
        <v>0.1</v>
      </c>
      <c r="R336">
        <v>23.3</v>
      </c>
      <c r="S336">
        <f t="shared" si="101"/>
        <v>23.400000000000002</v>
      </c>
      <c r="T336">
        <v>3.4</v>
      </c>
      <c r="U336">
        <v>0</v>
      </c>
      <c r="V336" s="1">
        <v>0.7</v>
      </c>
      <c r="W336" s="1">
        <v>0</v>
      </c>
      <c r="X336">
        <v>0</v>
      </c>
      <c r="Y336">
        <v>0</v>
      </c>
      <c r="Z336">
        <v>7.8</v>
      </c>
      <c r="AA336">
        <f t="shared" si="102"/>
        <v>11.899999999999999</v>
      </c>
      <c r="AB336">
        <v>0</v>
      </c>
      <c r="AC336">
        <v>0</v>
      </c>
      <c r="AD336">
        <v>0</v>
      </c>
      <c r="AE336">
        <v>0.3</v>
      </c>
      <c r="AF336">
        <v>0.3</v>
      </c>
      <c r="AG336">
        <v>0</v>
      </c>
      <c r="AH336">
        <v>0</v>
      </c>
      <c r="AI336">
        <v>0</v>
      </c>
      <c r="AJ336">
        <f t="shared" si="110"/>
        <v>0.6</v>
      </c>
      <c r="AK336">
        <v>0.1</v>
      </c>
      <c r="AL336">
        <v>0.61599999999999999</v>
      </c>
      <c r="AM336">
        <f t="shared" si="111"/>
        <v>0.38200000000000001</v>
      </c>
      <c r="AN336">
        <v>37392</v>
      </c>
      <c r="AO336" t="s">
        <v>13</v>
      </c>
      <c r="AP336" s="3">
        <f t="shared" si="109"/>
        <v>60504.854368932036</v>
      </c>
      <c r="AQ336" t="s">
        <v>13</v>
      </c>
      <c r="AR336">
        <f t="shared" si="106"/>
        <v>1.5706806282722512E-2</v>
      </c>
      <c r="AS336">
        <f t="shared" si="118"/>
        <v>0.376</v>
      </c>
      <c r="AT336">
        <f t="shared" si="119"/>
        <v>22750</v>
      </c>
      <c r="AU336">
        <f t="shared" si="120"/>
        <v>363</v>
      </c>
      <c r="AV336">
        <f t="shared" si="112"/>
        <v>22175</v>
      </c>
      <c r="AW336">
        <f t="shared" si="113"/>
        <v>369</v>
      </c>
      <c r="AX336" s="3">
        <f t="shared" si="114"/>
        <v>37960.854368932036</v>
      </c>
      <c r="AY336">
        <f t="shared" si="115"/>
        <v>11375</v>
      </c>
      <c r="AZ336">
        <f t="shared" si="116"/>
        <v>472</v>
      </c>
      <c r="BA336" s="3">
        <f t="shared" si="117"/>
        <v>48657.854368932036</v>
      </c>
    </row>
    <row r="337" spans="1:53" x14ac:dyDescent="0.2">
      <c r="A337">
        <v>1997</v>
      </c>
      <c r="B337" t="s">
        <v>66</v>
      </c>
      <c r="C337" t="s">
        <v>57</v>
      </c>
      <c r="D337">
        <v>1.8</v>
      </c>
      <c r="E337">
        <v>0</v>
      </c>
      <c r="F337">
        <v>0</v>
      </c>
      <c r="G337">
        <v>0</v>
      </c>
      <c r="H337">
        <v>0</v>
      </c>
      <c r="I337">
        <v>13</v>
      </c>
      <c r="J337">
        <v>3.3</v>
      </c>
      <c r="K337">
        <f t="shared" si="107"/>
        <v>18.100000000000001</v>
      </c>
      <c r="L337">
        <v>0</v>
      </c>
      <c r="M337">
        <v>0.7</v>
      </c>
      <c r="N337">
        <v>0</v>
      </c>
      <c r="O337">
        <f t="shared" si="108"/>
        <v>0.7</v>
      </c>
      <c r="P337">
        <v>0.1</v>
      </c>
      <c r="Q337">
        <v>0.6</v>
      </c>
      <c r="R337">
        <v>19.2</v>
      </c>
      <c r="S337">
        <f t="shared" si="101"/>
        <v>19.899999999999999</v>
      </c>
      <c r="T337">
        <v>7.9</v>
      </c>
      <c r="U337">
        <v>0</v>
      </c>
      <c r="V337" s="1">
        <v>3.1</v>
      </c>
      <c r="W337" s="1">
        <v>0</v>
      </c>
      <c r="X337">
        <v>0</v>
      </c>
      <c r="Y337">
        <v>2.6</v>
      </c>
      <c r="Z337">
        <v>6.1</v>
      </c>
      <c r="AA337">
        <f t="shared" si="102"/>
        <v>19.7</v>
      </c>
      <c r="AB337">
        <v>0</v>
      </c>
      <c r="AC337">
        <v>0</v>
      </c>
      <c r="AD337">
        <v>0</v>
      </c>
      <c r="AE337">
        <v>2.2000000000000002</v>
      </c>
      <c r="AF337">
        <v>0</v>
      </c>
      <c r="AG337">
        <v>0</v>
      </c>
      <c r="AH337">
        <v>0.3</v>
      </c>
      <c r="AI337">
        <v>0</v>
      </c>
      <c r="AJ337">
        <f t="shared" si="110"/>
        <v>2.5</v>
      </c>
      <c r="AK337">
        <v>0</v>
      </c>
      <c r="AL337">
        <v>0.39</v>
      </c>
      <c r="AM337">
        <f t="shared" si="111"/>
        <v>0.6090000000000001</v>
      </c>
      <c r="AN337">
        <v>70514</v>
      </c>
      <c r="AO337" t="s">
        <v>13</v>
      </c>
      <c r="AP337" s="3">
        <f t="shared" si="109"/>
        <v>180342.71099744251</v>
      </c>
      <c r="AQ337" t="s">
        <v>13</v>
      </c>
      <c r="AR337">
        <f t="shared" si="106"/>
        <v>4.1050903119868636E-2</v>
      </c>
      <c r="AS337">
        <f t="shared" si="118"/>
        <v>0.58400000000000007</v>
      </c>
      <c r="AT337">
        <f t="shared" si="119"/>
        <v>105320</v>
      </c>
      <c r="AU337">
        <f t="shared" si="120"/>
        <v>4509</v>
      </c>
      <c r="AV337">
        <f t="shared" si="112"/>
        <v>88999</v>
      </c>
      <c r="AW337">
        <f t="shared" si="113"/>
        <v>5490</v>
      </c>
      <c r="AX337" s="3">
        <f t="shared" si="114"/>
        <v>85853.710997442511</v>
      </c>
      <c r="AY337">
        <f t="shared" si="115"/>
        <v>52660</v>
      </c>
      <c r="AZ337">
        <f t="shared" si="116"/>
        <v>7674</v>
      </c>
      <c r="BA337" s="3">
        <f t="shared" si="117"/>
        <v>120008.71099744251</v>
      </c>
    </row>
    <row r="338" spans="1:53" x14ac:dyDescent="0.2">
      <c r="A338">
        <v>1998</v>
      </c>
      <c r="B338" t="s">
        <v>66</v>
      </c>
      <c r="C338" t="s">
        <v>57</v>
      </c>
      <c r="D338">
        <v>0.8</v>
      </c>
      <c r="E338">
        <v>0</v>
      </c>
      <c r="F338">
        <v>0</v>
      </c>
      <c r="G338">
        <v>0</v>
      </c>
      <c r="H338">
        <v>0</v>
      </c>
      <c r="I338">
        <v>0.6</v>
      </c>
      <c r="J338">
        <v>0</v>
      </c>
      <c r="K338">
        <f t="shared" si="107"/>
        <v>1.4</v>
      </c>
      <c r="L338">
        <v>0</v>
      </c>
      <c r="M338">
        <v>0</v>
      </c>
      <c r="N338">
        <v>0</v>
      </c>
      <c r="O338">
        <f t="shared" si="108"/>
        <v>0</v>
      </c>
      <c r="P338">
        <v>0</v>
      </c>
      <c r="Q338">
        <v>0</v>
      </c>
      <c r="R338">
        <v>3.6</v>
      </c>
      <c r="S338">
        <f t="shared" si="101"/>
        <v>3.6</v>
      </c>
      <c r="T338">
        <v>4.3</v>
      </c>
      <c r="U338">
        <v>0</v>
      </c>
      <c r="V338" s="1">
        <v>1.1000000000000001</v>
      </c>
      <c r="W338" s="1">
        <v>0</v>
      </c>
      <c r="X338">
        <v>0</v>
      </c>
      <c r="Y338">
        <v>0.2</v>
      </c>
      <c r="Z338">
        <v>0.3</v>
      </c>
      <c r="AA338">
        <f t="shared" si="102"/>
        <v>5.9</v>
      </c>
      <c r="AB338">
        <v>0</v>
      </c>
      <c r="AC338">
        <v>0</v>
      </c>
      <c r="AD338">
        <v>0</v>
      </c>
      <c r="AE338">
        <v>0.3</v>
      </c>
      <c r="AF338">
        <v>0</v>
      </c>
      <c r="AG338">
        <v>0</v>
      </c>
      <c r="AH338">
        <v>0</v>
      </c>
      <c r="AI338">
        <v>0</v>
      </c>
      <c r="AJ338">
        <f t="shared" si="110"/>
        <v>0.3</v>
      </c>
      <c r="AK338">
        <v>0.8</v>
      </c>
      <c r="AL338">
        <v>0.879</v>
      </c>
      <c r="AM338">
        <f t="shared" si="111"/>
        <v>0.11199999999999999</v>
      </c>
      <c r="AN338">
        <v>200258</v>
      </c>
      <c r="AO338" t="s">
        <v>13</v>
      </c>
      <c r="AP338" s="3">
        <f t="shared" si="109"/>
        <v>225515.76576576577</v>
      </c>
      <c r="AQ338" t="s">
        <v>13</v>
      </c>
      <c r="AR338">
        <f t="shared" si="106"/>
        <v>2.6785714285714288E-2</v>
      </c>
      <c r="AS338">
        <f t="shared" si="118"/>
        <v>0.109</v>
      </c>
      <c r="AT338">
        <f t="shared" si="119"/>
        <v>24581</v>
      </c>
      <c r="AU338">
        <f t="shared" si="120"/>
        <v>677</v>
      </c>
      <c r="AV338">
        <f t="shared" si="112"/>
        <v>23003</v>
      </c>
      <c r="AW338">
        <f t="shared" si="113"/>
        <v>682</v>
      </c>
      <c r="AX338" s="3">
        <f t="shared" si="114"/>
        <v>201830.76576576577</v>
      </c>
      <c r="AY338">
        <f t="shared" si="115"/>
        <v>12291</v>
      </c>
      <c r="AZ338">
        <f t="shared" si="116"/>
        <v>718</v>
      </c>
      <c r="BA338" s="3">
        <f t="shared" si="117"/>
        <v>212506.76576576577</v>
      </c>
    </row>
    <row r="339" spans="1:53" x14ac:dyDescent="0.2">
      <c r="A339">
        <v>1999</v>
      </c>
      <c r="B339" t="s">
        <v>66</v>
      </c>
      <c r="C339" t="s">
        <v>57</v>
      </c>
      <c r="D339">
        <v>0.3</v>
      </c>
      <c r="E339">
        <v>0.4</v>
      </c>
      <c r="F339">
        <v>0</v>
      </c>
      <c r="G339">
        <v>0.5</v>
      </c>
      <c r="H339">
        <v>0</v>
      </c>
      <c r="I339">
        <v>0.6</v>
      </c>
      <c r="J339">
        <v>1.3</v>
      </c>
      <c r="K339">
        <f t="shared" si="107"/>
        <v>3.0999999999999996</v>
      </c>
      <c r="L339">
        <v>0.3</v>
      </c>
      <c r="M339">
        <v>0</v>
      </c>
      <c r="N339">
        <v>0</v>
      </c>
      <c r="O339">
        <f t="shared" si="108"/>
        <v>0.3</v>
      </c>
      <c r="P339">
        <v>0</v>
      </c>
      <c r="Q339">
        <v>0</v>
      </c>
      <c r="R339">
        <v>10.199999999999999</v>
      </c>
      <c r="S339">
        <f t="shared" si="101"/>
        <v>10.199999999999999</v>
      </c>
      <c r="T339">
        <v>13.5</v>
      </c>
      <c r="U339">
        <v>0.4</v>
      </c>
      <c r="V339" s="1">
        <v>0.8</v>
      </c>
      <c r="W339" s="1">
        <v>0</v>
      </c>
      <c r="X339">
        <v>0</v>
      </c>
      <c r="Y339">
        <v>0.1</v>
      </c>
      <c r="Z339">
        <v>0.6</v>
      </c>
      <c r="AA339">
        <f t="shared" si="102"/>
        <v>15.4</v>
      </c>
      <c r="AB339">
        <v>0</v>
      </c>
      <c r="AC339">
        <v>0</v>
      </c>
      <c r="AD339">
        <v>0</v>
      </c>
      <c r="AE339">
        <v>0.6</v>
      </c>
      <c r="AF339">
        <v>0.3</v>
      </c>
      <c r="AG339">
        <v>0</v>
      </c>
      <c r="AH339">
        <v>0.7</v>
      </c>
      <c r="AI339">
        <v>0</v>
      </c>
      <c r="AJ339">
        <f t="shared" si="110"/>
        <v>1.5999999999999999</v>
      </c>
      <c r="AK339">
        <v>0.9</v>
      </c>
      <c r="AL339">
        <v>0.68500000000000005</v>
      </c>
      <c r="AM339">
        <f t="shared" si="111"/>
        <v>0.30600000000000005</v>
      </c>
      <c r="AN339">
        <v>104415</v>
      </c>
      <c r="AO339" t="s">
        <v>13</v>
      </c>
      <c r="AP339" s="3">
        <f t="shared" si="109"/>
        <v>150453.89048991355</v>
      </c>
      <c r="AQ339" t="s">
        <v>13</v>
      </c>
      <c r="AR339">
        <f t="shared" si="106"/>
        <v>5.22875816993464E-2</v>
      </c>
      <c r="AS339">
        <f t="shared" si="118"/>
        <v>0.28999999999999998</v>
      </c>
      <c r="AT339">
        <f t="shared" si="119"/>
        <v>43632</v>
      </c>
      <c r="AU339">
        <f t="shared" si="120"/>
        <v>2407</v>
      </c>
      <c r="AV339">
        <f t="shared" si="112"/>
        <v>41300</v>
      </c>
      <c r="AW339">
        <f t="shared" si="113"/>
        <v>2460</v>
      </c>
      <c r="AX339" s="3">
        <f t="shared" si="114"/>
        <v>106693.89048991355</v>
      </c>
      <c r="AY339">
        <f t="shared" si="115"/>
        <v>21816</v>
      </c>
      <c r="AZ339">
        <f t="shared" si="116"/>
        <v>2899</v>
      </c>
      <c r="BA339" s="3">
        <f t="shared" si="117"/>
        <v>125738.89048991355</v>
      </c>
    </row>
    <row r="340" spans="1:53" x14ac:dyDescent="0.2">
      <c r="A340">
        <v>2000</v>
      </c>
      <c r="B340" t="s">
        <v>66</v>
      </c>
      <c r="C340" t="s">
        <v>57</v>
      </c>
      <c r="D340">
        <v>2</v>
      </c>
      <c r="E340">
        <v>0</v>
      </c>
      <c r="F340">
        <v>0</v>
      </c>
      <c r="G340">
        <v>0.6</v>
      </c>
      <c r="H340">
        <v>0</v>
      </c>
      <c r="I340">
        <v>13.7</v>
      </c>
      <c r="J340">
        <v>4.3</v>
      </c>
      <c r="K340">
        <f t="shared" si="107"/>
        <v>20.6</v>
      </c>
      <c r="L340">
        <v>0</v>
      </c>
      <c r="M340">
        <v>0</v>
      </c>
      <c r="N340">
        <v>0</v>
      </c>
      <c r="O340">
        <f t="shared" si="108"/>
        <v>0</v>
      </c>
      <c r="P340">
        <v>0</v>
      </c>
      <c r="Q340">
        <v>0</v>
      </c>
      <c r="R340">
        <v>11.6</v>
      </c>
      <c r="S340">
        <f t="shared" si="101"/>
        <v>11.6</v>
      </c>
      <c r="T340">
        <v>13.1</v>
      </c>
      <c r="U340">
        <v>0</v>
      </c>
      <c r="V340" s="1">
        <v>2</v>
      </c>
      <c r="W340" s="1">
        <v>0</v>
      </c>
      <c r="X340">
        <v>0</v>
      </c>
      <c r="Y340">
        <v>0</v>
      </c>
      <c r="Z340">
        <v>0.7</v>
      </c>
      <c r="AA340">
        <f t="shared" si="102"/>
        <v>15.799999999999999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0.7</v>
      </c>
      <c r="AI340">
        <v>0</v>
      </c>
      <c r="AJ340">
        <f t="shared" si="110"/>
        <v>0.7</v>
      </c>
      <c r="AK340">
        <v>0</v>
      </c>
      <c r="AL340">
        <v>0.51400000000000001</v>
      </c>
      <c r="AM340">
        <f t="shared" si="111"/>
        <v>0.48700000000000004</v>
      </c>
      <c r="AN340">
        <v>77754</v>
      </c>
      <c r="AO340" t="s">
        <v>13</v>
      </c>
      <c r="AP340" s="3">
        <f t="shared" si="109"/>
        <v>151567.25146198834</v>
      </c>
      <c r="AQ340" t="s">
        <v>13</v>
      </c>
      <c r="AR340">
        <f t="shared" si="106"/>
        <v>1.437371663244353E-2</v>
      </c>
      <c r="AS340">
        <f t="shared" si="118"/>
        <v>0.48</v>
      </c>
      <c r="AT340">
        <f t="shared" si="119"/>
        <v>72752</v>
      </c>
      <c r="AU340">
        <f t="shared" si="120"/>
        <v>1061</v>
      </c>
      <c r="AV340">
        <f t="shared" si="112"/>
        <v>57141</v>
      </c>
      <c r="AW340">
        <f t="shared" si="113"/>
        <v>1271</v>
      </c>
      <c r="AX340" s="3">
        <f t="shared" si="114"/>
        <v>93155.251461988344</v>
      </c>
      <c r="AY340">
        <f t="shared" si="115"/>
        <v>36376</v>
      </c>
      <c r="AZ340">
        <f t="shared" si="116"/>
        <v>1551</v>
      </c>
      <c r="BA340" s="3">
        <f t="shared" si="117"/>
        <v>113640.25146198834</v>
      </c>
    </row>
    <row r="341" spans="1:53" x14ac:dyDescent="0.2">
      <c r="A341">
        <v>2001</v>
      </c>
      <c r="B341" t="s">
        <v>66</v>
      </c>
      <c r="C341" t="s">
        <v>57</v>
      </c>
      <c r="D341">
        <v>0.4</v>
      </c>
      <c r="E341">
        <v>0</v>
      </c>
      <c r="F341">
        <v>0</v>
      </c>
      <c r="G341">
        <v>0</v>
      </c>
      <c r="H341">
        <v>0</v>
      </c>
      <c r="I341">
        <v>6.2</v>
      </c>
      <c r="J341">
        <v>2.2000000000000002</v>
      </c>
      <c r="K341">
        <f t="shared" si="107"/>
        <v>8.8000000000000007</v>
      </c>
      <c r="L341">
        <v>0</v>
      </c>
      <c r="M341">
        <v>0</v>
      </c>
      <c r="N341">
        <v>0</v>
      </c>
      <c r="O341">
        <f t="shared" si="108"/>
        <v>0</v>
      </c>
      <c r="P341">
        <v>0</v>
      </c>
      <c r="Q341">
        <v>0</v>
      </c>
      <c r="R341">
        <v>6.6</v>
      </c>
      <c r="S341">
        <f t="shared" si="101"/>
        <v>6.6</v>
      </c>
      <c r="T341">
        <v>5.5</v>
      </c>
      <c r="U341">
        <v>1.6</v>
      </c>
      <c r="V341" s="1">
        <v>1.4</v>
      </c>
      <c r="W341" s="1">
        <v>0</v>
      </c>
      <c r="X341">
        <v>1</v>
      </c>
      <c r="Y341">
        <v>0.1</v>
      </c>
      <c r="Z341">
        <v>2.6</v>
      </c>
      <c r="AA341">
        <f t="shared" si="102"/>
        <v>12.2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f t="shared" si="110"/>
        <v>0</v>
      </c>
      <c r="AK341">
        <v>0.5</v>
      </c>
      <c r="AL341">
        <v>0.72099999999999997</v>
      </c>
      <c r="AM341">
        <f t="shared" si="111"/>
        <v>0.27599999999999997</v>
      </c>
      <c r="AN341">
        <v>108502</v>
      </c>
      <c r="AO341" t="s">
        <v>13</v>
      </c>
      <c r="AP341" s="3">
        <f t="shared" si="109"/>
        <v>149864.6408839779</v>
      </c>
      <c r="AQ341" t="s">
        <v>13</v>
      </c>
      <c r="AR341">
        <f t="shared" si="106"/>
        <v>0</v>
      </c>
      <c r="AS341">
        <f t="shared" si="118"/>
        <v>0.27600000000000002</v>
      </c>
      <c r="AT341">
        <f t="shared" si="119"/>
        <v>41363</v>
      </c>
      <c r="AU341">
        <f t="shared" si="120"/>
        <v>0</v>
      </c>
      <c r="AV341">
        <f t="shared" si="112"/>
        <v>34769</v>
      </c>
      <c r="AW341">
        <f t="shared" si="113"/>
        <v>0</v>
      </c>
      <c r="AX341" s="3">
        <f t="shared" si="114"/>
        <v>115095.6408839779</v>
      </c>
      <c r="AY341">
        <f t="shared" si="115"/>
        <v>20681</v>
      </c>
      <c r="AZ341">
        <f t="shared" si="116"/>
        <v>0</v>
      </c>
      <c r="BA341" s="3">
        <f t="shared" si="117"/>
        <v>129183.6408839779</v>
      </c>
    </row>
    <row r="342" spans="1:53" x14ac:dyDescent="0.2">
      <c r="A342">
        <v>2002</v>
      </c>
      <c r="B342" t="s">
        <v>66</v>
      </c>
      <c r="C342" t="s">
        <v>57</v>
      </c>
      <c r="D342">
        <v>0.5</v>
      </c>
      <c r="E342">
        <v>0</v>
      </c>
      <c r="F342">
        <v>0</v>
      </c>
      <c r="G342">
        <v>0</v>
      </c>
      <c r="H342">
        <v>0</v>
      </c>
      <c r="I342">
        <v>8.8000000000000007</v>
      </c>
      <c r="J342">
        <v>2.2999999999999998</v>
      </c>
      <c r="K342">
        <f t="shared" si="107"/>
        <v>11.600000000000001</v>
      </c>
      <c r="L342">
        <v>0</v>
      </c>
      <c r="M342">
        <v>0</v>
      </c>
      <c r="N342">
        <v>0</v>
      </c>
      <c r="O342">
        <f t="shared" si="108"/>
        <v>0</v>
      </c>
      <c r="P342">
        <v>0</v>
      </c>
      <c r="Q342">
        <v>5.5</v>
      </c>
      <c r="R342">
        <v>6.5</v>
      </c>
      <c r="S342">
        <f t="shared" si="101"/>
        <v>12</v>
      </c>
      <c r="T342">
        <v>11.8</v>
      </c>
      <c r="U342">
        <v>1.3</v>
      </c>
      <c r="V342" s="1">
        <v>0.4</v>
      </c>
      <c r="W342" s="1">
        <v>0</v>
      </c>
      <c r="X342">
        <v>0</v>
      </c>
      <c r="Y342">
        <v>0.6</v>
      </c>
      <c r="Z342">
        <v>2.2000000000000002</v>
      </c>
      <c r="AA342">
        <f t="shared" si="102"/>
        <v>16.3</v>
      </c>
      <c r="AB342">
        <v>0</v>
      </c>
      <c r="AC342">
        <v>0</v>
      </c>
      <c r="AD342">
        <v>0</v>
      </c>
      <c r="AE342">
        <v>0.8</v>
      </c>
      <c r="AF342">
        <v>0</v>
      </c>
      <c r="AG342">
        <v>0</v>
      </c>
      <c r="AH342">
        <v>1.6</v>
      </c>
      <c r="AI342">
        <v>0</v>
      </c>
      <c r="AJ342">
        <f t="shared" si="110"/>
        <v>2.4000000000000004</v>
      </c>
      <c r="AK342">
        <v>0.2</v>
      </c>
      <c r="AL342">
        <v>0.57600000000000007</v>
      </c>
      <c r="AM342">
        <f t="shared" si="111"/>
        <v>0.42299999999999999</v>
      </c>
      <c r="AN342">
        <v>83011</v>
      </c>
      <c r="AO342" t="s">
        <v>13</v>
      </c>
      <c r="AP342" s="3">
        <f t="shared" si="109"/>
        <v>143866.55112651648</v>
      </c>
      <c r="AQ342" t="s">
        <v>13</v>
      </c>
      <c r="AR342">
        <f t="shared" si="106"/>
        <v>5.6737588652482282E-2</v>
      </c>
      <c r="AS342">
        <f t="shared" si="118"/>
        <v>0.39900000000000008</v>
      </c>
      <c r="AT342">
        <f t="shared" si="119"/>
        <v>57403</v>
      </c>
      <c r="AU342">
        <f t="shared" si="120"/>
        <v>3453</v>
      </c>
      <c r="AV342">
        <f t="shared" si="112"/>
        <v>49058</v>
      </c>
      <c r="AW342">
        <f t="shared" si="113"/>
        <v>3786</v>
      </c>
      <c r="AX342" s="3">
        <f t="shared" si="114"/>
        <v>91022.551126516482</v>
      </c>
      <c r="AY342">
        <f t="shared" si="115"/>
        <v>28701</v>
      </c>
      <c r="AZ342">
        <f t="shared" si="116"/>
        <v>4599</v>
      </c>
      <c r="BA342" s="3">
        <f t="shared" si="117"/>
        <v>110566.55112651648</v>
      </c>
    </row>
    <row r="343" spans="1:53" x14ac:dyDescent="0.2">
      <c r="A343">
        <v>2003</v>
      </c>
      <c r="B343" t="s">
        <v>66</v>
      </c>
      <c r="C343" t="s">
        <v>57</v>
      </c>
      <c r="D343">
        <v>1.7</v>
      </c>
      <c r="E343">
        <v>0</v>
      </c>
      <c r="F343">
        <v>0</v>
      </c>
      <c r="G343">
        <v>0</v>
      </c>
      <c r="H343">
        <v>0</v>
      </c>
      <c r="I343">
        <v>10.6</v>
      </c>
      <c r="J343">
        <v>3.9</v>
      </c>
      <c r="K343">
        <f t="shared" si="107"/>
        <v>16.2</v>
      </c>
      <c r="L343">
        <v>0</v>
      </c>
      <c r="M343">
        <v>0</v>
      </c>
      <c r="N343">
        <v>0</v>
      </c>
      <c r="O343">
        <f t="shared" si="108"/>
        <v>0</v>
      </c>
      <c r="P343">
        <v>0</v>
      </c>
      <c r="Q343">
        <v>0</v>
      </c>
      <c r="R343">
        <v>6.9</v>
      </c>
      <c r="S343">
        <f t="shared" ref="S343:S406" si="121">SUM(P343:R343)</f>
        <v>6.9</v>
      </c>
      <c r="T343">
        <v>9.4</v>
      </c>
      <c r="U343">
        <v>2</v>
      </c>
      <c r="V343" s="1">
        <v>0</v>
      </c>
      <c r="W343" s="1">
        <v>0</v>
      </c>
      <c r="X343">
        <v>0</v>
      </c>
      <c r="Y343">
        <v>0.3</v>
      </c>
      <c r="Z343">
        <v>1.7</v>
      </c>
      <c r="AA343">
        <f t="shared" ref="AA343:AA406" si="122">SUM(T343:Z343)</f>
        <v>13.4</v>
      </c>
      <c r="AB343">
        <v>0</v>
      </c>
      <c r="AC343">
        <v>0</v>
      </c>
      <c r="AD343">
        <v>0</v>
      </c>
      <c r="AE343">
        <v>1.9</v>
      </c>
      <c r="AF343">
        <v>0</v>
      </c>
      <c r="AG343">
        <v>0</v>
      </c>
      <c r="AH343">
        <v>0</v>
      </c>
      <c r="AI343">
        <v>0</v>
      </c>
      <c r="AJ343">
        <f t="shared" si="110"/>
        <v>1.9</v>
      </c>
      <c r="AK343">
        <v>0.5</v>
      </c>
      <c r="AL343">
        <v>0.61099999999999999</v>
      </c>
      <c r="AM343">
        <f t="shared" si="111"/>
        <v>0.38400000000000001</v>
      </c>
      <c r="AN343">
        <v>246986</v>
      </c>
      <c r="AO343" t="s">
        <v>13</v>
      </c>
      <c r="AP343" s="3">
        <f t="shared" si="109"/>
        <v>400951.29870129871</v>
      </c>
      <c r="AQ343" t="s">
        <v>13</v>
      </c>
      <c r="AR343">
        <f t="shared" si="106"/>
        <v>4.9479166666666664E-2</v>
      </c>
      <c r="AS343">
        <f t="shared" si="118"/>
        <v>0.36499999999999999</v>
      </c>
      <c r="AT343">
        <f t="shared" si="119"/>
        <v>146347</v>
      </c>
      <c r="AU343">
        <f t="shared" si="120"/>
        <v>7618</v>
      </c>
      <c r="AV343">
        <f t="shared" si="112"/>
        <v>113870</v>
      </c>
      <c r="AW343">
        <f t="shared" si="113"/>
        <v>8590</v>
      </c>
      <c r="AX343" s="3">
        <f t="shared" si="114"/>
        <v>278491.29870129871</v>
      </c>
      <c r="AY343">
        <f t="shared" si="115"/>
        <v>73174</v>
      </c>
      <c r="AZ343">
        <f t="shared" si="116"/>
        <v>9807</v>
      </c>
      <c r="BA343" s="3">
        <f t="shared" si="117"/>
        <v>317970.29870129871</v>
      </c>
    </row>
    <row r="344" spans="1:53" x14ac:dyDescent="0.2">
      <c r="A344">
        <v>2004</v>
      </c>
      <c r="B344" t="s">
        <v>66</v>
      </c>
      <c r="C344" t="s">
        <v>57</v>
      </c>
      <c r="D344">
        <v>1.4</v>
      </c>
      <c r="E344">
        <v>0</v>
      </c>
      <c r="F344">
        <v>0</v>
      </c>
      <c r="G344">
        <v>0.9</v>
      </c>
      <c r="H344">
        <v>0</v>
      </c>
      <c r="I344">
        <v>17.8</v>
      </c>
      <c r="J344">
        <v>6.4</v>
      </c>
      <c r="K344">
        <f t="shared" si="107"/>
        <v>26.5</v>
      </c>
      <c r="L344">
        <v>0</v>
      </c>
      <c r="M344">
        <v>0</v>
      </c>
      <c r="N344">
        <v>0</v>
      </c>
      <c r="O344">
        <f t="shared" si="108"/>
        <v>0</v>
      </c>
      <c r="P344">
        <v>0</v>
      </c>
      <c r="Q344">
        <v>0</v>
      </c>
      <c r="R344">
        <v>0.8</v>
      </c>
      <c r="S344">
        <f t="shared" si="121"/>
        <v>0.8</v>
      </c>
      <c r="T344">
        <v>16</v>
      </c>
      <c r="U344">
        <v>0.5</v>
      </c>
      <c r="V344" s="1">
        <v>0</v>
      </c>
      <c r="W344" s="1">
        <v>0</v>
      </c>
      <c r="X344">
        <v>0</v>
      </c>
      <c r="Y344">
        <v>0.1</v>
      </c>
      <c r="Z344">
        <v>3.1</v>
      </c>
      <c r="AA344">
        <f t="shared" si="122"/>
        <v>19.700000000000003</v>
      </c>
      <c r="AB344">
        <v>0</v>
      </c>
      <c r="AC344">
        <v>0</v>
      </c>
      <c r="AD344">
        <v>0</v>
      </c>
      <c r="AE344">
        <v>2.5</v>
      </c>
      <c r="AF344">
        <v>0</v>
      </c>
      <c r="AG344">
        <v>0</v>
      </c>
      <c r="AH344">
        <v>0</v>
      </c>
      <c r="AI344">
        <v>0</v>
      </c>
      <c r="AJ344">
        <f t="shared" si="110"/>
        <v>2.5</v>
      </c>
      <c r="AK344">
        <v>0</v>
      </c>
      <c r="AL344">
        <v>0.50600000000000001</v>
      </c>
      <c r="AM344">
        <f t="shared" si="111"/>
        <v>0.495</v>
      </c>
      <c r="AN344">
        <v>139126</v>
      </c>
      <c r="AO344" t="s">
        <v>13</v>
      </c>
      <c r="AP344" s="3">
        <f t="shared" si="109"/>
        <v>275497.02970297029</v>
      </c>
      <c r="AQ344" t="s">
        <v>13</v>
      </c>
      <c r="AR344">
        <f t="shared" si="106"/>
        <v>5.0505050505050511E-2</v>
      </c>
      <c r="AS344">
        <f t="shared" si="118"/>
        <v>0.47</v>
      </c>
      <c r="AT344">
        <f t="shared" si="119"/>
        <v>129484</v>
      </c>
      <c r="AU344">
        <f t="shared" si="120"/>
        <v>6887</v>
      </c>
      <c r="AV344">
        <f t="shared" si="112"/>
        <v>92980</v>
      </c>
      <c r="AW344">
        <f t="shared" si="113"/>
        <v>8609</v>
      </c>
      <c r="AX344" s="3">
        <f t="shared" si="114"/>
        <v>173908.02970297029</v>
      </c>
      <c r="AY344">
        <f t="shared" si="115"/>
        <v>64742</v>
      </c>
      <c r="AZ344">
        <f t="shared" si="116"/>
        <v>9941</v>
      </c>
      <c r="BA344" s="3">
        <f t="shared" si="117"/>
        <v>200814.02970297029</v>
      </c>
    </row>
    <row r="345" spans="1:53" x14ac:dyDescent="0.2">
      <c r="A345">
        <v>2005</v>
      </c>
      <c r="B345" t="s">
        <v>66</v>
      </c>
      <c r="C345" t="s">
        <v>57</v>
      </c>
      <c r="D345">
        <v>0</v>
      </c>
      <c r="E345">
        <v>0</v>
      </c>
      <c r="F345">
        <v>0</v>
      </c>
      <c r="G345">
        <v>0.3</v>
      </c>
      <c r="H345">
        <v>0</v>
      </c>
      <c r="I345">
        <v>14.2</v>
      </c>
      <c r="J345">
        <v>4.3</v>
      </c>
      <c r="K345">
        <f t="shared" si="107"/>
        <v>18.8</v>
      </c>
      <c r="L345">
        <v>0</v>
      </c>
      <c r="M345">
        <v>0</v>
      </c>
      <c r="N345">
        <v>0</v>
      </c>
      <c r="O345">
        <f t="shared" si="108"/>
        <v>0</v>
      </c>
      <c r="P345">
        <v>0</v>
      </c>
      <c r="Q345">
        <v>0</v>
      </c>
      <c r="R345">
        <v>7.2</v>
      </c>
      <c r="S345">
        <f t="shared" si="121"/>
        <v>7.2</v>
      </c>
      <c r="T345">
        <v>6.1</v>
      </c>
      <c r="U345">
        <v>2.6</v>
      </c>
      <c r="V345" s="1">
        <v>0.3</v>
      </c>
      <c r="W345" s="1">
        <v>0</v>
      </c>
      <c r="X345">
        <v>0</v>
      </c>
      <c r="Y345">
        <v>0</v>
      </c>
      <c r="Z345">
        <v>0.4</v>
      </c>
      <c r="AA345">
        <f t="shared" si="122"/>
        <v>9.4</v>
      </c>
      <c r="AB345">
        <v>0</v>
      </c>
      <c r="AC345">
        <v>0</v>
      </c>
      <c r="AD345">
        <v>0</v>
      </c>
      <c r="AE345">
        <v>5.2</v>
      </c>
      <c r="AF345">
        <v>0</v>
      </c>
      <c r="AG345">
        <v>0</v>
      </c>
      <c r="AH345">
        <v>0.4</v>
      </c>
      <c r="AI345">
        <v>0</v>
      </c>
      <c r="AJ345">
        <f t="shared" si="110"/>
        <v>5.6000000000000005</v>
      </c>
      <c r="AK345">
        <v>1.2</v>
      </c>
      <c r="AL345">
        <v>0.57700000000000007</v>
      </c>
      <c r="AM345">
        <f t="shared" si="111"/>
        <v>0.41</v>
      </c>
      <c r="AN345">
        <v>88589</v>
      </c>
      <c r="AO345" t="s">
        <v>13</v>
      </c>
      <c r="AP345" s="3">
        <f t="shared" si="109"/>
        <v>150150.8474576271</v>
      </c>
      <c r="AQ345" t="s">
        <v>13</v>
      </c>
      <c r="AR345">
        <f t="shared" si="106"/>
        <v>0.13658536585365857</v>
      </c>
      <c r="AS345">
        <f t="shared" si="118"/>
        <v>0.35399999999999998</v>
      </c>
      <c r="AT345">
        <f t="shared" si="119"/>
        <v>53153</v>
      </c>
      <c r="AU345">
        <f t="shared" si="120"/>
        <v>8408</v>
      </c>
      <c r="AV345">
        <f t="shared" si="112"/>
        <v>39039</v>
      </c>
      <c r="AW345">
        <f t="shared" si="113"/>
        <v>9631</v>
      </c>
      <c r="AX345" s="3">
        <f t="shared" si="114"/>
        <v>101480.8474576271</v>
      </c>
      <c r="AY345">
        <f t="shared" si="115"/>
        <v>26577</v>
      </c>
      <c r="AZ345">
        <f t="shared" si="116"/>
        <v>10712</v>
      </c>
      <c r="BA345" s="3">
        <f t="shared" si="117"/>
        <v>112861.8474576271</v>
      </c>
    </row>
    <row r="346" spans="1:53" x14ac:dyDescent="0.2">
      <c r="A346">
        <v>2006</v>
      </c>
      <c r="B346" t="s">
        <v>66</v>
      </c>
      <c r="C346" t="s">
        <v>57</v>
      </c>
      <c r="D346">
        <v>1.1000000000000001</v>
      </c>
      <c r="E346">
        <v>0</v>
      </c>
      <c r="F346">
        <v>0</v>
      </c>
      <c r="G346">
        <v>0.7</v>
      </c>
      <c r="H346">
        <v>0</v>
      </c>
      <c r="I346">
        <v>20.9</v>
      </c>
      <c r="J346">
        <v>6</v>
      </c>
      <c r="K346">
        <f t="shared" si="107"/>
        <v>28.7</v>
      </c>
      <c r="L346">
        <v>0</v>
      </c>
      <c r="M346">
        <v>0</v>
      </c>
      <c r="N346">
        <v>0</v>
      </c>
      <c r="O346">
        <f t="shared" si="108"/>
        <v>0</v>
      </c>
      <c r="P346">
        <v>0</v>
      </c>
      <c r="Q346">
        <v>0</v>
      </c>
      <c r="R346">
        <v>2.7</v>
      </c>
      <c r="S346">
        <f t="shared" si="121"/>
        <v>2.7</v>
      </c>
      <c r="T346">
        <v>13.7</v>
      </c>
      <c r="U346">
        <v>0.9</v>
      </c>
      <c r="V346" s="1">
        <v>1.3</v>
      </c>
      <c r="W346" s="1">
        <v>0</v>
      </c>
      <c r="X346">
        <v>0</v>
      </c>
      <c r="Y346">
        <v>0</v>
      </c>
      <c r="Z346">
        <v>0.5</v>
      </c>
      <c r="AA346">
        <f t="shared" si="122"/>
        <v>16.399999999999999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f t="shared" si="110"/>
        <v>0</v>
      </c>
      <c r="AK346">
        <v>0</v>
      </c>
      <c r="AL346">
        <v>0.52200000000000002</v>
      </c>
      <c r="AM346">
        <f t="shared" si="111"/>
        <v>0.47799999999999998</v>
      </c>
      <c r="AN346">
        <v>60421</v>
      </c>
      <c r="AO346" t="s">
        <v>13</v>
      </c>
      <c r="AP346" s="3">
        <f t="shared" si="109"/>
        <v>115749.04214559386</v>
      </c>
      <c r="AQ346" t="s">
        <v>13</v>
      </c>
      <c r="AR346">
        <f t="shared" si="106"/>
        <v>0</v>
      </c>
      <c r="AS346">
        <f t="shared" si="118"/>
        <v>0.47799999999999998</v>
      </c>
      <c r="AT346">
        <f t="shared" si="119"/>
        <v>55328</v>
      </c>
      <c r="AU346">
        <f t="shared" si="120"/>
        <v>0</v>
      </c>
      <c r="AV346">
        <f t="shared" si="112"/>
        <v>38718</v>
      </c>
      <c r="AW346">
        <f t="shared" si="113"/>
        <v>0</v>
      </c>
      <c r="AX346" s="3">
        <f t="shared" si="114"/>
        <v>77031.042145593863</v>
      </c>
      <c r="AY346">
        <f t="shared" si="115"/>
        <v>27664</v>
      </c>
      <c r="AZ346">
        <f t="shared" si="116"/>
        <v>0</v>
      </c>
      <c r="BA346" s="3">
        <f t="shared" si="117"/>
        <v>88085.042145593863</v>
      </c>
    </row>
    <row r="347" spans="1:53" x14ac:dyDescent="0.2">
      <c r="A347">
        <v>2007</v>
      </c>
      <c r="B347" t="s">
        <v>66</v>
      </c>
      <c r="C347" t="s">
        <v>57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9.6999999999999993</v>
      </c>
      <c r="J347">
        <v>1.2</v>
      </c>
      <c r="K347">
        <f t="shared" si="107"/>
        <v>10.899999999999999</v>
      </c>
      <c r="L347">
        <v>0</v>
      </c>
      <c r="M347">
        <v>0</v>
      </c>
      <c r="N347">
        <v>0</v>
      </c>
      <c r="O347">
        <f t="shared" si="108"/>
        <v>0</v>
      </c>
      <c r="P347">
        <v>0</v>
      </c>
      <c r="Q347">
        <v>0</v>
      </c>
      <c r="R347">
        <v>4</v>
      </c>
      <c r="S347">
        <f t="shared" si="121"/>
        <v>4</v>
      </c>
      <c r="T347">
        <v>1.1000000000000001</v>
      </c>
      <c r="U347">
        <v>0</v>
      </c>
      <c r="V347" s="1">
        <v>0</v>
      </c>
      <c r="W347" s="1">
        <v>0</v>
      </c>
      <c r="X347">
        <v>0</v>
      </c>
      <c r="Y347">
        <v>0</v>
      </c>
      <c r="Z347">
        <v>0.4</v>
      </c>
      <c r="AA347">
        <f t="shared" si="122"/>
        <v>1.5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f t="shared" si="110"/>
        <v>0</v>
      </c>
      <c r="AK347">
        <v>0</v>
      </c>
      <c r="AL347">
        <v>0.83400000000000007</v>
      </c>
      <c r="AM347">
        <f t="shared" si="111"/>
        <v>0.16399999999999998</v>
      </c>
      <c r="AN347">
        <v>76483</v>
      </c>
      <c r="AO347" t="s">
        <v>13</v>
      </c>
      <c r="AP347" s="3">
        <f t="shared" si="109"/>
        <v>91486.842105263146</v>
      </c>
      <c r="AQ347" t="s">
        <v>13</v>
      </c>
      <c r="AR347">
        <f t="shared" si="106"/>
        <v>0</v>
      </c>
      <c r="AS347">
        <f t="shared" si="118"/>
        <v>0.16399999999999998</v>
      </c>
      <c r="AT347">
        <f t="shared" si="119"/>
        <v>15004</v>
      </c>
      <c r="AU347">
        <f t="shared" si="120"/>
        <v>0</v>
      </c>
      <c r="AV347">
        <f t="shared" si="112"/>
        <v>10018</v>
      </c>
      <c r="AW347">
        <f t="shared" si="113"/>
        <v>0</v>
      </c>
      <c r="AX347" s="3">
        <f t="shared" si="114"/>
        <v>81468.842105263146</v>
      </c>
      <c r="AY347">
        <f t="shared" si="115"/>
        <v>7502</v>
      </c>
      <c r="AZ347">
        <f t="shared" si="116"/>
        <v>0</v>
      </c>
      <c r="BA347" s="3">
        <f t="shared" si="117"/>
        <v>83984.842105263146</v>
      </c>
    </row>
    <row r="348" spans="1:53" x14ac:dyDescent="0.2">
      <c r="A348">
        <v>2008</v>
      </c>
      <c r="B348" t="s">
        <v>66</v>
      </c>
      <c r="C348" t="s">
        <v>57</v>
      </c>
      <c r="D348">
        <v>0.4</v>
      </c>
      <c r="E348">
        <v>0.3</v>
      </c>
      <c r="F348">
        <v>0</v>
      </c>
      <c r="G348">
        <v>0</v>
      </c>
      <c r="H348">
        <v>0</v>
      </c>
      <c r="I348">
        <v>27.3</v>
      </c>
      <c r="J348">
        <v>12.3</v>
      </c>
      <c r="K348">
        <f t="shared" si="107"/>
        <v>40.299999999999997</v>
      </c>
      <c r="L348">
        <v>0</v>
      </c>
      <c r="M348">
        <v>0</v>
      </c>
      <c r="N348">
        <v>0</v>
      </c>
      <c r="O348">
        <f t="shared" si="108"/>
        <v>0</v>
      </c>
      <c r="P348">
        <v>0</v>
      </c>
      <c r="Q348">
        <v>0.2</v>
      </c>
      <c r="R348">
        <v>7.8</v>
      </c>
      <c r="S348">
        <f t="shared" si="121"/>
        <v>8</v>
      </c>
      <c r="T348">
        <v>5.0999999999999996</v>
      </c>
      <c r="U348">
        <v>1.2</v>
      </c>
      <c r="V348" s="1">
        <v>0</v>
      </c>
      <c r="W348" s="1">
        <v>0</v>
      </c>
      <c r="X348">
        <v>0</v>
      </c>
      <c r="Y348">
        <v>1.6</v>
      </c>
      <c r="Z348">
        <v>0.8</v>
      </c>
      <c r="AA348">
        <f t="shared" si="122"/>
        <v>8.7000000000000011</v>
      </c>
      <c r="AB348">
        <v>0</v>
      </c>
      <c r="AC348">
        <v>0</v>
      </c>
      <c r="AD348">
        <v>0</v>
      </c>
      <c r="AE348">
        <v>0.5</v>
      </c>
      <c r="AF348">
        <v>0</v>
      </c>
      <c r="AG348">
        <v>0</v>
      </c>
      <c r="AH348">
        <v>0.4</v>
      </c>
      <c r="AI348">
        <v>0</v>
      </c>
      <c r="AJ348">
        <f t="shared" si="110"/>
        <v>0.9</v>
      </c>
      <c r="AK348">
        <v>0</v>
      </c>
      <c r="AL348">
        <v>0.42200000000000004</v>
      </c>
      <c r="AM348">
        <f t="shared" si="111"/>
        <v>0.57900000000000007</v>
      </c>
      <c r="AN348">
        <v>41603</v>
      </c>
      <c r="AO348" t="s">
        <v>13</v>
      </c>
      <c r="AP348" s="3">
        <f t="shared" si="109"/>
        <v>98819.477434679357</v>
      </c>
      <c r="AQ348" t="s">
        <v>13</v>
      </c>
      <c r="AR348">
        <f t="shared" si="106"/>
        <v>1.5544041450777202E-2</v>
      </c>
      <c r="AS348">
        <f t="shared" si="118"/>
        <v>0.56999999999999995</v>
      </c>
      <c r="AT348">
        <f t="shared" si="119"/>
        <v>56327</v>
      </c>
      <c r="AU348">
        <f t="shared" si="120"/>
        <v>889</v>
      </c>
      <c r="AV348">
        <f t="shared" si="112"/>
        <v>36415</v>
      </c>
      <c r="AW348">
        <f t="shared" si="113"/>
        <v>1306</v>
      </c>
      <c r="AX348" s="3">
        <f t="shared" si="114"/>
        <v>61098.477434679357</v>
      </c>
      <c r="AY348">
        <f t="shared" si="115"/>
        <v>28164</v>
      </c>
      <c r="AZ348">
        <f t="shared" si="116"/>
        <v>1478</v>
      </c>
      <c r="BA348" s="3">
        <f t="shared" si="117"/>
        <v>69177.477434679357</v>
      </c>
    </row>
    <row r="349" spans="1:53" x14ac:dyDescent="0.2">
      <c r="A349">
        <v>2009</v>
      </c>
      <c r="B349" t="s">
        <v>66</v>
      </c>
      <c r="C349" t="s">
        <v>57</v>
      </c>
      <c r="D349">
        <v>0.1</v>
      </c>
      <c r="E349">
        <v>0</v>
      </c>
      <c r="F349">
        <v>0</v>
      </c>
      <c r="G349">
        <v>0.2</v>
      </c>
      <c r="H349">
        <v>0</v>
      </c>
      <c r="I349">
        <v>1.4</v>
      </c>
      <c r="J349">
        <v>3.7</v>
      </c>
      <c r="K349">
        <f t="shared" si="107"/>
        <v>5.4</v>
      </c>
      <c r="L349">
        <v>0</v>
      </c>
      <c r="M349">
        <v>0</v>
      </c>
      <c r="N349">
        <v>0</v>
      </c>
      <c r="O349">
        <f t="shared" si="108"/>
        <v>0</v>
      </c>
      <c r="P349">
        <v>0</v>
      </c>
      <c r="Q349">
        <v>0</v>
      </c>
      <c r="R349">
        <v>4.8</v>
      </c>
      <c r="S349">
        <f t="shared" si="121"/>
        <v>4.8</v>
      </c>
      <c r="T349">
        <v>1.3</v>
      </c>
      <c r="U349">
        <v>0.2</v>
      </c>
      <c r="V349" s="1">
        <v>0</v>
      </c>
      <c r="W349" s="1">
        <v>0</v>
      </c>
      <c r="X349">
        <v>0</v>
      </c>
      <c r="Y349">
        <v>0.1</v>
      </c>
      <c r="Z349">
        <v>1</v>
      </c>
      <c r="AA349">
        <f t="shared" si="122"/>
        <v>2.6</v>
      </c>
      <c r="AB349">
        <v>0</v>
      </c>
      <c r="AC349">
        <v>0</v>
      </c>
      <c r="AD349">
        <v>0</v>
      </c>
      <c r="AE349">
        <v>1.5</v>
      </c>
      <c r="AF349">
        <v>1.6</v>
      </c>
      <c r="AG349">
        <v>0</v>
      </c>
      <c r="AH349">
        <v>0</v>
      </c>
      <c r="AI349">
        <v>0</v>
      </c>
      <c r="AJ349">
        <f t="shared" si="110"/>
        <v>3.1</v>
      </c>
      <c r="AK349">
        <v>0</v>
      </c>
      <c r="AL349">
        <v>0.84</v>
      </c>
      <c r="AM349">
        <f t="shared" si="111"/>
        <v>0.15899999999999997</v>
      </c>
      <c r="AN349">
        <v>70142</v>
      </c>
      <c r="AO349" t="s">
        <v>13</v>
      </c>
      <c r="AP349" s="3">
        <f t="shared" si="109"/>
        <v>83403.091557669439</v>
      </c>
      <c r="AQ349" t="s">
        <v>13</v>
      </c>
      <c r="AR349">
        <f t="shared" si="106"/>
        <v>0.19496855345911954</v>
      </c>
      <c r="AS349">
        <f t="shared" si="118"/>
        <v>0.128</v>
      </c>
      <c r="AT349">
        <f t="shared" si="119"/>
        <v>10676</v>
      </c>
      <c r="AU349">
        <f t="shared" si="120"/>
        <v>2585</v>
      </c>
      <c r="AV349">
        <f t="shared" si="112"/>
        <v>8424</v>
      </c>
      <c r="AW349">
        <f t="shared" si="113"/>
        <v>2665</v>
      </c>
      <c r="AX349" s="3">
        <f t="shared" si="114"/>
        <v>72314.091557669439</v>
      </c>
      <c r="AY349">
        <f t="shared" si="115"/>
        <v>5338</v>
      </c>
      <c r="AZ349">
        <f t="shared" si="116"/>
        <v>2775</v>
      </c>
      <c r="BA349" s="3">
        <f t="shared" si="117"/>
        <v>75290.091557669439</v>
      </c>
    </row>
    <row r="350" spans="1:53" x14ac:dyDescent="0.2">
      <c r="A350">
        <v>2010</v>
      </c>
      <c r="B350" t="s">
        <v>66</v>
      </c>
      <c r="C350" t="s">
        <v>57</v>
      </c>
      <c r="D350">
        <v>0.6</v>
      </c>
      <c r="E350">
        <v>0</v>
      </c>
      <c r="F350">
        <v>0</v>
      </c>
      <c r="G350">
        <v>0.2</v>
      </c>
      <c r="H350">
        <v>0</v>
      </c>
      <c r="I350">
        <v>4</v>
      </c>
      <c r="J350">
        <v>3.9</v>
      </c>
      <c r="K350">
        <f t="shared" si="107"/>
        <v>8.6999999999999993</v>
      </c>
      <c r="L350">
        <v>0</v>
      </c>
      <c r="M350">
        <v>0</v>
      </c>
      <c r="N350">
        <v>0.4</v>
      </c>
      <c r="O350">
        <f t="shared" si="108"/>
        <v>0.4</v>
      </c>
      <c r="P350">
        <v>0</v>
      </c>
      <c r="Q350">
        <v>0</v>
      </c>
      <c r="R350">
        <v>6.2</v>
      </c>
      <c r="S350">
        <f t="shared" si="121"/>
        <v>6.2</v>
      </c>
      <c r="T350">
        <v>4</v>
      </c>
      <c r="U350">
        <v>1</v>
      </c>
      <c r="V350" s="1">
        <v>0</v>
      </c>
      <c r="W350" s="1">
        <v>0</v>
      </c>
      <c r="X350">
        <v>0</v>
      </c>
      <c r="Y350">
        <v>0.5</v>
      </c>
      <c r="Z350">
        <v>0.7</v>
      </c>
      <c r="AA350">
        <f t="shared" si="122"/>
        <v>6.2</v>
      </c>
      <c r="AB350">
        <v>0</v>
      </c>
      <c r="AC350">
        <v>0</v>
      </c>
      <c r="AD350">
        <v>0</v>
      </c>
      <c r="AE350">
        <v>1.1000000000000001</v>
      </c>
      <c r="AF350">
        <v>0.3</v>
      </c>
      <c r="AG350">
        <v>0</v>
      </c>
      <c r="AH350">
        <v>0.2</v>
      </c>
      <c r="AI350">
        <v>0</v>
      </c>
      <c r="AJ350">
        <f t="shared" si="110"/>
        <v>1.6</v>
      </c>
      <c r="AK350">
        <v>0</v>
      </c>
      <c r="AL350">
        <v>0.76800000000000002</v>
      </c>
      <c r="AM350">
        <f t="shared" si="111"/>
        <v>0.23099999999999998</v>
      </c>
      <c r="AN350">
        <v>103558</v>
      </c>
      <c r="AO350" t="s">
        <v>13</v>
      </c>
      <c r="AP350" s="3">
        <f t="shared" si="109"/>
        <v>134665.79973992196</v>
      </c>
      <c r="AQ350" t="s">
        <v>13</v>
      </c>
      <c r="AR350">
        <f t="shared" si="106"/>
        <v>6.9264069264069264E-2</v>
      </c>
      <c r="AS350">
        <f t="shared" si="118"/>
        <v>0.215</v>
      </c>
      <c r="AT350">
        <f t="shared" si="119"/>
        <v>28953</v>
      </c>
      <c r="AU350">
        <f t="shared" si="120"/>
        <v>2155</v>
      </c>
      <c r="AV350">
        <f t="shared" si="112"/>
        <v>23095</v>
      </c>
      <c r="AW350">
        <f t="shared" si="113"/>
        <v>2274</v>
      </c>
      <c r="AX350" s="3">
        <f t="shared" si="114"/>
        <v>109296.79973992196</v>
      </c>
      <c r="AY350">
        <f t="shared" si="115"/>
        <v>14477</v>
      </c>
      <c r="AZ350">
        <f t="shared" si="116"/>
        <v>2450</v>
      </c>
      <c r="BA350" s="3">
        <f t="shared" si="117"/>
        <v>117738.79973992196</v>
      </c>
    </row>
    <row r="351" spans="1:53" x14ac:dyDescent="0.2">
      <c r="A351">
        <v>2011</v>
      </c>
      <c r="B351" t="s">
        <v>66</v>
      </c>
      <c r="C351" t="s">
        <v>57</v>
      </c>
      <c r="D351">
        <v>0.3</v>
      </c>
      <c r="E351">
        <v>0</v>
      </c>
      <c r="F351">
        <v>0</v>
      </c>
      <c r="G351">
        <v>0.2</v>
      </c>
      <c r="H351">
        <v>0.4</v>
      </c>
      <c r="I351">
        <v>3.3</v>
      </c>
      <c r="J351">
        <v>6.1</v>
      </c>
      <c r="K351">
        <f t="shared" si="107"/>
        <v>10.3</v>
      </c>
      <c r="L351">
        <v>0</v>
      </c>
      <c r="M351">
        <v>0</v>
      </c>
      <c r="N351">
        <v>0.2</v>
      </c>
      <c r="O351">
        <f t="shared" si="108"/>
        <v>0.2</v>
      </c>
      <c r="P351">
        <v>0</v>
      </c>
      <c r="Q351">
        <v>0.8</v>
      </c>
      <c r="R351">
        <v>4.7</v>
      </c>
      <c r="S351">
        <f t="shared" si="121"/>
        <v>5.5</v>
      </c>
      <c r="T351">
        <v>3.1</v>
      </c>
      <c r="U351">
        <v>0.6</v>
      </c>
      <c r="V351" s="1">
        <v>0</v>
      </c>
      <c r="W351" s="1">
        <v>0</v>
      </c>
      <c r="X351">
        <v>0</v>
      </c>
      <c r="Y351">
        <v>0.4</v>
      </c>
      <c r="Z351">
        <v>1.1000000000000001</v>
      </c>
      <c r="AA351">
        <f t="shared" si="122"/>
        <v>5.2000000000000011</v>
      </c>
      <c r="AB351">
        <v>0</v>
      </c>
      <c r="AC351">
        <v>0</v>
      </c>
      <c r="AD351">
        <v>0</v>
      </c>
      <c r="AE351">
        <v>1.4</v>
      </c>
      <c r="AF351">
        <v>0</v>
      </c>
      <c r="AG351">
        <v>0</v>
      </c>
      <c r="AH351">
        <v>0.1</v>
      </c>
      <c r="AI351">
        <v>0</v>
      </c>
      <c r="AJ351">
        <f t="shared" si="110"/>
        <v>1.5</v>
      </c>
      <c r="AK351">
        <v>0</v>
      </c>
      <c r="AL351">
        <v>0.77400000000000002</v>
      </c>
      <c r="AM351">
        <f t="shared" si="111"/>
        <v>0.22699999999999995</v>
      </c>
      <c r="AN351">
        <v>123647</v>
      </c>
      <c r="AO351" t="s">
        <v>13</v>
      </c>
      <c r="AP351" s="3">
        <f t="shared" si="109"/>
        <v>159957.30918499353</v>
      </c>
      <c r="AQ351" t="s">
        <v>13</v>
      </c>
      <c r="AR351">
        <f t="shared" si="106"/>
        <v>6.6079295154185036E-2</v>
      </c>
      <c r="AS351">
        <f t="shared" si="118"/>
        <v>0.21200000000000002</v>
      </c>
      <c r="AT351">
        <f t="shared" si="119"/>
        <v>33911</v>
      </c>
      <c r="AU351">
        <f t="shared" si="120"/>
        <v>2399</v>
      </c>
      <c r="AV351">
        <f t="shared" si="112"/>
        <v>25673</v>
      </c>
      <c r="AW351">
        <f t="shared" si="113"/>
        <v>2556</v>
      </c>
      <c r="AX351" s="3">
        <f t="shared" si="114"/>
        <v>131728.30918499353</v>
      </c>
      <c r="AY351">
        <f t="shared" si="115"/>
        <v>16955</v>
      </c>
      <c r="AZ351">
        <f t="shared" si="116"/>
        <v>2722</v>
      </c>
      <c r="BA351" s="3">
        <f t="shared" si="117"/>
        <v>140280.30918499353</v>
      </c>
    </row>
    <row r="352" spans="1:53" x14ac:dyDescent="0.2">
      <c r="A352">
        <v>2012</v>
      </c>
      <c r="B352" t="s">
        <v>66</v>
      </c>
      <c r="C352" t="s">
        <v>57</v>
      </c>
      <c r="D352">
        <v>0.2</v>
      </c>
      <c r="E352">
        <v>0</v>
      </c>
      <c r="F352">
        <v>0</v>
      </c>
      <c r="G352">
        <v>0</v>
      </c>
      <c r="H352">
        <v>0</v>
      </c>
      <c r="I352">
        <v>1.3</v>
      </c>
      <c r="J352">
        <v>0.9</v>
      </c>
      <c r="K352">
        <f t="shared" si="107"/>
        <v>2.4</v>
      </c>
      <c r="L352">
        <v>0</v>
      </c>
      <c r="M352">
        <v>0</v>
      </c>
      <c r="N352">
        <v>0</v>
      </c>
      <c r="O352">
        <f t="shared" si="108"/>
        <v>0</v>
      </c>
      <c r="P352">
        <v>0</v>
      </c>
      <c r="Q352">
        <v>0.1</v>
      </c>
      <c r="R352">
        <v>11.9</v>
      </c>
      <c r="S352">
        <f t="shared" si="121"/>
        <v>12</v>
      </c>
      <c r="T352">
        <v>3.4</v>
      </c>
      <c r="U352">
        <v>0.3</v>
      </c>
      <c r="V352" s="1">
        <v>0.2</v>
      </c>
      <c r="W352" s="1">
        <v>0</v>
      </c>
      <c r="X352">
        <v>0</v>
      </c>
      <c r="Y352">
        <v>0.1</v>
      </c>
      <c r="Z352">
        <v>2.2000000000000002</v>
      </c>
      <c r="AA352">
        <f t="shared" si="122"/>
        <v>6.2</v>
      </c>
      <c r="AB352">
        <v>0</v>
      </c>
      <c r="AC352">
        <v>0</v>
      </c>
      <c r="AD352">
        <v>0</v>
      </c>
      <c r="AE352">
        <v>0.3</v>
      </c>
      <c r="AF352">
        <v>0.9</v>
      </c>
      <c r="AG352">
        <v>0</v>
      </c>
      <c r="AH352">
        <v>0.1</v>
      </c>
      <c r="AI352">
        <v>0</v>
      </c>
      <c r="AJ352">
        <f t="shared" si="110"/>
        <v>1.3</v>
      </c>
      <c r="AK352">
        <v>0</v>
      </c>
      <c r="AL352">
        <v>0.77900000000000003</v>
      </c>
      <c r="AM352">
        <f t="shared" si="111"/>
        <v>0.21899999999999997</v>
      </c>
      <c r="AN352">
        <v>44467</v>
      </c>
      <c r="AO352" t="s">
        <v>13</v>
      </c>
      <c r="AP352" s="3">
        <f t="shared" si="109"/>
        <v>56935.979513444297</v>
      </c>
      <c r="AQ352" t="s">
        <v>13</v>
      </c>
      <c r="AR352">
        <f t="shared" si="106"/>
        <v>5.9360730593607317E-2</v>
      </c>
      <c r="AS352">
        <f t="shared" si="118"/>
        <v>0.20600000000000002</v>
      </c>
      <c r="AT352">
        <f t="shared" si="119"/>
        <v>11729</v>
      </c>
      <c r="AU352">
        <f t="shared" si="120"/>
        <v>740</v>
      </c>
      <c r="AV352">
        <f t="shared" si="112"/>
        <v>11046</v>
      </c>
      <c r="AW352">
        <f t="shared" si="113"/>
        <v>751</v>
      </c>
      <c r="AX352" s="3">
        <f t="shared" si="114"/>
        <v>45138.979513444297</v>
      </c>
      <c r="AY352">
        <f t="shared" si="115"/>
        <v>5864</v>
      </c>
      <c r="AZ352">
        <f t="shared" si="116"/>
        <v>836</v>
      </c>
      <c r="BA352" s="3">
        <f t="shared" si="117"/>
        <v>50235.979513444297</v>
      </c>
    </row>
    <row r="353" spans="1:53" x14ac:dyDescent="0.2">
      <c r="A353">
        <v>2013</v>
      </c>
      <c r="B353" t="s">
        <v>66</v>
      </c>
      <c r="C353" t="s">
        <v>57</v>
      </c>
      <c r="D353">
        <v>0</v>
      </c>
      <c r="E353">
        <v>0.1</v>
      </c>
      <c r="F353">
        <v>0.2</v>
      </c>
      <c r="G353">
        <v>0</v>
      </c>
      <c r="H353">
        <v>0.1</v>
      </c>
      <c r="I353">
        <v>2</v>
      </c>
      <c r="J353">
        <v>2.2999999999999998</v>
      </c>
      <c r="K353">
        <f t="shared" si="107"/>
        <v>4.6999999999999993</v>
      </c>
      <c r="L353">
        <v>0</v>
      </c>
      <c r="M353">
        <v>0</v>
      </c>
      <c r="N353">
        <v>0.1</v>
      </c>
      <c r="O353">
        <f t="shared" si="108"/>
        <v>0.1</v>
      </c>
      <c r="P353">
        <v>0</v>
      </c>
      <c r="Q353">
        <v>1.1000000000000001</v>
      </c>
      <c r="R353">
        <v>8.5</v>
      </c>
      <c r="S353">
        <f t="shared" si="121"/>
        <v>9.6</v>
      </c>
      <c r="T353">
        <v>5.0999999999999996</v>
      </c>
      <c r="U353">
        <v>0.7</v>
      </c>
      <c r="V353" s="1">
        <v>0.3</v>
      </c>
      <c r="W353" s="1">
        <v>0</v>
      </c>
      <c r="X353">
        <v>0</v>
      </c>
      <c r="Y353">
        <v>0.3</v>
      </c>
      <c r="Z353">
        <v>1.8</v>
      </c>
      <c r="AA353">
        <f t="shared" si="122"/>
        <v>8.1999999999999993</v>
      </c>
      <c r="AB353">
        <v>0</v>
      </c>
      <c r="AC353">
        <v>0</v>
      </c>
      <c r="AD353">
        <v>0</v>
      </c>
      <c r="AE353">
        <v>0</v>
      </c>
      <c r="AF353">
        <v>0.5</v>
      </c>
      <c r="AG353">
        <v>0</v>
      </c>
      <c r="AH353">
        <v>0.4</v>
      </c>
      <c r="AI353">
        <v>0</v>
      </c>
      <c r="AJ353">
        <f t="shared" si="110"/>
        <v>0.9</v>
      </c>
      <c r="AK353">
        <v>1.2</v>
      </c>
      <c r="AL353">
        <v>0.752</v>
      </c>
      <c r="AM353">
        <f t="shared" si="111"/>
        <v>0.23500000000000004</v>
      </c>
      <c r="AN353">
        <v>42953</v>
      </c>
      <c r="AO353" t="s">
        <v>13</v>
      </c>
      <c r="AP353" s="3">
        <f t="shared" si="109"/>
        <v>56147.71241830066</v>
      </c>
      <c r="AQ353" t="s">
        <v>13</v>
      </c>
      <c r="AR353">
        <f t="shared" si="106"/>
        <v>3.8297872340425532E-2</v>
      </c>
      <c r="AS353">
        <f t="shared" si="118"/>
        <v>0.22599999999999998</v>
      </c>
      <c r="AT353">
        <f t="shared" si="119"/>
        <v>12689</v>
      </c>
      <c r="AU353">
        <f t="shared" si="120"/>
        <v>505</v>
      </c>
      <c r="AV353">
        <f t="shared" si="112"/>
        <v>11370</v>
      </c>
      <c r="AW353">
        <f t="shared" si="113"/>
        <v>520</v>
      </c>
      <c r="AX353" s="3">
        <f t="shared" si="114"/>
        <v>44257.71241830066</v>
      </c>
      <c r="AY353">
        <f t="shared" si="115"/>
        <v>6345</v>
      </c>
      <c r="AZ353">
        <f t="shared" si="116"/>
        <v>579</v>
      </c>
      <c r="BA353" s="3">
        <f t="shared" si="117"/>
        <v>49223.71241830066</v>
      </c>
    </row>
    <row r="354" spans="1:53" x14ac:dyDescent="0.2">
      <c r="A354">
        <v>2014</v>
      </c>
      <c r="B354" t="s">
        <v>66</v>
      </c>
      <c r="C354" t="s">
        <v>57</v>
      </c>
      <c r="D354">
        <v>0.5</v>
      </c>
      <c r="E354">
        <v>0.1</v>
      </c>
      <c r="F354">
        <v>0.9</v>
      </c>
      <c r="G354">
        <v>0</v>
      </c>
      <c r="H354">
        <v>0</v>
      </c>
      <c r="I354">
        <v>3.9</v>
      </c>
      <c r="J354">
        <v>0.9</v>
      </c>
      <c r="K354">
        <f t="shared" si="107"/>
        <v>6.3000000000000007</v>
      </c>
      <c r="L354">
        <v>0</v>
      </c>
      <c r="M354">
        <v>0</v>
      </c>
      <c r="N354">
        <v>0</v>
      </c>
      <c r="O354">
        <f t="shared" si="108"/>
        <v>0</v>
      </c>
      <c r="P354">
        <v>0.1</v>
      </c>
      <c r="Q354">
        <v>1.9</v>
      </c>
      <c r="R354">
        <v>14.3</v>
      </c>
      <c r="S354">
        <f t="shared" si="121"/>
        <v>16.3</v>
      </c>
      <c r="T354">
        <v>5</v>
      </c>
      <c r="U354">
        <v>0.7</v>
      </c>
      <c r="V354" s="1">
        <v>0.8</v>
      </c>
      <c r="W354" s="1">
        <v>0</v>
      </c>
      <c r="X354">
        <v>0</v>
      </c>
      <c r="Y354">
        <v>0.5</v>
      </c>
      <c r="Z354">
        <v>1</v>
      </c>
      <c r="AA354">
        <f t="shared" si="122"/>
        <v>8</v>
      </c>
      <c r="AB354">
        <v>0</v>
      </c>
      <c r="AC354">
        <v>0</v>
      </c>
      <c r="AD354">
        <v>0</v>
      </c>
      <c r="AE354">
        <v>3.3</v>
      </c>
      <c r="AF354">
        <v>0</v>
      </c>
      <c r="AG354">
        <v>0</v>
      </c>
      <c r="AH354">
        <v>0.1</v>
      </c>
      <c r="AI354">
        <v>0</v>
      </c>
      <c r="AJ354">
        <f t="shared" si="110"/>
        <v>3.4</v>
      </c>
      <c r="AK354">
        <v>0</v>
      </c>
      <c r="AL354">
        <v>0.66</v>
      </c>
      <c r="AM354">
        <f t="shared" si="111"/>
        <v>0.34</v>
      </c>
      <c r="AN354">
        <v>44686</v>
      </c>
      <c r="AO354" t="s">
        <v>13</v>
      </c>
      <c r="AP354" s="3">
        <f t="shared" si="109"/>
        <v>67706.060606060608</v>
      </c>
      <c r="AQ354" t="s">
        <v>13</v>
      </c>
      <c r="AR354">
        <f t="shared" si="106"/>
        <v>0.1</v>
      </c>
      <c r="AS354">
        <f t="shared" si="118"/>
        <v>0.30599999999999999</v>
      </c>
      <c r="AT354">
        <f t="shared" si="119"/>
        <v>20718</v>
      </c>
      <c r="AU354">
        <f t="shared" si="120"/>
        <v>2302</v>
      </c>
      <c r="AV354">
        <f t="shared" si="112"/>
        <v>18585</v>
      </c>
      <c r="AW354">
        <f t="shared" si="113"/>
        <v>2406</v>
      </c>
      <c r="AX354" s="3">
        <f t="shared" si="114"/>
        <v>46715.060606060608</v>
      </c>
      <c r="AY354">
        <f t="shared" si="115"/>
        <v>10359</v>
      </c>
      <c r="AZ354">
        <f t="shared" si="116"/>
        <v>2809</v>
      </c>
      <c r="BA354" s="3">
        <f t="shared" si="117"/>
        <v>54538.060606060608</v>
      </c>
    </row>
    <row r="355" spans="1:53" x14ac:dyDescent="0.2">
      <c r="A355">
        <v>2015</v>
      </c>
      <c r="B355" t="s">
        <v>66</v>
      </c>
      <c r="C355" t="s">
        <v>57</v>
      </c>
      <c r="D355">
        <v>0.2</v>
      </c>
      <c r="E355">
        <v>0.1</v>
      </c>
      <c r="F355">
        <v>0</v>
      </c>
      <c r="G355">
        <v>0.4</v>
      </c>
      <c r="H355">
        <v>0</v>
      </c>
      <c r="I355">
        <v>0.9</v>
      </c>
      <c r="J355">
        <v>1.1000000000000001</v>
      </c>
      <c r="K355">
        <f t="shared" si="107"/>
        <v>2.7</v>
      </c>
      <c r="L355">
        <v>0</v>
      </c>
      <c r="M355">
        <v>0</v>
      </c>
      <c r="N355">
        <v>0</v>
      </c>
      <c r="O355">
        <f t="shared" si="108"/>
        <v>0</v>
      </c>
      <c r="P355">
        <v>0</v>
      </c>
      <c r="Q355">
        <v>1.2</v>
      </c>
      <c r="R355">
        <v>10.6</v>
      </c>
      <c r="S355">
        <f t="shared" si="121"/>
        <v>11.799999999999999</v>
      </c>
      <c r="T355">
        <v>3.5</v>
      </c>
      <c r="U355">
        <v>0</v>
      </c>
      <c r="V355" s="1">
        <v>0.9</v>
      </c>
      <c r="W355" s="1">
        <v>0</v>
      </c>
      <c r="X355">
        <v>0.3</v>
      </c>
      <c r="Y355">
        <v>0.3</v>
      </c>
      <c r="Z355">
        <v>0.9</v>
      </c>
      <c r="AA355">
        <f t="shared" si="122"/>
        <v>5.9</v>
      </c>
      <c r="AB355">
        <v>0</v>
      </c>
      <c r="AC355">
        <v>0</v>
      </c>
      <c r="AD355">
        <v>0</v>
      </c>
      <c r="AE355">
        <v>2</v>
      </c>
      <c r="AF355">
        <v>0.4</v>
      </c>
      <c r="AG355">
        <v>0</v>
      </c>
      <c r="AH355">
        <v>0</v>
      </c>
      <c r="AI355">
        <v>0</v>
      </c>
      <c r="AJ355">
        <f t="shared" si="110"/>
        <v>2.4</v>
      </c>
      <c r="AK355">
        <v>0</v>
      </c>
      <c r="AL355">
        <v>0.77200000000000002</v>
      </c>
      <c r="AM355">
        <f t="shared" si="111"/>
        <v>0.22800000000000001</v>
      </c>
      <c r="AN355">
        <v>101516</v>
      </c>
      <c r="AO355" t="s">
        <v>13</v>
      </c>
      <c r="AP355" s="3">
        <f t="shared" si="109"/>
        <v>131497.40932642488</v>
      </c>
      <c r="AQ355" t="s">
        <v>13</v>
      </c>
      <c r="AR355">
        <f t="shared" si="106"/>
        <v>0.10526315789473684</v>
      </c>
      <c r="AS355">
        <f t="shared" si="118"/>
        <v>0.20399999999999999</v>
      </c>
      <c r="AT355">
        <f t="shared" si="119"/>
        <v>26825</v>
      </c>
      <c r="AU355">
        <f t="shared" si="120"/>
        <v>3156</v>
      </c>
      <c r="AV355">
        <f t="shared" si="112"/>
        <v>25050</v>
      </c>
      <c r="AW355">
        <f t="shared" si="113"/>
        <v>3210</v>
      </c>
      <c r="AX355" s="3">
        <f t="shared" si="114"/>
        <v>103237.40932642488</v>
      </c>
      <c r="AY355">
        <f t="shared" si="115"/>
        <v>13413</v>
      </c>
      <c r="AZ355">
        <f t="shared" si="116"/>
        <v>3560</v>
      </c>
      <c r="BA355" s="3">
        <f t="shared" si="117"/>
        <v>114524.40932642488</v>
      </c>
    </row>
    <row r="356" spans="1:53" x14ac:dyDescent="0.2">
      <c r="A356">
        <v>2016</v>
      </c>
      <c r="B356" t="s">
        <v>66</v>
      </c>
      <c r="C356" t="s">
        <v>57</v>
      </c>
      <c r="D356">
        <v>0.5</v>
      </c>
      <c r="E356">
        <v>0.2</v>
      </c>
      <c r="F356">
        <v>0</v>
      </c>
      <c r="G356">
        <v>0.2</v>
      </c>
      <c r="H356">
        <v>0</v>
      </c>
      <c r="I356">
        <v>0.7</v>
      </c>
      <c r="J356">
        <v>2.6</v>
      </c>
      <c r="K356">
        <f t="shared" si="107"/>
        <v>4.2</v>
      </c>
      <c r="L356">
        <v>0</v>
      </c>
      <c r="M356">
        <v>0</v>
      </c>
      <c r="N356">
        <v>0</v>
      </c>
      <c r="O356">
        <f t="shared" si="108"/>
        <v>0</v>
      </c>
      <c r="P356">
        <v>0</v>
      </c>
      <c r="Q356">
        <v>0.2</v>
      </c>
      <c r="R356">
        <v>13.5</v>
      </c>
      <c r="S356">
        <f t="shared" si="121"/>
        <v>13.7</v>
      </c>
      <c r="T356">
        <v>1.4</v>
      </c>
      <c r="U356">
        <v>0.5</v>
      </c>
      <c r="V356" s="1">
        <v>0.1</v>
      </c>
      <c r="W356" s="1">
        <v>0</v>
      </c>
      <c r="X356">
        <v>0</v>
      </c>
      <c r="Y356">
        <v>0</v>
      </c>
      <c r="Z356">
        <v>0.1</v>
      </c>
      <c r="AA356">
        <f t="shared" si="122"/>
        <v>2.1</v>
      </c>
      <c r="AB356">
        <v>0</v>
      </c>
      <c r="AC356">
        <v>0</v>
      </c>
      <c r="AD356">
        <v>0</v>
      </c>
      <c r="AE356">
        <v>1.6</v>
      </c>
      <c r="AF356">
        <v>0.4</v>
      </c>
      <c r="AG356">
        <v>0</v>
      </c>
      <c r="AH356">
        <v>0</v>
      </c>
      <c r="AI356">
        <v>0</v>
      </c>
      <c r="AJ356">
        <f t="shared" si="110"/>
        <v>2</v>
      </c>
      <c r="AK356">
        <v>0.8</v>
      </c>
      <c r="AL356">
        <v>0.77</v>
      </c>
      <c r="AM356">
        <f t="shared" si="111"/>
        <v>0.22</v>
      </c>
      <c r="AN356">
        <v>41327</v>
      </c>
      <c r="AO356" t="s">
        <v>13</v>
      </c>
      <c r="AP356" s="3">
        <f t="shared" si="109"/>
        <v>52983.333333333328</v>
      </c>
      <c r="AQ356" t="s">
        <v>13</v>
      </c>
      <c r="AR356">
        <f t="shared" ref="AR356:AR416" si="123">(AJ356/100)/AM356</f>
        <v>9.0909090909090912E-2</v>
      </c>
      <c r="AS356">
        <f t="shared" si="118"/>
        <v>0.2</v>
      </c>
      <c r="AT356">
        <f t="shared" si="119"/>
        <v>10597</v>
      </c>
      <c r="AU356">
        <f t="shared" si="120"/>
        <v>1060</v>
      </c>
      <c r="AV356">
        <f t="shared" si="112"/>
        <v>9484</v>
      </c>
      <c r="AW356">
        <f t="shared" si="113"/>
        <v>1088</v>
      </c>
      <c r="AX356" s="3">
        <f t="shared" si="114"/>
        <v>42411.333333333328</v>
      </c>
      <c r="AY356">
        <f t="shared" si="115"/>
        <v>5298</v>
      </c>
      <c r="AZ356">
        <f t="shared" si="116"/>
        <v>1193</v>
      </c>
      <c r="BA356" s="3">
        <f t="shared" si="117"/>
        <v>46492.333333333328</v>
      </c>
    </row>
    <row r="357" spans="1:53" x14ac:dyDescent="0.2">
      <c r="A357">
        <v>2017</v>
      </c>
      <c r="B357" t="s">
        <v>66</v>
      </c>
      <c r="C357" t="s">
        <v>57</v>
      </c>
      <c r="D357">
        <v>0</v>
      </c>
      <c r="E357">
        <v>0</v>
      </c>
      <c r="F357">
        <v>0</v>
      </c>
      <c r="G357">
        <v>0.5</v>
      </c>
      <c r="H357">
        <v>0</v>
      </c>
      <c r="I357">
        <v>2.1</v>
      </c>
      <c r="J357">
        <v>7.2</v>
      </c>
      <c r="K357">
        <f t="shared" si="107"/>
        <v>9.8000000000000007</v>
      </c>
      <c r="L357">
        <v>0</v>
      </c>
      <c r="M357">
        <v>0</v>
      </c>
      <c r="N357">
        <v>0.1</v>
      </c>
      <c r="O357">
        <f t="shared" si="108"/>
        <v>0.1</v>
      </c>
      <c r="P357">
        <v>0</v>
      </c>
      <c r="Q357">
        <v>0.6</v>
      </c>
      <c r="R357">
        <v>24.9</v>
      </c>
      <c r="S357">
        <f t="shared" si="121"/>
        <v>25.5</v>
      </c>
      <c r="T357">
        <v>7.9</v>
      </c>
      <c r="U357">
        <v>0.4</v>
      </c>
      <c r="V357" s="1">
        <v>0.2</v>
      </c>
      <c r="W357" s="1">
        <v>0</v>
      </c>
      <c r="X357">
        <v>0</v>
      </c>
      <c r="Y357">
        <v>0</v>
      </c>
      <c r="Z357">
        <v>0.5</v>
      </c>
      <c r="AA357">
        <f t="shared" si="122"/>
        <v>9</v>
      </c>
      <c r="AB357">
        <v>0</v>
      </c>
      <c r="AC357">
        <v>0</v>
      </c>
      <c r="AD357">
        <v>0</v>
      </c>
      <c r="AE357">
        <v>0.7</v>
      </c>
      <c r="AF357">
        <v>0</v>
      </c>
      <c r="AG357">
        <v>0</v>
      </c>
      <c r="AH357">
        <v>0.3</v>
      </c>
      <c r="AI357">
        <v>0</v>
      </c>
      <c r="AJ357">
        <f t="shared" si="110"/>
        <v>1</v>
      </c>
      <c r="AK357">
        <v>0</v>
      </c>
      <c r="AL357">
        <v>0.54500000000000004</v>
      </c>
      <c r="AM357">
        <f t="shared" si="111"/>
        <v>0.45400000000000007</v>
      </c>
      <c r="AN357">
        <v>29799</v>
      </c>
      <c r="AO357" t="s">
        <v>13</v>
      </c>
      <c r="AP357" s="3">
        <f t="shared" si="109"/>
        <v>54576.923076923085</v>
      </c>
      <c r="AQ357" t="s">
        <v>13</v>
      </c>
      <c r="AR357">
        <f t="shared" si="123"/>
        <v>2.2026431718061672E-2</v>
      </c>
      <c r="AS357">
        <f t="shared" ref="AS357:AS388" si="124">SUM(K357,O357,S357,AA357)/100</f>
        <v>0.44400000000000001</v>
      </c>
      <c r="AT357">
        <f t="shared" ref="AT357:AT388" si="125">ROUND(AS357*AP357,0)</f>
        <v>24232</v>
      </c>
      <c r="AU357">
        <f t="shared" ref="AU357:AU391" si="126">ROUND((AJ357/100)*AP357,0)</f>
        <v>546</v>
      </c>
      <c r="AV357">
        <f t="shared" si="112"/>
        <v>21558</v>
      </c>
      <c r="AW357">
        <f t="shared" si="113"/>
        <v>594</v>
      </c>
      <c r="AX357" s="3">
        <f t="shared" si="114"/>
        <v>32424.923076923085</v>
      </c>
      <c r="AY357">
        <f t="shared" si="115"/>
        <v>12116</v>
      </c>
      <c r="AZ357">
        <f t="shared" si="116"/>
        <v>764</v>
      </c>
      <c r="BA357" s="3">
        <f t="shared" si="117"/>
        <v>41696.923076923085</v>
      </c>
    </row>
    <row r="358" spans="1:53" x14ac:dyDescent="0.2">
      <c r="A358">
        <v>2018</v>
      </c>
      <c r="B358" t="s">
        <v>66</v>
      </c>
      <c r="C358" t="s">
        <v>57</v>
      </c>
      <c r="D358">
        <v>0.2</v>
      </c>
      <c r="E358">
        <v>0.2</v>
      </c>
      <c r="F358">
        <v>0</v>
      </c>
      <c r="G358">
        <v>0.4</v>
      </c>
      <c r="H358">
        <v>0</v>
      </c>
      <c r="I358">
        <v>0.5</v>
      </c>
      <c r="J358">
        <v>4.0999999999999996</v>
      </c>
      <c r="K358">
        <f t="shared" si="107"/>
        <v>5.3999999999999995</v>
      </c>
      <c r="L358">
        <v>0</v>
      </c>
      <c r="M358">
        <v>0</v>
      </c>
      <c r="N358">
        <v>0.1</v>
      </c>
      <c r="O358">
        <f t="shared" si="108"/>
        <v>0.1</v>
      </c>
      <c r="P358">
        <v>0</v>
      </c>
      <c r="Q358">
        <v>0.9</v>
      </c>
      <c r="R358">
        <v>14.8</v>
      </c>
      <c r="S358">
        <f t="shared" si="121"/>
        <v>15.700000000000001</v>
      </c>
      <c r="T358">
        <v>6</v>
      </c>
      <c r="U358">
        <v>0.2</v>
      </c>
      <c r="V358" s="1">
        <v>0.1</v>
      </c>
      <c r="W358" s="1">
        <v>0</v>
      </c>
      <c r="X358">
        <v>0</v>
      </c>
      <c r="Y358">
        <v>0.5</v>
      </c>
      <c r="Z358">
        <v>0.6</v>
      </c>
      <c r="AA358">
        <f t="shared" si="122"/>
        <v>7.3999999999999995</v>
      </c>
      <c r="AB358">
        <v>0</v>
      </c>
      <c r="AC358">
        <v>0</v>
      </c>
      <c r="AD358">
        <v>0</v>
      </c>
      <c r="AE358">
        <v>3.4</v>
      </c>
      <c r="AF358">
        <v>0.1</v>
      </c>
      <c r="AG358">
        <v>0</v>
      </c>
      <c r="AH358">
        <v>0.1</v>
      </c>
      <c r="AI358">
        <v>0</v>
      </c>
      <c r="AJ358">
        <f t="shared" si="110"/>
        <v>3.6</v>
      </c>
      <c r="AK358">
        <v>0</v>
      </c>
      <c r="AL358">
        <v>0.67900000000000005</v>
      </c>
      <c r="AM358">
        <f t="shared" si="111"/>
        <v>0.32199999999999995</v>
      </c>
      <c r="AN358">
        <v>46094</v>
      </c>
      <c r="AO358" t="s">
        <v>13</v>
      </c>
      <c r="AP358" s="3">
        <f t="shared" si="109"/>
        <v>67985.250737463124</v>
      </c>
      <c r="AQ358" t="s">
        <v>13</v>
      </c>
      <c r="AR358">
        <f t="shared" si="123"/>
        <v>0.11180124223602488</v>
      </c>
      <c r="AS358">
        <f t="shared" si="124"/>
        <v>0.28599999999999998</v>
      </c>
      <c r="AT358">
        <f t="shared" si="125"/>
        <v>19444</v>
      </c>
      <c r="AU358">
        <f t="shared" si="126"/>
        <v>2447</v>
      </c>
      <c r="AV358">
        <f t="shared" si="112"/>
        <v>17608</v>
      </c>
      <c r="AW358">
        <f t="shared" si="113"/>
        <v>2540</v>
      </c>
      <c r="AX358" s="3">
        <f t="shared" si="114"/>
        <v>47837.250737463124</v>
      </c>
      <c r="AY358">
        <f t="shared" si="115"/>
        <v>9722</v>
      </c>
      <c r="AZ358">
        <f t="shared" si="116"/>
        <v>2937</v>
      </c>
      <c r="BA358" s="3">
        <f t="shared" si="117"/>
        <v>55326.250737463124</v>
      </c>
    </row>
    <row r="359" spans="1:53" x14ac:dyDescent="0.2">
      <c r="A359">
        <v>2019</v>
      </c>
      <c r="B359" t="s">
        <v>66</v>
      </c>
      <c r="C359" t="s">
        <v>57</v>
      </c>
      <c r="D359">
        <v>0.3</v>
      </c>
      <c r="E359">
        <v>0.2</v>
      </c>
      <c r="F359">
        <v>0</v>
      </c>
      <c r="G359">
        <v>0</v>
      </c>
      <c r="H359">
        <v>0</v>
      </c>
      <c r="I359">
        <v>1.4</v>
      </c>
      <c r="J359">
        <v>0.7</v>
      </c>
      <c r="K359">
        <f t="shared" si="107"/>
        <v>2.5999999999999996</v>
      </c>
      <c r="L359">
        <v>0</v>
      </c>
      <c r="M359">
        <v>0</v>
      </c>
      <c r="N359">
        <v>0.3</v>
      </c>
      <c r="O359">
        <f t="shared" si="108"/>
        <v>0.3</v>
      </c>
      <c r="P359">
        <v>0</v>
      </c>
      <c r="Q359">
        <v>1.1000000000000001</v>
      </c>
      <c r="R359">
        <v>21.6</v>
      </c>
      <c r="S359">
        <f t="shared" si="121"/>
        <v>22.700000000000003</v>
      </c>
      <c r="T359">
        <v>3.8</v>
      </c>
      <c r="U359">
        <v>0.3</v>
      </c>
      <c r="V359" s="1">
        <v>0</v>
      </c>
      <c r="W359" s="1">
        <v>0</v>
      </c>
      <c r="X359">
        <v>0</v>
      </c>
      <c r="Y359">
        <v>0</v>
      </c>
      <c r="Z359">
        <v>0.5</v>
      </c>
      <c r="AA359">
        <f t="shared" si="122"/>
        <v>4.5999999999999996</v>
      </c>
      <c r="AB359">
        <v>0</v>
      </c>
      <c r="AC359">
        <v>0</v>
      </c>
      <c r="AD359">
        <v>0</v>
      </c>
      <c r="AE359">
        <v>1.9</v>
      </c>
      <c r="AF359">
        <v>0.9</v>
      </c>
      <c r="AG359">
        <v>0</v>
      </c>
      <c r="AH359">
        <v>0</v>
      </c>
      <c r="AI359">
        <v>0</v>
      </c>
      <c r="AJ359">
        <f t="shared" si="110"/>
        <v>2.8</v>
      </c>
      <c r="AK359">
        <v>0.9</v>
      </c>
      <c r="AL359">
        <v>0.66</v>
      </c>
      <c r="AM359">
        <f t="shared" si="111"/>
        <v>0.33000000000000007</v>
      </c>
      <c r="AN359">
        <v>45186</v>
      </c>
      <c r="AO359" t="s">
        <v>13</v>
      </c>
      <c r="AP359" s="3">
        <f t="shared" si="109"/>
        <v>67441.791044776124</v>
      </c>
      <c r="AQ359" t="s">
        <v>13</v>
      </c>
      <c r="AR359">
        <f t="shared" si="123"/>
        <v>8.4848484848484826E-2</v>
      </c>
      <c r="AS359">
        <f t="shared" si="124"/>
        <v>0.30200000000000005</v>
      </c>
      <c r="AT359">
        <f t="shared" si="125"/>
        <v>20367</v>
      </c>
      <c r="AU359">
        <f t="shared" si="126"/>
        <v>1888</v>
      </c>
      <c r="AV359">
        <f t="shared" si="112"/>
        <v>19491</v>
      </c>
      <c r="AW359">
        <f t="shared" si="113"/>
        <v>1923</v>
      </c>
      <c r="AX359" s="3">
        <f t="shared" si="114"/>
        <v>46027.791044776124</v>
      </c>
      <c r="AY359">
        <f t="shared" si="115"/>
        <v>10184</v>
      </c>
      <c r="AZ359">
        <f t="shared" si="116"/>
        <v>2296</v>
      </c>
      <c r="BA359" s="3">
        <f t="shared" si="117"/>
        <v>54961.791044776124</v>
      </c>
    </row>
    <row r="360" spans="1:53" x14ac:dyDescent="0.2">
      <c r="A360">
        <v>2020</v>
      </c>
      <c r="B360" t="s">
        <v>66</v>
      </c>
      <c r="C360" t="s">
        <v>57</v>
      </c>
      <c r="D360">
        <v>0.4</v>
      </c>
      <c r="E360">
        <v>0</v>
      </c>
      <c r="F360">
        <v>0.3</v>
      </c>
      <c r="G360">
        <v>0</v>
      </c>
      <c r="H360">
        <v>0</v>
      </c>
      <c r="I360">
        <v>0.9</v>
      </c>
      <c r="J360">
        <v>0</v>
      </c>
      <c r="K360">
        <f t="shared" si="107"/>
        <v>1.6</v>
      </c>
      <c r="L360">
        <v>0</v>
      </c>
      <c r="M360">
        <v>0</v>
      </c>
      <c r="N360">
        <v>0</v>
      </c>
      <c r="O360">
        <f t="shared" si="108"/>
        <v>0</v>
      </c>
      <c r="P360">
        <v>0</v>
      </c>
      <c r="Q360">
        <v>0.7</v>
      </c>
      <c r="R360">
        <v>17.3</v>
      </c>
      <c r="S360">
        <f t="shared" si="121"/>
        <v>18</v>
      </c>
      <c r="T360">
        <v>0.9</v>
      </c>
      <c r="U360">
        <v>0.2</v>
      </c>
      <c r="V360" s="1">
        <v>0</v>
      </c>
      <c r="W360" s="1">
        <v>0</v>
      </c>
      <c r="X360">
        <v>0</v>
      </c>
      <c r="Y360">
        <v>0</v>
      </c>
      <c r="Z360">
        <v>1.3</v>
      </c>
      <c r="AA360">
        <f t="shared" si="122"/>
        <v>2.4000000000000004</v>
      </c>
      <c r="AB360">
        <v>0</v>
      </c>
      <c r="AC360">
        <v>0</v>
      </c>
      <c r="AD360">
        <v>0</v>
      </c>
      <c r="AE360">
        <v>2.4</v>
      </c>
      <c r="AF360">
        <v>0</v>
      </c>
      <c r="AG360">
        <v>0</v>
      </c>
      <c r="AH360">
        <v>0</v>
      </c>
      <c r="AI360">
        <v>0</v>
      </c>
      <c r="AJ360">
        <f t="shared" si="110"/>
        <v>2.4</v>
      </c>
      <c r="AK360">
        <v>0</v>
      </c>
      <c r="AL360">
        <v>0.75599999999999989</v>
      </c>
      <c r="AM360">
        <f t="shared" si="111"/>
        <v>0.24399999999999999</v>
      </c>
      <c r="AN360">
        <v>43087</v>
      </c>
      <c r="AO360" t="s">
        <v>13</v>
      </c>
      <c r="AP360" s="3">
        <f t="shared" si="109"/>
        <v>56993.386243386245</v>
      </c>
      <c r="AQ360" t="s">
        <v>13</v>
      </c>
      <c r="AR360">
        <f t="shared" si="123"/>
        <v>9.8360655737704916E-2</v>
      </c>
      <c r="AS360">
        <f t="shared" si="124"/>
        <v>0.22</v>
      </c>
      <c r="AT360">
        <f t="shared" si="125"/>
        <v>12539</v>
      </c>
      <c r="AU360">
        <f t="shared" si="126"/>
        <v>1368</v>
      </c>
      <c r="AV360">
        <f t="shared" si="112"/>
        <v>12083</v>
      </c>
      <c r="AW360">
        <f t="shared" si="113"/>
        <v>1382</v>
      </c>
      <c r="AX360" s="3">
        <f t="shared" si="114"/>
        <v>43528.386243386245</v>
      </c>
      <c r="AY360">
        <f t="shared" si="115"/>
        <v>6269</v>
      </c>
      <c r="AZ360">
        <f t="shared" si="116"/>
        <v>1561</v>
      </c>
      <c r="BA360" s="3">
        <f t="shared" si="117"/>
        <v>49163.386243386245</v>
      </c>
    </row>
    <row r="361" spans="1:53" x14ac:dyDescent="0.2">
      <c r="A361">
        <v>2021</v>
      </c>
      <c r="B361" t="s">
        <v>66</v>
      </c>
      <c r="C361" t="s">
        <v>57</v>
      </c>
      <c r="D361">
        <v>0.3</v>
      </c>
      <c r="E361">
        <v>0</v>
      </c>
      <c r="F361">
        <v>0</v>
      </c>
      <c r="G361">
        <v>0.1</v>
      </c>
      <c r="H361">
        <v>0</v>
      </c>
      <c r="I361">
        <v>0.6</v>
      </c>
      <c r="J361">
        <v>0.4</v>
      </c>
      <c r="K361">
        <f t="shared" si="107"/>
        <v>1.4</v>
      </c>
      <c r="L361">
        <v>0</v>
      </c>
      <c r="M361">
        <v>0</v>
      </c>
      <c r="N361">
        <v>0</v>
      </c>
      <c r="O361">
        <f t="shared" si="108"/>
        <v>0</v>
      </c>
      <c r="P361">
        <v>0</v>
      </c>
      <c r="Q361">
        <v>0.7</v>
      </c>
      <c r="R361">
        <v>18.7</v>
      </c>
      <c r="S361">
        <f t="shared" si="121"/>
        <v>19.399999999999999</v>
      </c>
      <c r="T361">
        <v>4.3</v>
      </c>
      <c r="U361">
        <v>0.7</v>
      </c>
      <c r="V361" s="1">
        <v>0</v>
      </c>
      <c r="W361" s="1">
        <v>0</v>
      </c>
      <c r="X361">
        <v>0</v>
      </c>
      <c r="Y361">
        <v>0.2</v>
      </c>
      <c r="Z361">
        <v>0.8</v>
      </c>
      <c r="AA361">
        <f t="shared" si="122"/>
        <v>6</v>
      </c>
      <c r="AB361">
        <v>0</v>
      </c>
      <c r="AC361">
        <v>0</v>
      </c>
      <c r="AD361">
        <v>0</v>
      </c>
      <c r="AE361">
        <v>1</v>
      </c>
      <c r="AF361">
        <v>0</v>
      </c>
      <c r="AG361">
        <v>0</v>
      </c>
      <c r="AH361">
        <v>0</v>
      </c>
      <c r="AI361">
        <v>0</v>
      </c>
      <c r="AJ361">
        <f t="shared" si="110"/>
        <v>1</v>
      </c>
      <c r="AK361">
        <v>0</v>
      </c>
      <c r="AL361">
        <v>0.72400000000000009</v>
      </c>
      <c r="AM361">
        <f t="shared" si="111"/>
        <v>0.27800000000000002</v>
      </c>
      <c r="AN361">
        <v>36449</v>
      </c>
      <c r="AO361" t="s">
        <v>13</v>
      </c>
      <c r="AP361" s="3">
        <f t="shared" si="109"/>
        <v>50483.379501385047</v>
      </c>
      <c r="AQ361" t="s">
        <v>13</v>
      </c>
      <c r="AR361">
        <f t="shared" si="123"/>
        <v>3.5971223021582732E-2</v>
      </c>
      <c r="AS361">
        <f t="shared" si="124"/>
        <v>0.26799999999999996</v>
      </c>
      <c r="AT361">
        <f t="shared" si="125"/>
        <v>13530</v>
      </c>
      <c r="AU361">
        <f t="shared" si="126"/>
        <v>505</v>
      </c>
      <c r="AV361">
        <f t="shared" si="112"/>
        <v>13176</v>
      </c>
      <c r="AW361">
        <f t="shared" si="113"/>
        <v>510</v>
      </c>
      <c r="AX361" s="3">
        <f t="shared" si="114"/>
        <v>36797.379501385047</v>
      </c>
      <c r="AY361">
        <f t="shared" si="115"/>
        <v>6765</v>
      </c>
      <c r="AZ361">
        <f t="shared" si="116"/>
        <v>597</v>
      </c>
      <c r="BA361" s="3">
        <f t="shared" si="117"/>
        <v>43121.379501385047</v>
      </c>
    </row>
    <row r="362" spans="1:53" x14ac:dyDescent="0.2">
      <c r="A362">
        <v>2022</v>
      </c>
      <c r="B362" t="s">
        <v>66</v>
      </c>
      <c r="C362" t="s">
        <v>57</v>
      </c>
      <c r="D362">
        <v>0.3</v>
      </c>
      <c r="E362">
        <v>0</v>
      </c>
      <c r="F362">
        <v>0</v>
      </c>
      <c r="G362">
        <v>0.1</v>
      </c>
      <c r="H362">
        <v>0</v>
      </c>
      <c r="I362">
        <v>0.4</v>
      </c>
      <c r="J362">
        <v>1.3</v>
      </c>
      <c r="K362">
        <f t="shared" si="107"/>
        <v>2.1</v>
      </c>
      <c r="L362">
        <v>0</v>
      </c>
      <c r="M362">
        <v>0</v>
      </c>
      <c r="N362">
        <v>0</v>
      </c>
      <c r="O362">
        <f t="shared" si="108"/>
        <v>0</v>
      </c>
      <c r="P362">
        <v>0</v>
      </c>
      <c r="Q362">
        <v>0.6</v>
      </c>
      <c r="R362">
        <v>2.6</v>
      </c>
      <c r="S362">
        <f t="shared" si="121"/>
        <v>3.2</v>
      </c>
      <c r="T362">
        <v>1.2</v>
      </c>
      <c r="U362">
        <v>0.4</v>
      </c>
      <c r="V362" s="1">
        <v>0.2</v>
      </c>
      <c r="W362" s="1">
        <v>0</v>
      </c>
      <c r="X362">
        <v>0</v>
      </c>
      <c r="Y362">
        <v>0</v>
      </c>
      <c r="Z362">
        <v>0.3</v>
      </c>
      <c r="AA362">
        <f t="shared" si="122"/>
        <v>2.1</v>
      </c>
      <c r="AB362">
        <v>0</v>
      </c>
      <c r="AC362">
        <v>0</v>
      </c>
      <c r="AD362">
        <v>0</v>
      </c>
      <c r="AE362">
        <v>3</v>
      </c>
      <c r="AF362">
        <v>0</v>
      </c>
      <c r="AG362">
        <v>0</v>
      </c>
      <c r="AH362">
        <v>0.2</v>
      </c>
      <c r="AI362">
        <v>0</v>
      </c>
      <c r="AJ362">
        <f t="shared" si="110"/>
        <v>3.2</v>
      </c>
      <c r="AK362">
        <v>0</v>
      </c>
      <c r="AL362">
        <v>0.89500000000000002</v>
      </c>
      <c r="AM362">
        <f t="shared" si="111"/>
        <v>0.10600000000000001</v>
      </c>
      <c r="AN362">
        <v>81649</v>
      </c>
      <c r="AO362" t="s">
        <v>13</v>
      </c>
      <c r="AP362" s="3">
        <f t="shared" si="109"/>
        <v>91329.977628635344</v>
      </c>
      <c r="AQ362" t="s">
        <v>13</v>
      </c>
      <c r="AR362">
        <f t="shared" si="123"/>
        <v>0.30188679245283018</v>
      </c>
      <c r="AS362">
        <f t="shared" si="124"/>
        <v>7.400000000000001E-2</v>
      </c>
      <c r="AT362">
        <f t="shared" si="125"/>
        <v>6758</v>
      </c>
      <c r="AU362">
        <f t="shared" si="126"/>
        <v>2923</v>
      </c>
      <c r="AV362">
        <f t="shared" si="112"/>
        <v>5799</v>
      </c>
      <c r="AW362">
        <f t="shared" si="113"/>
        <v>2956</v>
      </c>
      <c r="AX362" s="3">
        <f t="shared" si="114"/>
        <v>82574.977628635344</v>
      </c>
      <c r="AY362">
        <f t="shared" si="115"/>
        <v>3379</v>
      </c>
      <c r="AZ362">
        <f t="shared" si="116"/>
        <v>3040</v>
      </c>
      <c r="BA362" s="3">
        <f t="shared" si="117"/>
        <v>84910.977628635344</v>
      </c>
    </row>
    <row r="363" spans="1:53" x14ac:dyDescent="0.2">
      <c r="A363">
        <v>2023</v>
      </c>
      <c r="B363" t="s">
        <v>66</v>
      </c>
      <c r="C363" t="s">
        <v>57</v>
      </c>
      <c r="D363">
        <v>0</v>
      </c>
      <c r="E363">
        <v>0.2</v>
      </c>
      <c r="F363">
        <v>0</v>
      </c>
      <c r="G363">
        <v>0.6</v>
      </c>
      <c r="H363">
        <v>0</v>
      </c>
      <c r="I363">
        <v>0.7</v>
      </c>
      <c r="J363">
        <v>0</v>
      </c>
      <c r="K363">
        <f t="shared" si="107"/>
        <v>1.5</v>
      </c>
      <c r="L363">
        <v>0</v>
      </c>
      <c r="M363">
        <v>0</v>
      </c>
      <c r="N363">
        <v>0</v>
      </c>
      <c r="O363">
        <f t="shared" si="108"/>
        <v>0</v>
      </c>
      <c r="P363">
        <v>0</v>
      </c>
      <c r="Q363">
        <v>0.5</v>
      </c>
      <c r="R363">
        <v>17</v>
      </c>
      <c r="S363">
        <f t="shared" si="121"/>
        <v>17.5</v>
      </c>
      <c r="T363">
        <v>0</v>
      </c>
      <c r="U363">
        <v>0.3</v>
      </c>
      <c r="V363" s="1">
        <v>0</v>
      </c>
      <c r="W363" s="1">
        <v>0</v>
      </c>
      <c r="X363">
        <v>0</v>
      </c>
      <c r="Y363">
        <v>0</v>
      </c>
      <c r="Z363">
        <v>0</v>
      </c>
      <c r="AA363">
        <f t="shared" si="122"/>
        <v>0.3</v>
      </c>
      <c r="AB363">
        <v>0</v>
      </c>
      <c r="AC363">
        <v>0</v>
      </c>
      <c r="AD363">
        <v>0</v>
      </c>
      <c r="AE363">
        <v>0.5</v>
      </c>
      <c r="AF363">
        <v>0</v>
      </c>
      <c r="AG363">
        <v>0</v>
      </c>
      <c r="AH363">
        <v>0</v>
      </c>
      <c r="AI363">
        <v>0</v>
      </c>
      <c r="AJ363">
        <f t="shared" si="110"/>
        <v>0.5</v>
      </c>
      <c r="AK363">
        <v>0</v>
      </c>
      <c r="AL363">
        <v>0.80299999999999994</v>
      </c>
      <c r="AM363">
        <f t="shared" si="111"/>
        <v>0.19800000000000001</v>
      </c>
      <c r="AN363">
        <v>146498</v>
      </c>
      <c r="AO363" t="s">
        <v>13</v>
      </c>
      <c r="AP363" s="3">
        <f t="shared" si="109"/>
        <v>182665.83541147131</v>
      </c>
      <c r="AQ363" t="s">
        <v>13</v>
      </c>
      <c r="AR363">
        <f t="shared" si="123"/>
        <v>2.5252525252525252E-2</v>
      </c>
      <c r="AS363">
        <f t="shared" si="124"/>
        <v>0.193</v>
      </c>
      <c r="AT363">
        <f t="shared" si="125"/>
        <v>35255</v>
      </c>
      <c r="AU363">
        <f t="shared" si="126"/>
        <v>913</v>
      </c>
      <c r="AV363">
        <f t="shared" si="112"/>
        <v>33885</v>
      </c>
      <c r="AW363">
        <f t="shared" si="113"/>
        <v>921</v>
      </c>
      <c r="AX363" s="3">
        <f t="shared" si="114"/>
        <v>147859.83541147131</v>
      </c>
      <c r="AY363">
        <f t="shared" si="115"/>
        <v>17627</v>
      </c>
      <c r="AZ363">
        <f t="shared" si="116"/>
        <v>1022</v>
      </c>
      <c r="BA363" s="3">
        <f t="shared" si="117"/>
        <v>164016.83541147131</v>
      </c>
    </row>
    <row r="364" spans="1:53" x14ac:dyDescent="0.2">
      <c r="A364">
        <v>1985</v>
      </c>
      <c r="B364" t="s">
        <v>67</v>
      </c>
      <c r="C364" t="s">
        <v>2</v>
      </c>
      <c r="D364">
        <v>25.1</v>
      </c>
      <c r="E364">
        <v>0</v>
      </c>
      <c r="F364">
        <v>1.4</v>
      </c>
      <c r="G364">
        <v>6.8</v>
      </c>
      <c r="H364">
        <v>0</v>
      </c>
      <c r="I364">
        <v>0</v>
      </c>
      <c r="J364">
        <v>0</v>
      </c>
      <c r="K364">
        <f t="shared" si="107"/>
        <v>33.299999999999997</v>
      </c>
      <c r="L364">
        <v>0</v>
      </c>
      <c r="M364">
        <v>11</v>
      </c>
      <c r="N364">
        <v>0</v>
      </c>
      <c r="O364">
        <f t="shared" si="108"/>
        <v>11</v>
      </c>
      <c r="P364">
        <v>0</v>
      </c>
      <c r="Q364">
        <v>0</v>
      </c>
      <c r="R364">
        <v>0</v>
      </c>
      <c r="S364">
        <f t="shared" si="121"/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f t="shared" si="122"/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f t="shared" si="110"/>
        <v>0</v>
      </c>
      <c r="AK364">
        <v>0</v>
      </c>
      <c r="AL364">
        <v>0.55799999999999994</v>
      </c>
      <c r="AM364">
        <f t="shared" si="111"/>
        <v>0.44299999999999995</v>
      </c>
      <c r="AN364">
        <v>8308</v>
      </c>
      <c r="AO364" t="s">
        <v>13</v>
      </c>
      <c r="AP364" s="3">
        <f t="shared" si="109"/>
        <v>14915.619389587073</v>
      </c>
      <c r="AQ364" t="s">
        <v>13</v>
      </c>
      <c r="AR364">
        <f t="shared" si="123"/>
        <v>0</v>
      </c>
      <c r="AS364">
        <f t="shared" si="124"/>
        <v>0.44299999999999995</v>
      </c>
      <c r="AT364">
        <f t="shared" si="125"/>
        <v>6608</v>
      </c>
      <c r="AU364">
        <f t="shared" si="126"/>
        <v>0</v>
      </c>
      <c r="AV364">
        <f t="shared" si="112"/>
        <v>4124</v>
      </c>
      <c r="AW364">
        <f t="shared" si="113"/>
        <v>0</v>
      </c>
      <c r="AX364" s="3">
        <f t="shared" si="114"/>
        <v>10791.619389587073</v>
      </c>
      <c r="AY364">
        <f t="shared" si="115"/>
        <v>3304</v>
      </c>
      <c r="AZ364">
        <f t="shared" si="116"/>
        <v>0</v>
      </c>
      <c r="BA364" s="3">
        <f t="shared" si="117"/>
        <v>11611.619389587073</v>
      </c>
    </row>
    <row r="365" spans="1:53" x14ac:dyDescent="0.2">
      <c r="A365">
        <v>1986</v>
      </c>
      <c r="B365" t="s">
        <v>67</v>
      </c>
      <c r="C365" t="s">
        <v>2</v>
      </c>
      <c r="D365">
        <v>12.8</v>
      </c>
      <c r="E365">
        <v>0</v>
      </c>
      <c r="F365">
        <v>0.1</v>
      </c>
      <c r="G365">
        <v>17.399999999999999</v>
      </c>
      <c r="H365">
        <v>0</v>
      </c>
      <c r="I365">
        <v>0</v>
      </c>
      <c r="J365">
        <v>0</v>
      </c>
      <c r="K365">
        <f t="shared" si="107"/>
        <v>30.299999999999997</v>
      </c>
      <c r="L365">
        <v>0</v>
      </c>
      <c r="M365">
        <v>10.9</v>
      </c>
      <c r="N365">
        <v>0</v>
      </c>
      <c r="O365">
        <f t="shared" si="108"/>
        <v>10.9</v>
      </c>
      <c r="P365">
        <v>0</v>
      </c>
      <c r="Q365">
        <v>0</v>
      </c>
      <c r="R365">
        <v>0</v>
      </c>
      <c r="S365">
        <f t="shared" si="121"/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f t="shared" si="122"/>
        <v>0</v>
      </c>
      <c r="AB365">
        <v>0</v>
      </c>
      <c r="AC365">
        <v>0</v>
      </c>
      <c r="AD365">
        <v>0</v>
      </c>
      <c r="AE365">
        <v>0</v>
      </c>
      <c r="AF365">
        <v>3.1</v>
      </c>
      <c r="AG365">
        <v>0</v>
      </c>
      <c r="AH365">
        <v>0</v>
      </c>
      <c r="AI365">
        <v>0</v>
      </c>
      <c r="AJ365">
        <f t="shared" si="110"/>
        <v>3.1</v>
      </c>
      <c r="AK365">
        <v>0</v>
      </c>
      <c r="AL365">
        <v>0.55700000000000005</v>
      </c>
      <c r="AM365">
        <f t="shared" si="111"/>
        <v>0.44299999999999995</v>
      </c>
      <c r="AN365">
        <v>10151</v>
      </c>
      <c r="AO365" t="s">
        <v>13</v>
      </c>
      <c r="AP365" s="3">
        <f t="shared" si="109"/>
        <v>18224.416517055655</v>
      </c>
      <c r="AQ365" t="s">
        <v>13</v>
      </c>
      <c r="AR365">
        <f t="shared" si="123"/>
        <v>6.9977426636568862E-2</v>
      </c>
      <c r="AS365">
        <f t="shared" si="124"/>
        <v>0.41199999999999998</v>
      </c>
      <c r="AT365">
        <f t="shared" si="125"/>
        <v>7508</v>
      </c>
      <c r="AU365">
        <f t="shared" si="126"/>
        <v>565</v>
      </c>
      <c r="AV365">
        <f t="shared" si="112"/>
        <v>4747</v>
      </c>
      <c r="AW365">
        <f t="shared" si="113"/>
        <v>711</v>
      </c>
      <c r="AX365" s="3">
        <f t="shared" si="114"/>
        <v>12766.416517055655</v>
      </c>
      <c r="AY365">
        <f t="shared" si="115"/>
        <v>3754</v>
      </c>
      <c r="AZ365">
        <f t="shared" si="116"/>
        <v>763</v>
      </c>
      <c r="BA365" s="3">
        <f t="shared" si="117"/>
        <v>13707.416517055655</v>
      </c>
    </row>
    <row r="366" spans="1:53" x14ac:dyDescent="0.2">
      <c r="A366">
        <v>1987</v>
      </c>
      <c r="B366" t="s">
        <v>67</v>
      </c>
      <c r="C366" t="s">
        <v>2</v>
      </c>
      <c r="D366">
        <v>16.899999999999999</v>
      </c>
      <c r="E366">
        <v>0.1</v>
      </c>
      <c r="F366">
        <v>3.6</v>
      </c>
      <c r="G366">
        <v>12.8</v>
      </c>
      <c r="H366">
        <v>0.5</v>
      </c>
      <c r="I366">
        <v>0</v>
      </c>
      <c r="J366">
        <v>0</v>
      </c>
      <c r="K366">
        <f t="shared" ref="K366:K428" si="127">SUM(D366:J366)</f>
        <v>33.900000000000006</v>
      </c>
      <c r="L366">
        <v>0</v>
      </c>
      <c r="M366">
        <v>9.1</v>
      </c>
      <c r="N366">
        <v>2.7</v>
      </c>
      <c r="O366">
        <f t="shared" ref="O366:O428" si="128">SUM(L366:N366)</f>
        <v>11.8</v>
      </c>
      <c r="P366">
        <v>0</v>
      </c>
      <c r="Q366">
        <v>0</v>
      </c>
      <c r="R366">
        <v>0</v>
      </c>
      <c r="S366">
        <f t="shared" si="121"/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f t="shared" si="122"/>
        <v>0</v>
      </c>
      <c r="AB366">
        <v>0</v>
      </c>
      <c r="AC366">
        <v>0</v>
      </c>
      <c r="AD366">
        <v>0</v>
      </c>
      <c r="AE366">
        <v>0</v>
      </c>
      <c r="AF366">
        <v>2.7</v>
      </c>
      <c r="AG366">
        <v>0</v>
      </c>
      <c r="AH366">
        <v>0</v>
      </c>
      <c r="AI366">
        <v>0</v>
      </c>
      <c r="AJ366">
        <f t="shared" si="110"/>
        <v>2.7</v>
      </c>
      <c r="AK366">
        <v>0</v>
      </c>
      <c r="AL366">
        <v>0.51700000000000002</v>
      </c>
      <c r="AM366">
        <f t="shared" si="111"/>
        <v>0.48400000000000004</v>
      </c>
      <c r="AN366">
        <v>24508</v>
      </c>
      <c r="AO366" t="s">
        <v>13</v>
      </c>
      <c r="AP366" s="3">
        <f t="shared" si="109"/>
        <v>47496.124031007748</v>
      </c>
      <c r="AQ366" t="s">
        <v>13</v>
      </c>
      <c r="AR366">
        <f t="shared" si="123"/>
        <v>5.578512396694215E-2</v>
      </c>
      <c r="AS366">
        <f t="shared" si="124"/>
        <v>0.45700000000000002</v>
      </c>
      <c r="AT366">
        <f t="shared" si="125"/>
        <v>21706</v>
      </c>
      <c r="AU366">
        <f t="shared" si="126"/>
        <v>1282</v>
      </c>
      <c r="AV366">
        <f t="shared" si="112"/>
        <v>13655</v>
      </c>
      <c r="AW366">
        <f t="shared" si="113"/>
        <v>1682</v>
      </c>
      <c r="AX366" s="3">
        <f t="shared" si="114"/>
        <v>32159.124031007748</v>
      </c>
      <c r="AY366">
        <f t="shared" si="115"/>
        <v>10853</v>
      </c>
      <c r="AZ366">
        <f t="shared" si="116"/>
        <v>1821</v>
      </c>
      <c r="BA366" s="3">
        <f t="shared" si="117"/>
        <v>34822.124031007748</v>
      </c>
    </row>
    <row r="367" spans="1:53" x14ac:dyDescent="0.2">
      <c r="A367">
        <v>1988</v>
      </c>
      <c r="B367" t="s">
        <v>67</v>
      </c>
      <c r="C367" t="s">
        <v>2</v>
      </c>
      <c r="D367">
        <v>27</v>
      </c>
      <c r="E367">
        <v>1.9</v>
      </c>
      <c r="F367">
        <v>5.2</v>
      </c>
      <c r="G367">
        <v>8.5</v>
      </c>
      <c r="H367">
        <v>0.6</v>
      </c>
      <c r="I367">
        <v>0</v>
      </c>
      <c r="J367">
        <v>0</v>
      </c>
      <c r="K367">
        <f t="shared" si="127"/>
        <v>43.2</v>
      </c>
      <c r="L367">
        <v>0.1</v>
      </c>
      <c r="M367">
        <v>21</v>
      </c>
      <c r="N367">
        <v>3.6</v>
      </c>
      <c r="O367">
        <f t="shared" si="128"/>
        <v>24.700000000000003</v>
      </c>
      <c r="P367">
        <v>0</v>
      </c>
      <c r="Q367">
        <v>0</v>
      </c>
      <c r="R367">
        <v>0</v>
      </c>
      <c r="S367">
        <f t="shared" si="121"/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f t="shared" si="122"/>
        <v>0</v>
      </c>
      <c r="AB367">
        <v>0</v>
      </c>
      <c r="AC367">
        <v>0</v>
      </c>
      <c r="AD367">
        <v>0</v>
      </c>
      <c r="AE367">
        <v>0</v>
      </c>
      <c r="AF367">
        <v>3.6</v>
      </c>
      <c r="AG367">
        <v>0</v>
      </c>
      <c r="AH367">
        <v>0</v>
      </c>
      <c r="AI367">
        <v>0</v>
      </c>
      <c r="AJ367">
        <f t="shared" si="110"/>
        <v>3.6</v>
      </c>
      <c r="AK367">
        <v>0</v>
      </c>
      <c r="AL367">
        <v>0.28499999999999998</v>
      </c>
      <c r="AM367">
        <f t="shared" si="111"/>
        <v>0.71499999999999997</v>
      </c>
      <c r="AN367">
        <v>22755</v>
      </c>
      <c r="AO367" t="s">
        <v>13</v>
      </c>
      <c r="AP367" s="3">
        <f t="shared" ref="AP367:AP430" si="129">AN367/(1-AM367)</f>
        <v>79842.105263157893</v>
      </c>
      <c r="AQ367" t="s">
        <v>13</v>
      </c>
      <c r="AR367">
        <f t="shared" si="123"/>
        <v>5.034965034965036E-2</v>
      </c>
      <c r="AS367">
        <f t="shared" si="124"/>
        <v>0.67900000000000005</v>
      </c>
      <c r="AT367">
        <f t="shared" si="125"/>
        <v>54213</v>
      </c>
      <c r="AU367">
        <f t="shared" si="126"/>
        <v>2874</v>
      </c>
      <c r="AV367">
        <f t="shared" si="112"/>
        <v>36967</v>
      </c>
      <c r="AW367">
        <f t="shared" si="113"/>
        <v>4808</v>
      </c>
      <c r="AX367" s="3">
        <f t="shared" si="114"/>
        <v>38067.105263157893</v>
      </c>
      <c r="AY367">
        <f t="shared" si="115"/>
        <v>27106</v>
      </c>
      <c r="AZ367">
        <f t="shared" si="116"/>
        <v>5914</v>
      </c>
      <c r="BA367" s="3">
        <f t="shared" si="117"/>
        <v>46822.105263157893</v>
      </c>
    </row>
    <row r="368" spans="1:53" x14ac:dyDescent="0.2">
      <c r="A368">
        <v>1989</v>
      </c>
      <c r="B368" t="s">
        <v>67</v>
      </c>
      <c r="C368" t="s">
        <v>2</v>
      </c>
      <c r="D368">
        <v>12.5</v>
      </c>
      <c r="E368">
        <v>0.6</v>
      </c>
      <c r="F368">
        <v>6.1</v>
      </c>
      <c r="G368">
        <v>4.5999999999999996</v>
      </c>
      <c r="H368">
        <v>1.5</v>
      </c>
      <c r="I368">
        <v>0</v>
      </c>
      <c r="J368">
        <v>0</v>
      </c>
      <c r="K368">
        <f t="shared" si="127"/>
        <v>25.299999999999997</v>
      </c>
      <c r="L368">
        <v>0</v>
      </c>
      <c r="M368">
        <v>9.3000000000000007</v>
      </c>
      <c r="N368">
        <v>1.5</v>
      </c>
      <c r="O368">
        <f t="shared" si="128"/>
        <v>10.8</v>
      </c>
      <c r="P368">
        <v>0</v>
      </c>
      <c r="Q368">
        <v>0</v>
      </c>
      <c r="R368">
        <v>0</v>
      </c>
      <c r="S368">
        <f t="shared" si="121"/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f t="shared" si="122"/>
        <v>0</v>
      </c>
      <c r="AB368">
        <v>0</v>
      </c>
      <c r="AC368">
        <v>0</v>
      </c>
      <c r="AD368">
        <v>0</v>
      </c>
      <c r="AE368">
        <v>0</v>
      </c>
      <c r="AF368">
        <v>3</v>
      </c>
      <c r="AG368">
        <v>0</v>
      </c>
      <c r="AH368">
        <v>0</v>
      </c>
      <c r="AI368">
        <v>0</v>
      </c>
      <c r="AJ368">
        <f t="shared" si="110"/>
        <v>3</v>
      </c>
      <c r="AK368">
        <v>0</v>
      </c>
      <c r="AL368">
        <v>0.60799999999999998</v>
      </c>
      <c r="AM368">
        <f t="shared" si="111"/>
        <v>0.39100000000000001</v>
      </c>
      <c r="AN368">
        <v>19900</v>
      </c>
      <c r="AO368" t="s">
        <v>13</v>
      </c>
      <c r="AP368" s="3">
        <f t="shared" si="129"/>
        <v>32676.518883415436</v>
      </c>
      <c r="AQ368" t="s">
        <v>13</v>
      </c>
      <c r="AR368">
        <f t="shared" si="123"/>
        <v>7.6726342710997431E-2</v>
      </c>
      <c r="AS368">
        <f t="shared" si="124"/>
        <v>0.36099999999999993</v>
      </c>
      <c r="AT368">
        <f t="shared" si="125"/>
        <v>11796</v>
      </c>
      <c r="AU368">
        <f t="shared" si="126"/>
        <v>980</v>
      </c>
      <c r="AV368">
        <f t="shared" si="112"/>
        <v>7663</v>
      </c>
      <c r="AW368">
        <f t="shared" si="113"/>
        <v>1174</v>
      </c>
      <c r="AX368" s="3">
        <f t="shared" si="114"/>
        <v>23839.518883415436</v>
      </c>
      <c r="AY368">
        <f t="shared" si="115"/>
        <v>5898</v>
      </c>
      <c r="AZ368">
        <f t="shared" si="116"/>
        <v>1257</v>
      </c>
      <c r="BA368" s="3">
        <f t="shared" si="117"/>
        <v>25521.518883415436</v>
      </c>
    </row>
    <row r="369" spans="1:53" x14ac:dyDescent="0.2">
      <c r="A369">
        <v>1990</v>
      </c>
      <c r="B369" t="s">
        <v>67</v>
      </c>
      <c r="C369" t="s">
        <v>2</v>
      </c>
      <c r="D369">
        <v>14.3</v>
      </c>
      <c r="E369">
        <v>0</v>
      </c>
      <c r="F369">
        <v>4</v>
      </c>
      <c r="G369">
        <v>9.5</v>
      </c>
      <c r="H369">
        <v>0.9</v>
      </c>
      <c r="I369">
        <v>0</v>
      </c>
      <c r="J369">
        <v>0</v>
      </c>
      <c r="K369">
        <f t="shared" si="127"/>
        <v>28.7</v>
      </c>
      <c r="L369">
        <v>0.4</v>
      </c>
      <c r="M369">
        <v>8.3000000000000007</v>
      </c>
      <c r="N369">
        <v>1.4</v>
      </c>
      <c r="O369">
        <f t="shared" si="128"/>
        <v>10.100000000000001</v>
      </c>
      <c r="P369">
        <v>0</v>
      </c>
      <c r="Q369">
        <v>0</v>
      </c>
      <c r="R369">
        <v>0</v>
      </c>
      <c r="S369">
        <f t="shared" si="121"/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f t="shared" si="122"/>
        <v>0</v>
      </c>
      <c r="AB369">
        <v>0</v>
      </c>
      <c r="AC369">
        <v>0</v>
      </c>
      <c r="AD369">
        <v>0</v>
      </c>
      <c r="AE369">
        <v>0</v>
      </c>
      <c r="AF369">
        <v>7.8</v>
      </c>
      <c r="AG369">
        <v>0</v>
      </c>
      <c r="AH369">
        <v>0</v>
      </c>
      <c r="AI369">
        <v>0</v>
      </c>
      <c r="AJ369">
        <f t="shared" si="110"/>
        <v>7.8</v>
      </c>
      <c r="AK369">
        <v>0</v>
      </c>
      <c r="AL369">
        <v>0.53299999999999992</v>
      </c>
      <c r="AM369">
        <f t="shared" si="111"/>
        <v>0.46600000000000003</v>
      </c>
      <c r="AN369">
        <v>20000</v>
      </c>
      <c r="AO369" t="s">
        <v>13</v>
      </c>
      <c r="AP369" s="3">
        <f t="shared" si="129"/>
        <v>37453.183520599247</v>
      </c>
      <c r="AQ369" t="s">
        <v>13</v>
      </c>
      <c r="AR369">
        <f t="shared" si="123"/>
        <v>0.16738197424892703</v>
      </c>
      <c r="AS369">
        <f t="shared" si="124"/>
        <v>0.38799999999999996</v>
      </c>
      <c r="AT369">
        <f t="shared" si="125"/>
        <v>14532</v>
      </c>
      <c r="AU369">
        <f t="shared" si="126"/>
        <v>2921</v>
      </c>
      <c r="AV369">
        <f t="shared" si="112"/>
        <v>9157</v>
      </c>
      <c r="AW369">
        <f t="shared" si="113"/>
        <v>3606</v>
      </c>
      <c r="AX369" s="3">
        <f t="shared" si="114"/>
        <v>24690.183520599247</v>
      </c>
      <c r="AY369">
        <f t="shared" si="115"/>
        <v>7266</v>
      </c>
      <c r="AZ369">
        <f t="shared" si="116"/>
        <v>3847</v>
      </c>
      <c r="BA369" s="3">
        <f t="shared" si="117"/>
        <v>26340.183520599247</v>
      </c>
    </row>
    <row r="370" spans="1:53" x14ac:dyDescent="0.2">
      <c r="A370">
        <v>1991</v>
      </c>
      <c r="B370" t="s">
        <v>67</v>
      </c>
      <c r="C370" t="s">
        <v>2</v>
      </c>
      <c r="D370">
        <v>19.8</v>
      </c>
      <c r="E370">
        <v>0</v>
      </c>
      <c r="F370">
        <v>4.2</v>
      </c>
      <c r="G370">
        <v>10.8</v>
      </c>
      <c r="H370">
        <v>4</v>
      </c>
      <c r="I370">
        <v>0</v>
      </c>
      <c r="J370">
        <v>0</v>
      </c>
      <c r="K370">
        <f t="shared" si="127"/>
        <v>38.799999999999997</v>
      </c>
      <c r="L370">
        <v>1</v>
      </c>
      <c r="M370">
        <v>15.1</v>
      </c>
      <c r="N370">
        <v>2.9</v>
      </c>
      <c r="O370">
        <f t="shared" si="128"/>
        <v>19</v>
      </c>
      <c r="P370">
        <v>0</v>
      </c>
      <c r="Q370">
        <v>0</v>
      </c>
      <c r="R370">
        <v>0</v>
      </c>
      <c r="S370">
        <f t="shared" si="121"/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f t="shared" si="122"/>
        <v>0</v>
      </c>
      <c r="AB370">
        <v>0</v>
      </c>
      <c r="AC370">
        <v>0</v>
      </c>
      <c r="AD370">
        <v>0</v>
      </c>
      <c r="AE370">
        <v>0</v>
      </c>
      <c r="AF370">
        <v>6.5</v>
      </c>
      <c r="AG370">
        <v>0</v>
      </c>
      <c r="AH370">
        <v>0</v>
      </c>
      <c r="AI370">
        <v>0</v>
      </c>
      <c r="AJ370">
        <f t="shared" si="110"/>
        <v>6.5</v>
      </c>
      <c r="AK370">
        <v>0</v>
      </c>
      <c r="AL370">
        <v>0.35600000000000004</v>
      </c>
      <c r="AM370">
        <f t="shared" si="111"/>
        <v>0.64300000000000002</v>
      </c>
      <c r="AN370">
        <v>9200</v>
      </c>
      <c r="AO370" t="s">
        <v>13</v>
      </c>
      <c r="AP370" s="3">
        <f t="shared" si="129"/>
        <v>25770.308123249302</v>
      </c>
      <c r="AQ370" t="s">
        <v>13</v>
      </c>
      <c r="AR370">
        <f t="shared" si="123"/>
        <v>0.10108864696734059</v>
      </c>
      <c r="AS370">
        <f t="shared" si="124"/>
        <v>0.57799999999999996</v>
      </c>
      <c r="AT370">
        <f t="shared" si="125"/>
        <v>14895</v>
      </c>
      <c r="AU370">
        <f t="shared" si="126"/>
        <v>1675</v>
      </c>
      <c r="AV370">
        <f t="shared" si="112"/>
        <v>9896</v>
      </c>
      <c r="AW370">
        <f t="shared" si="113"/>
        <v>2445</v>
      </c>
      <c r="AX370" s="3">
        <f t="shared" si="114"/>
        <v>13429.308123249302</v>
      </c>
      <c r="AY370">
        <f t="shared" si="115"/>
        <v>7448</v>
      </c>
      <c r="AZ370">
        <f t="shared" si="116"/>
        <v>2822</v>
      </c>
      <c r="BA370" s="3">
        <f t="shared" si="117"/>
        <v>15500.308123249302</v>
      </c>
    </row>
    <row r="371" spans="1:53" x14ac:dyDescent="0.2">
      <c r="A371">
        <v>1992</v>
      </c>
      <c r="B371" t="s">
        <v>67</v>
      </c>
      <c r="C371" t="s">
        <v>2</v>
      </c>
      <c r="D371">
        <v>16.3</v>
      </c>
      <c r="E371">
        <v>0</v>
      </c>
      <c r="F371">
        <v>2.2000000000000002</v>
      </c>
      <c r="G371">
        <v>8.5</v>
      </c>
      <c r="H371">
        <v>4</v>
      </c>
      <c r="I371">
        <v>0.5</v>
      </c>
      <c r="J371">
        <v>0</v>
      </c>
      <c r="K371">
        <f t="shared" si="127"/>
        <v>31.5</v>
      </c>
      <c r="L371">
        <v>0</v>
      </c>
      <c r="M371">
        <v>9.9</v>
      </c>
      <c r="N371">
        <v>2</v>
      </c>
      <c r="O371">
        <f t="shared" si="128"/>
        <v>11.9</v>
      </c>
      <c r="P371">
        <v>0</v>
      </c>
      <c r="Q371">
        <v>0</v>
      </c>
      <c r="R371">
        <v>0</v>
      </c>
      <c r="S371">
        <f t="shared" si="121"/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f t="shared" si="122"/>
        <v>0</v>
      </c>
      <c r="AB371">
        <v>0</v>
      </c>
      <c r="AC371">
        <v>0</v>
      </c>
      <c r="AD371">
        <v>0</v>
      </c>
      <c r="AE371">
        <v>0</v>
      </c>
      <c r="AF371">
        <v>1.3</v>
      </c>
      <c r="AG371">
        <v>0</v>
      </c>
      <c r="AH371">
        <v>0</v>
      </c>
      <c r="AI371">
        <v>0</v>
      </c>
      <c r="AJ371">
        <f t="shared" si="110"/>
        <v>1.3</v>
      </c>
      <c r="AK371">
        <v>0</v>
      </c>
      <c r="AL371">
        <v>0.55299999999999994</v>
      </c>
      <c r="AM371">
        <f t="shared" si="111"/>
        <v>0.44700000000000001</v>
      </c>
      <c r="AN371">
        <v>14000</v>
      </c>
      <c r="AO371" t="s">
        <v>13</v>
      </c>
      <c r="AP371" s="3">
        <f t="shared" si="129"/>
        <v>25316.455696202534</v>
      </c>
      <c r="AQ371" t="s">
        <v>13</v>
      </c>
      <c r="AR371">
        <f t="shared" si="123"/>
        <v>2.9082774049217004E-2</v>
      </c>
      <c r="AS371">
        <f t="shared" si="124"/>
        <v>0.434</v>
      </c>
      <c r="AT371">
        <f t="shared" si="125"/>
        <v>10987</v>
      </c>
      <c r="AU371">
        <f t="shared" si="126"/>
        <v>329</v>
      </c>
      <c r="AV371">
        <f t="shared" si="112"/>
        <v>7000</v>
      </c>
      <c r="AW371">
        <f t="shared" si="113"/>
        <v>421</v>
      </c>
      <c r="AX371" s="3">
        <f t="shared" si="114"/>
        <v>17895.455696202534</v>
      </c>
      <c r="AY371">
        <f t="shared" si="115"/>
        <v>5494</v>
      </c>
      <c r="AZ371">
        <f t="shared" si="116"/>
        <v>455</v>
      </c>
      <c r="BA371" s="3">
        <f t="shared" si="117"/>
        <v>19367.455696202534</v>
      </c>
    </row>
    <row r="372" spans="1:53" x14ac:dyDescent="0.2">
      <c r="A372">
        <v>1993</v>
      </c>
      <c r="B372" t="s">
        <v>67</v>
      </c>
      <c r="C372" t="s">
        <v>2</v>
      </c>
      <c r="D372">
        <v>11.7</v>
      </c>
      <c r="E372">
        <v>1.6</v>
      </c>
      <c r="F372">
        <v>2.2999999999999998</v>
      </c>
      <c r="G372">
        <v>11.5</v>
      </c>
      <c r="H372">
        <v>3.2</v>
      </c>
      <c r="I372">
        <v>0</v>
      </c>
      <c r="J372">
        <v>0</v>
      </c>
      <c r="K372">
        <f t="shared" si="127"/>
        <v>30.299999999999997</v>
      </c>
      <c r="L372">
        <v>0</v>
      </c>
      <c r="M372">
        <v>18.2</v>
      </c>
      <c r="N372">
        <v>1.4</v>
      </c>
      <c r="O372">
        <f t="shared" si="128"/>
        <v>19.599999999999998</v>
      </c>
      <c r="P372">
        <v>0</v>
      </c>
      <c r="Q372">
        <v>0</v>
      </c>
      <c r="R372">
        <v>0</v>
      </c>
      <c r="S372">
        <f t="shared" si="121"/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f t="shared" si="122"/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f t="shared" si="110"/>
        <v>0</v>
      </c>
      <c r="AK372">
        <v>0</v>
      </c>
      <c r="AL372">
        <v>0.501</v>
      </c>
      <c r="AM372">
        <f t="shared" si="111"/>
        <v>0.499</v>
      </c>
      <c r="AN372">
        <v>15000</v>
      </c>
      <c r="AO372" t="s">
        <v>13</v>
      </c>
      <c r="AP372" s="3">
        <f t="shared" si="129"/>
        <v>29940.119760479043</v>
      </c>
      <c r="AQ372" t="s">
        <v>13</v>
      </c>
      <c r="AR372">
        <f t="shared" si="123"/>
        <v>0</v>
      </c>
      <c r="AS372">
        <f t="shared" si="124"/>
        <v>0.49899999999999989</v>
      </c>
      <c r="AT372">
        <f t="shared" si="125"/>
        <v>14940</v>
      </c>
      <c r="AU372">
        <f t="shared" si="126"/>
        <v>0</v>
      </c>
      <c r="AV372">
        <f t="shared" si="112"/>
        <v>10404</v>
      </c>
      <c r="AW372">
        <f t="shared" si="113"/>
        <v>0</v>
      </c>
      <c r="AX372" s="3">
        <f t="shared" si="114"/>
        <v>19536.119760479043</v>
      </c>
      <c r="AY372">
        <f t="shared" si="115"/>
        <v>7470</v>
      </c>
      <c r="AZ372">
        <f t="shared" si="116"/>
        <v>0</v>
      </c>
      <c r="BA372" s="3">
        <f t="shared" si="117"/>
        <v>22470.119760479043</v>
      </c>
    </row>
    <row r="373" spans="1:53" x14ac:dyDescent="0.2">
      <c r="A373">
        <v>1994</v>
      </c>
      <c r="B373" t="s">
        <v>67</v>
      </c>
      <c r="C373" t="s">
        <v>2</v>
      </c>
      <c r="D373">
        <v>13.9</v>
      </c>
      <c r="E373">
        <v>0</v>
      </c>
      <c r="F373">
        <v>0</v>
      </c>
      <c r="G373">
        <v>6.7</v>
      </c>
      <c r="H373">
        <v>3.3</v>
      </c>
      <c r="I373">
        <v>0</v>
      </c>
      <c r="J373">
        <v>0</v>
      </c>
      <c r="K373">
        <f t="shared" si="127"/>
        <v>23.900000000000002</v>
      </c>
      <c r="L373">
        <v>0</v>
      </c>
      <c r="M373">
        <v>18.3</v>
      </c>
      <c r="N373">
        <v>2.4</v>
      </c>
      <c r="O373">
        <f t="shared" si="128"/>
        <v>20.7</v>
      </c>
      <c r="P373">
        <v>0</v>
      </c>
      <c r="Q373">
        <v>0</v>
      </c>
      <c r="R373">
        <v>0</v>
      </c>
      <c r="S373">
        <f t="shared" si="121"/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f t="shared" si="122"/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f t="shared" si="110"/>
        <v>0</v>
      </c>
      <c r="AK373">
        <v>0</v>
      </c>
      <c r="AL373">
        <v>0.55299999999999994</v>
      </c>
      <c r="AM373">
        <f t="shared" si="111"/>
        <v>0.44600000000000001</v>
      </c>
      <c r="AN373">
        <v>14000</v>
      </c>
      <c r="AO373" t="s">
        <v>13</v>
      </c>
      <c r="AP373" s="3">
        <f t="shared" si="129"/>
        <v>25270.758122743679</v>
      </c>
      <c r="AQ373" t="s">
        <v>13</v>
      </c>
      <c r="AR373">
        <f t="shared" si="123"/>
        <v>0</v>
      </c>
      <c r="AS373">
        <f t="shared" si="124"/>
        <v>0.44600000000000001</v>
      </c>
      <c r="AT373">
        <f t="shared" si="125"/>
        <v>11271</v>
      </c>
      <c r="AU373">
        <f t="shared" si="126"/>
        <v>0</v>
      </c>
      <c r="AV373">
        <f t="shared" si="112"/>
        <v>8251</v>
      </c>
      <c r="AW373">
        <f t="shared" si="113"/>
        <v>0</v>
      </c>
      <c r="AX373" s="3">
        <f t="shared" si="114"/>
        <v>17019.758122743679</v>
      </c>
      <c r="AY373">
        <f t="shared" si="115"/>
        <v>5635</v>
      </c>
      <c r="AZ373">
        <f t="shared" si="116"/>
        <v>0</v>
      </c>
      <c r="BA373" s="3">
        <f t="shared" si="117"/>
        <v>19635.758122743679</v>
      </c>
    </row>
    <row r="374" spans="1:53" x14ac:dyDescent="0.2">
      <c r="A374">
        <v>1995</v>
      </c>
      <c r="B374" t="s">
        <v>67</v>
      </c>
      <c r="C374" t="s">
        <v>2</v>
      </c>
      <c r="D374">
        <v>14.3</v>
      </c>
      <c r="E374">
        <v>0</v>
      </c>
      <c r="F374">
        <v>3.2</v>
      </c>
      <c r="G374">
        <v>10.4</v>
      </c>
      <c r="H374">
        <v>3</v>
      </c>
      <c r="I374">
        <v>0</v>
      </c>
      <c r="J374">
        <v>0</v>
      </c>
      <c r="K374">
        <f t="shared" si="127"/>
        <v>30.9</v>
      </c>
      <c r="L374">
        <v>0</v>
      </c>
      <c r="M374">
        <v>27.4</v>
      </c>
      <c r="N374">
        <v>0.5</v>
      </c>
      <c r="O374">
        <f t="shared" si="128"/>
        <v>27.9</v>
      </c>
      <c r="P374">
        <v>0</v>
      </c>
      <c r="Q374">
        <v>0</v>
      </c>
      <c r="R374">
        <v>0</v>
      </c>
      <c r="S374">
        <f t="shared" si="121"/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f t="shared" si="122"/>
        <v>0</v>
      </c>
      <c r="AB374">
        <v>0</v>
      </c>
      <c r="AC374">
        <v>0</v>
      </c>
      <c r="AD374">
        <v>0</v>
      </c>
      <c r="AE374">
        <v>0</v>
      </c>
      <c r="AF374">
        <v>4.3</v>
      </c>
      <c r="AG374">
        <v>0</v>
      </c>
      <c r="AH374">
        <v>0</v>
      </c>
      <c r="AI374">
        <v>0</v>
      </c>
      <c r="AJ374">
        <f t="shared" si="110"/>
        <v>4.3</v>
      </c>
      <c r="AK374">
        <v>0</v>
      </c>
      <c r="AL374">
        <v>0.36799999999999999</v>
      </c>
      <c r="AM374">
        <f t="shared" si="111"/>
        <v>0.63100000000000001</v>
      </c>
      <c r="AN374">
        <v>6312</v>
      </c>
      <c r="AO374" t="s">
        <v>13</v>
      </c>
      <c r="AP374" s="3">
        <f t="shared" si="129"/>
        <v>17105.691056910568</v>
      </c>
      <c r="AQ374" t="s">
        <v>13</v>
      </c>
      <c r="AR374">
        <f t="shared" si="123"/>
        <v>6.8145800316957203E-2</v>
      </c>
      <c r="AS374">
        <f t="shared" si="124"/>
        <v>0.58799999999999997</v>
      </c>
      <c r="AT374">
        <f t="shared" si="125"/>
        <v>10058</v>
      </c>
      <c r="AU374">
        <f t="shared" si="126"/>
        <v>736</v>
      </c>
      <c r="AV374">
        <f t="shared" si="112"/>
        <v>7415</v>
      </c>
      <c r="AW374">
        <f t="shared" si="113"/>
        <v>1012</v>
      </c>
      <c r="AX374" s="3">
        <f t="shared" si="114"/>
        <v>8678.6910569105676</v>
      </c>
      <c r="AY374">
        <f t="shared" si="115"/>
        <v>5029</v>
      </c>
      <c r="AZ374">
        <f t="shared" si="116"/>
        <v>1261</v>
      </c>
      <c r="BA374" s="3">
        <f t="shared" si="117"/>
        <v>10815.691056910568</v>
      </c>
    </row>
    <row r="375" spans="1:53" x14ac:dyDescent="0.2">
      <c r="A375">
        <v>1996</v>
      </c>
      <c r="B375" t="s">
        <v>67</v>
      </c>
      <c r="C375" t="s">
        <v>2</v>
      </c>
      <c r="D375">
        <v>13.2</v>
      </c>
      <c r="E375">
        <v>0.2</v>
      </c>
      <c r="F375">
        <v>13.2</v>
      </c>
      <c r="G375">
        <v>0.3</v>
      </c>
      <c r="H375">
        <v>0</v>
      </c>
      <c r="I375">
        <v>0</v>
      </c>
      <c r="J375">
        <v>0</v>
      </c>
      <c r="K375">
        <f t="shared" si="127"/>
        <v>26.9</v>
      </c>
      <c r="L375">
        <v>0</v>
      </c>
      <c r="M375">
        <v>22.3</v>
      </c>
      <c r="N375">
        <v>1.8</v>
      </c>
      <c r="O375">
        <f t="shared" si="128"/>
        <v>24.1</v>
      </c>
      <c r="P375">
        <v>0</v>
      </c>
      <c r="Q375">
        <v>0</v>
      </c>
      <c r="R375">
        <v>0</v>
      </c>
      <c r="S375">
        <f t="shared" si="121"/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f t="shared" si="122"/>
        <v>0</v>
      </c>
      <c r="AB375">
        <v>0</v>
      </c>
      <c r="AC375">
        <v>0</v>
      </c>
      <c r="AD375">
        <v>0</v>
      </c>
      <c r="AE375">
        <v>0</v>
      </c>
      <c r="AF375">
        <v>3.8</v>
      </c>
      <c r="AG375">
        <v>0</v>
      </c>
      <c r="AH375">
        <v>0</v>
      </c>
      <c r="AI375">
        <v>0</v>
      </c>
      <c r="AJ375">
        <f t="shared" si="110"/>
        <v>3.8</v>
      </c>
      <c r="AK375">
        <v>0</v>
      </c>
      <c r="AL375">
        <v>0.45200000000000001</v>
      </c>
      <c r="AM375">
        <f t="shared" si="111"/>
        <v>0.54799999999999993</v>
      </c>
      <c r="AN375">
        <v>11849</v>
      </c>
      <c r="AO375" t="s">
        <v>13</v>
      </c>
      <c r="AP375" s="3">
        <f t="shared" si="129"/>
        <v>26214.6017699115</v>
      </c>
      <c r="AQ375" t="s">
        <v>13</v>
      </c>
      <c r="AR375">
        <f t="shared" si="123"/>
        <v>6.9343065693430669E-2</v>
      </c>
      <c r="AS375">
        <f t="shared" si="124"/>
        <v>0.51</v>
      </c>
      <c r="AT375">
        <f t="shared" si="125"/>
        <v>13369</v>
      </c>
      <c r="AU375">
        <f t="shared" si="126"/>
        <v>996</v>
      </c>
      <c r="AV375">
        <f t="shared" si="112"/>
        <v>9844</v>
      </c>
      <c r="AW375">
        <f t="shared" si="113"/>
        <v>1269</v>
      </c>
      <c r="AX375" s="3">
        <f t="shared" si="114"/>
        <v>15101.6017699115</v>
      </c>
      <c r="AY375">
        <f t="shared" si="115"/>
        <v>6685</v>
      </c>
      <c r="AZ375">
        <f t="shared" si="116"/>
        <v>1514</v>
      </c>
      <c r="BA375" s="3">
        <f t="shared" si="117"/>
        <v>18015.6017699115</v>
      </c>
    </row>
    <row r="376" spans="1:53" x14ac:dyDescent="0.2">
      <c r="A376">
        <v>1997</v>
      </c>
      <c r="B376" t="s">
        <v>67</v>
      </c>
      <c r="C376" t="s">
        <v>2</v>
      </c>
      <c r="D376">
        <v>12.7</v>
      </c>
      <c r="E376">
        <v>0</v>
      </c>
      <c r="F376">
        <v>11.3</v>
      </c>
      <c r="G376">
        <v>0</v>
      </c>
      <c r="H376">
        <v>3.9</v>
      </c>
      <c r="I376">
        <v>0</v>
      </c>
      <c r="J376">
        <v>0</v>
      </c>
      <c r="K376">
        <f t="shared" si="127"/>
        <v>27.9</v>
      </c>
      <c r="L376">
        <v>0</v>
      </c>
      <c r="M376">
        <v>7.9</v>
      </c>
      <c r="N376">
        <v>2</v>
      </c>
      <c r="O376">
        <f t="shared" si="128"/>
        <v>9.9</v>
      </c>
      <c r="P376">
        <v>0</v>
      </c>
      <c r="Q376">
        <v>0</v>
      </c>
      <c r="R376">
        <v>0</v>
      </c>
      <c r="S376">
        <f t="shared" si="121"/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f t="shared" si="122"/>
        <v>0</v>
      </c>
      <c r="AB376">
        <v>0</v>
      </c>
      <c r="AC376">
        <v>0</v>
      </c>
      <c r="AD376">
        <v>0</v>
      </c>
      <c r="AE376">
        <v>0</v>
      </c>
      <c r="AF376">
        <v>5.2</v>
      </c>
      <c r="AG376">
        <v>0</v>
      </c>
      <c r="AH376">
        <v>0</v>
      </c>
      <c r="AI376">
        <v>0</v>
      </c>
      <c r="AJ376">
        <f t="shared" si="110"/>
        <v>5.2</v>
      </c>
      <c r="AK376">
        <v>0</v>
      </c>
      <c r="AL376">
        <v>0.56999999999999995</v>
      </c>
      <c r="AM376">
        <f t="shared" si="111"/>
        <v>0.43</v>
      </c>
      <c r="AN376">
        <v>5342</v>
      </c>
      <c r="AO376" t="s">
        <v>13</v>
      </c>
      <c r="AP376" s="3">
        <f t="shared" si="129"/>
        <v>9371.9298245614027</v>
      </c>
      <c r="AQ376" t="s">
        <v>13</v>
      </c>
      <c r="AR376">
        <f t="shared" si="123"/>
        <v>0.12093023255813955</v>
      </c>
      <c r="AS376">
        <f t="shared" si="124"/>
        <v>0.37799999999999995</v>
      </c>
      <c r="AT376">
        <f t="shared" si="125"/>
        <v>3543</v>
      </c>
      <c r="AU376">
        <f t="shared" si="126"/>
        <v>487</v>
      </c>
      <c r="AV376">
        <f t="shared" si="112"/>
        <v>2235</v>
      </c>
      <c r="AW376">
        <f t="shared" si="113"/>
        <v>596</v>
      </c>
      <c r="AX376" s="3">
        <f t="shared" si="114"/>
        <v>6540.9298245614027</v>
      </c>
      <c r="AY376">
        <f t="shared" si="115"/>
        <v>1771</v>
      </c>
      <c r="AZ376">
        <f t="shared" si="116"/>
        <v>635</v>
      </c>
      <c r="BA376" s="3">
        <f t="shared" si="117"/>
        <v>6965.9298245614027</v>
      </c>
    </row>
    <row r="377" spans="1:53" x14ac:dyDescent="0.2">
      <c r="A377">
        <v>1998</v>
      </c>
      <c r="B377" t="s">
        <v>67</v>
      </c>
      <c r="C377" t="s">
        <v>2</v>
      </c>
      <c r="D377">
        <v>15.1</v>
      </c>
      <c r="E377">
        <v>0</v>
      </c>
      <c r="F377">
        <v>4.9000000000000004</v>
      </c>
      <c r="G377">
        <v>0</v>
      </c>
      <c r="H377">
        <v>0.7</v>
      </c>
      <c r="I377">
        <v>0</v>
      </c>
      <c r="J377">
        <v>0</v>
      </c>
      <c r="K377">
        <f t="shared" si="127"/>
        <v>20.7</v>
      </c>
      <c r="L377">
        <v>0</v>
      </c>
      <c r="M377">
        <v>1.7</v>
      </c>
      <c r="N377">
        <v>2.4</v>
      </c>
      <c r="O377">
        <f t="shared" si="128"/>
        <v>4.0999999999999996</v>
      </c>
      <c r="P377">
        <v>0</v>
      </c>
      <c r="Q377">
        <v>0</v>
      </c>
      <c r="R377">
        <v>0</v>
      </c>
      <c r="S377">
        <f t="shared" si="121"/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f t="shared" si="122"/>
        <v>0</v>
      </c>
      <c r="AB377">
        <v>0</v>
      </c>
      <c r="AC377">
        <v>0</v>
      </c>
      <c r="AD377">
        <v>0</v>
      </c>
      <c r="AE377">
        <v>0</v>
      </c>
      <c r="AF377">
        <v>5</v>
      </c>
      <c r="AG377">
        <v>0</v>
      </c>
      <c r="AH377">
        <v>0</v>
      </c>
      <c r="AI377">
        <v>0</v>
      </c>
      <c r="AJ377">
        <f t="shared" si="110"/>
        <v>5</v>
      </c>
      <c r="AK377">
        <v>0</v>
      </c>
      <c r="AL377">
        <v>0.70200000000000007</v>
      </c>
      <c r="AM377">
        <f t="shared" si="111"/>
        <v>0.29799999999999999</v>
      </c>
      <c r="AN377">
        <v>9521</v>
      </c>
      <c r="AO377" t="s">
        <v>13</v>
      </c>
      <c r="AP377" s="3">
        <f t="shared" si="129"/>
        <v>13562.678062678064</v>
      </c>
      <c r="AQ377" t="s">
        <v>13</v>
      </c>
      <c r="AR377">
        <f t="shared" si="123"/>
        <v>0.16778523489932887</v>
      </c>
      <c r="AS377">
        <f t="shared" si="124"/>
        <v>0.24799999999999997</v>
      </c>
      <c r="AT377">
        <f t="shared" si="125"/>
        <v>3364</v>
      </c>
      <c r="AU377">
        <f t="shared" si="126"/>
        <v>678</v>
      </c>
      <c r="AV377">
        <f t="shared" si="112"/>
        <v>1960</v>
      </c>
      <c r="AW377">
        <f t="shared" si="113"/>
        <v>771</v>
      </c>
      <c r="AX377" s="3">
        <f t="shared" si="114"/>
        <v>10831.678062678064</v>
      </c>
      <c r="AY377">
        <f t="shared" si="115"/>
        <v>1682</v>
      </c>
      <c r="AZ377">
        <f t="shared" si="116"/>
        <v>790</v>
      </c>
      <c r="BA377" s="3">
        <f t="shared" si="117"/>
        <v>11090.678062678064</v>
      </c>
    </row>
    <row r="378" spans="1:53" x14ac:dyDescent="0.2">
      <c r="A378">
        <v>1999</v>
      </c>
      <c r="B378" t="s">
        <v>67</v>
      </c>
      <c r="C378" t="s">
        <v>2</v>
      </c>
      <c r="D378">
        <v>13.9</v>
      </c>
      <c r="E378">
        <v>0</v>
      </c>
      <c r="F378">
        <v>11.1</v>
      </c>
      <c r="G378">
        <v>0</v>
      </c>
      <c r="H378">
        <v>12.5</v>
      </c>
      <c r="I378">
        <v>0</v>
      </c>
      <c r="J378">
        <v>0</v>
      </c>
      <c r="K378">
        <f t="shared" si="127"/>
        <v>37.5</v>
      </c>
      <c r="L378">
        <v>0</v>
      </c>
      <c r="M378">
        <v>2.2000000000000002</v>
      </c>
      <c r="N378">
        <v>0.6</v>
      </c>
      <c r="O378">
        <f t="shared" si="128"/>
        <v>2.8000000000000003</v>
      </c>
      <c r="P378">
        <v>0</v>
      </c>
      <c r="Q378">
        <v>0</v>
      </c>
      <c r="R378">
        <v>0</v>
      </c>
      <c r="S378">
        <f t="shared" si="121"/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f t="shared" si="122"/>
        <v>0</v>
      </c>
      <c r="AB378">
        <v>0</v>
      </c>
      <c r="AC378">
        <v>0</v>
      </c>
      <c r="AD378">
        <v>0</v>
      </c>
      <c r="AE378">
        <v>0</v>
      </c>
      <c r="AF378">
        <v>1.6</v>
      </c>
      <c r="AG378">
        <v>0</v>
      </c>
      <c r="AH378">
        <v>0</v>
      </c>
      <c r="AI378">
        <v>0</v>
      </c>
      <c r="AJ378">
        <f t="shared" si="110"/>
        <v>1.6</v>
      </c>
      <c r="AK378">
        <v>0</v>
      </c>
      <c r="AL378">
        <v>0.58099999999999996</v>
      </c>
      <c r="AM378">
        <f t="shared" si="111"/>
        <v>0.41899999999999998</v>
      </c>
      <c r="AN378">
        <v>10000</v>
      </c>
      <c r="AO378" t="s">
        <v>13</v>
      </c>
      <c r="AP378" s="3">
        <f t="shared" si="129"/>
        <v>17211.703958691913</v>
      </c>
      <c r="AQ378" t="s">
        <v>13</v>
      </c>
      <c r="AR378">
        <f t="shared" si="123"/>
        <v>3.8186157517899763E-2</v>
      </c>
      <c r="AS378">
        <f t="shared" si="124"/>
        <v>0.40299999999999997</v>
      </c>
      <c r="AT378">
        <f t="shared" si="125"/>
        <v>6936</v>
      </c>
      <c r="AU378">
        <f t="shared" si="126"/>
        <v>275</v>
      </c>
      <c r="AV378">
        <f t="shared" si="112"/>
        <v>3709</v>
      </c>
      <c r="AW378">
        <f t="shared" si="113"/>
        <v>361</v>
      </c>
      <c r="AX378" s="3">
        <f t="shared" si="114"/>
        <v>13141.703958691913</v>
      </c>
      <c r="AY378">
        <f t="shared" si="115"/>
        <v>3468</v>
      </c>
      <c r="AZ378">
        <f t="shared" si="116"/>
        <v>368</v>
      </c>
      <c r="BA378" s="3">
        <f t="shared" si="117"/>
        <v>13375.703958691913</v>
      </c>
    </row>
    <row r="379" spans="1:53" x14ac:dyDescent="0.2">
      <c r="A379">
        <v>2000</v>
      </c>
      <c r="B379" t="s">
        <v>67</v>
      </c>
      <c r="C379" t="s">
        <v>2</v>
      </c>
      <c r="D379">
        <v>10.3</v>
      </c>
      <c r="E379">
        <v>0</v>
      </c>
      <c r="F379">
        <v>11.2</v>
      </c>
      <c r="G379">
        <v>0</v>
      </c>
      <c r="H379">
        <v>9.9</v>
      </c>
      <c r="I379">
        <v>0</v>
      </c>
      <c r="J379">
        <v>0</v>
      </c>
      <c r="K379">
        <f t="shared" si="127"/>
        <v>31.4</v>
      </c>
      <c r="L379">
        <v>0</v>
      </c>
      <c r="M379">
        <v>8</v>
      </c>
      <c r="N379">
        <v>0</v>
      </c>
      <c r="O379">
        <f t="shared" si="128"/>
        <v>8</v>
      </c>
      <c r="P379">
        <v>0</v>
      </c>
      <c r="Q379">
        <v>0</v>
      </c>
      <c r="R379">
        <v>0</v>
      </c>
      <c r="S379">
        <f t="shared" si="121"/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f t="shared" si="122"/>
        <v>0</v>
      </c>
      <c r="AB379">
        <v>0</v>
      </c>
      <c r="AC379">
        <v>0</v>
      </c>
      <c r="AD379">
        <v>0</v>
      </c>
      <c r="AE379">
        <v>0</v>
      </c>
      <c r="AF379">
        <v>4.0999999999999996</v>
      </c>
      <c r="AG379">
        <v>0</v>
      </c>
      <c r="AH379">
        <v>0</v>
      </c>
      <c r="AI379">
        <v>0</v>
      </c>
      <c r="AJ379">
        <f t="shared" si="110"/>
        <v>4.0999999999999996</v>
      </c>
      <c r="AK379">
        <v>0</v>
      </c>
      <c r="AL379">
        <v>0.56499999999999995</v>
      </c>
      <c r="AM379">
        <f t="shared" si="111"/>
        <v>0.43499999999999994</v>
      </c>
      <c r="AN379">
        <v>14533</v>
      </c>
      <c r="AO379" t="s">
        <v>13</v>
      </c>
      <c r="AP379" s="3">
        <f t="shared" si="129"/>
        <v>25722.123893805307</v>
      </c>
      <c r="AQ379" t="s">
        <v>13</v>
      </c>
      <c r="AR379">
        <f t="shared" si="123"/>
        <v>9.4252873563218389E-2</v>
      </c>
      <c r="AS379">
        <f t="shared" si="124"/>
        <v>0.39399999999999996</v>
      </c>
      <c r="AT379">
        <f t="shared" si="125"/>
        <v>10135</v>
      </c>
      <c r="AU379">
        <f t="shared" si="126"/>
        <v>1055</v>
      </c>
      <c r="AV379">
        <f t="shared" si="112"/>
        <v>6096</v>
      </c>
      <c r="AW379">
        <f t="shared" si="113"/>
        <v>1328</v>
      </c>
      <c r="AX379" s="3">
        <f t="shared" si="114"/>
        <v>18298.123893805307</v>
      </c>
      <c r="AY379">
        <f t="shared" si="115"/>
        <v>5067</v>
      </c>
      <c r="AZ379">
        <f t="shared" si="116"/>
        <v>1398</v>
      </c>
      <c r="BA379" s="3">
        <f t="shared" si="117"/>
        <v>19257.123893805307</v>
      </c>
    </row>
    <row r="380" spans="1:53" x14ac:dyDescent="0.2">
      <c r="A380">
        <v>2001</v>
      </c>
      <c r="B380" t="s">
        <v>67</v>
      </c>
      <c r="C380" t="s">
        <v>2</v>
      </c>
      <c r="D380">
        <v>16</v>
      </c>
      <c r="E380">
        <v>0</v>
      </c>
      <c r="F380">
        <v>14.5</v>
      </c>
      <c r="G380">
        <v>1</v>
      </c>
      <c r="H380">
        <v>0</v>
      </c>
      <c r="I380">
        <v>0</v>
      </c>
      <c r="J380">
        <v>0</v>
      </c>
      <c r="K380">
        <f t="shared" si="127"/>
        <v>31.5</v>
      </c>
      <c r="L380">
        <v>0</v>
      </c>
      <c r="M380">
        <v>13.5</v>
      </c>
      <c r="N380">
        <v>6.8</v>
      </c>
      <c r="O380">
        <f t="shared" si="128"/>
        <v>20.3</v>
      </c>
      <c r="P380">
        <v>0</v>
      </c>
      <c r="Q380">
        <v>0</v>
      </c>
      <c r="R380">
        <v>0</v>
      </c>
      <c r="S380">
        <f t="shared" si="121"/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f t="shared" si="122"/>
        <v>0</v>
      </c>
      <c r="AB380">
        <v>0</v>
      </c>
      <c r="AC380">
        <v>0</v>
      </c>
      <c r="AD380">
        <v>0</v>
      </c>
      <c r="AE380">
        <v>0</v>
      </c>
      <c r="AF380">
        <v>3.5</v>
      </c>
      <c r="AG380">
        <v>0</v>
      </c>
      <c r="AH380">
        <v>0</v>
      </c>
      <c r="AI380">
        <v>0</v>
      </c>
      <c r="AJ380">
        <f t="shared" si="110"/>
        <v>3.5</v>
      </c>
      <c r="AK380">
        <v>0.2</v>
      </c>
      <c r="AL380">
        <v>0.44500000000000001</v>
      </c>
      <c r="AM380">
        <f t="shared" si="111"/>
        <v>0.55299999999999994</v>
      </c>
      <c r="AN380">
        <v>24076</v>
      </c>
      <c r="AO380" t="s">
        <v>13</v>
      </c>
      <c r="AP380" s="3">
        <f t="shared" si="129"/>
        <v>53861.297539149884</v>
      </c>
      <c r="AQ380" t="s">
        <v>13</v>
      </c>
      <c r="AR380">
        <f t="shared" si="123"/>
        <v>6.3291139240506347E-2</v>
      </c>
      <c r="AS380">
        <f t="shared" si="124"/>
        <v>0.51800000000000002</v>
      </c>
      <c r="AT380">
        <f t="shared" si="125"/>
        <v>27900</v>
      </c>
      <c r="AU380">
        <f t="shared" si="126"/>
        <v>1885</v>
      </c>
      <c r="AV380">
        <f t="shared" si="112"/>
        <v>19417</v>
      </c>
      <c r="AW380">
        <f t="shared" si="113"/>
        <v>2501</v>
      </c>
      <c r="AX380" s="3">
        <f t="shared" si="114"/>
        <v>31943.297539149884</v>
      </c>
      <c r="AY380">
        <f t="shared" si="115"/>
        <v>13950</v>
      </c>
      <c r="AZ380">
        <f t="shared" si="116"/>
        <v>2898</v>
      </c>
      <c r="BA380" s="3">
        <f t="shared" si="117"/>
        <v>37013.297539149884</v>
      </c>
    </row>
    <row r="381" spans="1:53" x14ac:dyDescent="0.2">
      <c r="A381">
        <v>2002</v>
      </c>
      <c r="B381" t="s">
        <v>67</v>
      </c>
      <c r="C381" t="s">
        <v>2</v>
      </c>
      <c r="D381">
        <v>23</v>
      </c>
      <c r="E381">
        <v>0.6</v>
      </c>
      <c r="F381">
        <v>8.1999999999999993</v>
      </c>
      <c r="G381">
        <v>2.5</v>
      </c>
      <c r="H381">
        <v>10</v>
      </c>
      <c r="I381">
        <v>0</v>
      </c>
      <c r="J381">
        <v>0</v>
      </c>
      <c r="K381">
        <f t="shared" si="127"/>
        <v>44.3</v>
      </c>
      <c r="L381">
        <v>0</v>
      </c>
      <c r="M381">
        <v>5.0999999999999996</v>
      </c>
      <c r="N381">
        <v>9</v>
      </c>
      <c r="O381">
        <f t="shared" si="128"/>
        <v>14.1</v>
      </c>
      <c r="P381">
        <v>0</v>
      </c>
      <c r="Q381">
        <v>0</v>
      </c>
      <c r="R381">
        <v>0</v>
      </c>
      <c r="S381">
        <f t="shared" si="121"/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f t="shared" si="122"/>
        <v>0</v>
      </c>
      <c r="AB381">
        <v>0</v>
      </c>
      <c r="AC381">
        <v>0</v>
      </c>
      <c r="AD381">
        <v>0</v>
      </c>
      <c r="AE381">
        <v>0</v>
      </c>
      <c r="AF381">
        <v>3.1</v>
      </c>
      <c r="AG381">
        <v>0</v>
      </c>
      <c r="AH381">
        <v>0</v>
      </c>
      <c r="AI381">
        <v>0</v>
      </c>
      <c r="AJ381">
        <f t="shared" si="110"/>
        <v>3.1</v>
      </c>
      <c r="AK381">
        <v>0</v>
      </c>
      <c r="AL381">
        <v>0.38500000000000001</v>
      </c>
      <c r="AM381">
        <f t="shared" si="111"/>
        <v>0.61499999999999999</v>
      </c>
      <c r="AN381">
        <v>23849</v>
      </c>
      <c r="AO381" t="s">
        <v>13</v>
      </c>
      <c r="AP381" s="3">
        <f t="shared" si="129"/>
        <v>61945.454545454544</v>
      </c>
      <c r="AQ381" t="s">
        <v>13</v>
      </c>
      <c r="AR381">
        <f t="shared" si="123"/>
        <v>5.0406504065040651E-2</v>
      </c>
      <c r="AS381">
        <f t="shared" si="124"/>
        <v>0.58399999999999996</v>
      </c>
      <c r="AT381">
        <f t="shared" si="125"/>
        <v>36176</v>
      </c>
      <c r="AU381">
        <f t="shared" si="126"/>
        <v>1920</v>
      </c>
      <c r="AV381">
        <f t="shared" si="112"/>
        <v>22455</v>
      </c>
      <c r="AW381">
        <f t="shared" si="113"/>
        <v>2942</v>
      </c>
      <c r="AX381" s="3">
        <f t="shared" si="114"/>
        <v>36548.454545454544</v>
      </c>
      <c r="AY381">
        <f t="shared" si="115"/>
        <v>18088</v>
      </c>
      <c r="AZ381">
        <f t="shared" si="116"/>
        <v>3268</v>
      </c>
      <c r="BA381" s="3">
        <f t="shared" si="117"/>
        <v>40589.454545454544</v>
      </c>
    </row>
    <row r="382" spans="1:53" x14ac:dyDescent="0.2">
      <c r="A382">
        <v>2003</v>
      </c>
      <c r="B382" t="s">
        <v>67</v>
      </c>
      <c r="C382" t="s">
        <v>2</v>
      </c>
      <c r="D382">
        <v>17.5</v>
      </c>
      <c r="E382">
        <v>0</v>
      </c>
      <c r="F382">
        <v>1.5</v>
      </c>
      <c r="G382">
        <v>6.9</v>
      </c>
      <c r="H382">
        <v>3.2</v>
      </c>
      <c r="I382">
        <v>0</v>
      </c>
      <c r="J382">
        <v>0</v>
      </c>
      <c r="K382">
        <f t="shared" si="127"/>
        <v>29.099999999999998</v>
      </c>
      <c r="L382">
        <v>0</v>
      </c>
      <c r="M382">
        <v>0.5</v>
      </c>
      <c r="N382">
        <v>3.8</v>
      </c>
      <c r="O382">
        <f t="shared" si="128"/>
        <v>4.3</v>
      </c>
      <c r="P382">
        <v>0</v>
      </c>
      <c r="Q382">
        <v>0</v>
      </c>
      <c r="R382">
        <v>0</v>
      </c>
      <c r="S382">
        <f t="shared" si="121"/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f t="shared" si="122"/>
        <v>0</v>
      </c>
      <c r="AB382">
        <v>0</v>
      </c>
      <c r="AC382">
        <v>0</v>
      </c>
      <c r="AD382">
        <v>0</v>
      </c>
      <c r="AE382">
        <v>0</v>
      </c>
      <c r="AF382">
        <v>3.8</v>
      </c>
      <c r="AG382">
        <v>0</v>
      </c>
      <c r="AH382">
        <v>0</v>
      </c>
      <c r="AI382">
        <v>0</v>
      </c>
      <c r="AJ382">
        <f t="shared" si="110"/>
        <v>3.8</v>
      </c>
      <c r="AK382">
        <v>0</v>
      </c>
      <c r="AL382">
        <v>0.629</v>
      </c>
      <c r="AM382">
        <f t="shared" si="111"/>
        <v>0.37200000000000005</v>
      </c>
      <c r="AN382">
        <v>23608</v>
      </c>
      <c r="AO382" t="s">
        <v>13</v>
      </c>
      <c r="AP382" s="3">
        <f t="shared" si="129"/>
        <v>37592.356687898093</v>
      </c>
      <c r="AQ382" t="s">
        <v>13</v>
      </c>
      <c r="AR382">
        <f t="shared" si="123"/>
        <v>0.10215053763440858</v>
      </c>
      <c r="AS382">
        <f t="shared" si="124"/>
        <v>0.33399999999999996</v>
      </c>
      <c r="AT382">
        <f t="shared" si="125"/>
        <v>12556</v>
      </c>
      <c r="AU382">
        <f t="shared" si="126"/>
        <v>1429</v>
      </c>
      <c r="AV382">
        <f t="shared" si="112"/>
        <v>7086</v>
      </c>
      <c r="AW382">
        <f t="shared" si="113"/>
        <v>1741</v>
      </c>
      <c r="AX382" s="3">
        <f t="shared" si="114"/>
        <v>28765.356687898093</v>
      </c>
      <c r="AY382">
        <f t="shared" si="115"/>
        <v>6278</v>
      </c>
      <c r="AZ382">
        <f t="shared" si="116"/>
        <v>1787</v>
      </c>
      <c r="BA382" s="3">
        <f t="shared" si="117"/>
        <v>29527.356687898093</v>
      </c>
    </row>
    <row r="383" spans="1:53" x14ac:dyDescent="0.2">
      <c r="A383">
        <v>2004</v>
      </c>
      <c r="B383" t="s">
        <v>67</v>
      </c>
      <c r="C383" t="s">
        <v>2</v>
      </c>
      <c r="D383">
        <v>10.1</v>
      </c>
      <c r="E383">
        <v>4</v>
      </c>
      <c r="F383">
        <v>5.7</v>
      </c>
      <c r="G383">
        <v>1.2</v>
      </c>
      <c r="H383">
        <v>13.5</v>
      </c>
      <c r="I383">
        <v>0</v>
      </c>
      <c r="J383">
        <v>0</v>
      </c>
      <c r="K383">
        <f t="shared" si="127"/>
        <v>34.5</v>
      </c>
      <c r="L383">
        <v>0</v>
      </c>
      <c r="M383">
        <v>1.6</v>
      </c>
      <c r="N383">
        <v>0</v>
      </c>
      <c r="O383">
        <f t="shared" si="128"/>
        <v>1.6</v>
      </c>
      <c r="P383">
        <v>0</v>
      </c>
      <c r="Q383">
        <v>0</v>
      </c>
      <c r="R383">
        <v>0</v>
      </c>
      <c r="S383">
        <f t="shared" si="121"/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f t="shared" si="122"/>
        <v>0</v>
      </c>
      <c r="AB383">
        <v>0</v>
      </c>
      <c r="AC383">
        <v>0</v>
      </c>
      <c r="AD383">
        <v>0</v>
      </c>
      <c r="AE383">
        <v>0</v>
      </c>
      <c r="AF383">
        <v>1.4</v>
      </c>
      <c r="AG383">
        <v>0</v>
      </c>
      <c r="AH383">
        <v>0</v>
      </c>
      <c r="AI383">
        <v>0</v>
      </c>
      <c r="AJ383">
        <f t="shared" si="110"/>
        <v>1.4</v>
      </c>
      <c r="AK383">
        <v>0</v>
      </c>
      <c r="AL383">
        <v>0.626</v>
      </c>
      <c r="AM383">
        <f t="shared" si="111"/>
        <v>0.375</v>
      </c>
      <c r="AN383">
        <v>25767</v>
      </c>
      <c r="AO383" t="s">
        <v>13</v>
      </c>
      <c r="AP383" s="3">
        <f t="shared" si="129"/>
        <v>41227.199999999997</v>
      </c>
      <c r="AQ383" t="s">
        <v>13</v>
      </c>
      <c r="AR383">
        <f t="shared" si="123"/>
        <v>3.7333333333333329E-2</v>
      </c>
      <c r="AS383">
        <f t="shared" si="124"/>
        <v>0.36099999999999999</v>
      </c>
      <c r="AT383">
        <f t="shared" si="125"/>
        <v>14883</v>
      </c>
      <c r="AU383">
        <f t="shared" si="126"/>
        <v>577</v>
      </c>
      <c r="AV383">
        <f t="shared" si="112"/>
        <v>7771</v>
      </c>
      <c r="AW383">
        <f t="shared" si="113"/>
        <v>733</v>
      </c>
      <c r="AX383" s="3">
        <f t="shared" si="114"/>
        <v>32723.199999999997</v>
      </c>
      <c r="AY383">
        <f t="shared" si="115"/>
        <v>7442</v>
      </c>
      <c r="AZ383">
        <f t="shared" si="116"/>
        <v>740</v>
      </c>
      <c r="BA383" s="3">
        <f t="shared" si="117"/>
        <v>33045.199999999997</v>
      </c>
    </row>
    <row r="384" spans="1:53" x14ac:dyDescent="0.2">
      <c r="A384">
        <v>2005</v>
      </c>
      <c r="B384" t="s">
        <v>67</v>
      </c>
      <c r="C384" t="s">
        <v>2</v>
      </c>
      <c r="D384">
        <v>23.9</v>
      </c>
      <c r="E384">
        <v>0</v>
      </c>
      <c r="F384">
        <v>4</v>
      </c>
      <c r="G384">
        <v>3.8</v>
      </c>
      <c r="H384">
        <v>10.1</v>
      </c>
      <c r="I384">
        <v>0</v>
      </c>
      <c r="J384">
        <v>0</v>
      </c>
      <c r="K384">
        <f t="shared" si="127"/>
        <v>41.8</v>
      </c>
      <c r="L384">
        <v>0</v>
      </c>
      <c r="M384">
        <v>0</v>
      </c>
      <c r="N384">
        <v>0</v>
      </c>
      <c r="O384">
        <f t="shared" si="128"/>
        <v>0</v>
      </c>
      <c r="P384">
        <v>0</v>
      </c>
      <c r="Q384">
        <v>0</v>
      </c>
      <c r="R384">
        <v>0</v>
      </c>
      <c r="S384">
        <f t="shared" si="121"/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f t="shared" si="122"/>
        <v>0</v>
      </c>
      <c r="AB384">
        <v>0</v>
      </c>
      <c r="AC384">
        <v>0</v>
      </c>
      <c r="AD384">
        <v>0</v>
      </c>
      <c r="AE384">
        <v>0</v>
      </c>
      <c r="AF384">
        <v>8.8000000000000007</v>
      </c>
      <c r="AG384">
        <v>0</v>
      </c>
      <c r="AH384">
        <v>0</v>
      </c>
      <c r="AI384">
        <v>0</v>
      </c>
      <c r="AJ384">
        <f t="shared" si="110"/>
        <v>8.8000000000000007</v>
      </c>
      <c r="AK384">
        <v>0</v>
      </c>
      <c r="AL384">
        <v>0.49399999999999999</v>
      </c>
      <c r="AM384">
        <f t="shared" si="111"/>
        <v>0.50600000000000001</v>
      </c>
      <c r="AN384">
        <v>15046</v>
      </c>
      <c r="AO384" t="s">
        <v>13</v>
      </c>
      <c r="AP384" s="3">
        <f t="shared" si="129"/>
        <v>30457.48987854251</v>
      </c>
      <c r="AQ384" t="s">
        <v>13</v>
      </c>
      <c r="AR384">
        <f t="shared" si="123"/>
        <v>0.17391304347826089</v>
      </c>
      <c r="AS384">
        <f t="shared" si="124"/>
        <v>0.41799999999999998</v>
      </c>
      <c r="AT384">
        <f t="shared" si="125"/>
        <v>12731</v>
      </c>
      <c r="AU384">
        <f t="shared" si="126"/>
        <v>2680</v>
      </c>
      <c r="AV384">
        <f t="shared" si="112"/>
        <v>6366</v>
      </c>
      <c r="AW384">
        <f t="shared" si="113"/>
        <v>3642</v>
      </c>
      <c r="AX384" s="3">
        <f t="shared" si="114"/>
        <v>20449.48987854251</v>
      </c>
      <c r="AY384">
        <f t="shared" si="115"/>
        <v>6366</v>
      </c>
      <c r="AZ384">
        <f t="shared" si="116"/>
        <v>3642</v>
      </c>
      <c r="BA384" s="3">
        <f t="shared" si="117"/>
        <v>20449.48987854251</v>
      </c>
    </row>
    <row r="385" spans="1:53" x14ac:dyDescent="0.2">
      <c r="A385">
        <v>2006</v>
      </c>
      <c r="B385" t="s">
        <v>67</v>
      </c>
      <c r="C385" t="s">
        <v>2</v>
      </c>
      <c r="D385">
        <v>17.2</v>
      </c>
      <c r="E385">
        <v>4.7</v>
      </c>
      <c r="F385">
        <v>5.0999999999999996</v>
      </c>
      <c r="G385">
        <v>3.5</v>
      </c>
      <c r="H385">
        <v>7.7</v>
      </c>
      <c r="I385">
        <v>0</v>
      </c>
      <c r="J385">
        <v>0</v>
      </c>
      <c r="K385">
        <f t="shared" si="127"/>
        <v>38.200000000000003</v>
      </c>
      <c r="L385">
        <v>0</v>
      </c>
      <c r="M385">
        <v>7.4</v>
      </c>
      <c r="N385">
        <v>0</v>
      </c>
      <c r="O385">
        <f t="shared" si="128"/>
        <v>7.4</v>
      </c>
      <c r="P385">
        <v>0</v>
      </c>
      <c r="Q385">
        <v>0</v>
      </c>
      <c r="R385">
        <v>0</v>
      </c>
      <c r="S385">
        <f t="shared" si="121"/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f t="shared" si="122"/>
        <v>0</v>
      </c>
      <c r="AB385">
        <v>0</v>
      </c>
      <c r="AC385">
        <v>0</v>
      </c>
      <c r="AD385">
        <v>0</v>
      </c>
      <c r="AE385">
        <v>0</v>
      </c>
      <c r="AF385">
        <v>6.2</v>
      </c>
      <c r="AG385">
        <v>0</v>
      </c>
      <c r="AH385">
        <v>0</v>
      </c>
      <c r="AI385">
        <v>0</v>
      </c>
      <c r="AJ385">
        <f t="shared" si="110"/>
        <v>6.2</v>
      </c>
      <c r="AK385">
        <v>0</v>
      </c>
      <c r="AL385">
        <v>0.48200000000000004</v>
      </c>
      <c r="AM385">
        <f t="shared" si="111"/>
        <v>0.51800000000000002</v>
      </c>
      <c r="AN385">
        <v>12368</v>
      </c>
      <c r="AO385" t="s">
        <v>13</v>
      </c>
      <c r="AP385" s="3">
        <f t="shared" si="129"/>
        <v>25659.751037344398</v>
      </c>
      <c r="AQ385" t="s">
        <v>13</v>
      </c>
      <c r="AR385">
        <f t="shared" si="123"/>
        <v>0.11969111969111969</v>
      </c>
      <c r="AS385">
        <f t="shared" si="124"/>
        <v>0.45600000000000002</v>
      </c>
      <c r="AT385">
        <f t="shared" si="125"/>
        <v>11701</v>
      </c>
      <c r="AU385">
        <f t="shared" si="126"/>
        <v>1591</v>
      </c>
      <c r="AV385">
        <f t="shared" si="112"/>
        <v>6800</v>
      </c>
      <c r="AW385">
        <f t="shared" si="113"/>
        <v>2150</v>
      </c>
      <c r="AX385" s="3">
        <f t="shared" si="114"/>
        <v>16709.751037344398</v>
      </c>
      <c r="AY385">
        <f t="shared" si="115"/>
        <v>5850</v>
      </c>
      <c r="AZ385">
        <f t="shared" si="116"/>
        <v>2258</v>
      </c>
      <c r="BA385" s="3">
        <f t="shared" si="117"/>
        <v>17551.751037344398</v>
      </c>
    </row>
    <row r="386" spans="1:53" x14ac:dyDescent="0.2">
      <c r="A386">
        <v>2007</v>
      </c>
      <c r="B386" t="s">
        <v>67</v>
      </c>
      <c r="C386" t="s">
        <v>2</v>
      </c>
      <c r="D386">
        <v>16.2</v>
      </c>
      <c r="E386">
        <v>0.9</v>
      </c>
      <c r="F386">
        <v>7.3</v>
      </c>
      <c r="G386">
        <v>2</v>
      </c>
      <c r="H386">
        <v>7.7</v>
      </c>
      <c r="I386">
        <v>0</v>
      </c>
      <c r="J386">
        <v>0</v>
      </c>
      <c r="K386">
        <f t="shared" si="127"/>
        <v>34.1</v>
      </c>
      <c r="L386">
        <v>0</v>
      </c>
      <c r="M386">
        <v>2.4</v>
      </c>
      <c r="N386">
        <v>3.3</v>
      </c>
      <c r="O386">
        <f t="shared" si="128"/>
        <v>5.6999999999999993</v>
      </c>
      <c r="P386">
        <v>0</v>
      </c>
      <c r="Q386">
        <v>0</v>
      </c>
      <c r="R386">
        <v>0</v>
      </c>
      <c r="S386">
        <f t="shared" si="121"/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f t="shared" si="122"/>
        <v>0</v>
      </c>
      <c r="AB386">
        <v>0</v>
      </c>
      <c r="AC386">
        <v>0</v>
      </c>
      <c r="AD386">
        <v>0</v>
      </c>
      <c r="AE386">
        <v>0</v>
      </c>
      <c r="AF386">
        <v>1.2</v>
      </c>
      <c r="AG386">
        <v>0</v>
      </c>
      <c r="AH386">
        <v>0</v>
      </c>
      <c r="AI386">
        <v>0</v>
      </c>
      <c r="AJ386">
        <f t="shared" si="110"/>
        <v>1.2</v>
      </c>
      <c r="AK386">
        <v>0</v>
      </c>
      <c r="AL386">
        <v>0.58799999999999997</v>
      </c>
      <c r="AM386">
        <f t="shared" si="111"/>
        <v>0.41</v>
      </c>
      <c r="AN386">
        <v>16265</v>
      </c>
      <c r="AO386" t="s">
        <v>13</v>
      </c>
      <c r="AP386" s="3">
        <f t="shared" si="129"/>
        <v>27567.796610169487</v>
      </c>
      <c r="AQ386" t="s">
        <v>13</v>
      </c>
      <c r="AR386">
        <f t="shared" si="123"/>
        <v>2.9268292682926831E-2</v>
      </c>
      <c r="AS386">
        <f t="shared" si="124"/>
        <v>0.39799999999999996</v>
      </c>
      <c r="AT386">
        <f t="shared" si="125"/>
        <v>10972</v>
      </c>
      <c r="AU386">
        <f t="shared" si="126"/>
        <v>331</v>
      </c>
      <c r="AV386">
        <f t="shared" si="112"/>
        <v>6272</v>
      </c>
      <c r="AW386">
        <f t="shared" si="113"/>
        <v>425</v>
      </c>
      <c r="AX386" s="3">
        <f t="shared" si="114"/>
        <v>20870.796610169487</v>
      </c>
      <c r="AY386">
        <f t="shared" si="115"/>
        <v>5486</v>
      </c>
      <c r="AZ386">
        <f t="shared" si="116"/>
        <v>440</v>
      </c>
      <c r="BA386" s="3">
        <f t="shared" si="117"/>
        <v>21641.796610169487</v>
      </c>
    </row>
    <row r="387" spans="1:53" x14ac:dyDescent="0.2">
      <c r="A387">
        <v>2008</v>
      </c>
      <c r="B387" t="s">
        <v>67</v>
      </c>
      <c r="C387" t="s">
        <v>2</v>
      </c>
      <c r="D387">
        <v>8.3000000000000007</v>
      </c>
      <c r="E387">
        <v>0.4</v>
      </c>
      <c r="F387">
        <v>5.8</v>
      </c>
      <c r="G387">
        <v>3</v>
      </c>
      <c r="H387">
        <v>8.8000000000000007</v>
      </c>
      <c r="I387">
        <v>0</v>
      </c>
      <c r="J387">
        <v>0</v>
      </c>
      <c r="K387">
        <f t="shared" si="127"/>
        <v>26.3</v>
      </c>
      <c r="L387">
        <v>0</v>
      </c>
      <c r="M387">
        <v>14</v>
      </c>
      <c r="N387">
        <v>12.3</v>
      </c>
      <c r="O387">
        <f t="shared" si="128"/>
        <v>26.3</v>
      </c>
      <c r="P387">
        <v>0</v>
      </c>
      <c r="Q387">
        <v>0</v>
      </c>
      <c r="R387">
        <v>0</v>
      </c>
      <c r="S387">
        <f t="shared" si="121"/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f t="shared" si="122"/>
        <v>0</v>
      </c>
      <c r="AB387">
        <v>0</v>
      </c>
      <c r="AC387">
        <v>0</v>
      </c>
      <c r="AD387">
        <v>0</v>
      </c>
      <c r="AE387">
        <v>0</v>
      </c>
      <c r="AF387">
        <v>13.5</v>
      </c>
      <c r="AG387">
        <v>0</v>
      </c>
      <c r="AH387">
        <v>0</v>
      </c>
      <c r="AI387">
        <v>0</v>
      </c>
      <c r="AJ387">
        <f t="shared" ref="AJ387:AJ445" si="130">SUM(AB387:AI387)</f>
        <v>13.5</v>
      </c>
      <c r="AK387">
        <v>0</v>
      </c>
      <c r="AL387">
        <v>0.34</v>
      </c>
      <c r="AM387">
        <f t="shared" ref="AM387:AM450" si="131">SUM(AB387:AI387,T387:Z387,P387:R387,L387:N387,D387:J387)/100</f>
        <v>0.66099999999999992</v>
      </c>
      <c r="AN387">
        <v>10374</v>
      </c>
      <c r="AO387" t="s">
        <v>13</v>
      </c>
      <c r="AP387" s="3">
        <f t="shared" si="129"/>
        <v>30601.769911504416</v>
      </c>
      <c r="AQ387" t="s">
        <v>13</v>
      </c>
      <c r="AR387">
        <f t="shared" si="123"/>
        <v>0.20423600605143724</v>
      </c>
      <c r="AS387">
        <f t="shared" si="124"/>
        <v>0.52600000000000002</v>
      </c>
      <c r="AT387">
        <f t="shared" si="125"/>
        <v>16097</v>
      </c>
      <c r="AU387">
        <f t="shared" si="126"/>
        <v>4131</v>
      </c>
      <c r="AV387">
        <f t="shared" ref="AV387:AV450" si="132">ROUND((((K387*0.5)+O387+S387+AA387)/100)*AP387,0)</f>
        <v>12072</v>
      </c>
      <c r="AW387">
        <f t="shared" ref="AW387:AW450" si="133">ROUND((AU387/(AP387-AT387))*(AP387-AV387),0)</f>
        <v>5277</v>
      </c>
      <c r="AX387" s="3">
        <f t="shared" ref="AX387:AX450" si="134">AP387-AV387-AW387</f>
        <v>13252.769911504416</v>
      </c>
      <c r="AY387">
        <f t="shared" ref="AY387:AY450" si="135">ROUND((0.5*AS387)*AP387,0)</f>
        <v>8048</v>
      </c>
      <c r="AZ387">
        <f t="shared" ref="AZ387:AZ450" si="136">ROUND((AU387/(AP387-AT387))*(AP387-AY387),0)</f>
        <v>6423</v>
      </c>
      <c r="BA387" s="3">
        <f t="shared" ref="BA387:BA450" si="137">AP387-AZ387-AY387</f>
        <v>16130.769911504416</v>
      </c>
    </row>
    <row r="388" spans="1:53" x14ac:dyDescent="0.2">
      <c r="A388">
        <v>2009</v>
      </c>
      <c r="B388" t="s">
        <v>67</v>
      </c>
      <c r="C388" t="s">
        <v>2</v>
      </c>
      <c r="D388">
        <v>15.2</v>
      </c>
      <c r="E388">
        <v>3</v>
      </c>
      <c r="F388">
        <v>8.9</v>
      </c>
      <c r="G388">
        <v>1.6</v>
      </c>
      <c r="H388">
        <v>5.7</v>
      </c>
      <c r="I388">
        <v>0.4</v>
      </c>
      <c r="J388">
        <v>0</v>
      </c>
      <c r="K388">
        <f t="shared" si="127"/>
        <v>34.800000000000004</v>
      </c>
      <c r="L388">
        <v>0</v>
      </c>
      <c r="M388">
        <v>0.8</v>
      </c>
      <c r="N388">
        <v>4.5999999999999996</v>
      </c>
      <c r="O388">
        <f t="shared" si="128"/>
        <v>5.3999999999999995</v>
      </c>
      <c r="P388">
        <v>0</v>
      </c>
      <c r="Q388">
        <v>0</v>
      </c>
      <c r="R388">
        <v>0.4</v>
      </c>
      <c r="S388">
        <f t="shared" si="121"/>
        <v>0.4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f t="shared" si="122"/>
        <v>0</v>
      </c>
      <c r="AB388">
        <v>0</v>
      </c>
      <c r="AC388">
        <v>0</v>
      </c>
      <c r="AD388">
        <v>0</v>
      </c>
      <c r="AE388">
        <v>0</v>
      </c>
      <c r="AF388">
        <v>0.9</v>
      </c>
      <c r="AG388">
        <v>0</v>
      </c>
      <c r="AH388">
        <v>0</v>
      </c>
      <c r="AI388">
        <v>0</v>
      </c>
      <c r="AJ388">
        <f t="shared" si="130"/>
        <v>0.9</v>
      </c>
      <c r="AK388">
        <v>0</v>
      </c>
      <c r="AL388">
        <v>0.58299999999999996</v>
      </c>
      <c r="AM388">
        <f t="shared" si="131"/>
        <v>0.41499999999999998</v>
      </c>
      <c r="AN388">
        <v>10703</v>
      </c>
      <c r="AO388" t="s">
        <v>13</v>
      </c>
      <c r="AP388" s="3">
        <f t="shared" si="129"/>
        <v>18295.726495726496</v>
      </c>
      <c r="AQ388" t="s">
        <v>13</v>
      </c>
      <c r="AR388">
        <f t="shared" si="123"/>
        <v>2.168674698795181E-2</v>
      </c>
      <c r="AS388">
        <f t="shared" si="124"/>
        <v>0.40600000000000003</v>
      </c>
      <c r="AT388">
        <f t="shared" si="125"/>
        <v>7428</v>
      </c>
      <c r="AU388">
        <f t="shared" si="126"/>
        <v>165</v>
      </c>
      <c r="AV388">
        <f t="shared" si="132"/>
        <v>4245</v>
      </c>
      <c r="AW388">
        <f t="shared" si="133"/>
        <v>213</v>
      </c>
      <c r="AX388" s="3">
        <f t="shared" si="134"/>
        <v>13837.726495726496</v>
      </c>
      <c r="AY388">
        <f t="shared" si="135"/>
        <v>3714</v>
      </c>
      <c r="AZ388">
        <f t="shared" si="136"/>
        <v>221</v>
      </c>
      <c r="BA388" s="3">
        <f t="shared" si="137"/>
        <v>14360.726495726496</v>
      </c>
    </row>
    <row r="389" spans="1:53" x14ac:dyDescent="0.2">
      <c r="A389">
        <v>2010</v>
      </c>
      <c r="B389" t="s">
        <v>67</v>
      </c>
      <c r="C389" t="s">
        <v>2</v>
      </c>
      <c r="D389">
        <v>6.9</v>
      </c>
      <c r="E389">
        <v>0.6</v>
      </c>
      <c r="F389">
        <v>8</v>
      </c>
      <c r="G389">
        <v>2.9</v>
      </c>
      <c r="H389">
        <v>7.1</v>
      </c>
      <c r="I389">
        <v>0</v>
      </c>
      <c r="J389">
        <v>0</v>
      </c>
      <c r="K389">
        <f t="shared" si="127"/>
        <v>25.5</v>
      </c>
      <c r="L389">
        <v>0</v>
      </c>
      <c r="M389">
        <v>1.1000000000000001</v>
      </c>
      <c r="N389">
        <v>12</v>
      </c>
      <c r="O389">
        <f t="shared" si="128"/>
        <v>13.1</v>
      </c>
      <c r="P389">
        <v>0</v>
      </c>
      <c r="Q389">
        <v>0</v>
      </c>
      <c r="R389">
        <v>0</v>
      </c>
      <c r="S389">
        <f t="shared" si="121"/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f t="shared" si="122"/>
        <v>0</v>
      </c>
      <c r="AB389">
        <v>0</v>
      </c>
      <c r="AC389">
        <v>0</v>
      </c>
      <c r="AD389">
        <v>0</v>
      </c>
      <c r="AE389">
        <v>0</v>
      </c>
      <c r="AF389">
        <v>5.7</v>
      </c>
      <c r="AG389">
        <v>0</v>
      </c>
      <c r="AH389">
        <v>0</v>
      </c>
      <c r="AI389">
        <v>0</v>
      </c>
      <c r="AJ389">
        <f t="shared" si="130"/>
        <v>5.7</v>
      </c>
      <c r="AK389">
        <v>0</v>
      </c>
      <c r="AL389">
        <v>0.55600000000000005</v>
      </c>
      <c r="AM389">
        <f t="shared" si="131"/>
        <v>0.44300000000000006</v>
      </c>
      <c r="AN389">
        <v>13712</v>
      </c>
      <c r="AO389" t="s">
        <v>13</v>
      </c>
      <c r="AP389" s="3">
        <f t="shared" si="129"/>
        <v>24617.594254937165</v>
      </c>
      <c r="AQ389" t="s">
        <v>13</v>
      </c>
      <c r="AR389">
        <f t="shared" si="123"/>
        <v>0.12866817155756208</v>
      </c>
      <c r="AS389">
        <f t="shared" ref="AS389:AS416" si="138">SUM(K389,O389,S389,AA389)/100</f>
        <v>0.38600000000000001</v>
      </c>
      <c r="AT389">
        <f t="shared" ref="AT389:AT391" si="139">ROUND(AS389*AP389,0)</f>
        <v>9502</v>
      </c>
      <c r="AU389">
        <f t="shared" si="126"/>
        <v>1403</v>
      </c>
      <c r="AV389">
        <f t="shared" si="132"/>
        <v>6364</v>
      </c>
      <c r="AW389">
        <f t="shared" si="133"/>
        <v>1694</v>
      </c>
      <c r="AX389" s="3">
        <f t="shared" si="134"/>
        <v>16559.594254937165</v>
      </c>
      <c r="AY389">
        <f t="shared" si="135"/>
        <v>4751</v>
      </c>
      <c r="AZ389">
        <f t="shared" si="136"/>
        <v>1844</v>
      </c>
      <c r="BA389" s="3">
        <f t="shared" si="137"/>
        <v>18022.594254937165</v>
      </c>
    </row>
    <row r="390" spans="1:53" x14ac:dyDescent="0.2">
      <c r="A390">
        <v>2011</v>
      </c>
      <c r="B390" t="s">
        <v>67</v>
      </c>
      <c r="C390" t="s">
        <v>2</v>
      </c>
      <c r="D390">
        <v>15.8</v>
      </c>
      <c r="E390">
        <v>0</v>
      </c>
      <c r="F390">
        <v>2.7</v>
      </c>
      <c r="G390">
        <v>2.2999999999999998</v>
      </c>
      <c r="H390">
        <v>4.3</v>
      </c>
      <c r="I390">
        <v>0</v>
      </c>
      <c r="J390">
        <v>0</v>
      </c>
      <c r="K390">
        <f t="shared" si="127"/>
        <v>25.1</v>
      </c>
      <c r="L390">
        <v>0</v>
      </c>
      <c r="M390">
        <v>8.6</v>
      </c>
      <c r="N390">
        <v>14.8</v>
      </c>
      <c r="O390">
        <f t="shared" si="128"/>
        <v>23.4</v>
      </c>
      <c r="P390">
        <v>0</v>
      </c>
      <c r="Q390">
        <v>0</v>
      </c>
      <c r="R390">
        <v>0</v>
      </c>
      <c r="S390">
        <f t="shared" si="121"/>
        <v>0</v>
      </c>
      <c r="T390">
        <v>0.6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f t="shared" si="122"/>
        <v>0.6</v>
      </c>
      <c r="AB390">
        <v>0</v>
      </c>
      <c r="AC390">
        <v>0</v>
      </c>
      <c r="AD390">
        <v>0</v>
      </c>
      <c r="AE390">
        <v>0</v>
      </c>
      <c r="AF390">
        <v>2.5</v>
      </c>
      <c r="AG390">
        <v>0</v>
      </c>
      <c r="AH390">
        <v>0</v>
      </c>
      <c r="AI390">
        <v>0</v>
      </c>
      <c r="AJ390">
        <f t="shared" si="130"/>
        <v>2.5</v>
      </c>
      <c r="AK390">
        <v>0</v>
      </c>
      <c r="AL390">
        <v>0.48499999999999999</v>
      </c>
      <c r="AM390">
        <f t="shared" si="131"/>
        <v>0.5159999999999999</v>
      </c>
      <c r="AN390">
        <v>12105</v>
      </c>
      <c r="AO390" t="s">
        <v>13</v>
      </c>
      <c r="AP390" s="3">
        <f t="shared" si="129"/>
        <v>25010.330578512392</v>
      </c>
      <c r="AQ390" t="s">
        <v>13</v>
      </c>
      <c r="AR390">
        <f t="shared" si="123"/>
        <v>4.8449612403100785E-2</v>
      </c>
      <c r="AS390">
        <f t="shared" si="138"/>
        <v>0.49099999999999999</v>
      </c>
      <c r="AT390">
        <f t="shared" si="139"/>
        <v>12280</v>
      </c>
      <c r="AU390">
        <f t="shared" si="126"/>
        <v>625</v>
      </c>
      <c r="AV390">
        <f t="shared" si="132"/>
        <v>9141</v>
      </c>
      <c r="AW390">
        <f t="shared" si="133"/>
        <v>779</v>
      </c>
      <c r="AX390" s="3">
        <f t="shared" si="134"/>
        <v>15090.330578512392</v>
      </c>
      <c r="AY390">
        <f t="shared" si="135"/>
        <v>6140</v>
      </c>
      <c r="AZ390">
        <f t="shared" si="136"/>
        <v>926</v>
      </c>
      <c r="BA390" s="3">
        <f t="shared" si="137"/>
        <v>17944.330578512392</v>
      </c>
    </row>
    <row r="391" spans="1:53" x14ac:dyDescent="0.2">
      <c r="A391">
        <v>2012</v>
      </c>
      <c r="B391" t="s">
        <v>67</v>
      </c>
      <c r="C391" t="s">
        <v>2</v>
      </c>
      <c r="D391">
        <v>18.399999999999999</v>
      </c>
      <c r="E391">
        <v>1.4</v>
      </c>
      <c r="F391">
        <v>5.8</v>
      </c>
      <c r="G391">
        <v>1.2</v>
      </c>
      <c r="H391">
        <v>6.2</v>
      </c>
      <c r="I391">
        <v>0</v>
      </c>
      <c r="J391">
        <v>0</v>
      </c>
      <c r="K391">
        <f t="shared" si="127"/>
        <v>33</v>
      </c>
      <c r="L391">
        <v>0</v>
      </c>
      <c r="M391">
        <v>1.7</v>
      </c>
      <c r="N391">
        <v>8.8000000000000007</v>
      </c>
      <c r="O391">
        <f t="shared" si="128"/>
        <v>10.5</v>
      </c>
      <c r="P391">
        <v>0</v>
      </c>
      <c r="Q391">
        <v>0</v>
      </c>
      <c r="R391">
        <v>1.9</v>
      </c>
      <c r="S391">
        <f t="shared" si="121"/>
        <v>1.9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f t="shared" si="122"/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f t="shared" si="130"/>
        <v>0</v>
      </c>
      <c r="AK391">
        <v>0</v>
      </c>
      <c r="AL391">
        <v>0.54700000000000004</v>
      </c>
      <c r="AM391">
        <f t="shared" si="131"/>
        <v>0.45399999999999996</v>
      </c>
      <c r="AN391">
        <v>9363</v>
      </c>
      <c r="AO391" t="s">
        <v>13</v>
      </c>
      <c r="AP391" s="3">
        <f t="shared" si="129"/>
        <v>17148.351648351647</v>
      </c>
      <c r="AQ391" t="s">
        <v>13</v>
      </c>
      <c r="AR391">
        <f t="shared" si="123"/>
        <v>0</v>
      </c>
      <c r="AS391">
        <f t="shared" si="138"/>
        <v>0.45399999999999996</v>
      </c>
      <c r="AT391">
        <f t="shared" si="139"/>
        <v>7785</v>
      </c>
      <c r="AU391">
        <f t="shared" si="126"/>
        <v>0</v>
      </c>
      <c r="AV391">
        <f t="shared" si="132"/>
        <v>4956</v>
      </c>
      <c r="AW391">
        <f t="shared" si="133"/>
        <v>0</v>
      </c>
      <c r="AX391" s="3">
        <f t="shared" si="134"/>
        <v>12192.351648351647</v>
      </c>
      <c r="AY391">
        <f t="shared" si="135"/>
        <v>3893</v>
      </c>
      <c r="AZ391">
        <f t="shared" si="136"/>
        <v>0</v>
      </c>
      <c r="BA391" s="3">
        <f t="shared" si="137"/>
        <v>13255.351648351647</v>
      </c>
    </row>
    <row r="392" spans="1:53" x14ac:dyDescent="0.2">
      <c r="A392">
        <v>2013</v>
      </c>
      <c r="B392" t="s">
        <v>67</v>
      </c>
      <c r="C392" t="s">
        <v>2</v>
      </c>
      <c r="D392">
        <v>10.3</v>
      </c>
      <c r="E392">
        <v>0</v>
      </c>
      <c r="F392">
        <v>6.7</v>
      </c>
      <c r="G392">
        <v>5.8</v>
      </c>
      <c r="H392">
        <v>2.2999999999999998</v>
      </c>
      <c r="I392">
        <v>0</v>
      </c>
      <c r="J392">
        <v>0</v>
      </c>
      <c r="K392">
        <f t="shared" si="127"/>
        <v>25.1</v>
      </c>
      <c r="L392">
        <v>0</v>
      </c>
      <c r="M392">
        <v>0.4</v>
      </c>
      <c r="N392">
        <v>7.2</v>
      </c>
      <c r="O392">
        <f t="shared" si="128"/>
        <v>7.6000000000000005</v>
      </c>
      <c r="P392">
        <v>0</v>
      </c>
      <c r="Q392">
        <v>0</v>
      </c>
      <c r="R392">
        <v>0</v>
      </c>
      <c r="S392">
        <f t="shared" si="121"/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f t="shared" si="122"/>
        <v>0</v>
      </c>
      <c r="AB392">
        <v>0</v>
      </c>
      <c r="AC392">
        <v>0</v>
      </c>
      <c r="AD392">
        <v>0</v>
      </c>
      <c r="AE392">
        <v>0</v>
      </c>
      <c r="AF392">
        <v>2.2000000000000002</v>
      </c>
      <c r="AG392">
        <v>0</v>
      </c>
      <c r="AH392">
        <v>0</v>
      </c>
      <c r="AI392">
        <v>0</v>
      </c>
      <c r="AJ392">
        <f t="shared" si="130"/>
        <v>2.2000000000000002</v>
      </c>
      <c r="AK392">
        <v>0</v>
      </c>
      <c r="AL392">
        <v>0.65200000000000002</v>
      </c>
      <c r="AM392">
        <f t="shared" si="131"/>
        <v>0.34899999999999998</v>
      </c>
      <c r="AN392" t="s">
        <v>13</v>
      </c>
      <c r="AO392" t="s">
        <v>13</v>
      </c>
      <c r="AP392" t="s">
        <v>13</v>
      </c>
      <c r="AQ392" t="s">
        <v>13</v>
      </c>
      <c r="AR392">
        <f t="shared" si="123"/>
        <v>6.3037249283667635E-2</v>
      </c>
      <c r="AS392">
        <f t="shared" si="138"/>
        <v>0.32700000000000001</v>
      </c>
      <c r="AT392" t="s">
        <v>13</v>
      </c>
      <c r="AU392" t="s">
        <v>13</v>
      </c>
      <c r="AV392" t="s">
        <v>13</v>
      </c>
      <c r="AW392" t="s">
        <v>13</v>
      </c>
      <c r="AX392" t="s">
        <v>13</v>
      </c>
      <c r="AY392" t="e">
        <f t="shared" si="135"/>
        <v>#VALUE!</v>
      </c>
      <c r="AZ392" t="e">
        <f t="shared" si="136"/>
        <v>#VALUE!</v>
      </c>
      <c r="BA392" s="3" t="e">
        <f t="shared" si="137"/>
        <v>#VALUE!</v>
      </c>
    </row>
    <row r="393" spans="1:53" x14ac:dyDescent="0.2">
      <c r="A393">
        <v>2014</v>
      </c>
      <c r="B393" t="s">
        <v>67</v>
      </c>
      <c r="C393" t="s">
        <v>2</v>
      </c>
      <c r="D393">
        <v>10.9</v>
      </c>
      <c r="E393">
        <v>0.3</v>
      </c>
      <c r="F393">
        <v>5.5</v>
      </c>
      <c r="G393">
        <v>1.6</v>
      </c>
      <c r="H393">
        <v>5.9</v>
      </c>
      <c r="I393">
        <v>0</v>
      </c>
      <c r="J393">
        <v>0</v>
      </c>
      <c r="K393">
        <f t="shared" si="127"/>
        <v>24.200000000000003</v>
      </c>
      <c r="L393">
        <v>0</v>
      </c>
      <c r="M393">
        <v>1.2</v>
      </c>
      <c r="N393">
        <v>6.5</v>
      </c>
      <c r="O393">
        <f t="shared" si="128"/>
        <v>7.7</v>
      </c>
      <c r="P393">
        <v>0</v>
      </c>
      <c r="Q393">
        <v>0</v>
      </c>
      <c r="R393">
        <v>0</v>
      </c>
      <c r="S393">
        <f t="shared" si="121"/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f t="shared" si="122"/>
        <v>0</v>
      </c>
      <c r="AB393">
        <v>0</v>
      </c>
      <c r="AC393">
        <v>0</v>
      </c>
      <c r="AD393">
        <v>0</v>
      </c>
      <c r="AE393">
        <v>0</v>
      </c>
      <c r="AF393">
        <v>9.6</v>
      </c>
      <c r="AG393">
        <v>0</v>
      </c>
      <c r="AH393">
        <v>0</v>
      </c>
      <c r="AI393">
        <v>0</v>
      </c>
      <c r="AJ393">
        <f t="shared" si="130"/>
        <v>9.6</v>
      </c>
      <c r="AK393">
        <v>0</v>
      </c>
      <c r="AL393">
        <v>0.58599999999999997</v>
      </c>
      <c r="AM393">
        <f t="shared" si="131"/>
        <v>0.41499999999999998</v>
      </c>
      <c r="AN393" t="s">
        <v>13</v>
      </c>
      <c r="AO393" t="s">
        <v>13</v>
      </c>
      <c r="AP393" t="s">
        <v>13</v>
      </c>
      <c r="AQ393" t="s">
        <v>13</v>
      </c>
      <c r="AR393">
        <f t="shared" si="123"/>
        <v>0.23132530120481928</v>
      </c>
      <c r="AS393">
        <f t="shared" si="138"/>
        <v>0.31900000000000001</v>
      </c>
      <c r="AT393" t="s">
        <v>13</v>
      </c>
      <c r="AU393" t="s">
        <v>13</v>
      </c>
      <c r="AV393" t="s">
        <v>13</v>
      </c>
      <c r="AW393" t="s">
        <v>13</v>
      </c>
      <c r="AX393" t="s">
        <v>13</v>
      </c>
      <c r="AY393" t="e">
        <f t="shared" si="135"/>
        <v>#VALUE!</v>
      </c>
      <c r="AZ393" t="e">
        <f t="shared" si="136"/>
        <v>#VALUE!</v>
      </c>
      <c r="BA393" s="3" t="e">
        <f t="shared" si="137"/>
        <v>#VALUE!</v>
      </c>
    </row>
    <row r="394" spans="1:53" x14ac:dyDescent="0.2">
      <c r="A394">
        <v>2015</v>
      </c>
      <c r="B394" t="s">
        <v>67</v>
      </c>
      <c r="C394" t="s">
        <v>2</v>
      </c>
      <c r="D394">
        <v>11</v>
      </c>
      <c r="E394">
        <v>7.3</v>
      </c>
      <c r="F394">
        <v>5.8</v>
      </c>
      <c r="G394">
        <v>2.8</v>
      </c>
      <c r="H394">
        <v>3.3</v>
      </c>
      <c r="I394">
        <v>0</v>
      </c>
      <c r="J394">
        <v>0</v>
      </c>
      <c r="K394">
        <f t="shared" si="127"/>
        <v>30.200000000000003</v>
      </c>
      <c r="L394">
        <v>0</v>
      </c>
      <c r="M394">
        <v>1.3</v>
      </c>
      <c r="N394">
        <v>5.0999999999999996</v>
      </c>
      <c r="O394">
        <f t="shared" si="128"/>
        <v>6.3999999999999995</v>
      </c>
      <c r="P394">
        <v>0</v>
      </c>
      <c r="Q394">
        <v>0</v>
      </c>
      <c r="R394">
        <v>0</v>
      </c>
      <c r="S394">
        <f t="shared" si="121"/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f t="shared" si="122"/>
        <v>0</v>
      </c>
      <c r="AB394">
        <v>0</v>
      </c>
      <c r="AC394">
        <v>0</v>
      </c>
      <c r="AD394">
        <v>0</v>
      </c>
      <c r="AE394">
        <v>0</v>
      </c>
      <c r="AF394">
        <v>5.5</v>
      </c>
      <c r="AG394">
        <v>0</v>
      </c>
      <c r="AH394">
        <v>0</v>
      </c>
      <c r="AI394">
        <v>0</v>
      </c>
      <c r="AJ394">
        <f t="shared" si="130"/>
        <v>5.5</v>
      </c>
      <c r="AK394">
        <v>0</v>
      </c>
      <c r="AL394">
        <v>0.57999999999999996</v>
      </c>
      <c r="AM394">
        <f t="shared" si="131"/>
        <v>0.42099999999999993</v>
      </c>
      <c r="AN394">
        <v>7190</v>
      </c>
      <c r="AO394" t="s">
        <v>13</v>
      </c>
      <c r="AP394" s="3">
        <f t="shared" si="129"/>
        <v>12417.962003454229</v>
      </c>
      <c r="AQ394" t="s">
        <v>13</v>
      </c>
      <c r="AR394">
        <f t="shared" si="123"/>
        <v>0.1306413301662708</v>
      </c>
      <c r="AS394">
        <f t="shared" si="138"/>
        <v>0.36599999999999999</v>
      </c>
      <c r="AT394">
        <f t="shared" ref="AT394:AT416" si="140">ROUND(AS394*AP394,0)</f>
        <v>4545</v>
      </c>
      <c r="AU394">
        <f t="shared" ref="AU394:AU416" si="141">ROUND((AJ394/100)*AP394,0)</f>
        <v>683</v>
      </c>
      <c r="AV394">
        <f t="shared" si="132"/>
        <v>2670</v>
      </c>
      <c r="AW394">
        <f t="shared" si="133"/>
        <v>846</v>
      </c>
      <c r="AX394" s="3">
        <f t="shared" si="134"/>
        <v>8901.9620034542295</v>
      </c>
      <c r="AY394">
        <f t="shared" si="135"/>
        <v>2272</v>
      </c>
      <c r="AZ394">
        <f t="shared" si="136"/>
        <v>880</v>
      </c>
      <c r="BA394" s="3">
        <f t="shared" si="137"/>
        <v>9265.9620034542295</v>
      </c>
    </row>
    <row r="395" spans="1:53" x14ac:dyDescent="0.2">
      <c r="A395">
        <v>2016</v>
      </c>
      <c r="B395" t="s">
        <v>67</v>
      </c>
      <c r="C395" t="s">
        <v>2</v>
      </c>
      <c r="D395">
        <v>9.1</v>
      </c>
      <c r="E395">
        <v>5.4</v>
      </c>
      <c r="F395">
        <v>3.8</v>
      </c>
      <c r="G395">
        <v>1.4</v>
      </c>
      <c r="H395">
        <v>4.3</v>
      </c>
      <c r="I395">
        <v>0</v>
      </c>
      <c r="J395">
        <v>0</v>
      </c>
      <c r="K395">
        <f t="shared" si="127"/>
        <v>24</v>
      </c>
      <c r="L395">
        <v>0</v>
      </c>
      <c r="M395">
        <v>0.8</v>
      </c>
      <c r="N395">
        <v>13.2</v>
      </c>
      <c r="O395">
        <f t="shared" si="128"/>
        <v>14</v>
      </c>
      <c r="P395">
        <v>0</v>
      </c>
      <c r="Q395">
        <v>0</v>
      </c>
      <c r="R395">
        <v>0</v>
      </c>
      <c r="S395">
        <f t="shared" si="121"/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f t="shared" si="122"/>
        <v>0</v>
      </c>
      <c r="AB395">
        <v>0</v>
      </c>
      <c r="AC395">
        <v>0</v>
      </c>
      <c r="AD395">
        <v>0</v>
      </c>
      <c r="AE395">
        <v>0</v>
      </c>
      <c r="AF395">
        <v>4.5999999999999996</v>
      </c>
      <c r="AG395">
        <v>0</v>
      </c>
      <c r="AH395">
        <v>0</v>
      </c>
      <c r="AI395">
        <v>0</v>
      </c>
      <c r="AJ395">
        <f t="shared" si="130"/>
        <v>4.5999999999999996</v>
      </c>
      <c r="AK395">
        <v>0</v>
      </c>
      <c r="AL395">
        <v>0.57399999999999995</v>
      </c>
      <c r="AM395">
        <f t="shared" si="131"/>
        <v>0.42599999999999988</v>
      </c>
      <c r="AN395">
        <v>10440</v>
      </c>
      <c r="AO395" t="s">
        <v>13</v>
      </c>
      <c r="AP395" s="3">
        <f t="shared" si="129"/>
        <v>18188.153310104528</v>
      </c>
      <c r="AQ395" t="s">
        <v>13</v>
      </c>
      <c r="AR395">
        <f t="shared" si="123"/>
        <v>0.10798122065727703</v>
      </c>
      <c r="AS395">
        <f t="shared" si="138"/>
        <v>0.38</v>
      </c>
      <c r="AT395">
        <f t="shared" si="140"/>
        <v>6911</v>
      </c>
      <c r="AU395">
        <f t="shared" si="141"/>
        <v>837</v>
      </c>
      <c r="AV395">
        <f t="shared" si="132"/>
        <v>4729</v>
      </c>
      <c r="AW395">
        <f t="shared" si="133"/>
        <v>999</v>
      </c>
      <c r="AX395" s="3">
        <f t="shared" si="134"/>
        <v>12460.153310104528</v>
      </c>
      <c r="AY395">
        <f t="shared" si="135"/>
        <v>3456</v>
      </c>
      <c r="AZ395">
        <f t="shared" si="136"/>
        <v>1093</v>
      </c>
      <c r="BA395" s="3">
        <f t="shared" si="137"/>
        <v>13639.153310104528</v>
      </c>
    </row>
    <row r="396" spans="1:53" x14ac:dyDescent="0.2">
      <c r="A396">
        <v>2017</v>
      </c>
      <c r="B396" t="s">
        <v>67</v>
      </c>
      <c r="C396" t="s">
        <v>2</v>
      </c>
      <c r="D396">
        <v>10.4</v>
      </c>
      <c r="E396">
        <v>0</v>
      </c>
      <c r="F396">
        <v>4.4000000000000004</v>
      </c>
      <c r="G396">
        <v>6.7</v>
      </c>
      <c r="H396">
        <v>1.7</v>
      </c>
      <c r="I396">
        <v>0</v>
      </c>
      <c r="J396">
        <v>0</v>
      </c>
      <c r="K396">
        <f t="shared" si="127"/>
        <v>23.2</v>
      </c>
      <c r="L396">
        <v>0</v>
      </c>
      <c r="M396">
        <v>0.7</v>
      </c>
      <c r="N396">
        <v>23.1</v>
      </c>
      <c r="O396">
        <f t="shared" si="128"/>
        <v>23.8</v>
      </c>
      <c r="P396">
        <v>0</v>
      </c>
      <c r="Q396">
        <v>0</v>
      </c>
      <c r="R396">
        <v>0</v>
      </c>
      <c r="S396">
        <f t="shared" si="121"/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f t="shared" si="122"/>
        <v>0</v>
      </c>
      <c r="AB396">
        <v>0</v>
      </c>
      <c r="AC396">
        <v>0</v>
      </c>
      <c r="AD396">
        <v>0</v>
      </c>
      <c r="AE396">
        <v>0</v>
      </c>
      <c r="AF396">
        <v>3.5</v>
      </c>
      <c r="AG396">
        <v>0</v>
      </c>
      <c r="AH396">
        <v>0</v>
      </c>
      <c r="AI396">
        <v>0</v>
      </c>
      <c r="AJ396">
        <f t="shared" si="130"/>
        <v>3.5</v>
      </c>
      <c r="AK396">
        <v>0</v>
      </c>
      <c r="AL396">
        <v>0.496</v>
      </c>
      <c r="AM396">
        <f t="shared" si="131"/>
        <v>0.50500000000000012</v>
      </c>
      <c r="AN396">
        <v>4943</v>
      </c>
      <c r="AO396" t="s">
        <v>13</v>
      </c>
      <c r="AP396" s="3">
        <f t="shared" si="129"/>
        <v>9985.8585858585884</v>
      </c>
      <c r="AQ396" t="s">
        <v>13</v>
      </c>
      <c r="AR396">
        <f t="shared" si="123"/>
        <v>6.9306930693069299E-2</v>
      </c>
      <c r="AS396">
        <f t="shared" si="138"/>
        <v>0.47</v>
      </c>
      <c r="AT396">
        <f t="shared" si="140"/>
        <v>4693</v>
      </c>
      <c r="AU396">
        <f t="shared" si="141"/>
        <v>350</v>
      </c>
      <c r="AV396">
        <f t="shared" si="132"/>
        <v>3535</v>
      </c>
      <c r="AW396">
        <f t="shared" si="133"/>
        <v>427</v>
      </c>
      <c r="AX396" s="3">
        <f t="shared" si="134"/>
        <v>6023.8585858585884</v>
      </c>
      <c r="AY396">
        <f t="shared" si="135"/>
        <v>2347</v>
      </c>
      <c r="AZ396">
        <f t="shared" si="136"/>
        <v>505</v>
      </c>
      <c r="BA396" s="3">
        <f t="shared" si="137"/>
        <v>7133.8585858585884</v>
      </c>
    </row>
    <row r="397" spans="1:53" x14ac:dyDescent="0.2">
      <c r="A397">
        <v>2018</v>
      </c>
      <c r="B397" t="s">
        <v>67</v>
      </c>
      <c r="C397" t="s">
        <v>2</v>
      </c>
      <c r="D397">
        <v>6.3</v>
      </c>
      <c r="E397">
        <v>0</v>
      </c>
      <c r="F397">
        <v>0</v>
      </c>
      <c r="G397">
        <v>3</v>
      </c>
      <c r="H397">
        <v>3.5</v>
      </c>
      <c r="I397">
        <v>0</v>
      </c>
      <c r="J397">
        <v>0</v>
      </c>
      <c r="K397">
        <f t="shared" si="127"/>
        <v>12.8</v>
      </c>
      <c r="L397">
        <v>0</v>
      </c>
      <c r="M397">
        <v>2.2000000000000002</v>
      </c>
      <c r="N397">
        <v>0</v>
      </c>
      <c r="O397">
        <f t="shared" si="128"/>
        <v>2.2000000000000002</v>
      </c>
      <c r="P397">
        <v>0</v>
      </c>
      <c r="Q397">
        <v>0</v>
      </c>
      <c r="R397">
        <v>0</v>
      </c>
      <c r="S397">
        <f t="shared" si="121"/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f t="shared" si="122"/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f t="shared" si="130"/>
        <v>0</v>
      </c>
      <c r="AK397">
        <v>0</v>
      </c>
      <c r="AL397">
        <v>0.85099999999999998</v>
      </c>
      <c r="AM397">
        <f t="shared" si="131"/>
        <v>0.15</v>
      </c>
      <c r="AN397">
        <v>9537</v>
      </c>
      <c r="AO397" t="s">
        <v>13</v>
      </c>
      <c r="AP397" s="3">
        <f t="shared" si="129"/>
        <v>11220</v>
      </c>
      <c r="AQ397" t="s">
        <v>13</v>
      </c>
      <c r="AR397">
        <f t="shared" si="123"/>
        <v>0</v>
      </c>
      <c r="AS397">
        <f t="shared" si="138"/>
        <v>0.15</v>
      </c>
      <c r="AT397">
        <f t="shared" si="140"/>
        <v>1683</v>
      </c>
      <c r="AU397">
        <f t="shared" si="141"/>
        <v>0</v>
      </c>
      <c r="AV397">
        <f t="shared" si="132"/>
        <v>965</v>
      </c>
      <c r="AW397">
        <f t="shared" si="133"/>
        <v>0</v>
      </c>
      <c r="AX397" s="3">
        <f t="shared" si="134"/>
        <v>10255</v>
      </c>
      <c r="AY397">
        <f t="shared" si="135"/>
        <v>842</v>
      </c>
      <c r="AZ397">
        <f t="shared" si="136"/>
        <v>0</v>
      </c>
      <c r="BA397" s="3">
        <f t="shared" si="137"/>
        <v>10378</v>
      </c>
    </row>
    <row r="398" spans="1:53" x14ac:dyDescent="0.2">
      <c r="A398">
        <v>2019</v>
      </c>
      <c r="B398" t="s">
        <v>67</v>
      </c>
      <c r="C398" t="s">
        <v>2</v>
      </c>
      <c r="D398">
        <v>6.7</v>
      </c>
      <c r="E398">
        <v>4.5</v>
      </c>
      <c r="F398">
        <v>4.9000000000000004</v>
      </c>
      <c r="G398">
        <v>0.8</v>
      </c>
      <c r="H398">
        <v>3.5</v>
      </c>
      <c r="I398">
        <v>0</v>
      </c>
      <c r="J398">
        <v>0</v>
      </c>
      <c r="K398">
        <f t="shared" si="127"/>
        <v>20.400000000000002</v>
      </c>
      <c r="L398">
        <v>0</v>
      </c>
      <c r="M398">
        <v>1.5</v>
      </c>
      <c r="N398">
        <v>11.2</v>
      </c>
      <c r="O398">
        <f t="shared" si="128"/>
        <v>12.7</v>
      </c>
      <c r="P398">
        <v>0</v>
      </c>
      <c r="Q398">
        <v>0</v>
      </c>
      <c r="R398">
        <v>0</v>
      </c>
      <c r="S398">
        <f t="shared" si="121"/>
        <v>0</v>
      </c>
      <c r="T398">
        <v>0.2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f t="shared" si="122"/>
        <v>0.2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f t="shared" si="130"/>
        <v>0</v>
      </c>
      <c r="AK398">
        <v>0</v>
      </c>
      <c r="AL398">
        <v>0.66700000000000004</v>
      </c>
      <c r="AM398">
        <f t="shared" si="131"/>
        <v>0.33299999999999996</v>
      </c>
      <c r="AN398">
        <v>7500</v>
      </c>
      <c r="AO398" t="s">
        <v>13</v>
      </c>
      <c r="AP398" s="3">
        <f t="shared" si="129"/>
        <v>11244.377811094451</v>
      </c>
      <c r="AQ398" t="s">
        <v>13</v>
      </c>
      <c r="AR398">
        <f t="shared" si="123"/>
        <v>0</v>
      </c>
      <c r="AS398">
        <f t="shared" si="138"/>
        <v>0.33300000000000002</v>
      </c>
      <c r="AT398">
        <f t="shared" si="140"/>
        <v>3744</v>
      </c>
      <c r="AU398">
        <f t="shared" si="141"/>
        <v>0</v>
      </c>
      <c r="AV398">
        <f t="shared" si="132"/>
        <v>2597</v>
      </c>
      <c r="AW398">
        <f t="shared" si="133"/>
        <v>0</v>
      </c>
      <c r="AX398" s="3">
        <f t="shared" si="134"/>
        <v>8647.3778110944513</v>
      </c>
      <c r="AY398">
        <f t="shared" si="135"/>
        <v>1872</v>
      </c>
      <c r="AZ398">
        <f t="shared" si="136"/>
        <v>0</v>
      </c>
      <c r="BA398" s="3">
        <f t="shared" si="137"/>
        <v>9372.3778110944513</v>
      </c>
    </row>
    <row r="399" spans="1:53" x14ac:dyDescent="0.2">
      <c r="A399">
        <v>2020</v>
      </c>
      <c r="B399" t="s">
        <v>67</v>
      </c>
      <c r="C399" t="s">
        <v>2</v>
      </c>
      <c r="D399">
        <v>2.7</v>
      </c>
      <c r="E399">
        <v>0.6</v>
      </c>
      <c r="F399">
        <v>0</v>
      </c>
      <c r="G399">
        <v>0</v>
      </c>
      <c r="H399">
        <v>0</v>
      </c>
      <c r="I399">
        <v>0</v>
      </c>
      <c r="J399">
        <v>0</v>
      </c>
      <c r="K399">
        <f t="shared" si="127"/>
        <v>3.3000000000000003</v>
      </c>
      <c r="L399">
        <v>0</v>
      </c>
      <c r="M399">
        <v>3.7</v>
      </c>
      <c r="N399">
        <v>8.4</v>
      </c>
      <c r="O399">
        <f t="shared" si="128"/>
        <v>12.100000000000001</v>
      </c>
      <c r="P399">
        <v>0</v>
      </c>
      <c r="Q399">
        <v>0</v>
      </c>
      <c r="R399">
        <v>0</v>
      </c>
      <c r="S399">
        <f t="shared" si="121"/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f t="shared" si="122"/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f t="shared" si="130"/>
        <v>0</v>
      </c>
      <c r="AK399">
        <v>0</v>
      </c>
      <c r="AL399">
        <v>0.84599999999999997</v>
      </c>
      <c r="AM399">
        <f t="shared" si="131"/>
        <v>0.154</v>
      </c>
      <c r="AN399">
        <v>4478</v>
      </c>
      <c r="AO399" t="s">
        <v>13</v>
      </c>
      <c r="AP399" s="3">
        <f t="shared" si="129"/>
        <v>5293.1442080378256</v>
      </c>
      <c r="AQ399" t="s">
        <v>13</v>
      </c>
      <c r="AR399">
        <f t="shared" si="123"/>
        <v>0</v>
      </c>
      <c r="AS399">
        <f t="shared" si="138"/>
        <v>0.15400000000000003</v>
      </c>
      <c r="AT399">
        <f t="shared" si="140"/>
        <v>815</v>
      </c>
      <c r="AU399">
        <f t="shared" si="141"/>
        <v>0</v>
      </c>
      <c r="AV399">
        <f t="shared" si="132"/>
        <v>728</v>
      </c>
      <c r="AW399">
        <f t="shared" si="133"/>
        <v>0</v>
      </c>
      <c r="AX399" s="3">
        <f t="shared" si="134"/>
        <v>4565.1442080378256</v>
      </c>
      <c r="AY399">
        <f t="shared" si="135"/>
        <v>408</v>
      </c>
      <c r="AZ399">
        <f t="shared" si="136"/>
        <v>0</v>
      </c>
      <c r="BA399" s="3">
        <f t="shared" si="137"/>
        <v>4885.1442080378256</v>
      </c>
    </row>
    <row r="400" spans="1:53" x14ac:dyDescent="0.2">
      <c r="A400">
        <v>2021</v>
      </c>
      <c r="B400" t="s">
        <v>67</v>
      </c>
      <c r="C400" t="s">
        <v>2</v>
      </c>
      <c r="D400">
        <v>2.9</v>
      </c>
      <c r="E400">
        <v>17.100000000000001</v>
      </c>
      <c r="F400">
        <v>18</v>
      </c>
      <c r="G400">
        <v>0</v>
      </c>
      <c r="H400">
        <v>0</v>
      </c>
      <c r="I400">
        <v>0</v>
      </c>
      <c r="J400">
        <v>0</v>
      </c>
      <c r="K400">
        <f t="shared" si="127"/>
        <v>38</v>
      </c>
      <c r="L400">
        <v>0</v>
      </c>
      <c r="M400">
        <v>3.7</v>
      </c>
      <c r="N400">
        <v>0</v>
      </c>
      <c r="O400">
        <f t="shared" si="128"/>
        <v>3.7</v>
      </c>
      <c r="P400">
        <v>0</v>
      </c>
      <c r="Q400">
        <v>0</v>
      </c>
      <c r="R400">
        <v>0</v>
      </c>
      <c r="S400">
        <f t="shared" si="121"/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f t="shared" si="122"/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f t="shared" si="130"/>
        <v>0</v>
      </c>
      <c r="AK400">
        <v>0</v>
      </c>
      <c r="AL400">
        <v>0.58299999999999996</v>
      </c>
      <c r="AM400">
        <f t="shared" si="131"/>
        <v>0.41700000000000004</v>
      </c>
      <c r="AN400">
        <v>3311</v>
      </c>
      <c r="AO400" t="s">
        <v>13</v>
      </c>
      <c r="AP400" s="3">
        <f t="shared" si="129"/>
        <v>5679.2452830188686</v>
      </c>
      <c r="AQ400" t="s">
        <v>13</v>
      </c>
      <c r="AR400">
        <f t="shared" si="123"/>
        <v>0</v>
      </c>
      <c r="AS400">
        <f t="shared" si="138"/>
        <v>0.41700000000000004</v>
      </c>
      <c r="AT400">
        <f t="shared" si="140"/>
        <v>2368</v>
      </c>
      <c r="AU400">
        <f t="shared" si="141"/>
        <v>0</v>
      </c>
      <c r="AV400">
        <f t="shared" si="132"/>
        <v>1289</v>
      </c>
      <c r="AW400">
        <f t="shared" si="133"/>
        <v>0</v>
      </c>
      <c r="AX400" s="3">
        <f t="shared" si="134"/>
        <v>4390.2452830188686</v>
      </c>
      <c r="AY400">
        <f t="shared" si="135"/>
        <v>1184</v>
      </c>
      <c r="AZ400">
        <f t="shared" si="136"/>
        <v>0</v>
      </c>
      <c r="BA400" s="3">
        <f t="shared" si="137"/>
        <v>4495.2452830188686</v>
      </c>
    </row>
    <row r="401" spans="1:53" x14ac:dyDescent="0.2">
      <c r="A401">
        <v>2022</v>
      </c>
      <c r="B401" t="s">
        <v>67</v>
      </c>
      <c r="C401" t="s">
        <v>2</v>
      </c>
      <c r="D401">
        <v>11.6</v>
      </c>
      <c r="E401">
        <v>2.2000000000000002</v>
      </c>
      <c r="F401">
        <v>3.9</v>
      </c>
      <c r="G401">
        <v>2.2000000000000002</v>
      </c>
      <c r="H401">
        <v>1.3</v>
      </c>
      <c r="I401">
        <v>0</v>
      </c>
      <c r="J401">
        <v>0</v>
      </c>
      <c r="K401">
        <f t="shared" si="127"/>
        <v>21.2</v>
      </c>
      <c r="L401">
        <v>0</v>
      </c>
      <c r="M401">
        <v>2.8</v>
      </c>
      <c r="N401">
        <v>0</v>
      </c>
      <c r="O401">
        <f t="shared" si="128"/>
        <v>2.8</v>
      </c>
      <c r="P401">
        <v>0</v>
      </c>
      <c r="Q401">
        <v>0</v>
      </c>
      <c r="R401">
        <v>0</v>
      </c>
      <c r="S401">
        <f t="shared" si="121"/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f t="shared" si="122"/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f t="shared" si="130"/>
        <v>0</v>
      </c>
      <c r="AK401">
        <v>0</v>
      </c>
      <c r="AL401">
        <v>0.76</v>
      </c>
      <c r="AM401">
        <f t="shared" si="131"/>
        <v>0.23999999999999996</v>
      </c>
      <c r="AN401">
        <v>5340</v>
      </c>
      <c r="AO401" t="s">
        <v>13</v>
      </c>
      <c r="AP401" s="3">
        <f t="shared" si="129"/>
        <v>7026.3157894736842</v>
      </c>
      <c r="AQ401" t="s">
        <v>13</v>
      </c>
      <c r="AR401">
        <f t="shared" si="123"/>
        <v>0</v>
      </c>
      <c r="AS401">
        <f t="shared" si="138"/>
        <v>0.24</v>
      </c>
      <c r="AT401">
        <f t="shared" si="140"/>
        <v>1686</v>
      </c>
      <c r="AU401">
        <f t="shared" si="141"/>
        <v>0</v>
      </c>
      <c r="AV401">
        <f t="shared" si="132"/>
        <v>942</v>
      </c>
      <c r="AW401">
        <f t="shared" si="133"/>
        <v>0</v>
      </c>
      <c r="AX401" s="3">
        <f t="shared" si="134"/>
        <v>6084.3157894736842</v>
      </c>
      <c r="AY401">
        <f t="shared" si="135"/>
        <v>843</v>
      </c>
      <c r="AZ401">
        <f t="shared" si="136"/>
        <v>0</v>
      </c>
      <c r="BA401" s="3">
        <f t="shared" si="137"/>
        <v>6183.3157894736842</v>
      </c>
    </row>
    <row r="402" spans="1:53" x14ac:dyDescent="0.2">
      <c r="A402">
        <v>2023</v>
      </c>
      <c r="B402" t="s">
        <v>67</v>
      </c>
      <c r="C402" t="s">
        <v>2</v>
      </c>
      <c r="D402">
        <v>6.2</v>
      </c>
      <c r="E402">
        <v>2.7</v>
      </c>
      <c r="F402">
        <v>1.5</v>
      </c>
      <c r="G402">
        <v>0</v>
      </c>
      <c r="H402">
        <v>15.2</v>
      </c>
      <c r="I402">
        <v>0</v>
      </c>
      <c r="J402">
        <v>0</v>
      </c>
      <c r="K402">
        <f t="shared" si="127"/>
        <v>25.6</v>
      </c>
      <c r="L402">
        <v>0</v>
      </c>
      <c r="M402">
        <v>1.8</v>
      </c>
      <c r="N402">
        <v>0</v>
      </c>
      <c r="O402">
        <f t="shared" si="128"/>
        <v>1.8</v>
      </c>
      <c r="P402">
        <v>0</v>
      </c>
      <c r="Q402">
        <v>0</v>
      </c>
      <c r="R402">
        <v>0</v>
      </c>
      <c r="S402">
        <f t="shared" si="121"/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f t="shared" si="122"/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f t="shared" si="130"/>
        <v>0</v>
      </c>
      <c r="AK402">
        <v>0</v>
      </c>
      <c r="AL402">
        <v>0.72499999999999998</v>
      </c>
      <c r="AM402">
        <f t="shared" si="131"/>
        <v>0.27399999999999997</v>
      </c>
      <c r="AN402">
        <v>5700</v>
      </c>
      <c r="AO402" t="s">
        <v>13</v>
      </c>
      <c r="AP402" s="3">
        <f t="shared" si="129"/>
        <v>7851.2396694214876</v>
      </c>
      <c r="AQ402" t="s">
        <v>13</v>
      </c>
      <c r="AR402">
        <f t="shared" si="123"/>
        <v>0</v>
      </c>
      <c r="AS402">
        <f t="shared" si="138"/>
        <v>0.27400000000000002</v>
      </c>
      <c r="AT402">
        <f t="shared" si="140"/>
        <v>2151</v>
      </c>
      <c r="AU402">
        <f t="shared" si="141"/>
        <v>0</v>
      </c>
      <c r="AV402">
        <f t="shared" si="132"/>
        <v>1146</v>
      </c>
      <c r="AW402">
        <f t="shared" si="133"/>
        <v>0</v>
      </c>
      <c r="AX402" s="3">
        <f t="shared" si="134"/>
        <v>6705.2396694214876</v>
      </c>
      <c r="AY402">
        <f t="shared" si="135"/>
        <v>1076</v>
      </c>
      <c r="AZ402">
        <f t="shared" si="136"/>
        <v>0</v>
      </c>
      <c r="BA402" s="3">
        <f t="shared" si="137"/>
        <v>6775.2396694214876</v>
      </c>
    </row>
    <row r="403" spans="1:53" x14ac:dyDescent="0.2">
      <c r="A403">
        <v>1980</v>
      </c>
      <c r="B403" t="s">
        <v>69</v>
      </c>
      <c r="C403" t="s">
        <v>58</v>
      </c>
      <c r="D403">
        <v>0.7</v>
      </c>
      <c r="E403">
        <v>0</v>
      </c>
      <c r="F403">
        <v>0</v>
      </c>
      <c r="G403">
        <v>0.1</v>
      </c>
      <c r="H403">
        <v>0</v>
      </c>
      <c r="I403">
        <v>27.5</v>
      </c>
      <c r="J403">
        <v>0.4</v>
      </c>
      <c r="K403">
        <f t="shared" si="127"/>
        <v>28.7</v>
      </c>
      <c r="L403">
        <v>0.6</v>
      </c>
      <c r="M403">
        <v>0.7</v>
      </c>
      <c r="N403">
        <v>0</v>
      </c>
      <c r="O403">
        <f t="shared" si="128"/>
        <v>1.2999999999999998</v>
      </c>
      <c r="P403">
        <v>0</v>
      </c>
      <c r="Q403">
        <v>3.7</v>
      </c>
      <c r="R403">
        <v>2</v>
      </c>
      <c r="S403">
        <f t="shared" si="121"/>
        <v>5.7</v>
      </c>
      <c r="T403">
        <v>20.100000000000001</v>
      </c>
      <c r="U403">
        <v>8.1999999999999993</v>
      </c>
      <c r="V403">
        <v>2.8</v>
      </c>
      <c r="W403">
        <v>0.6</v>
      </c>
      <c r="X403">
        <v>0.5</v>
      </c>
      <c r="Y403">
        <v>1.2</v>
      </c>
      <c r="Z403">
        <v>9.4</v>
      </c>
      <c r="AA403">
        <f t="shared" si="122"/>
        <v>42.800000000000004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6.1</v>
      </c>
      <c r="AI403">
        <v>0</v>
      </c>
      <c r="AJ403">
        <f t="shared" si="130"/>
        <v>6.1</v>
      </c>
      <c r="AK403">
        <v>0</v>
      </c>
      <c r="AL403">
        <v>0.153</v>
      </c>
      <c r="AM403">
        <f t="shared" si="131"/>
        <v>0.8460000000000002</v>
      </c>
      <c r="AN403">
        <v>88</v>
      </c>
      <c r="AO403" t="s">
        <v>13</v>
      </c>
      <c r="AP403" s="3">
        <f t="shared" si="129"/>
        <v>571.42857142857213</v>
      </c>
      <c r="AQ403" t="s">
        <v>13</v>
      </c>
      <c r="AR403">
        <f t="shared" si="123"/>
        <v>7.210401891252953E-2</v>
      </c>
      <c r="AS403">
        <f t="shared" si="138"/>
        <v>0.78500000000000003</v>
      </c>
      <c r="AT403">
        <f t="shared" si="140"/>
        <v>449</v>
      </c>
      <c r="AU403">
        <f t="shared" si="141"/>
        <v>35</v>
      </c>
      <c r="AV403">
        <f t="shared" si="132"/>
        <v>367</v>
      </c>
      <c r="AW403">
        <f t="shared" si="133"/>
        <v>58</v>
      </c>
      <c r="AX403" s="3">
        <f t="shared" si="134"/>
        <v>146.42857142857213</v>
      </c>
      <c r="AY403">
        <f t="shared" si="135"/>
        <v>224</v>
      </c>
      <c r="AZ403">
        <f t="shared" si="136"/>
        <v>99</v>
      </c>
      <c r="BA403" s="3">
        <f t="shared" si="137"/>
        <v>248.42857142857213</v>
      </c>
    </row>
    <row r="404" spans="1:53" x14ac:dyDescent="0.2">
      <c r="A404">
        <v>1981</v>
      </c>
      <c r="B404" t="s">
        <v>69</v>
      </c>
      <c r="C404" t="s">
        <v>58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32</v>
      </c>
      <c r="J404">
        <v>0</v>
      </c>
      <c r="K404">
        <f t="shared" si="127"/>
        <v>32</v>
      </c>
      <c r="L404">
        <v>0.5</v>
      </c>
      <c r="M404">
        <v>0.1</v>
      </c>
      <c r="N404">
        <v>0</v>
      </c>
      <c r="O404">
        <f t="shared" si="128"/>
        <v>0.6</v>
      </c>
      <c r="P404">
        <v>0</v>
      </c>
      <c r="Q404">
        <v>2.2999999999999998</v>
      </c>
      <c r="R404">
        <v>2</v>
      </c>
      <c r="S404">
        <f t="shared" si="121"/>
        <v>4.3</v>
      </c>
      <c r="T404">
        <v>21.4</v>
      </c>
      <c r="U404">
        <v>8</v>
      </c>
      <c r="V404">
        <v>3.1</v>
      </c>
      <c r="W404">
        <v>0.1</v>
      </c>
      <c r="X404">
        <v>0.1</v>
      </c>
      <c r="Y404">
        <v>0.4</v>
      </c>
      <c r="Z404">
        <v>3.9</v>
      </c>
      <c r="AA404">
        <f t="shared" si="122"/>
        <v>37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1.2</v>
      </c>
      <c r="AI404">
        <v>0.3</v>
      </c>
      <c r="AJ404">
        <f t="shared" si="130"/>
        <v>1.5</v>
      </c>
      <c r="AK404">
        <v>0</v>
      </c>
      <c r="AL404">
        <v>0.247</v>
      </c>
      <c r="AM404">
        <f t="shared" si="131"/>
        <v>0.754</v>
      </c>
      <c r="AN404">
        <v>189</v>
      </c>
      <c r="AO404" t="s">
        <v>13</v>
      </c>
      <c r="AP404" s="3">
        <f t="shared" si="129"/>
        <v>768.29268292682923</v>
      </c>
      <c r="AQ404" t="s">
        <v>13</v>
      </c>
      <c r="AR404">
        <f t="shared" si="123"/>
        <v>1.9893899204244031E-2</v>
      </c>
      <c r="AS404">
        <f t="shared" si="138"/>
        <v>0.7390000000000001</v>
      </c>
      <c r="AT404">
        <f t="shared" si="140"/>
        <v>568</v>
      </c>
      <c r="AU404">
        <f t="shared" si="141"/>
        <v>12</v>
      </c>
      <c r="AV404">
        <f t="shared" si="132"/>
        <v>445</v>
      </c>
      <c r="AW404">
        <f t="shared" si="133"/>
        <v>19</v>
      </c>
      <c r="AX404" s="3">
        <f t="shared" si="134"/>
        <v>304.29268292682923</v>
      </c>
      <c r="AY404">
        <f t="shared" si="135"/>
        <v>284</v>
      </c>
      <c r="AZ404">
        <f t="shared" si="136"/>
        <v>29</v>
      </c>
      <c r="BA404" s="3">
        <f t="shared" si="137"/>
        <v>455.29268292682923</v>
      </c>
    </row>
    <row r="405" spans="1:53" x14ac:dyDescent="0.2">
      <c r="A405">
        <v>1982</v>
      </c>
      <c r="B405" t="s">
        <v>69</v>
      </c>
      <c r="C405" t="s">
        <v>58</v>
      </c>
      <c r="D405">
        <v>0</v>
      </c>
      <c r="E405">
        <v>0</v>
      </c>
      <c r="F405">
        <v>0</v>
      </c>
      <c r="G405">
        <v>0.3</v>
      </c>
      <c r="H405">
        <v>0</v>
      </c>
      <c r="I405">
        <v>27.6</v>
      </c>
      <c r="J405">
        <v>0.4</v>
      </c>
      <c r="K405">
        <f t="shared" si="127"/>
        <v>28.3</v>
      </c>
      <c r="L405">
        <v>1.9</v>
      </c>
      <c r="M405">
        <v>0</v>
      </c>
      <c r="N405">
        <v>0</v>
      </c>
      <c r="O405">
        <f t="shared" si="128"/>
        <v>1.9</v>
      </c>
      <c r="P405">
        <v>0</v>
      </c>
      <c r="Q405">
        <v>0.3</v>
      </c>
      <c r="R405">
        <v>0.9</v>
      </c>
      <c r="S405">
        <f t="shared" si="121"/>
        <v>1.2</v>
      </c>
      <c r="T405">
        <v>17.7</v>
      </c>
      <c r="U405">
        <v>7.5</v>
      </c>
      <c r="V405">
        <v>3</v>
      </c>
      <c r="W405">
        <v>0.3</v>
      </c>
      <c r="X405">
        <v>0.9</v>
      </c>
      <c r="Y405">
        <v>1</v>
      </c>
      <c r="Z405">
        <v>1.5</v>
      </c>
      <c r="AA405">
        <f t="shared" si="122"/>
        <v>31.9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12.7</v>
      </c>
      <c r="AI405">
        <v>0.1</v>
      </c>
      <c r="AJ405">
        <f t="shared" si="130"/>
        <v>12.799999999999999</v>
      </c>
      <c r="AK405">
        <v>0</v>
      </c>
      <c r="AL405">
        <v>0.24</v>
      </c>
      <c r="AM405">
        <f t="shared" si="131"/>
        <v>0.7609999999999999</v>
      </c>
      <c r="AN405">
        <v>466</v>
      </c>
      <c r="AO405" t="s">
        <v>13</v>
      </c>
      <c r="AP405" s="3">
        <f t="shared" si="129"/>
        <v>1949.7907949790788</v>
      </c>
      <c r="AQ405" t="s">
        <v>13</v>
      </c>
      <c r="AR405">
        <f t="shared" si="123"/>
        <v>0.16819973718791068</v>
      </c>
      <c r="AS405">
        <f t="shared" si="138"/>
        <v>0.63300000000000001</v>
      </c>
      <c r="AT405">
        <f t="shared" si="140"/>
        <v>1234</v>
      </c>
      <c r="AU405">
        <f t="shared" si="141"/>
        <v>250</v>
      </c>
      <c r="AV405">
        <f t="shared" si="132"/>
        <v>958</v>
      </c>
      <c r="AW405">
        <f t="shared" si="133"/>
        <v>346</v>
      </c>
      <c r="AX405" s="3">
        <f t="shared" si="134"/>
        <v>645.79079497907878</v>
      </c>
      <c r="AY405">
        <f t="shared" si="135"/>
        <v>617</v>
      </c>
      <c r="AZ405">
        <f t="shared" si="136"/>
        <v>465</v>
      </c>
      <c r="BA405" s="3">
        <f t="shared" si="137"/>
        <v>867.79079497907878</v>
      </c>
    </row>
    <row r="406" spans="1:53" x14ac:dyDescent="0.2">
      <c r="A406">
        <v>1983</v>
      </c>
      <c r="B406" t="s">
        <v>69</v>
      </c>
      <c r="C406" t="s">
        <v>58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36.700000000000003</v>
      </c>
      <c r="J406">
        <v>0</v>
      </c>
      <c r="K406">
        <f t="shared" si="127"/>
        <v>36.700000000000003</v>
      </c>
      <c r="L406">
        <v>2.5</v>
      </c>
      <c r="M406">
        <v>0.3</v>
      </c>
      <c r="N406">
        <v>0</v>
      </c>
      <c r="O406">
        <f t="shared" si="128"/>
        <v>2.8</v>
      </c>
      <c r="P406">
        <v>0</v>
      </c>
      <c r="Q406">
        <v>0.5</v>
      </c>
      <c r="R406">
        <v>2</v>
      </c>
      <c r="S406">
        <f t="shared" si="121"/>
        <v>2.5</v>
      </c>
      <c r="T406">
        <v>12.2</v>
      </c>
      <c r="U406">
        <v>4.3</v>
      </c>
      <c r="V406">
        <v>0.2</v>
      </c>
      <c r="W406">
        <v>0</v>
      </c>
      <c r="X406">
        <v>0.8</v>
      </c>
      <c r="Y406">
        <v>0.3</v>
      </c>
      <c r="Z406">
        <v>5.4</v>
      </c>
      <c r="AA406">
        <f t="shared" si="122"/>
        <v>23.200000000000003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4.9000000000000004</v>
      </c>
      <c r="AI406">
        <v>0</v>
      </c>
      <c r="AJ406">
        <f t="shared" si="130"/>
        <v>4.9000000000000004</v>
      </c>
      <c r="AK406">
        <v>0.1</v>
      </c>
      <c r="AL406">
        <v>0.29699999999999999</v>
      </c>
      <c r="AM406">
        <f t="shared" si="131"/>
        <v>0.70099999999999996</v>
      </c>
      <c r="AN406">
        <v>1391</v>
      </c>
      <c r="AO406" t="s">
        <v>13</v>
      </c>
      <c r="AP406" s="3">
        <f t="shared" si="129"/>
        <v>4652.173913043478</v>
      </c>
      <c r="AQ406" t="s">
        <v>13</v>
      </c>
      <c r="AR406">
        <f t="shared" si="123"/>
        <v>6.9900142653352357E-2</v>
      </c>
      <c r="AS406">
        <f t="shared" si="138"/>
        <v>0.65200000000000002</v>
      </c>
      <c r="AT406">
        <f t="shared" si="140"/>
        <v>3033</v>
      </c>
      <c r="AU406">
        <f t="shared" si="141"/>
        <v>228</v>
      </c>
      <c r="AV406">
        <f t="shared" si="132"/>
        <v>2180</v>
      </c>
      <c r="AW406">
        <f t="shared" si="133"/>
        <v>348</v>
      </c>
      <c r="AX406" s="3">
        <f t="shared" si="134"/>
        <v>2124.173913043478</v>
      </c>
      <c r="AY406">
        <f t="shared" si="135"/>
        <v>1517</v>
      </c>
      <c r="AZ406">
        <f t="shared" si="136"/>
        <v>441</v>
      </c>
      <c r="BA406" s="3">
        <f t="shared" si="137"/>
        <v>2694.173913043478</v>
      </c>
    </row>
    <row r="407" spans="1:53" x14ac:dyDescent="0.2">
      <c r="A407">
        <v>1984</v>
      </c>
      <c r="B407" t="s">
        <v>69</v>
      </c>
      <c r="C407" t="s">
        <v>58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53</v>
      </c>
      <c r="J407">
        <v>0.3</v>
      </c>
      <c r="K407">
        <f t="shared" si="127"/>
        <v>53.3</v>
      </c>
      <c r="L407">
        <v>3.4</v>
      </c>
      <c r="M407">
        <v>0</v>
      </c>
      <c r="N407">
        <v>0</v>
      </c>
      <c r="O407">
        <f t="shared" si="128"/>
        <v>3.4</v>
      </c>
      <c r="P407">
        <v>0.5</v>
      </c>
      <c r="Q407">
        <v>1.6</v>
      </c>
      <c r="R407">
        <v>0.8</v>
      </c>
      <c r="S407">
        <f t="shared" ref="S407:S445" si="142">SUM(P407:R407)</f>
        <v>2.9000000000000004</v>
      </c>
      <c r="T407">
        <v>4</v>
      </c>
      <c r="U407">
        <v>1.1000000000000001</v>
      </c>
      <c r="V407">
        <v>2.2999999999999998</v>
      </c>
      <c r="W407">
        <v>0.2</v>
      </c>
      <c r="X407">
        <v>0</v>
      </c>
      <c r="Y407">
        <v>0.6</v>
      </c>
      <c r="Z407">
        <v>1.4</v>
      </c>
      <c r="AA407">
        <f t="shared" ref="AA407:AA445" si="143">SUM(T407:Z407)</f>
        <v>9.6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8.4</v>
      </c>
      <c r="AI407">
        <v>1.5</v>
      </c>
      <c r="AJ407">
        <f t="shared" si="130"/>
        <v>9.9</v>
      </c>
      <c r="AK407">
        <v>0.4</v>
      </c>
      <c r="AL407">
        <v>0.20399999999999999</v>
      </c>
      <c r="AM407">
        <f t="shared" si="131"/>
        <v>0.79099999999999993</v>
      </c>
      <c r="AN407">
        <v>403</v>
      </c>
      <c r="AO407" t="s">
        <v>13</v>
      </c>
      <c r="AP407" s="3">
        <f t="shared" si="129"/>
        <v>1928.2296650717697</v>
      </c>
      <c r="AQ407" t="s">
        <v>13</v>
      </c>
      <c r="AR407">
        <f t="shared" si="123"/>
        <v>0.12515802781289509</v>
      </c>
      <c r="AS407">
        <f t="shared" si="138"/>
        <v>0.69199999999999984</v>
      </c>
      <c r="AT407">
        <f t="shared" si="140"/>
        <v>1334</v>
      </c>
      <c r="AU407">
        <f t="shared" si="141"/>
        <v>191</v>
      </c>
      <c r="AV407">
        <f t="shared" si="132"/>
        <v>820</v>
      </c>
      <c r="AW407">
        <f t="shared" si="133"/>
        <v>356</v>
      </c>
      <c r="AX407" s="3">
        <f t="shared" si="134"/>
        <v>752.22966507176966</v>
      </c>
      <c r="AY407">
        <f t="shared" si="135"/>
        <v>667</v>
      </c>
      <c r="AZ407">
        <f t="shared" si="136"/>
        <v>405</v>
      </c>
      <c r="BA407" s="3">
        <f t="shared" si="137"/>
        <v>856.22966507176966</v>
      </c>
    </row>
    <row r="408" spans="1:53" x14ac:dyDescent="0.2">
      <c r="A408">
        <v>1985</v>
      </c>
      <c r="B408" t="s">
        <v>69</v>
      </c>
      <c r="C408" t="s">
        <v>58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30.3</v>
      </c>
      <c r="J408">
        <v>0.7</v>
      </c>
      <c r="K408">
        <f t="shared" si="127"/>
        <v>31</v>
      </c>
      <c r="L408">
        <v>0.9</v>
      </c>
      <c r="M408">
        <v>0.4</v>
      </c>
      <c r="N408">
        <v>0</v>
      </c>
      <c r="O408">
        <f t="shared" si="128"/>
        <v>1.3</v>
      </c>
      <c r="P408">
        <v>0</v>
      </c>
      <c r="Q408">
        <v>1.1000000000000001</v>
      </c>
      <c r="R408">
        <v>1.1000000000000001</v>
      </c>
      <c r="S408">
        <f t="shared" si="142"/>
        <v>2.2000000000000002</v>
      </c>
      <c r="T408">
        <v>13.2</v>
      </c>
      <c r="U408">
        <v>3.1</v>
      </c>
      <c r="V408">
        <v>4.4000000000000004</v>
      </c>
      <c r="W408">
        <v>0.7</v>
      </c>
      <c r="X408">
        <v>0.2</v>
      </c>
      <c r="Y408">
        <v>1.2</v>
      </c>
      <c r="Z408">
        <v>1.6</v>
      </c>
      <c r="AA408">
        <f t="shared" si="143"/>
        <v>24.400000000000002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2.2999999999999998</v>
      </c>
      <c r="AI408">
        <v>0.6</v>
      </c>
      <c r="AJ408">
        <f t="shared" si="130"/>
        <v>2.9</v>
      </c>
      <c r="AK408">
        <v>0</v>
      </c>
      <c r="AL408">
        <v>0.38299999999999995</v>
      </c>
      <c r="AM408">
        <f t="shared" si="131"/>
        <v>0.61799999999999999</v>
      </c>
      <c r="AN408">
        <v>616</v>
      </c>
      <c r="AO408" t="s">
        <v>13</v>
      </c>
      <c r="AP408" s="3">
        <f t="shared" si="129"/>
        <v>1612.5654450261779</v>
      </c>
      <c r="AQ408" t="s">
        <v>13</v>
      </c>
      <c r="AR408">
        <f t="shared" si="123"/>
        <v>4.6925566343042069E-2</v>
      </c>
      <c r="AS408">
        <f t="shared" si="138"/>
        <v>0.58900000000000008</v>
      </c>
      <c r="AT408">
        <f t="shared" si="140"/>
        <v>950</v>
      </c>
      <c r="AU408">
        <f t="shared" si="141"/>
        <v>47</v>
      </c>
      <c r="AV408">
        <f t="shared" si="132"/>
        <v>700</v>
      </c>
      <c r="AW408">
        <f t="shared" si="133"/>
        <v>65</v>
      </c>
      <c r="AX408" s="3">
        <f t="shared" si="134"/>
        <v>847.56544502617794</v>
      </c>
      <c r="AY408">
        <f t="shared" si="135"/>
        <v>475</v>
      </c>
      <c r="AZ408">
        <f t="shared" si="136"/>
        <v>81</v>
      </c>
      <c r="BA408" s="3">
        <f t="shared" si="137"/>
        <v>1056.5654450261779</v>
      </c>
    </row>
    <row r="409" spans="1:53" x14ac:dyDescent="0.2">
      <c r="A409">
        <v>1986</v>
      </c>
      <c r="B409" t="s">
        <v>69</v>
      </c>
      <c r="C409" t="s">
        <v>58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9.1999999999999993</v>
      </c>
      <c r="J409">
        <v>2.2000000000000002</v>
      </c>
      <c r="K409">
        <f t="shared" si="127"/>
        <v>11.399999999999999</v>
      </c>
      <c r="L409">
        <v>0</v>
      </c>
      <c r="M409">
        <v>0.6</v>
      </c>
      <c r="N409">
        <v>0</v>
      </c>
      <c r="O409">
        <f t="shared" si="128"/>
        <v>0.6</v>
      </c>
      <c r="P409">
        <v>0</v>
      </c>
      <c r="Q409">
        <v>6.4</v>
      </c>
      <c r="R409">
        <v>2.7</v>
      </c>
      <c r="S409">
        <f t="shared" si="142"/>
        <v>9.1000000000000014</v>
      </c>
      <c r="T409">
        <v>3.7</v>
      </c>
      <c r="U409">
        <v>1.6</v>
      </c>
      <c r="V409">
        <v>2.7</v>
      </c>
      <c r="W409">
        <v>0.4</v>
      </c>
      <c r="X409">
        <v>0</v>
      </c>
      <c r="Y409">
        <v>1</v>
      </c>
      <c r="Z409">
        <v>22.5</v>
      </c>
      <c r="AA409">
        <f t="shared" si="143"/>
        <v>31.9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7.2</v>
      </c>
      <c r="AI409">
        <v>4.5</v>
      </c>
      <c r="AJ409">
        <f t="shared" si="130"/>
        <v>11.7</v>
      </c>
      <c r="AK409">
        <v>0.2</v>
      </c>
      <c r="AL409">
        <v>0.35</v>
      </c>
      <c r="AM409">
        <f t="shared" si="131"/>
        <v>0.64700000000000002</v>
      </c>
      <c r="AN409">
        <v>1227</v>
      </c>
      <c r="AO409" t="s">
        <v>13</v>
      </c>
      <c r="AP409" s="3">
        <f t="shared" si="129"/>
        <v>3475.9206798866858</v>
      </c>
      <c r="AQ409" t="s">
        <v>13</v>
      </c>
      <c r="AR409">
        <f t="shared" si="123"/>
        <v>0.18083462132921174</v>
      </c>
      <c r="AS409">
        <f t="shared" si="138"/>
        <v>0.53</v>
      </c>
      <c r="AT409">
        <f t="shared" si="140"/>
        <v>1842</v>
      </c>
      <c r="AU409">
        <f t="shared" si="141"/>
        <v>407</v>
      </c>
      <c r="AV409">
        <f t="shared" si="132"/>
        <v>1644</v>
      </c>
      <c r="AW409">
        <f t="shared" si="133"/>
        <v>456</v>
      </c>
      <c r="AX409" s="3">
        <f t="shared" si="134"/>
        <v>1375.9206798866858</v>
      </c>
      <c r="AY409">
        <f t="shared" si="135"/>
        <v>921</v>
      </c>
      <c r="AZ409">
        <f t="shared" si="136"/>
        <v>636</v>
      </c>
      <c r="BA409" s="3">
        <f t="shared" si="137"/>
        <v>1918.9206798866858</v>
      </c>
    </row>
    <row r="410" spans="1:53" x14ac:dyDescent="0.2">
      <c r="A410">
        <v>1987</v>
      </c>
      <c r="B410" t="s">
        <v>69</v>
      </c>
      <c r="C410" t="s">
        <v>58</v>
      </c>
      <c r="D410">
        <v>0</v>
      </c>
      <c r="E410">
        <v>0</v>
      </c>
      <c r="F410">
        <v>0</v>
      </c>
      <c r="G410">
        <v>0.2</v>
      </c>
      <c r="H410">
        <v>0</v>
      </c>
      <c r="I410">
        <v>33.700000000000003</v>
      </c>
      <c r="J410">
        <v>2</v>
      </c>
      <c r="K410">
        <f t="shared" si="127"/>
        <v>35.900000000000006</v>
      </c>
      <c r="L410">
        <v>2</v>
      </c>
      <c r="M410">
        <v>0</v>
      </c>
      <c r="N410">
        <v>0</v>
      </c>
      <c r="O410">
        <f t="shared" si="128"/>
        <v>2</v>
      </c>
      <c r="P410">
        <v>0</v>
      </c>
      <c r="Q410">
        <v>0.2</v>
      </c>
      <c r="R410">
        <v>0.6</v>
      </c>
      <c r="S410">
        <f t="shared" si="142"/>
        <v>0.8</v>
      </c>
      <c r="T410">
        <v>11.1</v>
      </c>
      <c r="U410">
        <v>3</v>
      </c>
      <c r="V410">
        <v>6</v>
      </c>
      <c r="W410">
        <v>0.7</v>
      </c>
      <c r="X410">
        <v>0.4</v>
      </c>
      <c r="Y410">
        <v>0.6</v>
      </c>
      <c r="Z410">
        <v>1.5</v>
      </c>
      <c r="AA410">
        <f t="shared" si="143"/>
        <v>23.3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16.399999999999999</v>
      </c>
      <c r="AI410">
        <v>3.5</v>
      </c>
      <c r="AJ410">
        <f t="shared" si="130"/>
        <v>19.899999999999999</v>
      </c>
      <c r="AK410">
        <v>0.2</v>
      </c>
      <c r="AL410">
        <v>0.17800000000000002</v>
      </c>
      <c r="AM410">
        <f t="shared" si="131"/>
        <v>0.81900000000000006</v>
      </c>
      <c r="AN410">
        <v>3344</v>
      </c>
      <c r="AO410" t="s">
        <v>13</v>
      </c>
      <c r="AP410" s="3">
        <f t="shared" si="129"/>
        <v>18475.138121546966</v>
      </c>
      <c r="AQ410" t="s">
        <v>13</v>
      </c>
      <c r="AR410">
        <f t="shared" si="123"/>
        <v>0.24297924297924295</v>
      </c>
      <c r="AS410">
        <f t="shared" si="138"/>
        <v>0.62</v>
      </c>
      <c r="AT410">
        <f t="shared" si="140"/>
        <v>11455</v>
      </c>
      <c r="AU410">
        <f t="shared" si="141"/>
        <v>3677</v>
      </c>
      <c r="AV410">
        <f t="shared" si="132"/>
        <v>8138</v>
      </c>
      <c r="AW410">
        <f t="shared" si="133"/>
        <v>5414</v>
      </c>
      <c r="AX410" s="3">
        <f t="shared" si="134"/>
        <v>4923.1381215469664</v>
      </c>
      <c r="AY410">
        <f t="shared" si="135"/>
        <v>5727</v>
      </c>
      <c r="AZ410">
        <f t="shared" si="136"/>
        <v>6677</v>
      </c>
      <c r="BA410" s="3">
        <f t="shared" si="137"/>
        <v>6071.1381215469664</v>
      </c>
    </row>
    <row r="411" spans="1:53" x14ac:dyDescent="0.2">
      <c r="A411">
        <v>1988</v>
      </c>
      <c r="B411" t="s">
        <v>69</v>
      </c>
      <c r="C411" t="s">
        <v>58</v>
      </c>
      <c r="D411">
        <v>0.3</v>
      </c>
      <c r="E411">
        <v>0</v>
      </c>
      <c r="F411">
        <v>0</v>
      </c>
      <c r="G411">
        <v>0.3</v>
      </c>
      <c r="H411">
        <v>0</v>
      </c>
      <c r="I411">
        <v>31.8</v>
      </c>
      <c r="J411">
        <v>1.9</v>
      </c>
      <c r="K411">
        <f t="shared" si="127"/>
        <v>34.299999999999997</v>
      </c>
      <c r="L411">
        <v>0.6</v>
      </c>
      <c r="M411">
        <v>0</v>
      </c>
      <c r="N411">
        <v>0</v>
      </c>
      <c r="O411">
        <f t="shared" si="128"/>
        <v>0.6</v>
      </c>
      <c r="P411">
        <v>0</v>
      </c>
      <c r="Q411">
        <v>0</v>
      </c>
      <c r="R411">
        <v>1.6</v>
      </c>
      <c r="S411">
        <f t="shared" si="142"/>
        <v>1.6</v>
      </c>
      <c r="T411">
        <v>8.6999999999999993</v>
      </c>
      <c r="U411">
        <v>0.8</v>
      </c>
      <c r="V411">
        <v>3</v>
      </c>
      <c r="W411">
        <v>0.1</v>
      </c>
      <c r="X411">
        <v>0.5</v>
      </c>
      <c r="Y411">
        <v>0.3</v>
      </c>
      <c r="Z411">
        <v>0.5</v>
      </c>
      <c r="AA411">
        <f t="shared" si="143"/>
        <v>13.9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22.1</v>
      </c>
      <c r="AI411">
        <v>1.8</v>
      </c>
      <c r="AJ411">
        <f t="shared" si="130"/>
        <v>23.900000000000002</v>
      </c>
      <c r="AK411">
        <v>1.2</v>
      </c>
      <c r="AL411">
        <v>0.24399999999999999</v>
      </c>
      <c r="AM411">
        <f t="shared" si="131"/>
        <v>0.74299999999999999</v>
      </c>
      <c r="AN411">
        <v>1876</v>
      </c>
      <c r="AO411" t="s">
        <v>13</v>
      </c>
      <c r="AP411" s="3">
        <f t="shared" si="129"/>
        <v>7299.6108949416339</v>
      </c>
      <c r="AQ411" t="s">
        <v>13</v>
      </c>
      <c r="AR411">
        <f t="shared" si="123"/>
        <v>0.32166890982503366</v>
      </c>
      <c r="AS411">
        <f t="shared" si="138"/>
        <v>0.504</v>
      </c>
      <c r="AT411">
        <f t="shared" si="140"/>
        <v>3679</v>
      </c>
      <c r="AU411">
        <f t="shared" si="141"/>
        <v>1745</v>
      </c>
      <c r="AV411">
        <f t="shared" si="132"/>
        <v>2427</v>
      </c>
      <c r="AW411">
        <f t="shared" si="133"/>
        <v>2348</v>
      </c>
      <c r="AX411" s="3">
        <f t="shared" si="134"/>
        <v>2524.6108949416339</v>
      </c>
      <c r="AY411">
        <f t="shared" si="135"/>
        <v>1840</v>
      </c>
      <c r="AZ411">
        <f t="shared" si="136"/>
        <v>2631</v>
      </c>
      <c r="BA411" s="3">
        <f t="shared" si="137"/>
        <v>2828.6108949416339</v>
      </c>
    </row>
    <row r="412" spans="1:53" x14ac:dyDescent="0.2">
      <c r="A412">
        <v>1989</v>
      </c>
      <c r="B412" t="s">
        <v>69</v>
      </c>
      <c r="C412" t="s">
        <v>58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17.100000000000001</v>
      </c>
      <c r="J412">
        <v>0</v>
      </c>
      <c r="K412">
        <f t="shared" si="127"/>
        <v>17.100000000000001</v>
      </c>
      <c r="L412">
        <v>0</v>
      </c>
      <c r="M412">
        <v>0</v>
      </c>
      <c r="N412">
        <v>0</v>
      </c>
      <c r="O412">
        <f t="shared" si="128"/>
        <v>0</v>
      </c>
      <c r="P412">
        <v>0</v>
      </c>
      <c r="Q412">
        <v>1.8</v>
      </c>
      <c r="R412">
        <v>0</v>
      </c>
      <c r="S412">
        <f t="shared" si="142"/>
        <v>1.8</v>
      </c>
      <c r="T412">
        <v>14.8</v>
      </c>
      <c r="U412">
        <v>1.6</v>
      </c>
      <c r="V412">
        <v>9.6999999999999993</v>
      </c>
      <c r="W412">
        <v>0.7</v>
      </c>
      <c r="X412">
        <v>0</v>
      </c>
      <c r="Y412">
        <v>0</v>
      </c>
      <c r="Z412">
        <v>2.6</v>
      </c>
      <c r="AA412">
        <f t="shared" si="143"/>
        <v>29.400000000000002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5.5</v>
      </c>
      <c r="AI412">
        <v>0.8</v>
      </c>
      <c r="AJ412">
        <f t="shared" si="130"/>
        <v>6.3</v>
      </c>
      <c r="AK412">
        <v>0</v>
      </c>
      <c r="AL412">
        <v>0.45500000000000002</v>
      </c>
      <c r="AM412">
        <f t="shared" si="131"/>
        <v>0.54600000000000004</v>
      </c>
      <c r="AN412">
        <v>164</v>
      </c>
      <c r="AO412" t="s">
        <v>13</v>
      </c>
      <c r="AP412" s="3">
        <f t="shared" si="129"/>
        <v>361.23348017621146</v>
      </c>
      <c r="AQ412" t="s">
        <v>13</v>
      </c>
      <c r="AR412">
        <f t="shared" si="123"/>
        <v>0.11538461538461538</v>
      </c>
      <c r="AS412">
        <f t="shared" si="138"/>
        <v>0.48300000000000004</v>
      </c>
      <c r="AT412">
        <f t="shared" si="140"/>
        <v>174</v>
      </c>
      <c r="AU412">
        <f t="shared" si="141"/>
        <v>23</v>
      </c>
      <c r="AV412">
        <f t="shared" si="132"/>
        <v>144</v>
      </c>
      <c r="AW412">
        <f t="shared" si="133"/>
        <v>27</v>
      </c>
      <c r="AX412" s="3">
        <f t="shared" si="134"/>
        <v>190.23348017621146</v>
      </c>
      <c r="AY412">
        <f t="shared" si="135"/>
        <v>87</v>
      </c>
      <c r="AZ412">
        <f t="shared" si="136"/>
        <v>34</v>
      </c>
      <c r="BA412" s="3">
        <f t="shared" si="137"/>
        <v>240.23348017621146</v>
      </c>
    </row>
    <row r="413" spans="1:53" x14ac:dyDescent="0.2">
      <c r="A413">
        <v>1990</v>
      </c>
      <c r="B413" t="s">
        <v>69</v>
      </c>
      <c r="C413" t="s">
        <v>58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23.1</v>
      </c>
      <c r="J413">
        <v>0</v>
      </c>
      <c r="K413">
        <f t="shared" si="127"/>
        <v>23.1</v>
      </c>
      <c r="L413">
        <v>0</v>
      </c>
      <c r="M413">
        <v>0.2</v>
      </c>
      <c r="N413">
        <v>0</v>
      </c>
      <c r="O413">
        <f t="shared" si="128"/>
        <v>0.2</v>
      </c>
      <c r="P413">
        <v>0</v>
      </c>
      <c r="Q413">
        <v>1.6</v>
      </c>
      <c r="R413">
        <v>0</v>
      </c>
      <c r="S413">
        <f t="shared" si="142"/>
        <v>1.6</v>
      </c>
      <c r="T413">
        <v>14.4</v>
      </c>
      <c r="U413">
        <v>6.1</v>
      </c>
      <c r="V413">
        <v>3.7</v>
      </c>
      <c r="W413">
        <v>0.9</v>
      </c>
      <c r="X413">
        <v>0</v>
      </c>
      <c r="Y413">
        <v>0</v>
      </c>
      <c r="Z413">
        <v>1.8</v>
      </c>
      <c r="AA413">
        <f t="shared" si="143"/>
        <v>26.9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0.3</v>
      </c>
      <c r="AI413">
        <v>2.6</v>
      </c>
      <c r="AJ413">
        <f t="shared" si="130"/>
        <v>2.9</v>
      </c>
      <c r="AK413">
        <v>0</v>
      </c>
      <c r="AL413">
        <v>0.45299999999999996</v>
      </c>
      <c r="AM413">
        <f t="shared" si="131"/>
        <v>0.54700000000000004</v>
      </c>
      <c r="AN413">
        <v>227</v>
      </c>
      <c r="AO413" t="s">
        <v>13</v>
      </c>
      <c r="AP413" s="3">
        <f t="shared" si="129"/>
        <v>501.10375275938196</v>
      </c>
      <c r="AQ413" t="s">
        <v>13</v>
      </c>
      <c r="AR413">
        <f t="shared" si="123"/>
        <v>5.3016453382084085E-2</v>
      </c>
      <c r="AS413">
        <f t="shared" si="138"/>
        <v>0.51800000000000002</v>
      </c>
      <c r="AT413">
        <f t="shared" si="140"/>
        <v>260</v>
      </c>
      <c r="AU413">
        <f t="shared" si="141"/>
        <v>15</v>
      </c>
      <c r="AV413">
        <f t="shared" si="132"/>
        <v>202</v>
      </c>
      <c r="AW413">
        <f t="shared" si="133"/>
        <v>19</v>
      </c>
      <c r="AX413" s="3">
        <f t="shared" si="134"/>
        <v>280.10375275938196</v>
      </c>
      <c r="AY413">
        <f t="shared" si="135"/>
        <v>130</v>
      </c>
      <c r="AZ413">
        <f t="shared" si="136"/>
        <v>23</v>
      </c>
      <c r="BA413" s="3">
        <f t="shared" si="137"/>
        <v>348.10375275938196</v>
      </c>
    </row>
    <row r="414" spans="1:53" x14ac:dyDescent="0.2">
      <c r="A414">
        <v>1991</v>
      </c>
      <c r="B414" t="s">
        <v>69</v>
      </c>
      <c r="C414" t="s">
        <v>58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12.3</v>
      </c>
      <c r="J414">
        <v>2.5</v>
      </c>
      <c r="K414">
        <f t="shared" si="127"/>
        <v>14.8</v>
      </c>
      <c r="L414">
        <v>0.3</v>
      </c>
      <c r="M414">
        <v>0</v>
      </c>
      <c r="N414">
        <v>0</v>
      </c>
      <c r="O414">
        <f t="shared" si="128"/>
        <v>0.3</v>
      </c>
      <c r="P414">
        <v>0</v>
      </c>
      <c r="Q414">
        <v>2.5</v>
      </c>
      <c r="R414">
        <v>0.8</v>
      </c>
      <c r="S414">
        <f t="shared" si="142"/>
        <v>3.3</v>
      </c>
      <c r="T414">
        <v>8.6999999999999993</v>
      </c>
      <c r="U414">
        <v>3.2</v>
      </c>
      <c r="V414">
        <v>2.4</v>
      </c>
      <c r="W414">
        <v>1.5</v>
      </c>
      <c r="X414">
        <v>0</v>
      </c>
      <c r="Y414">
        <v>0.3</v>
      </c>
      <c r="Z414">
        <v>2.8</v>
      </c>
      <c r="AA414">
        <f t="shared" si="143"/>
        <v>18.899999999999999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1.8</v>
      </c>
      <c r="AI414">
        <v>8.9</v>
      </c>
      <c r="AJ414">
        <f t="shared" si="130"/>
        <v>10.700000000000001</v>
      </c>
      <c r="AK414">
        <v>0</v>
      </c>
      <c r="AL414">
        <v>0.52100000000000002</v>
      </c>
      <c r="AM414">
        <f t="shared" si="131"/>
        <v>0.47999999999999987</v>
      </c>
      <c r="AN414">
        <v>244</v>
      </c>
      <c r="AO414" t="s">
        <v>13</v>
      </c>
      <c r="AP414" s="3">
        <f t="shared" si="129"/>
        <v>469.23076923076911</v>
      </c>
      <c r="AQ414" t="s">
        <v>13</v>
      </c>
      <c r="AR414">
        <f t="shared" si="123"/>
        <v>0.22291666666666676</v>
      </c>
      <c r="AS414">
        <f t="shared" si="138"/>
        <v>0.373</v>
      </c>
      <c r="AT414">
        <f t="shared" si="140"/>
        <v>175</v>
      </c>
      <c r="AU414">
        <f t="shared" si="141"/>
        <v>50</v>
      </c>
      <c r="AV414">
        <f t="shared" si="132"/>
        <v>140</v>
      </c>
      <c r="AW414">
        <f t="shared" si="133"/>
        <v>56</v>
      </c>
      <c r="AX414" s="3">
        <f t="shared" si="134"/>
        <v>273.23076923076911</v>
      </c>
      <c r="AY414">
        <f t="shared" si="135"/>
        <v>88</v>
      </c>
      <c r="AZ414">
        <f t="shared" si="136"/>
        <v>65</v>
      </c>
      <c r="BA414" s="3">
        <f t="shared" si="137"/>
        <v>316.23076923076911</v>
      </c>
    </row>
    <row r="415" spans="1:53" x14ac:dyDescent="0.2">
      <c r="A415">
        <v>1992</v>
      </c>
      <c r="B415" t="s">
        <v>69</v>
      </c>
      <c r="C415" t="s">
        <v>58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19.8</v>
      </c>
      <c r="J415">
        <v>1.8</v>
      </c>
      <c r="K415">
        <f t="shared" si="127"/>
        <v>21.6</v>
      </c>
      <c r="L415">
        <v>0.6</v>
      </c>
      <c r="M415">
        <v>0</v>
      </c>
      <c r="N415">
        <v>0</v>
      </c>
      <c r="O415">
        <f t="shared" si="128"/>
        <v>0.6</v>
      </c>
      <c r="P415">
        <v>0</v>
      </c>
      <c r="Q415">
        <v>0.9</v>
      </c>
      <c r="R415">
        <v>0</v>
      </c>
      <c r="S415">
        <f t="shared" si="142"/>
        <v>0.9</v>
      </c>
      <c r="T415">
        <v>25.2</v>
      </c>
      <c r="U415">
        <v>3.8</v>
      </c>
      <c r="V415">
        <v>4.9000000000000004</v>
      </c>
      <c r="W415">
        <v>1.7</v>
      </c>
      <c r="X415">
        <v>0</v>
      </c>
      <c r="Y415">
        <v>0</v>
      </c>
      <c r="Z415">
        <v>2.1</v>
      </c>
      <c r="AA415">
        <f t="shared" si="143"/>
        <v>37.700000000000003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0.7</v>
      </c>
      <c r="AI415">
        <v>3.1</v>
      </c>
      <c r="AJ415">
        <f t="shared" si="130"/>
        <v>3.8</v>
      </c>
      <c r="AK415">
        <v>0</v>
      </c>
      <c r="AL415">
        <v>0.35499999999999998</v>
      </c>
      <c r="AM415">
        <f t="shared" si="131"/>
        <v>0.64599999999999991</v>
      </c>
      <c r="AN415">
        <v>260</v>
      </c>
      <c r="AO415" t="s">
        <v>13</v>
      </c>
      <c r="AP415" s="3">
        <f t="shared" si="129"/>
        <v>734.463276836158</v>
      </c>
      <c r="AQ415" t="s">
        <v>13</v>
      </c>
      <c r="AR415">
        <f t="shared" si="123"/>
        <v>5.8823529411764712E-2</v>
      </c>
      <c r="AS415">
        <f t="shared" si="138"/>
        <v>0.6080000000000001</v>
      </c>
      <c r="AT415">
        <f t="shared" si="140"/>
        <v>447</v>
      </c>
      <c r="AU415">
        <f t="shared" si="141"/>
        <v>28</v>
      </c>
      <c r="AV415">
        <f t="shared" si="132"/>
        <v>367</v>
      </c>
      <c r="AW415">
        <f t="shared" si="133"/>
        <v>36</v>
      </c>
      <c r="AX415" s="3">
        <f t="shared" si="134"/>
        <v>331.463276836158</v>
      </c>
      <c r="AY415">
        <f t="shared" si="135"/>
        <v>223</v>
      </c>
      <c r="AZ415">
        <f t="shared" si="136"/>
        <v>50</v>
      </c>
      <c r="BA415" s="3">
        <f t="shared" si="137"/>
        <v>461.463276836158</v>
      </c>
    </row>
    <row r="416" spans="1:53" x14ac:dyDescent="0.2">
      <c r="A416">
        <v>1993</v>
      </c>
      <c r="B416" t="s">
        <v>69</v>
      </c>
      <c r="C416" t="s">
        <v>58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20.9</v>
      </c>
      <c r="J416">
        <v>4.4000000000000004</v>
      </c>
      <c r="K416">
        <f t="shared" si="127"/>
        <v>25.299999999999997</v>
      </c>
      <c r="L416">
        <v>0.7</v>
      </c>
      <c r="M416">
        <v>0</v>
      </c>
      <c r="N416">
        <v>0</v>
      </c>
      <c r="O416">
        <f t="shared" si="128"/>
        <v>0.7</v>
      </c>
      <c r="P416">
        <v>0</v>
      </c>
      <c r="Q416">
        <v>0</v>
      </c>
      <c r="R416">
        <v>0</v>
      </c>
      <c r="S416">
        <f t="shared" si="142"/>
        <v>0</v>
      </c>
      <c r="T416">
        <v>15.2</v>
      </c>
      <c r="U416">
        <v>2.4</v>
      </c>
      <c r="V416">
        <v>5.5</v>
      </c>
      <c r="W416">
        <v>0.2</v>
      </c>
      <c r="X416">
        <v>0</v>
      </c>
      <c r="Y416">
        <v>0</v>
      </c>
      <c r="Z416">
        <v>4.5</v>
      </c>
      <c r="AA416">
        <f t="shared" si="143"/>
        <v>27.799999999999997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1.9</v>
      </c>
      <c r="AI416">
        <v>4.0999999999999996</v>
      </c>
      <c r="AJ416">
        <f t="shared" si="130"/>
        <v>6</v>
      </c>
      <c r="AK416">
        <v>0</v>
      </c>
      <c r="AL416">
        <v>0.40100000000000002</v>
      </c>
      <c r="AM416">
        <f t="shared" si="131"/>
        <v>0.59799999999999998</v>
      </c>
      <c r="AN416">
        <v>1131</v>
      </c>
      <c r="AO416" t="s">
        <v>13</v>
      </c>
      <c r="AP416" s="3">
        <f t="shared" si="129"/>
        <v>2813.4328358208954</v>
      </c>
      <c r="AQ416" t="s">
        <v>13</v>
      </c>
      <c r="AR416">
        <f t="shared" si="123"/>
        <v>0.10033444816053512</v>
      </c>
      <c r="AS416">
        <f t="shared" si="138"/>
        <v>0.53799999999999992</v>
      </c>
      <c r="AT416">
        <f t="shared" si="140"/>
        <v>1514</v>
      </c>
      <c r="AU416">
        <f t="shared" si="141"/>
        <v>169</v>
      </c>
      <c r="AV416">
        <f t="shared" si="132"/>
        <v>1158</v>
      </c>
      <c r="AW416">
        <f t="shared" si="133"/>
        <v>215</v>
      </c>
      <c r="AX416" s="3">
        <f t="shared" si="134"/>
        <v>1440.4328358208954</v>
      </c>
      <c r="AY416">
        <f t="shared" si="135"/>
        <v>757</v>
      </c>
      <c r="AZ416">
        <f t="shared" si="136"/>
        <v>267</v>
      </c>
      <c r="BA416" s="3">
        <f t="shared" si="137"/>
        <v>1789.4328358208954</v>
      </c>
    </row>
    <row r="417" spans="1:53" x14ac:dyDescent="0.2">
      <c r="A417">
        <v>1994</v>
      </c>
      <c r="B417" t="s">
        <v>69</v>
      </c>
      <c r="C417" t="s">
        <v>58</v>
      </c>
      <c r="D417" t="s">
        <v>13</v>
      </c>
      <c r="E417" t="s">
        <v>13</v>
      </c>
      <c r="F417" t="s">
        <v>13</v>
      </c>
      <c r="G417" t="s">
        <v>13</v>
      </c>
      <c r="H417" t="s">
        <v>13</v>
      </c>
      <c r="I417" t="s">
        <v>13</v>
      </c>
      <c r="J417" t="s">
        <v>13</v>
      </c>
      <c r="K417" t="s">
        <v>13</v>
      </c>
      <c r="L417" t="s">
        <v>13</v>
      </c>
      <c r="M417" t="s">
        <v>13</v>
      </c>
      <c r="N417" t="s">
        <v>13</v>
      </c>
      <c r="O417" t="s">
        <v>13</v>
      </c>
      <c r="P417" t="s">
        <v>13</v>
      </c>
      <c r="Q417" t="s">
        <v>13</v>
      </c>
      <c r="R417" t="s">
        <v>13</v>
      </c>
      <c r="S417" t="s">
        <v>13</v>
      </c>
      <c r="T417" t="s">
        <v>13</v>
      </c>
      <c r="U417" t="s">
        <v>13</v>
      </c>
      <c r="V417" t="s">
        <v>13</v>
      </c>
      <c r="W417" t="s">
        <v>13</v>
      </c>
      <c r="X417" t="s">
        <v>13</v>
      </c>
      <c r="Y417" t="s">
        <v>13</v>
      </c>
      <c r="Z417" t="s">
        <v>13</v>
      </c>
      <c r="AA417" t="s">
        <v>13</v>
      </c>
      <c r="AB417" t="s">
        <v>13</v>
      </c>
      <c r="AC417" t="s">
        <v>13</v>
      </c>
      <c r="AD417" t="s">
        <v>13</v>
      </c>
      <c r="AE417" t="s">
        <v>13</v>
      </c>
      <c r="AF417" t="s">
        <v>13</v>
      </c>
      <c r="AG417" t="s">
        <v>13</v>
      </c>
      <c r="AH417" t="s">
        <v>13</v>
      </c>
      <c r="AI417" t="s">
        <v>13</v>
      </c>
      <c r="AJ417" t="s">
        <v>13</v>
      </c>
      <c r="AK417" t="s">
        <v>13</v>
      </c>
      <c r="AL417" t="s">
        <v>13</v>
      </c>
      <c r="AM417" t="s">
        <v>13</v>
      </c>
      <c r="AN417">
        <v>1079</v>
      </c>
      <c r="AO417" t="s">
        <v>13</v>
      </c>
      <c r="AP417" t="s">
        <v>13</v>
      </c>
      <c r="AQ417" t="s">
        <v>13</v>
      </c>
      <c r="AR417" t="s">
        <v>13</v>
      </c>
      <c r="AS417" t="s">
        <v>13</v>
      </c>
      <c r="AT417" t="s">
        <v>13</v>
      </c>
      <c r="AU417" t="s">
        <v>13</v>
      </c>
      <c r="AV417" t="s">
        <v>13</v>
      </c>
      <c r="AW417" t="s">
        <v>13</v>
      </c>
      <c r="AX417" t="s">
        <v>13</v>
      </c>
      <c r="AY417" t="s">
        <v>13</v>
      </c>
      <c r="AZ417" t="s">
        <v>13</v>
      </c>
      <c r="BA417" t="s">
        <v>13</v>
      </c>
    </row>
    <row r="418" spans="1:53" x14ac:dyDescent="0.2">
      <c r="A418">
        <v>1995</v>
      </c>
      <c r="B418" t="s">
        <v>69</v>
      </c>
      <c r="C418" t="s">
        <v>58</v>
      </c>
      <c r="D418" t="s">
        <v>13</v>
      </c>
      <c r="E418" t="s">
        <v>13</v>
      </c>
      <c r="F418" t="s">
        <v>13</v>
      </c>
      <c r="G418" t="s">
        <v>13</v>
      </c>
      <c r="H418" t="s">
        <v>13</v>
      </c>
      <c r="I418" t="s">
        <v>13</v>
      </c>
      <c r="J418" t="s">
        <v>13</v>
      </c>
      <c r="K418" t="s">
        <v>13</v>
      </c>
      <c r="L418" t="s">
        <v>13</v>
      </c>
      <c r="M418" t="s">
        <v>13</v>
      </c>
      <c r="N418" t="s">
        <v>13</v>
      </c>
      <c r="O418" t="s">
        <v>13</v>
      </c>
      <c r="P418" t="s">
        <v>13</v>
      </c>
      <c r="Q418" t="s">
        <v>13</v>
      </c>
      <c r="R418" t="s">
        <v>13</v>
      </c>
      <c r="S418" t="s">
        <v>13</v>
      </c>
      <c r="T418" t="s">
        <v>13</v>
      </c>
      <c r="U418" t="s">
        <v>13</v>
      </c>
      <c r="V418" t="s">
        <v>13</v>
      </c>
      <c r="W418" t="s">
        <v>13</v>
      </c>
      <c r="X418" t="s">
        <v>13</v>
      </c>
      <c r="Y418" t="s">
        <v>13</v>
      </c>
      <c r="Z418" t="s">
        <v>13</v>
      </c>
      <c r="AA418" t="s">
        <v>13</v>
      </c>
      <c r="AB418" t="s">
        <v>13</v>
      </c>
      <c r="AC418" t="s">
        <v>13</v>
      </c>
      <c r="AD418" t="s">
        <v>13</v>
      </c>
      <c r="AE418" t="s">
        <v>13</v>
      </c>
      <c r="AF418" t="s">
        <v>13</v>
      </c>
      <c r="AG418" t="s">
        <v>13</v>
      </c>
      <c r="AH418" t="s">
        <v>13</v>
      </c>
      <c r="AI418" t="s">
        <v>13</v>
      </c>
      <c r="AJ418" t="s">
        <v>13</v>
      </c>
      <c r="AK418" t="s">
        <v>13</v>
      </c>
      <c r="AL418" t="s">
        <v>13</v>
      </c>
      <c r="AM418" t="s">
        <v>13</v>
      </c>
      <c r="AN418">
        <v>211</v>
      </c>
      <c r="AO418" t="s">
        <v>13</v>
      </c>
      <c r="AP418" t="s">
        <v>13</v>
      </c>
      <c r="AQ418" t="s">
        <v>13</v>
      </c>
      <c r="AR418" t="s">
        <v>13</v>
      </c>
      <c r="AS418" t="s">
        <v>13</v>
      </c>
      <c r="AT418" t="s">
        <v>13</v>
      </c>
      <c r="AU418" t="s">
        <v>13</v>
      </c>
      <c r="AV418" t="s">
        <v>13</v>
      </c>
      <c r="AW418" t="s">
        <v>13</v>
      </c>
      <c r="AX418" t="s">
        <v>13</v>
      </c>
      <c r="AY418" t="s">
        <v>13</v>
      </c>
      <c r="AZ418" t="s">
        <v>13</v>
      </c>
      <c r="BA418" t="s">
        <v>13</v>
      </c>
    </row>
    <row r="419" spans="1:53" x14ac:dyDescent="0.2">
      <c r="A419">
        <v>1996</v>
      </c>
      <c r="B419" t="s">
        <v>69</v>
      </c>
      <c r="C419" t="s">
        <v>58</v>
      </c>
      <c r="D419" t="s">
        <v>13</v>
      </c>
      <c r="E419" t="s">
        <v>13</v>
      </c>
      <c r="F419" t="s">
        <v>13</v>
      </c>
      <c r="G419" t="s">
        <v>13</v>
      </c>
      <c r="H419" t="s">
        <v>13</v>
      </c>
      <c r="I419" t="s">
        <v>13</v>
      </c>
      <c r="J419" t="s">
        <v>13</v>
      </c>
      <c r="K419" t="s">
        <v>13</v>
      </c>
      <c r="L419" t="s">
        <v>13</v>
      </c>
      <c r="M419" t="s">
        <v>13</v>
      </c>
      <c r="N419" t="s">
        <v>13</v>
      </c>
      <c r="O419" t="s">
        <v>13</v>
      </c>
      <c r="P419" t="s">
        <v>13</v>
      </c>
      <c r="Q419" t="s">
        <v>13</v>
      </c>
      <c r="R419" t="s">
        <v>13</v>
      </c>
      <c r="S419" t="s">
        <v>13</v>
      </c>
      <c r="T419" t="s">
        <v>13</v>
      </c>
      <c r="U419" t="s">
        <v>13</v>
      </c>
      <c r="V419" t="s">
        <v>13</v>
      </c>
      <c r="W419" t="s">
        <v>13</v>
      </c>
      <c r="X419" t="s">
        <v>13</v>
      </c>
      <c r="Y419" t="s">
        <v>13</v>
      </c>
      <c r="Z419" t="s">
        <v>13</v>
      </c>
      <c r="AA419" t="s">
        <v>13</v>
      </c>
      <c r="AB419" t="s">
        <v>13</v>
      </c>
      <c r="AC419" t="s">
        <v>13</v>
      </c>
      <c r="AD419" t="s">
        <v>13</v>
      </c>
      <c r="AE419" t="s">
        <v>13</v>
      </c>
      <c r="AF419" t="s">
        <v>13</v>
      </c>
      <c r="AG419" t="s">
        <v>13</v>
      </c>
      <c r="AH419" t="s">
        <v>13</v>
      </c>
      <c r="AI419" t="s">
        <v>13</v>
      </c>
      <c r="AJ419" t="s">
        <v>13</v>
      </c>
      <c r="AK419" t="s">
        <v>13</v>
      </c>
      <c r="AL419" t="s">
        <v>13</v>
      </c>
      <c r="AM419" t="s">
        <v>13</v>
      </c>
      <c r="AN419">
        <v>901</v>
      </c>
      <c r="AO419" t="s">
        <v>13</v>
      </c>
      <c r="AP419" t="s">
        <v>13</v>
      </c>
      <c r="AQ419" t="s">
        <v>13</v>
      </c>
      <c r="AR419" t="s">
        <v>13</v>
      </c>
      <c r="AS419" t="s">
        <v>13</v>
      </c>
      <c r="AT419" t="s">
        <v>13</v>
      </c>
      <c r="AU419" t="s">
        <v>13</v>
      </c>
      <c r="AV419" t="s">
        <v>13</v>
      </c>
      <c r="AW419" t="s">
        <v>13</v>
      </c>
      <c r="AX419" t="s">
        <v>13</v>
      </c>
      <c r="AY419" t="s">
        <v>13</v>
      </c>
      <c r="AZ419" t="s">
        <v>13</v>
      </c>
      <c r="BA419" t="s">
        <v>13</v>
      </c>
    </row>
    <row r="420" spans="1:53" x14ac:dyDescent="0.2">
      <c r="A420">
        <v>1997</v>
      </c>
      <c r="B420" t="s">
        <v>69</v>
      </c>
      <c r="C420" t="s">
        <v>58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21.7</v>
      </c>
      <c r="J420">
        <v>3.7</v>
      </c>
      <c r="K420">
        <f t="shared" si="127"/>
        <v>25.4</v>
      </c>
      <c r="L420">
        <v>0</v>
      </c>
      <c r="M420">
        <v>0</v>
      </c>
      <c r="N420">
        <v>0</v>
      </c>
      <c r="O420">
        <f t="shared" si="128"/>
        <v>0</v>
      </c>
      <c r="P420">
        <v>0</v>
      </c>
      <c r="Q420">
        <v>0</v>
      </c>
      <c r="R420">
        <v>2.2000000000000002</v>
      </c>
      <c r="S420">
        <f t="shared" si="142"/>
        <v>2.2000000000000002</v>
      </c>
      <c r="T420">
        <v>3.4</v>
      </c>
      <c r="U420">
        <v>3.1</v>
      </c>
      <c r="V420">
        <v>5.5</v>
      </c>
      <c r="W420">
        <v>0</v>
      </c>
      <c r="X420">
        <v>0</v>
      </c>
      <c r="Y420">
        <v>0</v>
      </c>
      <c r="Z420">
        <v>0</v>
      </c>
      <c r="AA420">
        <f t="shared" si="143"/>
        <v>12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0.9</v>
      </c>
      <c r="AI420">
        <v>7.4</v>
      </c>
      <c r="AJ420">
        <f t="shared" si="130"/>
        <v>8.3000000000000007</v>
      </c>
      <c r="AK420">
        <v>1.8</v>
      </c>
      <c r="AL420">
        <v>0.502</v>
      </c>
      <c r="AM420">
        <f t="shared" si="131"/>
        <v>0.47900000000000004</v>
      </c>
      <c r="AN420">
        <v>370</v>
      </c>
      <c r="AO420" t="s">
        <v>13</v>
      </c>
      <c r="AP420" s="3">
        <f t="shared" si="129"/>
        <v>710.17274472168924</v>
      </c>
      <c r="AQ420" t="s">
        <v>13</v>
      </c>
      <c r="AR420">
        <f t="shared" ref="AR420:AR483" si="144">(AJ420/100)/AM420</f>
        <v>0.1732776617954071</v>
      </c>
      <c r="AS420">
        <f t="shared" ref="AS420:AS428" si="145">SUM(K420,O420,S420,AA420)/100</f>
        <v>0.39599999999999996</v>
      </c>
      <c r="AT420">
        <f t="shared" ref="AT420:AT428" si="146">ROUND(AS420*AP420,0)</f>
        <v>281</v>
      </c>
      <c r="AU420">
        <f t="shared" ref="AU420:AU428" si="147">ROUND((AJ420/100)*AP420,0)</f>
        <v>59</v>
      </c>
      <c r="AV420">
        <f t="shared" si="132"/>
        <v>191</v>
      </c>
      <c r="AW420">
        <f t="shared" si="133"/>
        <v>71</v>
      </c>
      <c r="AX420" s="3">
        <f t="shared" si="134"/>
        <v>448.17274472168924</v>
      </c>
      <c r="AY420">
        <f t="shared" si="135"/>
        <v>141</v>
      </c>
      <c r="AZ420">
        <f t="shared" si="136"/>
        <v>78</v>
      </c>
      <c r="BA420" s="3">
        <f t="shared" si="137"/>
        <v>491.17274472168924</v>
      </c>
    </row>
    <row r="421" spans="1:53" x14ac:dyDescent="0.2">
      <c r="A421">
        <v>1998</v>
      </c>
      <c r="B421" t="s">
        <v>69</v>
      </c>
      <c r="C421" t="s">
        <v>58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0.9</v>
      </c>
      <c r="J421">
        <v>11</v>
      </c>
      <c r="K421">
        <f t="shared" si="127"/>
        <v>11.9</v>
      </c>
      <c r="L421">
        <v>0</v>
      </c>
      <c r="M421">
        <v>0</v>
      </c>
      <c r="N421">
        <v>4.9000000000000004</v>
      </c>
      <c r="O421">
        <f t="shared" si="128"/>
        <v>4.9000000000000004</v>
      </c>
      <c r="P421">
        <v>0</v>
      </c>
      <c r="Q421">
        <v>0</v>
      </c>
      <c r="R421">
        <v>0</v>
      </c>
      <c r="S421">
        <f t="shared" si="142"/>
        <v>0</v>
      </c>
      <c r="T421">
        <v>1</v>
      </c>
      <c r="U421">
        <v>1.5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f t="shared" si="143"/>
        <v>2.5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1.8</v>
      </c>
      <c r="AI421">
        <v>20.2</v>
      </c>
      <c r="AJ421">
        <f t="shared" si="130"/>
        <v>22</v>
      </c>
      <c r="AK421">
        <v>0.9</v>
      </c>
      <c r="AL421">
        <v>0.57700000000000007</v>
      </c>
      <c r="AM421">
        <f t="shared" si="131"/>
        <v>0.41299999999999998</v>
      </c>
      <c r="AN421">
        <v>312</v>
      </c>
      <c r="AO421" t="s">
        <v>13</v>
      </c>
      <c r="AP421" s="3">
        <f t="shared" si="129"/>
        <v>531.5161839863714</v>
      </c>
      <c r="AQ421" t="s">
        <v>13</v>
      </c>
      <c r="AR421">
        <f t="shared" si="144"/>
        <v>0.53268765133171914</v>
      </c>
      <c r="AS421">
        <f t="shared" si="145"/>
        <v>0.193</v>
      </c>
      <c r="AT421">
        <f t="shared" si="146"/>
        <v>103</v>
      </c>
      <c r="AU421">
        <f t="shared" si="147"/>
        <v>117</v>
      </c>
      <c r="AV421">
        <f t="shared" si="132"/>
        <v>71</v>
      </c>
      <c r="AW421">
        <f t="shared" si="133"/>
        <v>126</v>
      </c>
      <c r="AX421" s="3">
        <f t="shared" si="134"/>
        <v>334.5161839863714</v>
      </c>
      <c r="AY421">
        <f t="shared" si="135"/>
        <v>51</v>
      </c>
      <c r="AZ421">
        <f t="shared" si="136"/>
        <v>131</v>
      </c>
      <c r="BA421" s="3">
        <f t="shared" si="137"/>
        <v>349.5161839863714</v>
      </c>
    </row>
    <row r="422" spans="1:53" x14ac:dyDescent="0.2">
      <c r="A422">
        <v>1999</v>
      </c>
      <c r="B422" t="s">
        <v>69</v>
      </c>
      <c r="C422" t="s">
        <v>58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2.1</v>
      </c>
      <c r="J422">
        <v>9.4</v>
      </c>
      <c r="K422">
        <f t="shared" si="127"/>
        <v>11.5</v>
      </c>
      <c r="L422">
        <v>0</v>
      </c>
      <c r="M422">
        <v>0</v>
      </c>
      <c r="N422">
        <v>0</v>
      </c>
      <c r="O422">
        <f t="shared" si="128"/>
        <v>0</v>
      </c>
      <c r="P422">
        <v>0</v>
      </c>
      <c r="Q422">
        <v>0</v>
      </c>
      <c r="R422">
        <v>0</v>
      </c>
      <c r="S422">
        <f t="shared" si="142"/>
        <v>0</v>
      </c>
      <c r="T422">
        <v>4.5999999999999996</v>
      </c>
      <c r="U422">
        <v>1.6</v>
      </c>
      <c r="V422">
        <v>2.9</v>
      </c>
      <c r="W422">
        <v>1.8</v>
      </c>
      <c r="X422">
        <v>0</v>
      </c>
      <c r="Y422">
        <v>0</v>
      </c>
      <c r="Z422">
        <v>0</v>
      </c>
      <c r="AA422">
        <f t="shared" si="143"/>
        <v>10.9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3.3</v>
      </c>
      <c r="AI422">
        <v>6.2</v>
      </c>
      <c r="AJ422">
        <f t="shared" si="130"/>
        <v>9.5</v>
      </c>
      <c r="AK422">
        <v>0</v>
      </c>
      <c r="AL422">
        <v>0.68099999999999994</v>
      </c>
      <c r="AM422">
        <f t="shared" si="131"/>
        <v>0.31900000000000001</v>
      </c>
      <c r="AN422">
        <v>983</v>
      </c>
      <c r="AO422" t="s">
        <v>13</v>
      </c>
      <c r="AP422" s="3">
        <f t="shared" si="129"/>
        <v>1443.4654919236416</v>
      </c>
      <c r="AQ422" t="s">
        <v>13</v>
      </c>
      <c r="AR422">
        <f t="shared" si="144"/>
        <v>0.29780564263322884</v>
      </c>
      <c r="AS422">
        <f t="shared" si="145"/>
        <v>0.22399999999999998</v>
      </c>
      <c r="AT422">
        <f t="shared" si="146"/>
        <v>323</v>
      </c>
      <c r="AU422">
        <f t="shared" si="147"/>
        <v>137</v>
      </c>
      <c r="AV422">
        <f t="shared" si="132"/>
        <v>240</v>
      </c>
      <c r="AW422">
        <f t="shared" si="133"/>
        <v>147</v>
      </c>
      <c r="AX422" s="3">
        <f t="shared" si="134"/>
        <v>1056.4654919236416</v>
      </c>
      <c r="AY422">
        <f t="shared" si="135"/>
        <v>162</v>
      </c>
      <c r="AZ422">
        <f t="shared" si="136"/>
        <v>157</v>
      </c>
      <c r="BA422" s="3">
        <f t="shared" si="137"/>
        <v>1124.4654919236416</v>
      </c>
    </row>
    <row r="423" spans="1:53" x14ac:dyDescent="0.2">
      <c r="A423">
        <v>2000</v>
      </c>
      <c r="B423" t="s">
        <v>69</v>
      </c>
      <c r="C423" t="s">
        <v>58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16.600000000000001</v>
      </c>
      <c r="J423">
        <v>12.9</v>
      </c>
      <c r="K423">
        <f t="shared" si="127"/>
        <v>29.5</v>
      </c>
      <c r="L423">
        <v>0</v>
      </c>
      <c r="M423">
        <v>0</v>
      </c>
      <c r="N423">
        <v>0</v>
      </c>
      <c r="O423">
        <f t="shared" si="128"/>
        <v>0</v>
      </c>
      <c r="P423">
        <v>0</v>
      </c>
      <c r="Q423">
        <v>0</v>
      </c>
      <c r="R423">
        <v>1.9</v>
      </c>
      <c r="S423">
        <f t="shared" si="142"/>
        <v>1.9</v>
      </c>
      <c r="T423">
        <v>2.2999999999999998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3.7</v>
      </c>
      <c r="AA423">
        <f t="shared" si="143"/>
        <v>6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2.2000000000000002</v>
      </c>
      <c r="AI423">
        <v>3</v>
      </c>
      <c r="AJ423">
        <f t="shared" si="130"/>
        <v>5.2</v>
      </c>
      <c r="AK423">
        <v>0</v>
      </c>
      <c r="AL423">
        <v>0.57499999999999996</v>
      </c>
      <c r="AM423">
        <f t="shared" si="131"/>
        <v>0.42599999999999999</v>
      </c>
      <c r="AN423">
        <v>197</v>
      </c>
      <c r="AO423" t="s">
        <v>13</v>
      </c>
      <c r="AP423" s="3">
        <f t="shared" si="129"/>
        <v>343.20557491289196</v>
      </c>
      <c r="AQ423" t="s">
        <v>13</v>
      </c>
      <c r="AR423">
        <f t="shared" si="144"/>
        <v>0.12206572769953053</v>
      </c>
      <c r="AS423">
        <f t="shared" si="145"/>
        <v>0.374</v>
      </c>
      <c r="AT423">
        <f t="shared" si="146"/>
        <v>128</v>
      </c>
      <c r="AU423">
        <f t="shared" si="147"/>
        <v>18</v>
      </c>
      <c r="AV423">
        <f t="shared" si="132"/>
        <v>78</v>
      </c>
      <c r="AW423">
        <f t="shared" si="133"/>
        <v>22</v>
      </c>
      <c r="AX423" s="3">
        <f t="shared" si="134"/>
        <v>243.20557491289196</v>
      </c>
      <c r="AY423">
        <f t="shared" si="135"/>
        <v>64</v>
      </c>
      <c r="AZ423">
        <f t="shared" si="136"/>
        <v>23</v>
      </c>
      <c r="BA423" s="3">
        <f t="shared" si="137"/>
        <v>256.20557491289196</v>
      </c>
    </row>
    <row r="424" spans="1:53" x14ac:dyDescent="0.2">
      <c r="A424">
        <v>2001</v>
      </c>
      <c r="B424" t="s">
        <v>69</v>
      </c>
      <c r="C424" t="s">
        <v>58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8.9</v>
      </c>
      <c r="J424">
        <v>2.4</v>
      </c>
      <c r="K424">
        <f t="shared" si="127"/>
        <v>11.3</v>
      </c>
      <c r="L424">
        <v>0</v>
      </c>
      <c r="M424">
        <v>0</v>
      </c>
      <c r="N424">
        <v>0</v>
      </c>
      <c r="O424">
        <f t="shared" si="128"/>
        <v>0</v>
      </c>
      <c r="P424">
        <v>0</v>
      </c>
      <c r="Q424">
        <v>0</v>
      </c>
      <c r="R424">
        <v>0.3</v>
      </c>
      <c r="S424">
        <f t="shared" si="142"/>
        <v>0.3</v>
      </c>
      <c r="T424">
        <v>7.9</v>
      </c>
      <c r="U424">
        <v>2.8</v>
      </c>
      <c r="V424">
        <v>12.4</v>
      </c>
      <c r="W424">
        <v>0.7</v>
      </c>
      <c r="X424">
        <v>0</v>
      </c>
      <c r="Y424">
        <v>0.1</v>
      </c>
      <c r="Z424">
        <v>1</v>
      </c>
      <c r="AA424">
        <f t="shared" si="143"/>
        <v>24.900000000000002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1.2</v>
      </c>
      <c r="AI424">
        <v>4.3</v>
      </c>
      <c r="AJ424">
        <f t="shared" si="130"/>
        <v>5.5</v>
      </c>
      <c r="AK424">
        <v>0.9</v>
      </c>
      <c r="AL424">
        <v>0.57100000000000006</v>
      </c>
      <c r="AM424">
        <f t="shared" si="131"/>
        <v>0.42</v>
      </c>
      <c r="AN424">
        <v>2739</v>
      </c>
      <c r="AO424" t="s">
        <v>13</v>
      </c>
      <c r="AP424" s="3">
        <f t="shared" si="129"/>
        <v>4722.4137931034475</v>
      </c>
      <c r="AQ424" t="s">
        <v>13</v>
      </c>
      <c r="AR424">
        <f t="shared" si="144"/>
        <v>0.13095238095238096</v>
      </c>
      <c r="AS424">
        <f t="shared" si="145"/>
        <v>0.36499999999999999</v>
      </c>
      <c r="AT424">
        <f t="shared" si="146"/>
        <v>1724</v>
      </c>
      <c r="AU424">
        <f t="shared" si="147"/>
        <v>260</v>
      </c>
      <c r="AV424">
        <f t="shared" si="132"/>
        <v>1457</v>
      </c>
      <c r="AW424">
        <f t="shared" si="133"/>
        <v>283</v>
      </c>
      <c r="AX424" s="3">
        <f t="shared" si="134"/>
        <v>2982.4137931034475</v>
      </c>
      <c r="AY424">
        <f t="shared" si="135"/>
        <v>862</v>
      </c>
      <c r="AZ424">
        <f t="shared" si="136"/>
        <v>335</v>
      </c>
      <c r="BA424" s="3">
        <f t="shared" si="137"/>
        <v>3525.4137931034475</v>
      </c>
    </row>
    <row r="425" spans="1:53" x14ac:dyDescent="0.2">
      <c r="A425">
        <v>2002</v>
      </c>
      <c r="B425" t="s">
        <v>69</v>
      </c>
      <c r="C425" t="s">
        <v>58</v>
      </c>
      <c r="D425">
        <v>0.4</v>
      </c>
      <c r="E425">
        <v>0</v>
      </c>
      <c r="F425">
        <v>0</v>
      </c>
      <c r="G425">
        <v>0</v>
      </c>
      <c r="H425">
        <v>0</v>
      </c>
      <c r="I425">
        <v>9</v>
      </c>
      <c r="J425">
        <v>3.2</v>
      </c>
      <c r="K425">
        <f t="shared" si="127"/>
        <v>12.600000000000001</v>
      </c>
      <c r="L425">
        <v>0</v>
      </c>
      <c r="M425">
        <v>0</v>
      </c>
      <c r="N425">
        <v>0</v>
      </c>
      <c r="O425">
        <f t="shared" si="128"/>
        <v>0</v>
      </c>
      <c r="P425">
        <v>0</v>
      </c>
      <c r="Q425">
        <v>0</v>
      </c>
      <c r="R425">
        <v>0</v>
      </c>
      <c r="S425">
        <f t="shared" si="142"/>
        <v>0</v>
      </c>
      <c r="T425">
        <v>17.5</v>
      </c>
      <c r="U425">
        <v>5.7</v>
      </c>
      <c r="V425">
        <v>3.5</v>
      </c>
      <c r="W425">
        <v>1.5</v>
      </c>
      <c r="X425">
        <v>0</v>
      </c>
      <c r="Y425">
        <v>0.1</v>
      </c>
      <c r="Z425">
        <v>0</v>
      </c>
      <c r="AA425">
        <f t="shared" si="143"/>
        <v>28.3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7</v>
      </c>
      <c r="AI425">
        <v>2.7</v>
      </c>
      <c r="AJ425">
        <f t="shared" si="130"/>
        <v>9.6999999999999993</v>
      </c>
      <c r="AK425">
        <v>0</v>
      </c>
      <c r="AL425">
        <v>0.495</v>
      </c>
      <c r="AM425">
        <f t="shared" si="131"/>
        <v>0.50600000000000001</v>
      </c>
      <c r="AN425">
        <v>9267</v>
      </c>
      <c r="AO425" t="s">
        <v>13</v>
      </c>
      <c r="AP425" s="3">
        <f t="shared" si="129"/>
        <v>18759.109311740889</v>
      </c>
      <c r="AQ425" t="s">
        <v>13</v>
      </c>
      <c r="AR425">
        <f t="shared" si="144"/>
        <v>0.19169960474308298</v>
      </c>
      <c r="AS425">
        <f t="shared" si="145"/>
        <v>0.40900000000000003</v>
      </c>
      <c r="AT425">
        <f t="shared" si="146"/>
        <v>7672</v>
      </c>
      <c r="AU425">
        <f t="shared" si="147"/>
        <v>1820</v>
      </c>
      <c r="AV425">
        <f t="shared" si="132"/>
        <v>6491</v>
      </c>
      <c r="AW425">
        <f t="shared" si="133"/>
        <v>2014</v>
      </c>
      <c r="AX425" s="3">
        <f t="shared" si="134"/>
        <v>10254.109311740889</v>
      </c>
      <c r="AY425">
        <f t="shared" si="135"/>
        <v>3836</v>
      </c>
      <c r="AZ425">
        <f t="shared" si="136"/>
        <v>2450</v>
      </c>
      <c r="BA425" s="3">
        <f t="shared" si="137"/>
        <v>12473.109311740889</v>
      </c>
    </row>
    <row r="426" spans="1:53" x14ac:dyDescent="0.2">
      <c r="A426">
        <v>2003</v>
      </c>
      <c r="B426" t="s">
        <v>69</v>
      </c>
      <c r="C426" t="s">
        <v>58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13.1</v>
      </c>
      <c r="J426">
        <v>5.7</v>
      </c>
      <c r="K426">
        <f t="shared" si="127"/>
        <v>18.8</v>
      </c>
      <c r="L426">
        <v>0</v>
      </c>
      <c r="M426">
        <v>0</v>
      </c>
      <c r="N426">
        <v>0</v>
      </c>
      <c r="O426">
        <f t="shared" si="128"/>
        <v>0</v>
      </c>
      <c r="P426">
        <v>0</v>
      </c>
      <c r="Q426">
        <v>0</v>
      </c>
      <c r="R426">
        <v>0.4</v>
      </c>
      <c r="S426">
        <f t="shared" si="142"/>
        <v>0.4</v>
      </c>
      <c r="T426">
        <v>10.9</v>
      </c>
      <c r="U426">
        <v>6.4</v>
      </c>
      <c r="V426">
        <v>3.6</v>
      </c>
      <c r="W426">
        <v>0.2</v>
      </c>
      <c r="X426">
        <v>0</v>
      </c>
      <c r="Y426">
        <v>0</v>
      </c>
      <c r="Z426">
        <v>0.7</v>
      </c>
      <c r="AA426">
        <f t="shared" si="143"/>
        <v>21.8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5.8</v>
      </c>
      <c r="AI426">
        <v>1.9</v>
      </c>
      <c r="AJ426">
        <f t="shared" si="130"/>
        <v>7.6999999999999993</v>
      </c>
      <c r="AK426">
        <v>0</v>
      </c>
      <c r="AL426">
        <v>0.51200000000000001</v>
      </c>
      <c r="AM426">
        <f t="shared" si="131"/>
        <v>0.48700000000000004</v>
      </c>
      <c r="AN426">
        <v>4327</v>
      </c>
      <c r="AO426" t="s">
        <v>13</v>
      </c>
      <c r="AP426" s="3">
        <f t="shared" si="129"/>
        <v>8434.6978557504881</v>
      </c>
      <c r="AQ426" t="s">
        <v>13</v>
      </c>
      <c r="AR426">
        <f t="shared" si="144"/>
        <v>0.15811088295687883</v>
      </c>
      <c r="AS426">
        <f t="shared" si="145"/>
        <v>0.41</v>
      </c>
      <c r="AT426">
        <f t="shared" si="146"/>
        <v>3458</v>
      </c>
      <c r="AU426">
        <f t="shared" si="147"/>
        <v>649</v>
      </c>
      <c r="AV426">
        <f t="shared" si="132"/>
        <v>2665</v>
      </c>
      <c r="AW426">
        <f t="shared" si="133"/>
        <v>752</v>
      </c>
      <c r="AX426" s="3">
        <f t="shared" si="134"/>
        <v>5017.6978557504881</v>
      </c>
      <c r="AY426">
        <f t="shared" si="135"/>
        <v>1729</v>
      </c>
      <c r="AZ426">
        <f t="shared" si="136"/>
        <v>874</v>
      </c>
      <c r="BA426" s="3">
        <f t="shared" si="137"/>
        <v>5831.6978557504881</v>
      </c>
    </row>
    <row r="427" spans="1:53" x14ac:dyDescent="0.2">
      <c r="A427">
        <v>2004</v>
      </c>
      <c r="B427" t="s">
        <v>69</v>
      </c>
      <c r="C427" t="s">
        <v>58</v>
      </c>
      <c r="D427">
        <v>0.5</v>
      </c>
      <c r="E427">
        <v>0</v>
      </c>
      <c r="F427">
        <v>0</v>
      </c>
      <c r="G427">
        <v>0.3</v>
      </c>
      <c r="H427">
        <v>0</v>
      </c>
      <c r="I427">
        <v>21.3</v>
      </c>
      <c r="J427">
        <v>8.9</v>
      </c>
      <c r="K427">
        <f t="shared" si="127"/>
        <v>31</v>
      </c>
      <c r="L427">
        <v>0</v>
      </c>
      <c r="M427">
        <v>0</v>
      </c>
      <c r="N427">
        <v>0</v>
      </c>
      <c r="O427">
        <f t="shared" si="128"/>
        <v>0</v>
      </c>
      <c r="P427">
        <v>0</v>
      </c>
      <c r="Q427">
        <v>0</v>
      </c>
      <c r="R427">
        <v>0.7</v>
      </c>
      <c r="S427">
        <f t="shared" si="142"/>
        <v>0.7</v>
      </c>
      <c r="T427">
        <v>4.5</v>
      </c>
      <c r="U427">
        <v>3.6</v>
      </c>
      <c r="V427">
        <v>3.9</v>
      </c>
      <c r="W427">
        <v>0.1</v>
      </c>
      <c r="X427">
        <v>0</v>
      </c>
      <c r="Y427">
        <v>0</v>
      </c>
      <c r="Z427">
        <v>0.1</v>
      </c>
      <c r="AA427">
        <f t="shared" si="143"/>
        <v>12.2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15.1</v>
      </c>
      <c r="AI427">
        <v>1.2</v>
      </c>
      <c r="AJ427">
        <f t="shared" si="130"/>
        <v>16.3</v>
      </c>
      <c r="AK427">
        <v>0</v>
      </c>
      <c r="AL427">
        <v>0.39700000000000002</v>
      </c>
      <c r="AM427">
        <f t="shared" si="131"/>
        <v>0.60199999999999998</v>
      </c>
      <c r="AN427">
        <v>6561</v>
      </c>
      <c r="AO427" t="s">
        <v>13</v>
      </c>
      <c r="AP427" s="3">
        <f t="shared" si="129"/>
        <v>16484.924623115578</v>
      </c>
      <c r="AQ427" t="s">
        <v>13</v>
      </c>
      <c r="AR427">
        <f t="shared" si="144"/>
        <v>0.2707641196013289</v>
      </c>
      <c r="AS427">
        <f t="shared" si="145"/>
        <v>0.439</v>
      </c>
      <c r="AT427">
        <f t="shared" si="146"/>
        <v>7237</v>
      </c>
      <c r="AU427">
        <f t="shared" si="147"/>
        <v>2687</v>
      </c>
      <c r="AV427">
        <f t="shared" si="132"/>
        <v>4682</v>
      </c>
      <c r="AW427">
        <f t="shared" si="133"/>
        <v>3429</v>
      </c>
      <c r="AX427" s="3">
        <f t="shared" si="134"/>
        <v>8373.9246231155776</v>
      </c>
      <c r="AY427">
        <f t="shared" si="135"/>
        <v>3618</v>
      </c>
      <c r="AZ427">
        <f t="shared" si="136"/>
        <v>3739</v>
      </c>
      <c r="BA427" s="3">
        <f t="shared" si="137"/>
        <v>9127.9246231155776</v>
      </c>
    </row>
    <row r="428" spans="1:53" x14ac:dyDescent="0.2">
      <c r="A428">
        <v>2005</v>
      </c>
      <c r="B428" t="s">
        <v>69</v>
      </c>
      <c r="C428" t="s">
        <v>58</v>
      </c>
      <c r="D428">
        <v>0</v>
      </c>
      <c r="E428">
        <v>0</v>
      </c>
      <c r="F428">
        <v>0</v>
      </c>
      <c r="G428">
        <v>0.4</v>
      </c>
      <c r="H428">
        <v>0</v>
      </c>
      <c r="I428">
        <v>29.2</v>
      </c>
      <c r="J428">
        <v>7.9</v>
      </c>
      <c r="K428">
        <f t="shared" si="127"/>
        <v>37.5</v>
      </c>
      <c r="L428">
        <v>0</v>
      </c>
      <c r="M428">
        <v>0</v>
      </c>
      <c r="N428">
        <v>0</v>
      </c>
      <c r="O428">
        <f t="shared" si="128"/>
        <v>0</v>
      </c>
      <c r="P428">
        <v>0</v>
      </c>
      <c r="Q428">
        <v>0</v>
      </c>
      <c r="R428">
        <v>0</v>
      </c>
      <c r="S428">
        <f t="shared" si="142"/>
        <v>0</v>
      </c>
      <c r="T428">
        <v>5.3</v>
      </c>
      <c r="U428">
        <v>2.2999999999999998</v>
      </c>
      <c r="V428">
        <v>1.8</v>
      </c>
      <c r="W428">
        <v>0</v>
      </c>
      <c r="X428">
        <v>0</v>
      </c>
      <c r="Y428">
        <v>0</v>
      </c>
      <c r="Z428">
        <v>0</v>
      </c>
      <c r="AA428">
        <f t="shared" si="143"/>
        <v>9.4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14.9</v>
      </c>
      <c r="AI428">
        <v>0.2</v>
      </c>
      <c r="AJ428">
        <f t="shared" si="130"/>
        <v>15.1</v>
      </c>
      <c r="AK428">
        <v>0</v>
      </c>
      <c r="AL428">
        <v>0.38100000000000001</v>
      </c>
      <c r="AM428">
        <f t="shared" si="131"/>
        <v>0.61999999999999988</v>
      </c>
      <c r="AN428">
        <v>2478</v>
      </c>
      <c r="AO428" t="s">
        <v>13</v>
      </c>
      <c r="AP428" s="3">
        <f t="shared" si="129"/>
        <v>6521.0526315789457</v>
      </c>
      <c r="AQ428" t="s">
        <v>13</v>
      </c>
      <c r="AR428">
        <f t="shared" si="144"/>
        <v>0.24354838709677423</v>
      </c>
      <c r="AS428">
        <f t="shared" si="145"/>
        <v>0.46899999999999997</v>
      </c>
      <c r="AT428">
        <f t="shared" si="146"/>
        <v>3058</v>
      </c>
      <c r="AU428">
        <f t="shared" si="147"/>
        <v>985</v>
      </c>
      <c r="AV428">
        <f t="shared" si="132"/>
        <v>1836</v>
      </c>
      <c r="AW428">
        <f t="shared" si="133"/>
        <v>1333</v>
      </c>
      <c r="AX428" s="3">
        <f t="shared" si="134"/>
        <v>3352.0526315789457</v>
      </c>
      <c r="AY428">
        <f t="shared" si="135"/>
        <v>1529</v>
      </c>
      <c r="AZ428">
        <f t="shared" si="136"/>
        <v>1420</v>
      </c>
      <c r="BA428" s="3">
        <f t="shared" si="137"/>
        <v>3572.0526315789457</v>
      </c>
    </row>
    <row r="429" spans="1:53" x14ac:dyDescent="0.2">
      <c r="A429">
        <v>2006</v>
      </c>
      <c r="B429" t="s">
        <v>69</v>
      </c>
      <c r="C429" t="s">
        <v>58</v>
      </c>
      <c r="D429" t="s">
        <v>13</v>
      </c>
      <c r="E429" t="s">
        <v>13</v>
      </c>
      <c r="F429" t="s">
        <v>13</v>
      </c>
      <c r="G429" t="s">
        <v>13</v>
      </c>
      <c r="H429" t="s">
        <v>13</v>
      </c>
      <c r="I429" t="s">
        <v>13</v>
      </c>
      <c r="J429" t="s">
        <v>13</v>
      </c>
      <c r="K429" t="s">
        <v>13</v>
      </c>
      <c r="L429" t="s">
        <v>13</v>
      </c>
      <c r="M429" t="s">
        <v>13</v>
      </c>
      <c r="N429" t="s">
        <v>13</v>
      </c>
      <c r="O429" t="s">
        <v>13</v>
      </c>
      <c r="P429" t="s">
        <v>13</v>
      </c>
      <c r="Q429" t="s">
        <v>13</v>
      </c>
      <c r="R429" t="s">
        <v>13</v>
      </c>
      <c r="S429" t="s">
        <v>13</v>
      </c>
      <c r="T429" t="s">
        <v>13</v>
      </c>
      <c r="U429" t="s">
        <v>13</v>
      </c>
      <c r="V429" t="s">
        <v>13</v>
      </c>
      <c r="W429" t="s">
        <v>13</v>
      </c>
      <c r="X429" t="s">
        <v>13</v>
      </c>
      <c r="Y429" t="s">
        <v>13</v>
      </c>
      <c r="Z429" t="s">
        <v>13</v>
      </c>
      <c r="AA429" t="s">
        <v>13</v>
      </c>
      <c r="AB429" t="s">
        <v>13</v>
      </c>
      <c r="AC429" t="s">
        <v>13</v>
      </c>
      <c r="AD429" t="s">
        <v>13</v>
      </c>
      <c r="AE429" t="s">
        <v>13</v>
      </c>
      <c r="AF429" t="s">
        <v>13</v>
      </c>
      <c r="AG429" t="s">
        <v>13</v>
      </c>
      <c r="AH429" t="s">
        <v>13</v>
      </c>
      <c r="AI429" t="s">
        <v>13</v>
      </c>
      <c r="AJ429" t="s">
        <v>13</v>
      </c>
      <c r="AK429" t="s">
        <v>13</v>
      </c>
      <c r="AL429" t="s">
        <v>13</v>
      </c>
      <c r="AM429" t="s">
        <v>13</v>
      </c>
      <c r="AN429">
        <v>389</v>
      </c>
      <c r="AO429" t="s">
        <v>13</v>
      </c>
      <c r="AP429" t="s">
        <v>13</v>
      </c>
      <c r="AQ429" t="s">
        <v>13</v>
      </c>
      <c r="AR429" t="s">
        <v>13</v>
      </c>
      <c r="AS429" t="s">
        <v>13</v>
      </c>
      <c r="AT429" t="s">
        <v>13</v>
      </c>
      <c r="AU429" t="s">
        <v>13</v>
      </c>
      <c r="AV429" t="s">
        <v>13</v>
      </c>
      <c r="AW429" t="s">
        <v>13</v>
      </c>
      <c r="AX429" t="s">
        <v>13</v>
      </c>
      <c r="AY429" t="s">
        <v>13</v>
      </c>
      <c r="AZ429" t="s">
        <v>13</v>
      </c>
      <c r="BA429" t="s">
        <v>13</v>
      </c>
    </row>
    <row r="430" spans="1:53" x14ac:dyDescent="0.2">
      <c r="A430">
        <v>2007</v>
      </c>
      <c r="B430" t="s">
        <v>69</v>
      </c>
      <c r="C430" t="s">
        <v>58</v>
      </c>
      <c r="D430">
        <v>0</v>
      </c>
      <c r="E430">
        <v>0.9</v>
      </c>
      <c r="F430">
        <v>0</v>
      </c>
      <c r="G430">
        <v>0</v>
      </c>
      <c r="H430">
        <v>0</v>
      </c>
      <c r="I430">
        <v>14.3</v>
      </c>
      <c r="J430">
        <v>0</v>
      </c>
      <c r="K430">
        <f t="shared" ref="K430:K445" si="148">SUM(D430:J430)</f>
        <v>15.200000000000001</v>
      </c>
      <c r="L430">
        <v>0</v>
      </c>
      <c r="M430">
        <v>0</v>
      </c>
      <c r="N430">
        <v>0</v>
      </c>
      <c r="O430">
        <f t="shared" ref="O430:O445" si="149">SUM(L430:N430)</f>
        <v>0</v>
      </c>
      <c r="P430">
        <v>0</v>
      </c>
      <c r="Q430">
        <v>0</v>
      </c>
      <c r="R430">
        <v>0</v>
      </c>
      <c r="S430">
        <f t="shared" si="142"/>
        <v>0</v>
      </c>
      <c r="T430">
        <v>6.5</v>
      </c>
      <c r="U430">
        <v>2.5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f t="shared" si="143"/>
        <v>9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4.0999999999999996</v>
      </c>
      <c r="AI430">
        <v>2.6</v>
      </c>
      <c r="AJ430">
        <f t="shared" si="130"/>
        <v>6.6999999999999993</v>
      </c>
      <c r="AK430">
        <v>0</v>
      </c>
      <c r="AL430">
        <v>0.69</v>
      </c>
      <c r="AM430">
        <f t="shared" si="131"/>
        <v>0.309</v>
      </c>
      <c r="AN430">
        <v>274</v>
      </c>
      <c r="AO430" t="s">
        <v>13</v>
      </c>
      <c r="AP430" s="3">
        <f t="shared" si="129"/>
        <v>396.52677279305351</v>
      </c>
      <c r="AQ430" t="s">
        <v>13</v>
      </c>
      <c r="AR430">
        <f t="shared" si="144"/>
        <v>0.21682847896440127</v>
      </c>
      <c r="AS430">
        <f t="shared" ref="AS430:AS445" si="150">SUM(K430,O430,S430,AA430)/100</f>
        <v>0.24200000000000002</v>
      </c>
      <c r="AT430">
        <f t="shared" ref="AT430:AT445" si="151">ROUND(AS430*AP430,0)</f>
        <v>96</v>
      </c>
      <c r="AU430">
        <f t="shared" ref="AU430:AU445" si="152">ROUND((AJ430/100)*AP430,0)</f>
        <v>27</v>
      </c>
      <c r="AV430">
        <f t="shared" si="132"/>
        <v>66</v>
      </c>
      <c r="AW430">
        <f t="shared" si="133"/>
        <v>30</v>
      </c>
      <c r="AX430" s="3">
        <f t="shared" si="134"/>
        <v>300.52677279305351</v>
      </c>
      <c r="AY430">
        <f t="shared" si="135"/>
        <v>48</v>
      </c>
      <c r="AZ430">
        <f t="shared" si="136"/>
        <v>31</v>
      </c>
      <c r="BA430" s="3">
        <f t="shared" si="137"/>
        <v>317.52677279305351</v>
      </c>
    </row>
    <row r="431" spans="1:53" x14ac:dyDescent="0.2">
      <c r="A431">
        <v>2008</v>
      </c>
      <c r="B431" t="s">
        <v>69</v>
      </c>
      <c r="C431" t="s">
        <v>58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11.5</v>
      </c>
      <c r="J431">
        <v>8.3000000000000007</v>
      </c>
      <c r="K431">
        <f t="shared" si="148"/>
        <v>19.8</v>
      </c>
      <c r="L431">
        <v>0</v>
      </c>
      <c r="M431">
        <v>0</v>
      </c>
      <c r="N431">
        <v>0</v>
      </c>
      <c r="O431">
        <f t="shared" si="149"/>
        <v>0</v>
      </c>
      <c r="P431">
        <v>0</v>
      </c>
      <c r="Q431">
        <v>0</v>
      </c>
      <c r="R431">
        <v>1.9</v>
      </c>
      <c r="S431">
        <f t="shared" si="142"/>
        <v>1.9</v>
      </c>
      <c r="T431">
        <v>4.7</v>
      </c>
      <c r="U431">
        <v>7.1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f t="shared" si="143"/>
        <v>11.8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22.1</v>
      </c>
      <c r="AI431">
        <v>3.3</v>
      </c>
      <c r="AJ431">
        <f t="shared" si="130"/>
        <v>25.400000000000002</v>
      </c>
      <c r="AK431">
        <v>0</v>
      </c>
      <c r="AL431">
        <v>0.40899999999999997</v>
      </c>
      <c r="AM431">
        <f t="shared" si="131"/>
        <v>0.58900000000000008</v>
      </c>
      <c r="AN431">
        <v>1235</v>
      </c>
      <c r="AO431" t="s">
        <v>13</v>
      </c>
      <c r="AP431" s="3">
        <f t="shared" ref="AP431:AP494" si="153">AN431/(1-AM431)</f>
        <v>3004.8661800486625</v>
      </c>
      <c r="AQ431" t="s">
        <v>13</v>
      </c>
      <c r="AR431">
        <f t="shared" si="144"/>
        <v>0.43123938879456702</v>
      </c>
      <c r="AS431">
        <f t="shared" si="150"/>
        <v>0.33500000000000002</v>
      </c>
      <c r="AT431">
        <f t="shared" si="151"/>
        <v>1007</v>
      </c>
      <c r="AU431">
        <f t="shared" si="152"/>
        <v>763</v>
      </c>
      <c r="AV431">
        <f t="shared" si="132"/>
        <v>709</v>
      </c>
      <c r="AW431">
        <f t="shared" si="133"/>
        <v>877</v>
      </c>
      <c r="AX431" s="3">
        <f t="shared" si="134"/>
        <v>1418.8661800486625</v>
      </c>
      <c r="AY431">
        <f t="shared" si="135"/>
        <v>503</v>
      </c>
      <c r="AZ431">
        <f t="shared" si="136"/>
        <v>955</v>
      </c>
      <c r="BA431" s="3">
        <f t="shared" si="137"/>
        <v>1546.8661800486625</v>
      </c>
    </row>
    <row r="432" spans="1:53" x14ac:dyDescent="0.2">
      <c r="A432">
        <v>2009</v>
      </c>
      <c r="B432" t="s">
        <v>69</v>
      </c>
      <c r="C432" t="s">
        <v>58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4.0999999999999996</v>
      </c>
      <c r="J432">
        <v>8.1999999999999993</v>
      </c>
      <c r="K432">
        <f t="shared" si="148"/>
        <v>12.299999999999999</v>
      </c>
      <c r="L432">
        <v>0</v>
      </c>
      <c r="M432">
        <v>0</v>
      </c>
      <c r="N432">
        <v>0</v>
      </c>
      <c r="O432">
        <f t="shared" si="149"/>
        <v>0</v>
      </c>
      <c r="P432">
        <v>0</v>
      </c>
      <c r="Q432">
        <v>0</v>
      </c>
      <c r="R432">
        <v>4.5999999999999996</v>
      </c>
      <c r="S432">
        <f t="shared" si="142"/>
        <v>4.5999999999999996</v>
      </c>
      <c r="T432">
        <v>4</v>
      </c>
      <c r="U432">
        <v>4.9000000000000004</v>
      </c>
      <c r="V432">
        <v>0</v>
      </c>
      <c r="W432">
        <v>0</v>
      </c>
      <c r="X432">
        <v>0</v>
      </c>
      <c r="Y432">
        <v>0</v>
      </c>
      <c r="Z432">
        <v>4</v>
      </c>
      <c r="AA432">
        <f t="shared" si="143"/>
        <v>12.9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27</v>
      </c>
      <c r="AI432">
        <v>2.8</v>
      </c>
      <c r="AJ432">
        <f t="shared" si="130"/>
        <v>29.8</v>
      </c>
      <c r="AK432">
        <v>0</v>
      </c>
      <c r="AL432">
        <v>0.40500000000000003</v>
      </c>
      <c r="AM432">
        <f t="shared" si="131"/>
        <v>0.59599999999999997</v>
      </c>
      <c r="AN432">
        <v>1250</v>
      </c>
      <c r="AO432" t="s">
        <v>13</v>
      </c>
      <c r="AP432" s="3">
        <f t="shared" si="153"/>
        <v>3094.0594059405939</v>
      </c>
      <c r="AQ432" t="s">
        <v>13</v>
      </c>
      <c r="AR432">
        <f t="shared" si="144"/>
        <v>0.5</v>
      </c>
      <c r="AS432">
        <f t="shared" si="150"/>
        <v>0.29799999999999999</v>
      </c>
      <c r="AT432">
        <f t="shared" si="151"/>
        <v>922</v>
      </c>
      <c r="AU432">
        <f t="shared" si="152"/>
        <v>922</v>
      </c>
      <c r="AV432">
        <f t="shared" si="132"/>
        <v>732</v>
      </c>
      <c r="AW432">
        <f t="shared" si="133"/>
        <v>1003</v>
      </c>
      <c r="AX432" s="3">
        <f t="shared" si="134"/>
        <v>1359.0594059405939</v>
      </c>
      <c r="AY432">
        <f t="shared" si="135"/>
        <v>461</v>
      </c>
      <c r="AZ432">
        <f t="shared" si="136"/>
        <v>1118</v>
      </c>
      <c r="BA432" s="3">
        <f t="shared" si="137"/>
        <v>1515.0594059405939</v>
      </c>
    </row>
    <row r="433" spans="1:53" x14ac:dyDescent="0.2">
      <c r="A433">
        <v>2010</v>
      </c>
      <c r="B433" t="s">
        <v>69</v>
      </c>
      <c r="C433" t="s">
        <v>58</v>
      </c>
      <c r="D433">
        <v>0.3</v>
      </c>
      <c r="E433">
        <v>0</v>
      </c>
      <c r="F433">
        <v>0</v>
      </c>
      <c r="G433">
        <v>0.2</v>
      </c>
      <c r="H433">
        <v>0</v>
      </c>
      <c r="I433">
        <v>6.6</v>
      </c>
      <c r="J433">
        <v>6.6</v>
      </c>
      <c r="K433">
        <f t="shared" si="148"/>
        <v>13.7</v>
      </c>
      <c r="L433">
        <v>0</v>
      </c>
      <c r="M433">
        <v>0</v>
      </c>
      <c r="N433">
        <v>0</v>
      </c>
      <c r="O433">
        <f t="shared" si="149"/>
        <v>0</v>
      </c>
      <c r="P433">
        <v>0</v>
      </c>
      <c r="Q433">
        <v>0</v>
      </c>
      <c r="R433">
        <v>3.2</v>
      </c>
      <c r="S433">
        <f t="shared" si="142"/>
        <v>3.2</v>
      </c>
      <c r="T433">
        <v>14.8</v>
      </c>
      <c r="U433">
        <v>5</v>
      </c>
      <c r="V433">
        <v>3.7</v>
      </c>
      <c r="W433">
        <v>0</v>
      </c>
      <c r="X433">
        <v>0.2</v>
      </c>
      <c r="Y433">
        <v>0</v>
      </c>
      <c r="Z433">
        <v>0.2</v>
      </c>
      <c r="AA433">
        <f t="shared" si="143"/>
        <v>23.9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26.7</v>
      </c>
      <c r="AI433">
        <v>3.2</v>
      </c>
      <c r="AJ433">
        <f t="shared" si="130"/>
        <v>29.9</v>
      </c>
      <c r="AK433">
        <v>0</v>
      </c>
      <c r="AL433">
        <v>0.29199999999999998</v>
      </c>
      <c r="AM433">
        <f t="shared" si="131"/>
        <v>0.70700000000000007</v>
      </c>
      <c r="AN433">
        <v>1260</v>
      </c>
      <c r="AO433">
        <v>110</v>
      </c>
      <c r="AP433" s="3">
        <f t="shared" si="153"/>
        <v>4300.341296928329</v>
      </c>
      <c r="AQ433" s="3">
        <f t="shared" ref="AQ433:AQ489" si="154">AO433/(1-AM433)</f>
        <v>375.42662116040964</v>
      </c>
      <c r="AR433">
        <f t="shared" si="144"/>
        <v>0.42291371994342286</v>
      </c>
      <c r="AS433">
        <f t="shared" si="150"/>
        <v>0.40799999999999997</v>
      </c>
      <c r="AT433">
        <f t="shared" si="151"/>
        <v>1755</v>
      </c>
      <c r="AU433">
        <f t="shared" si="152"/>
        <v>1286</v>
      </c>
      <c r="AV433">
        <f t="shared" si="132"/>
        <v>1460</v>
      </c>
      <c r="AW433">
        <f t="shared" si="133"/>
        <v>1435</v>
      </c>
      <c r="AX433" s="3">
        <f t="shared" si="134"/>
        <v>1405.341296928329</v>
      </c>
      <c r="AY433">
        <f t="shared" si="135"/>
        <v>877</v>
      </c>
      <c r="AZ433">
        <f t="shared" si="136"/>
        <v>1730</v>
      </c>
      <c r="BA433" s="3">
        <f t="shared" si="137"/>
        <v>1693.341296928329</v>
      </c>
    </row>
    <row r="434" spans="1:53" x14ac:dyDescent="0.2">
      <c r="A434">
        <v>2011</v>
      </c>
      <c r="B434" t="s">
        <v>69</v>
      </c>
      <c r="C434" t="s">
        <v>58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9.4</v>
      </c>
      <c r="J434">
        <v>6.8</v>
      </c>
      <c r="K434">
        <f t="shared" si="148"/>
        <v>16.2</v>
      </c>
      <c r="L434">
        <v>0</v>
      </c>
      <c r="M434">
        <v>0</v>
      </c>
      <c r="N434">
        <v>1.4</v>
      </c>
      <c r="O434">
        <f t="shared" si="149"/>
        <v>1.4</v>
      </c>
      <c r="P434">
        <v>0</v>
      </c>
      <c r="Q434">
        <v>0</v>
      </c>
      <c r="R434">
        <v>0.6</v>
      </c>
      <c r="S434">
        <f t="shared" si="142"/>
        <v>0.6</v>
      </c>
      <c r="T434">
        <v>4.8</v>
      </c>
      <c r="U434">
        <v>7.2</v>
      </c>
      <c r="V434">
        <v>2.2999999999999998</v>
      </c>
      <c r="W434">
        <v>0.4</v>
      </c>
      <c r="X434">
        <v>2.2999999999999998</v>
      </c>
      <c r="Y434">
        <v>0</v>
      </c>
      <c r="Z434">
        <v>1.1000000000000001</v>
      </c>
      <c r="AA434">
        <f t="shared" si="143"/>
        <v>18.100000000000001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17.7</v>
      </c>
      <c r="AI434">
        <v>3.2</v>
      </c>
      <c r="AJ434">
        <f t="shared" si="130"/>
        <v>20.9</v>
      </c>
      <c r="AK434">
        <v>0</v>
      </c>
      <c r="AL434">
        <v>0.43</v>
      </c>
      <c r="AM434">
        <f t="shared" si="131"/>
        <v>0.57199999999999984</v>
      </c>
      <c r="AN434">
        <v>1083</v>
      </c>
      <c r="AO434">
        <v>42</v>
      </c>
      <c r="AP434" s="3">
        <f t="shared" si="153"/>
        <v>2530.3738317757002</v>
      </c>
      <c r="AQ434" s="3">
        <f t="shared" si="154"/>
        <v>98.130841121495294</v>
      </c>
      <c r="AR434">
        <f t="shared" si="144"/>
        <v>0.36538461538461547</v>
      </c>
      <c r="AS434">
        <f t="shared" si="150"/>
        <v>0.36299999999999999</v>
      </c>
      <c r="AT434">
        <f t="shared" si="151"/>
        <v>919</v>
      </c>
      <c r="AU434">
        <f t="shared" si="152"/>
        <v>529</v>
      </c>
      <c r="AV434">
        <f t="shared" si="132"/>
        <v>714</v>
      </c>
      <c r="AW434">
        <f t="shared" si="133"/>
        <v>596</v>
      </c>
      <c r="AX434" s="3">
        <f t="shared" si="134"/>
        <v>1220.3738317757002</v>
      </c>
      <c r="AY434">
        <f t="shared" si="135"/>
        <v>459</v>
      </c>
      <c r="AZ434">
        <f t="shared" si="136"/>
        <v>680</v>
      </c>
      <c r="BA434" s="3">
        <f t="shared" si="137"/>
        <v>1391.3738317757002</v>
      </c>
    </row>
    <row r="435" spans="1:53" x14ac:dyDescent="0.2">
      <c r="A435">
        <v>2012</v>
      </c>
      <c r="B435" t="s">
        <v>69</v>
      </c>
      <c r="C435" t="s">
        <v>58</v>
      </c>
      <c r="D435">
        <v>0</v>
      </c>
      <c r="E435">
        <v>0</v>
      </c>
      <c r="F435">
        <v>0</v>
      </c>
      <c r="G435">
        <v>0.5</v>
      </c>
      <c r="H435">
        <v>0</v>
      </c>
      <c r="I435">
        <v>3</v>
      </c>
      <c r="J435">
        <v>8.9</v>
      </c>
      <c r="K435">
        <f t="shared" si="148"/>
        <v>12.4</v>
      </c>
      <c r="L435">
        <v>0</v>
      </c>
      <c r="M435">
        <v>0</v>
      </c>
      <c r="N435">
        <v>0</v>
      </c>
      <c r="O435">
        <f t="shared" si="149"/>
        <v>0</v>
      </c>
      <c r="P435">
        <v>0</v>
      </c>
      <c r="Q435">
        <v>0</v>
      </c>
      <c r="R435">
        <v>1.4</v>
      </c>
      <c r="S435">
        <f t="shared" si="142"/>
        <v>1.4</v>
      </c>
      <c r="T435">
        <v>9.4</v>
      </c>
      <c r="U435">
        <v>9.6</v>
      </c>
      <c r="V435">
        <v>6.9</v>
      </c>
      <c r="W435">
        <v>1.6</v>
      </c>
      <c r="X435">
        <v>0.3</v>
      </c>
      <c r="Y435">
        <v>0</v>
      </c>
      <c r="Z435">
        <v>1.1000000000000001</v>
      </c>
      <c r="AA435">
        <f t="shared" si="143"/>
        <v>28.900000000000002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16.3</v>
      </c>
      <c r="AI435">
        <v>2.9</v>
      </c>
      <c r="AJ435">
        <f t="shared" si="130"/>
        <v>19.2</v>
      </c>
      <c r="AK435">
        <v>0</v>
      </c>
      <c r="AL435">
        <v>0.38200000000000001</v>
      </c>
      <c r="AM435">
        <f t="shared" si="131"/>
        <v>0.61899999999999999</v>
      </c>
      <c r="AN435">
        <v>206</v>
      </c>
      <c r="AO435">
        <v>53</v>
      </c>
      <c r="AP435" s="3">
        <f t="shared" si="153"/>
        <v>540.68241469816269</v>
      </c>
      <c r="AQ435" s="3">
        <f t="shared" si="154"/>
        <v>139.10761154855643</v>
      </c>
      <c r="AR435">
        <f t="shared" si="144"/>
        <v>0.31017770597738287</v>
      </c>
      <c r="AS435">
        <f t="shared" si="150"/>
        <v>0.42700000000000005</v>
      </c>
      <c r="AT435">
        <f t="shared" si="151"/>
        <v>231</v>
      </c>
      <c r="AU435">
        <f t="shared" si="152"/>
        <v>104</v>
      </c>
      <c r="AV435">
        <f t="shared" si="132"/>
        <v>197</v>
      </c>
      <c r="AW435">
        <f t="shared" si="133"/>
        <v>115</v>
      </c>
      <c r="AX435" s="3">
        <f t="shared" si="134"/>
        <v>228.68241469816269</v>
      </c>
      <c r="AY435">
        <f t="shared" si="135"/>
        <v>115</v>
      </c>
      <c r="AZ435">
        <f t="shared" si="136"/>
        <v>143</v>
      </c>
      <c r="BA435" s="3">
        <f t="shared" si="137"/>
        <v>282.68241469816269</v>
      </c>
    </row>
    <row r="436" spans="1:53" x14ac:dyDescent="0.2">
      <c r="A436">
        <v>2013</v>
      </c>
      <c r="B436" t="s">
        <v>69</v>
      </c>
      <c r="C436" t="s">
        <v>58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2.4</v>
      </c>
      <c r="J436">
        <v>3.6</v>
      </c>
      <c r="K436">
        <f t="shared" si="148"/>
        <v>6</v>
      </c>
      <c r="L436">
        <v>0</v>
      </c>
      <c r="M436">
        <v>0</v>
      </c>
      <c r="N436">
        <v>0.6</v>
      </c>
      <c r="O436">
        <f t="shared" si="149"/>
        <v>0.6</v>
      </c>
      <c r="P436">
        <v>0</v>
      </c>
      <c r="Q436">
        <v>0</v>
      </c>
      <c r="R436">
        <v>3.6</v>
      </c>
      <c r="S436">
        <f t="shared" si="142"/>
        <v>3.6</v>
      </c>
      <c r="T436">
        <v>6.9</v>
      </c>
      <c r="U436">
        <v>5</v>
      </c>
      <c r="V436">
        <v>2.2000000000000002</v>
      </c>
      <c r="W436">
        <v>0</v>
      </c>
      <c r="X436">
        <v>0</v>
      </c>
      <c r="Y436">
        <v>0</v>
      </c>
      <c r="Z436">
        <v>7.8</v>
      </c>
      <c r="AA436">
        <f t="shared" si="143"/>
        <v>21.900000000000002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16.2</v>
      </c>
      <c r="AI436">
        <v>2.6</v>
      </c>
      <c r="AJ436">
        <f t="shared" si="130"/>
        <v>18.8</v>
      </c>
      <c r="AK436">
        <v>0</v>
      </c>
      <c r="AL436">
        <v>0.49200000000000005</v>
      </c>
      <c r="AM436">
        <f t="shared" si="131"/>
        <v>0.50900000000000001</v>
      </c>
      <c r="AN436">
        <v>448</v>
      </c>
      <c r="AO436">
        <v>57</v>
      </c>
      <c r="AP436" s="3">
        <f t="shared" si="153"/>
        <v>912.42362525458248</v>
      </c>
      <c r="AQ436" s="3">
        <f t="shared" si="154"/>
        <v>116.08961303462323</v>
      </c>
      <c r="AR436">
        <f t="shared" si="144"/>
        <v>0.36935166994106089</v>
      </c>
      <c r="AS436">
        <f t="shared" si="150"/>
        <v>0.32100000000000001</v>
      </c>
      <c r="AT436">
        <f t="shared" si="151"/>
        <v>293</v>
      </c>
      <c r="AU436">
        <f t="shared" si="152"/>
        <v>172</v>
      </c>
      <c r="AV436">
        <f t="shared" si="132"/>
        <v>266</v>
      </c>
      <c r="AW436">
        <f t="shared" si="133"/>
        <v>179</v>
      </c>
      <c r="AX436" s="3">
        <f t="shared" si="134"/>
        <v>467.42362525458248</v>
      </c>
      <c r="AY436">
        <f t="shared" si="135"/>
        <v>146</v>
      </c>
      <c r="AZ436">
        <f t="shared" si="136"/>
        <v>213</v>
      </c>
      <c r="BA436" s="3">
        <f t="shared" si="137"/>
        <v>553.42362525458248</v>
      </c>
    </row>
    <row r="437" spans="1:53" x14ac:dyDescent="0.2">
      <c r="A437">
        <v>2014</v>
      </c>
      <c r="B437" t="s">
        <v>69</v>
      </c>
      <c r="C437" t="s">
        <v>58</v>
      </c>
      <c r="D437">
        <v>0</v>
      </c>
      <c r="E437">
        <v>0.1</v>
      </c>
      <c r="F437">
        <v>0.1</v>
      </c>
      <c r="G437">
        <v>0</v>
      </c>
      <c r="H437">
        <v>0</v>
      </c>
      <c r="I437">
        <v>6.2</v>
      </c>
      <c r="J437">
        <v>2.8</v>
      </c>
      <c r="K437">
        <f t="shared" si="148"/>
        <v>9.1999999999999993</v>
      </c>
      <c r="L437">
        <v>0</v>
      </c>
      <c r="M437">
        <v>0</v>
      </c>
      <c r="N437">
        <v>0</v>
      </c>
      <c r="O437">
        <f t="shared" si="149"/>
        <v>0</v>
      </c>
      <c r="P437">
        <v>0.1</v>
      </c>
      <c r="Q437">
        <v>0</v>
      </c>
      <c r="R437">
        <v>3</v>
      </c>
      <c r="S437">
        <f t="shared" si="142"/>
        <v>3.1</v>
      </c>
      <c r="T437">
        <v>15.8</v>
      </c>
      <c r="U437">
        <v>12.2</v>
      </c>
      <c r="V437">
        <v>8.1</v>
      </c>
      <c r="W437">
        <v>1</v>
      </c>
      <c r="X437">
        <v>0.4</v>
      </c>
      <c r="Y437">
        <v>0</v>
      </c>
      <c r="Z437">
        <v>0.5</v>
      </c>
      <c r="AA437">
        <f t="shared" si="143"/>
        <v>38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15.8</v>
      </c>
      <c r="AI437">
        <v>2.8</v>
      </c>
      <c r="AJ437">
        <f t="shared" si="130"/>
        <v>18.600000000000001</v>
      </c>
      <c r="AK437">
        <v>0</v>
      </c>
      <c r="AL437">
        <v>0.31</v>
      </c>
      <c r="AM437">
        <f t="shared" si="131"/>
        <v>0.68900000000000006</v>
      </c>
      <c r="AN437">
        <v>680</v>
      </c>
      <c r="AO437">
        <v>122</v>
      </c>
      <c r="AP437" s="3">
        <f t="shared" si="153"/>
        <v>2186.495176848875</v>
      </c>
      <c r="AQ437" s="3">
        <f t="shared" si="154"/>
        <v>392.28295819935698</v>
      </c>
      <c r="AR437">
        <f t="shared" si="144"/>
        <v>0.26995645863570394</v>
      </c>
      <c r="AS437">
        <f t="shared" si="150"/>
        <v>0.503</v>
      </c>
      <c r="AT437">
        <f t="shared" si="151"/>
        <v>1100</v>
      </c>
      <c r="AU437">
        <f t="shared" si="152"/>
        <v>407</v>
      </c>
      <c r="AV437">
        <f t="shared" si="132"/>
        <v>999</v>
      </c>
      <c r="AW437">
        <f t="shared" si="133"/>
        <v>445</v>
      </c>
      <c r="AX437" s="3">
        <f t="shared" si="134"/>
        <v>742.49517684887496</v>
      </c>
      <c r="AY437">
        <f t="shared" si="135"/>
        <v>550</v>
      </c>
      <c r="AZ437">
        <f t="shared" si="136"/>
        <v>613</v>
      </c>
      <c r="BA437" s="3">
        <f t="shared" si="137"/>
        <v>1023.495176848875</v>
      </c>
    </row>
    <row r="438" spans="1:53" x14ac:dyDescent="0.2">
      <c r="A438">
        <v>2015</v>
      </c>
      <c r="B438" t="s">
        <v>69</v>
      </c>
      <c r="C438" t="s">
        <v>58</v>
      </c>
      <c r="D438">
        <v>0.4</v>
      </c>
      <c r="E438">
        <v>0</v>
      </c>
      <c r="F438">
        <v>0</v>
      </c>
      <c r="G438">
        <v>0.2</v>
      </c>
      <c r="H438">
        <v>0.6</v>
      </c>
      <c r="I438">
        <v>5.2</v>
      </c>
      <c r="J438">
        <v>2.1</v>
      </c>
      <c r="K438">
        <f t="shared" si="148"/>
        <v>8.5</v>
      </c>
      <c r="L438">
        <v>0</v>
      </c>
      <c r="M438">
        <v>0</v>
      </c>
      <c r="N438">
        <v>0</v>
      </c>
      <c r="O438">
        <f t="shared" si="149"/>
        <v>0</v>
      </c>
      <c r="P438">
        <v>0</v>
      </c>
      <c r="Q438">
        <v>0</v>
      </c>
      <c r="R438">
        <v>2.4</v>
      </c>
      <c r="S438">
        <f t="shared" si="142"/>
        <v>2.4</v>
      </c>
      <c r="T438">
        <v>17.2</v>
      </c>
      <c r="U438">
        <v>8.9</v>
      </c>
      <c r="V438">
        <v>5.7</v>
      </c>
      <c r="W438">
        <v>0.2</v>
      </c>
      <c r="X438">
        <v>0</v>
      </c>
      <c r="Y438">
        <v>0</v>
      </c>
      <c r="Z438">
        <v>1.2</v>
      </c>
      <c r="AA438">
        <f t="shared" si="143"/>
        <v>33.200000000000003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11.6</v>
      </c>
      <c r="AI438">
        <v>2</v>
      </c>
      <c r="AJ438">
        <f t="shared" si="130"/>
        <v>13.6</v>
      </c>
      <c r="AK438">
        <v>0</v>
      </c>
      <c r="AL438">
        <v>0.42299999999999999</v>
      </c>
      <c r="AM438">
        <f t="shared" si="131"/>
        <v>0.57700000000000007</v>
      </c>
      <c r="AN438">
        <v>989</v>
      </c>
      <c r="AO438">
        <v>162</v>
      </c>
      <c r="AP438" s="3">
        <f t="shared" si="153"/>
        <v>2338.0614657210403</v>
      </c>
      <c r="AQ438" s="3">
        <f t="shared" si="154"/>
        <v>382.97872340425539</v>
      </c>
      <c r="AR438">
        <f t="shared" si="144"/>
        <v>0.23570190641247832</v>
      </c>
      <c r="AS438">
        <f t="shared" si="150"/>
        <v>0.441</v>
      </c>
      <c r="AT438">
        <f t="shared" si="151"/>
        <v>1031</v>
      </c>
      <c r="AU438">
        <f t="shared" si="152"/>
        <v>318</v>
      </c>
      <c r="AV438">
        <f t="shared" si="132"/>
        <v>932</v>
      </c>
      <c r="AW438">
        <f t="shared" si="133"/>
        <v>342</v>
      </c>
      <c r="AX438" s="3">
        <f t="shared" si="134"/>
        <v>1064.0614657210403</v>
      </c>
      <c r="AY438">
        <f t="shared" si="135"/>
        <v>516</v>
      </c>
      <c r="AZ438">
        <f t="shared" si="136"/>
        <v>443</v>
      </c>
      <c r="BA438" s="3">
        <f t="shared" si="137"/>
        <v>1379.0614657210403</v>
      </c>
    </row>
    <row r="439" spans="1:53" x14ac:dyDescent="0.2">
      <c r="A439">
        <v>2016</v>
      </c>
      <c r="B439" t="s">
        <v>69</v>
      </c>
      <c r="C439" t="s">
        <v>58</v>
      </c>
      <c r="D439">
        <v>0.8</v>
      </c>
      <c r="E439">
        <v>0</v>
      </c>
      <c r="F439">
        <v>0</v>
      </c>
      <c r="G439">
        <v>0</v>
      </c>
      <c r="H439">
        <v>0</v>
      </c>
      <c r="I439">
        <v>8.6999999999999993</v>
      </c>
      <c r="J439">
        <v>12</v>
      </c>
      <c r="K439">
        <f t="shared" si="148"/>
        <v>21.5</v>
      </c>
      <c r="L439">
        <v>0</v>
      </c>
      <c r="M439">
        <v>0</v>
      </c>
      <c r="N439">
        <v>0</v>
      </c>
      <c r="O439">
        <f t="shared" si="149"/>
        <v>0</v>
      </c>
      <c r="P439">
        <v>0</v>
      </c>
      <c r="Q439">
        <v>0</v>
      </c>
      <c r="R439">
        <v>0.6</v>
      </c>
      <c r="S439">
        <f t="shared" si="142"/>
        <v>0.6</v>
      </c>
      <c r="T439">
        <v>5.2</v>
      </c>
      <c r="U439">
        <v>6.7</v>
      </c>
      <c r="V439">
        <v>1.5</v>
      </c>
      <c r="W439">
        <v>0</v>
      </c>
      <c r="X439">
        <v>0</v>
      </c>
      <c r="Y439">
        <v>0</v>
      </c>
      <c r="Z439">
        <v>0.6</v>
      </c>
      <c r="AA439">
        <f t="shared" si="143"/>
        <v>14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13.9</v>
      </c>
      <c r="AI439">
        <v>6.5</v>
      </c>
      <c r="AJ439">
        <f t="shared" si="130"/>
        <v>20.399999999999999</v>
      </c>
      <c r="AK439">
        <v>0</v>
      </c>
      <c r="AL439">
        <v>0.435</v>
      </c>
      <c r="AM439">
        <f t="shared" si="131"/>
        <v>0.56499999999999995</v>
      </c>
      <c r="AN439">
        <v>368</v>
      </c>
      <c r="AO439">
        <v>64</v>
      </c>
      <c r="AP439" s="3">
        <f t="shared" si="153"/>
        <v>845.97701149425279</v>
      </c>
      <c r="AQ439" s="3">
        <f t="shared" si="154"/>
        <v>147.12643678160919</v>
      </c>
      <c r="AR439">
        <f t="shared" si="144"/>
        <v>0.36106194690265486</v>
      </c>
      <c r="AS439">
        <f t="shared" si="150"/>
        <v>0.36099999999999999</v>
      </c>
      <c r="AT439">
        <f t="shared" si="151"/>
        <v>305</v>
      </c>
      <c r="AU439">
        <f t="shared" si="152"/>
        <v>173</v>
      </c>
      <c r="AV439">
        <f t="shared" si="132"/>
        <v>214</v>
      </c>
      <c r="AW439">
        <f t="shared" si="133"/>
        <v>202</v>
      </c>
      <c r="AX439" s="3">
        <f t="shared" si="134"/>
        <v>429.97701149425279</v>
      </c>
      <c r="AY439">
        <f t="shared" si="135"/>
        <v>153</v>
      </c>
      <c r="AZ439">
        <f t="shared" si="136"/>
        <v>222</v>
      </c>
      <c r="BA439" s="3">
        <f t="shared" si="137"/>
        <v>470.97701149425279</v>
      </c>
    </row>
    <row r="440" spans="1:53" x14ac:dyDescent="0.2">
      <c r="A440">
        <v>2017</v>
      </c>
      <c r="B440" t="s">
        <v>69</v>
      </c>
      <c r="C440" t="s">
        <v>58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8.6999999999999993</v>
      </c>
      <c r="J440">
        <v>10.9</v>
      </c>
      <c r="K440">
        <f t="shared" si="148"/>
        <v>19.600000000000001</v>
      </c>
      <c r="L440">
        <v>0</v>
      </c>
      <c r="M440">
        <v>0</v>
      </c>
      <c r="N440">
        <v>0</v>
      </c>
      <c r="O440">
        <f t="shared" si="149"/>
        <v>0</v>
      </c>
      <c r="P440">
        <v>0</v>
      </c>
      <c r="Q440">
        <v>0</v>
      </c>
      <c r="R440">
        <v>1.6</v>
      </c>
      <c r="S440">
        <f t="shared" si="142"/>
        <v>1.6</v>
      </c>
      <c r="T440">
        <v>22.2</v>
      </c>
      <c r="U440">
        <v>10.9</v>
      </c>
      <c r="V440">
        <v>2.1</v>
      </c>
      <c r="W440">
        <v>0.5</v>
      </c>
      <c r="X440">
        <v>0</v>
      </c>
      <c r="Y440">
        <v>0</v>
      </c>
      <c r="Z440">
        <v>0</v>
      </c>
      <c r="AA440">
        <f t="shared" si="143"/>
        <v>35.700000000000003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9.3000000000000007</v>
      </c>
      <c r="AI440">
        <v>5.8</v>
      </c>
      <c r="AJ440">
        <f t="shared" si="130"/>
        <v>15.100000000000001</v>
      </c>
      <c r="AK440">
        <v>0</v>
      </c>
      <c r="AL440">
        <v>0.28000000000000003</v>
      </c>
      <c r="AM440">
        <f t="shared" si="131"/>
        <v>0.72</v>
      </c>
      <c r="AN440">
        <v>114</v>
      </c>
      <c r="AO440">
        <v>68</v>
      </c>
      <c r="AP440" s="3">
        <f t="shared" si="153"/>
        <v>407.14285714285711</v>
      </c>
      <c r="AQ440" s="3">
        <f t="shared" si="154"/>
        <v>242.85714285714283</v>
      </c>
      <c r="AR440">
        <f t="shared" si="144"/>
        <v>0.20972222222222225</v>
      </c>
      <c r="AS440">
        <f t="shared" si="150"/>
        <v>0.56900000000000006</v>
      </c>
      <c r="AT440">
        <f t="shared" si="151"/>
        <v>232</v>
      </c>
      <c r="AU440">
        <f t="shared" si="152"/>
        <v>61</v>
      </c>
      <c r="AV440">
        <f t="shared" si="132"/>
        <v>192</v>
      </c>
      <c r="AW440">
        <f t="shared" si="133"/>
        <v>75</v>
      </c>
      <c r="AX440" s="3">
        <f t="shared" si="134"/>
        <v>140.14285714285711</v>
      </c>
      <c r="AY440">
        <f t="shared" si="135"/>
        <v>116</v>
      </c>
      <c r="AZ440">
        <f t="shared" si="136"/>
        <v>101</v>
      </c>
      <c r="BA440" s="3">
        <f t="shared" si="137"/>
        <v>190.14285714285711</v>
      </c>
    </row>
    <row r="441" spans="1:53" x14ac:dyDescent="0.2">
      <c r="A441">
        <v>2018</v>
      </c>
      <c r="B441" t="s">
        <v>69</v>
      </c>
      <c r="C441" t="s">
        <v>58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6.6</v>
      </c>
      <c r="J441">
        <v>5.5</v>
      </c>
      <c r="K441">
        <f t="shared" si="148"/>
        <v>12.1</v>
      </c>
      <c r="L441">
        <v>0</v>
      </c>
      <c r="M441">
        <v>0</v>
      </c>
      <c r="N441">
        <v>0</v>
      </c>
      <c r="O441">
        <f t="shared" si="149"/>
        <v>0</v>
      </c>
      <c r="P441">
        <v>0</v>
      </c>
      <c r="Q441">
        <v>0</v>
      </c>
      <c r="R441">
        <v>5.6</v>
      </c>
      <c r="S441">
        <f t="shared" si="142"/>
        <v>5.6</v>
      </c>
      <c r="T441">
        <v>18.100000000000001</v>
      </c>
      <c r="U441">
        <v>7.2</v>
      </c>
      <c r="V441">
        <v>6.9</v>
      </c>
      <c r="W441">
        <v>0.7</v>
      </c>
      <c r="X441">
        <v>0</v>
      </c>
      <c r="Y441">
        <v>0.3</v>
      </c>
      <c r="Z441">
        <v>1.1000000000000001</v>
      </c>
      <c r="AA441">
        <f t="shared" si="143"/>
        <v>34.300000000000004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9.6999999999999993</v>
      </c>
      <c r="AI441">
        <v>8.6</v>
      </c>
      <c r="AJ441">
        <f t="shared" si="130"/>
        <v>18.299999999999997</v>
      </c>
      <c r="AK441">
        <v>0.2</v>
      </c>
      <c r="AL441">
        <v>0.29299999999999998</v>
      </c>
      <c r="AM441">
        <f t="shared" si="131"/>
        <v>0.70299999999999996</v>
      </c>
      <c r="AN441">
        <v>77</v>
      </c>
      <c r="AO441">
        <v>21</v>
      </c>
      <c r="AP441" s="3">
        <f t="shared" si="153"/>
        <v>259.25925925925924</v>
      </c>
      <c r="AQ441" s="3">
        <f t="shared" si="154"/>
        <v>70.707070707070699</v>
      </c>
      <c r="AR441">
        <f t="shared" si="144"/>
        <v>0.26031294452347081</v>
      </c>
      <c r="AS441">
        <f t="shared" si="150"/>
        <v>0.52</v>
      </c>
      <c r="AT441">
        <f t="shared" si="151"/>
        <v>135</v>
      </c>
      <c r="AU441">
        <f t="shared" si="152"/>
        <v>47</v>
      </c>
      <c r="AV441">
        <f t="shared" si="132"/>
        <v>119</v>
      </c>
      <c r="AW441">
        <f t="shared" si="133"/>
        <v>53</v>
      </c>
      <c r="AX441" s="3">
        <f t="shared" si="134"/>
        <v>87.259259259259238</v>
      </c>
      <c r="AY441">
        <f t="shared" si="135"/>
        <v>67</v>
      </c>
      <c r="AZ441">
        <f t="shared" si="136"/>
        <v>73</v>
      </c>
      <c r="BA441" s="3">
        <f t="shared" si="137"/>
        <v>119.25925925925924</v>
      </c>
    </row>
    <row r="442" spans="1:53" x14ac:dyDescent="0.2">
      <c r="A442">
        <v>2019</v>
      </c>
      <c r="B442" t="s">
        <v>69</v>
      </c>
      <c r="C442" t="s">
        <v>58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2.6</v>
      </c>
      <c r="J442">
        <v>10.199999999999999</v>
      </c>
      <c r="K442">
        <f t="shared" si="148"/>
        <v>12.799999999999999</v>
      </c>
      <c r="L442">
        <v>0</v>
      </c>
      <c r="M442">
        <v>0</v>
      </c>
      <c r="N442">
        <v>0</v>
      </c>
      <c r="O442">
        <f t="shared" si="149"/>
        <v>0</v>
      </c>
      <c r="P442">
        <v>0</v>
      </c>
      <c r="Q442">
        <v>0</v>
      </c>
      <c r="R442">
        <v>5.5</v>
      </c>
      <c r="S442">
        <f t="shared" si="142"/>
        <v>5.5</v>
      </c>
      <c r="T442">
        <v>6.9</v>
      </c>
      <c r="U442">
        <v>5.5</v>
      </c>
      <c r="V442">
        <v>3.8</v>
      </c>
      <c r="W442">
        <v>1.6</v>
      </c>
      <c r="X442">
        <v>0</v>
      </c>
      <c r="Y442">
        <v>0</v>
      </c>
      <c r="Z442">
        <v>2.7</v>
      </c>
      <c r="AA442">
        <f t="shared" si="143"/>
        <v>20.5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15.5</v>
      </c>
      <c r="AI442">
        <v>6.4</v>
      </c>
      <c r="AJ442">
        <f t="shared" si="130"/>
        <v>21.9</v>
      </c>
      <c r="AK442">
        <v>0</v>
      </c>
      <c r="AL442">
        <v>0.39200000000000002</v>
      </c>
      <c r="AM442">
        <f t="shared" si="131"/>
        <v>0.60699999999999998</v>
      </c>
      <c r="AN442">
        <v>64</v>
      </c>
      <c r="AO442">
        <v>26</v>
      </c>
      <c r="AP442" s="3">
        <f t="shared" si="153"/>
        <v>162.8498727735369</v>
      </c>
      <c r="AQ442" s="3">
        <f t="shared" si="154"/>
        <v>66.157760814249357</v>
      </c>
      <c r="AR442">
        <f t="shared" si="144"/>
        <v>0.36079077429983519</v>
      </c>
      <c r="AS442">
        <f t="shared" si="150"/>
        <v>0.38799999999999996</v>
      </c>
      <c r="AT442">
        <f t="shared" si="151"/>
        <v>63</v>
      </c>
      <c r="AU442">
        <f t="shared" si="152"/>
        <v>36</v>
      </c>
      <c r="AV442">
        <f t="shared" si="132"/>
        <v>53</v>
      </c>
      <c r="AW442">
        <f t="shared" si="133"/>
        <v>40</v>
      </c>
      <c r="AX442" s="3">
        <f t="shared" si="134"/>
        <v>69.849872773536902</v>
      </c>
      <c r="AY442">
        <f t="shared" si="135"/>
        <v>32</v>
      </c>
      <c r="AZ442">
        <f t="shared" si="136"/>
        <v>47</v>
      </c>
      <c r="BA442" s="3">
        <f t="shared" si="137"/>
        <v>83.849872773536902</v>
      </c>
    </row>
    <row r="443" spans="1:53" x14ac:dyDescent="0.2">
      <c r="A443">
        <v>2020</v>
      </c>
      <c r="B443" t="s">
        <v>69</v>
      </c>
      <c r="C443" t="s">
        <v>58</v>
      </c>
      <c r="D443">
        <v>0.4</v>
      </c>
      <c r="E443">
        <v>0.4</v>
      </c>
      <c r="F443">
        <v>0</v>
      </c>
      <c r="G443">
        <v>0</v>
      </c>
      <c r="H443">
        <v>0</v>
      </c>
      <c r="I443">
        <v>1.4</v>
      </c>
      <c r="J443">
        <v>1.3</v>
      </c>
      <c r="K443">
        <f t="shared" si="148"/>
        <v>3.5</v>
      </c>
      <c r="L443">
        <v>0</v>
      </c>
      <c r="M443">
        <v>0</v>
      </c>
      <c r="N443">
        <v>0</v>
      </c>
      <c r="O443">
        <f t="shared" si="149"/>
        <v>0</v>
      </c>
      <c r="P443">
        <v>0</v>
      </c>
      <c r="Q443">
        <v>0</v>
      </c>
      <c r="R443">
        <v>0</v>
      </c>
      <c r="S443">
        <f t="shared" si="142"/>
        <v>0</v>
      </c>
      <c r="T443">
        <v>3.8</v>
      </c>
      <c r="U443">
        <v>3.7</v>
      </c>
      <c r="V443">
        <v>0.5</v>
      </c>
      <c r="W443">
        <v>1.7</v>
      </c>
      <c r="X443">
        <v>0</v>
      </c>
      <c r="Y443">
        <v>0</v>
      </c>
      <c r="Z443">
        <v>6.6</v>
      </c>
      <c r="AA443">
        <f t="shared" si="143"/>
        <v>16.299999999999997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16.5</v>
      </c>
      <c r="AI443">
        <v>5</v>
      </c>
      <c r="AJ443">
        <f t="shared" si="130"/>
        <v>21.5</v>
      </c>
      <c r="AK443">
        <v>0</v>
      </c>
      <c r="AL443">
        <v>0.58599999999999997</v>
      </c>
      <c r="AM443">
        <f t="shared" si="131"/>
        <v>0.41299999999999992</v>
      </c>
      <c r="AN443">
        <v>109</v>
      </c>
      <c r="AO443">
        <v>49</v>
      </c>
      <c r="AP443" s="3">
        <f t="shared" si="153"/>
        <v>185.68994889267458</v>
      </c>
      <c r="AQ443" s="3">
        <f t="shared" si="154"/>
        <v>83.475298126064729</v>
      </c>
      <c r="AR443">
        <f t="shared" si="144"/>
        <v>0.52058111380145289</v>
      </c>
      <c r="AS443">
        <f t="shared" si="150"/>
        <v>0.19799999999999998</v>
      </c>
      <c r="AT443">
        <f t="shared" si="151"/>
        <v>37</v>
      </c>
      <c r="AU443">
        <f t="shared" si="152"/>
        <v>40</v>
      </c>
      <c r="AV443">
        <f t="shared" si="132"/>
        <v>34</v>
      </c>
      <c r="AW443">
        <f t="shared" si="133"/>
        <v>41</v>
      </c>
      <c r="AX443" s="3">
        <f t="shared" si="134"/>
        <v>110.68994889267458</v>
      </c>
      <c r="AY443">
        <f t="shared" si="135"/>
        <v>18</v>
      </c>
      <c r="AZ443">
        <f t="shared" si="136"/>
        <v>45</v>
      </c>
      <c r="BA443" s="3">
        <f t="shared" si="137"/>
        <v>122.68994889267458</v>
      </c>
    </row>
    <row r="444" spans="1:53" x14ac:dyDescent="0.2">
      <c r="A444">
        <v>2021</v>
      </c>
      <c r="B444" t="s">
        <v>69</v>
      </c>
      <c r="C444" t="s">
        <v>58</v>
      </c>
      <c r="D444">
        <v>0.4</v>
      </c>
      <c r="E444">
        <v>0.4</v>
      </c>
      <c r="F444">
        <v>0.6</v>
      </c>
      <c r="G444">
        <v>0.2</v>
      </c>
      <c r="H444">
        <v>0.6</v>
      </c>
      <c r="I444">
        <v>3.1</v>
      </c>
      <c r="J444">
        <v>2</v>
      </c>
      <c r="K444">
        <f t="shared" si="148"/>
        <v>7.3</v>
      </c>
      <c r="L444">
        <v>0</v>
      </c>
      <c r="M444">
        <v>0</v>
      </c>
      <c r="N444">
        <v>0.4</v>
      </c>
      <c r="O444">
        <f t="shared" si="149"/>
        <v>0.4</v>
      </c>
      <c r="P444">
        <v>0</v>
      </c>
      <c r="Q444">
        <v>0</v>
      </c>
      <c r="R444">
        <v>1.5</v>
      </c>
      <c r="S444">
        <f t="shared" si="142"/>
        <v>1.5</v>
      </c>
      <c r="T444">
        <v>9.8000000000000007</v>
      </c>
      <c r="U444">
        <v>4</v>
      </c>
      <c r="V444">
        <v>4.0999999999999996</v>
      </c>
      <c r="W444">
        <v>1.2</v>
      </c>
      <c r="X444">
        <v>0</v>
      </c>
      <c r="Y444">
        <v>0</v>
      </c>
      <c r="Z444">
        <v>1</v>
      </c>
      <c r="AA444">
        <f t="shared" si="143"/>
        <v>20.099999999999998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9</v>
      </c>
      <c r="AI444">
        <v>6.4</v>
      </c>
      <c r="AJ444">
        <f t="shared" si="130"/>
        <v>15.4</v>
      </c>
      <c r="AK444">
        <v>0</v>
      </c>
      <c r="AL444">
        <v>0.55399999999999994</v>
      </c>
      <c r="AM444">
        <f t="shared" si="131"/>
        <v>0.44700000000000012</v>
      </c>
      <c r="AN444">
        <v>119</v>
      </c>
      <c r="AO444">
        <v>68</v>
      </c>
      <c r="AP444" s="3">
        <f t="shared" si="153"/>
        <v>215.18987341772154</v>
      </c>
      <c r="AQ444" s="3">
        <f t="shared" si="154"/>
        <v>122.96564195298374</v>
      </c>
      <c r="AR444">
        <f t="shared" si="144"/>
        <v>0.34451901565995519</v>
      </c>
      <c r="AS444">
        <f t="shared" si="150"/>
        <v>0.29299999999999998</v>
      </c>
      <c r="AT444">
        <f t="shared" si="151"/>
        <v>63</v>
      </c>
      <c r="AU444">
        <f t="shared" si="152"/>
        <v>33</v>
      </c>
      <c r="AV444">
        <f t="shared" si="132"/>
        <v>55</v>
      </c>
      <c r="AW444">
        <f t="shared" si="133"/>
        <v>35</v>
      </c>
      <c r="AX444" s="3">
        <f t="shared" si="134"/>
        <v>125.18987341772154</v>
      </c>
      <c r="AY444">
        <f t="shared" si="135"/>
        <v>32</v>
      </c>
      <c r="AZ444">
        <f t="shared" si="136"/>
        <v>40</v>
      </c>
      <c r="BA444" s="3">
        <f t="shared" si="137"/>
        <v>143.18987341772154</v>
      </c>
    </row>
    <row r="445" spans="1:53" x14ac:dyDescent="0.2">
      <c r="A445">
        <v>2022</v>
      </c>
      <c r="B445" t="s">
        <v>69</v>
      </c>
      <c r="C445" t="s">
        <v>58</v>
      </c>
      <c r="D445">
        <v>1.2</v>
      </c>
      <c r="E445">
        <v>0</v>
      </c>
      <c r="F445">
        <v>0</v>
      </c>
      <c r="G445">
        <v>0</v>
      </c>
      <c r="H445">
        <v>0</v>
      </c>
      <c r="I445">
        <v>4.5999999999999996</v>
      </c>
      <c r="J445">
        <v>2.6</v>
      </c>
      <c r="K445">
        <f t="shared" si="148"/>
        <v>8.4</v>
      </c>
      <c r="L445">
        <v>0</v>
      </c>
      <c r="M445">
        <v>0</v>
      </c>
      <c r="N445">
        <v>0.1</v>
      </c>
      <c r="O445">
        <f t="shared" si="149"/>
        <v>0.1</v>
      </c>
      <c r="P445">
        <v>0</v>
      </c>
      <c r="Q445">
        <v>0</v>
      </c>
      <c r="R445">
        <v>2</v>
      </c>
      <c r="S445">
        <f t="shared" si="142"/>
        <v>2</v>
      </c>
      <c r="T445">
        <v>6.1</v>
      </c>
      <c r="U445">
        <v>4.7</v>
      </c>
      <c r="V445">
        <v>3.2</v>
      </c>
      <c r="W445">
        <v>0.7</v>
      </c>
      <c r="X445">
        <v>0</v>
      </c>
      <c r="Y445">
        <v>0</v>
      </c>
      <c r="Z445">
        <v>0.6</v>
      </c>
      <c r="AA445">
        <f t="shared" si="143"/>
        <v>15.299999999999999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12</v>
      </c>
      <c r="AI445">
        <v>1.6</v>
      </c>
      <c r="AJ445">
        <f t="shared" si="130"/>
        <v>13.6</v>
      </c>
      <c r="AK445">
        <v>0</v>
      </c>
      <c r="AL445">
        <v>0.60699999999999998</v>
      </c>
      <c r="AM445">
        <f t="shared" si="131"/>
        <v>0.39400000000000007</v>
      </c>
      <c r="AN445">
        <v>140</v>
      </c>
      <c r="AO445">
        <v>103</v>
      </c>
      <c r="AP445" s="3">
        <f t="shared" si="153"/>
        <v>231.02310231023108</v>
      </c>
      <c r="AQ445" s="3">
        <f t="shared" si="154"/>
        <v>169.96699669967001</v>
      </c>
      <c r="AR445">
        <f t="shared" si="144"/>
        <v>0.34517766497461927</v>
      </c>
      <c r="AS445">
        <f t="shared" si="150"/>
        <v>0.25799999999999995</v>
      </c>
      <c r="AT445">
        <f t="shared" si="151"/>
        <v>60</v>
      </c>
      <c r="AU445">
        <f t="shared" si="152"/>
        <v>31</v>
      </c>
      <c r="AV445">
        <f t="shared" si="132"/>
        <v>50</v>
      </c>
      <c r="AW445">
        <f t="shared" si="133"/>
        <v>33</v>
      </c>
      <c r="AX445" s="3">
        <f t="shared" si="134"/>
        <v>148.02310231023108</v>
      </c>
      <c r="AY445">
        <f t="shared" si="135"/>
        <v>30</v>
      </c>
      <c r="AZ445">
        <f t="shared" si="136"/>
        <v>36</v>
      </c>
      <c r="BA445" s="3">
        <f t="shared" si="137"/>
        <v>165.02310231023108</v>
      </c>
    </row>
    <row r="446" spans="1:53" x14ac:dyDescent="0.2">
      <c r="A446">
        <v>2023</v>
      </c>
      <c r="B446" t="s">
        <v>69</v>
      </c>
      <c r="C446" t="s">
        <v>58</v>
      </c>
      <c r="D446" t="s">
        <v>13</v>
      </c>
      <c r="E446" t="s">
        <v>13</v>
      </c>
      <c r="F446" t="s">
        <v>13</v>
      </c>
      <c r="G446" t="s">
        <v>13</v>
      </c>
      <c r="H446" t="s">
        <v>13</v>
      </c>
      <c r="I446" t="s">
        <v>13</v>
      </c>
      <c r="J446" t="s">
        <v>13</v>
      </c>
      <c r="K446" t="s">
        <v>13</v>
      </c>
      <c r="L446" t="s">
        <v>13</v>
      </c>
      <c r="M446" t="s">
        <v>13</v>
      </c>
      <c r="N446" t="s">
        <v>13</v>
      </c>
      <c r="O446" t="s">
        <v>13</v>
      </c>
      <c r="P446" t="s">
        <v>13</v>
      </c>
      <c r="Q446" t="s">
        <v>13</v>
      </c>
      <c r="R446" t="s">
        <v>13</v>
      </c>
      <c r="S446" t="s">
        <v>13</v>
      </c>
      <c r="T446" t="s">
        <v>13</v>
      </c>
      <c r="U446" t="s">
        <v>13</v>
      </c>
      <c r="V446" t="s">
        <v>13</v>
      </c>
      <c r="W446" t="s">
        <v>13</v>
      </c>
      <c r="X446" t="s">
        <v>13</v>
      </c>
      <c r="Y446" t="s">
        <v>13</v>
      </c>
      <c r="Z446" t="s">
        <v>13</v>
      </c>
      <c r="AA446" t="s">
        <v>13</v>
      </c>
      <c r="AB446" t="s">
        <v>13</v>
      </c>
      <c r="AC446" t="s">
        <v>13</v>
      </c>
      <c r="AD446" t="s">
        <v>13</v>
      </c>
      <c r="AE446" t="s">
        <v>13</v>
      </c>
      <c r="AF446" t="s">
        <v>13</v>
      </c>
      <c r="AG446" t="s">
        <v>13</v>
      </c>
      <c r="AH446" t="s">
        <v>13</v>
      </c>
      <c r="AI446" t="s">
        <v>13</v>
      </c>
      <c r="AJ446" t="s">
        <v>13</v>
      </c>
      <c r="AK446" t="s">
        <v>13</v>
      </c>
      <c r="AL446" t="s">
        <v>13</v>
      </c>
      <c r="AM446" t="s">
        <v>13</v>
      </c>
      <c r="AN446">
        <v>282</v>
      </c>
      <c r="AO446">
        <v>196</v>
      </c>
      <c r="AP446" t="s">
        <v>13</v>
      </c>
      <c r="AQ446" t="s">
        <v>13</v>
      </c>
      <c r="AR446" t="s">
        <v>13</v>
      </c>
      <c r="AS446" t="s">
        <v>13</v>
      </c>
      <c r="AT446" t="s">
        <v>13</v>
      </c>
      <c r="AU446" t="s">
        <v>13</v>
      </c>
      <c r="AV446" t="s">
        <v>13</v>
      </c>
      <c r="AW446" t="s">
        <v>13</v>
      </c>
      <c r="AX446" t="s">
        <v>13</v>
      </c>
      <c r="AY446" t="s">
        <v>13</v>
      </c>
      <c r="AZ446" t="s">
        <v>13</v>
      </c>
      <c r="BA446" t="s">
        <v>13</v>
      </c>
    </row>
    <row r="447" spans="1:53" x14ac:dyDescent="0.2">
      <c r="A447">
        <v>1980</v>
      </c>
      <c r="B447" t="s">
        <v>70</v>
      </c>
      <c r="C447" t="s">
        <v>58</v>
      </c>
      <c r="D447">
        <v>0.7</v>
      </c>
      <c r="E447">
        <v>0</v>
      </c>
      <c r="F447">
        <v>0</v>
      </c>
      <c r="G447">
        <v>0.1</v>
      </c>
      <c r="H447">
        <v>0</v>
      </c>
      <c r="I447">
        <v>27.5</v>
      </c>
      <c r="J447">
        <v>0.4</v>
      </c>
      <c r="K447">
        <f t="shared" ref="K447:K460" si="155">SUM(D447:J447)</f>
        <v>28.7</v>
      </c>
      <c r="L447">
        <v>0.6</v>
      </c>
      <c r="M447">
        <v>0.7</v>
      </c>
      <c r="N447">
        <v>0</v>
      </c>
      <c r="O447">
        <f t="shared" ref="O447:O460" si="156">SUM(L447:N447)</f>
        <v>1.2999999999999998</v>
      </c>
      <c r="P447">
        <v>0</v>
      </c>
      <c r="Q447">
        <v>3.7</v>
      </c>
      <c r="R447">
        <v>2</v>
      </c>
      <c r="S447">
        <f t="shared" ref="S447:S460" si="157">SUM(P447:R447)</f>
        <v>5.7</v>
      </c>
      <c r="T447">
        <v>20.100000000000001</v>
      </c>
      <c r="U447">
        <v>8.1999999999999993</v>
      </c>
      <c r="V447">
        <v>2.8</v>
      </c>
      <c r="W447">
        <v>0.6</v>
      </c>
      <c r="X447">
        <v>0.5</v>
      </c>
      <c r="Y447">
        <v>1.2</v>
      </c>
      <c r="Z447">
        <v>9.4</v>
      </c>
      <c r="AA447">
        <f t="shared" ref="AA447:AA460" si="158">SUM(T447:Z447)</f>
        <v>42.800000000000004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6.1</v>
      </c>
      <c r="AI447">
        <v>0</v>
      </c>
      <c r="AJ447">
        <f t="shared" ref="AJ447:AJ460" si="159">SUM(AB447:AI447)</f>
        <v>6.1</v>
      </c>
      <c r="AK447">
        <v>0</v>
      </c>
      <c r="AL447">
        <v>0.153</v>
      </c>
      <c r="AM447">
        <f t="shared" si="131"/>
        <v>0.8460000000000002</v>
      </c>
      <c r="AN447">
        <v>167</v>
      </c>
      <c r="AO447" t="s">
        <v>13</v>
      </c>
      <c r="AP447" s="3">
        <f t="shared" si="153"/>
        <v>1084.4155844155857</v>
      </c>
      <c r="AQ447" t="s">
        <v>13</v>
      </c>
      <c r="AR447">
        <f t="shared" si="144"/>
        <v>7.210401891252953E-2</v>
      </c>
      <c r="AS447">
        <f t="shared" ref="AS447:AS460" si="160">SUM(K447,O447,S447,AA447)/100</f>
        <v>0.78500000000000003</v>
      </c>
      <c r="AT447">
        <f t="shared" ref="AT447:AT460" si="161">ROUND(AS447*AP447,0)</f>
        <v>851</v>
      </c>
      <c r="AU447">
        <f t="shared" ref="AU447:AU460" si="162">ROUND((AJ447/100)*AP447,0)</f>
        <v>66</v>
      </c>
      <c r="AV447">
        <f t="shared" si="132"/>
        <v>696</v>
      </c>
      <c r="AW447">
        <f t="shared" si="133"/>
        <v>110</v>
      </c>
      <c r="AX447" s="3">
        <f t="shared" si="134"/>
        <v>278.41558441558573</v>
      </c>
      <c r="AY447">
        <f t="shared" si="135"/>
        <v>426</v>
      </c>
      <c r="AZ447">
        <f t="shared" si="136"/>
        <v>186</v>
      </c>
      <c r="BA447" s="3">
        <f t="shared" si="137"/>
        <v>472.41558441558573</v>
      </c>
    </row>
    <row r="448" spans="1:53" x14ac:dyDescent="0.2">
      <c r="A448">
        <v>1981</v>
      </c>
      <c r="B448" t="s">
        <v>70</v>
      </c>
      <c r="C448" t="s">
        <v>58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32</v>
      </c>
      <c r="J448">
        <v>0</v>
      </c>
      <c r="K448">
        <f t="shared" si="155"/>
        <v>32</v>
      </c>
      <c r="L448">
        <v>0.5</v>
      </c>
      <c r="M448">
        <v>0.1</v>
      </c>
      <c r="N448">
        <v>0</v>
      </c>
      <c r="O448">
        <f t="shared" si="156"/>
        <v>0.6</v>
      </c>
      <c r="P448">
        <v>0</v>
      </c>
      <c r="Q448">
        <v>2.2999999999999998</v>
      </c>
      <c r="R448">
        <v>2</v>
      </c>
      <c r="S448">
        <f t="shared" si="157"/>
        <v>4.3</v>
      </c>
      <c r="T448">
        <v>21.4</v>
      </c>
      <c r="U448">
        <v>8</v>
      </c>
      <c r="V448">
        <v>3.1</v>
      </c>
      <c r="W448">
        <v>0.1</v>
      </c>
      <c r="X448">
        <v>0.1</v>
      </c>
      <c r="Y448">
        <v>0.4</v>
      </c>
      <c r="Z448">
        <v>3.9</v>
      </c>
      <c r="AA448">
        <f t="shared" si="158"/>
        <v>37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1.2</v>
      </c>
      <c r="AI448">
        <v>0.3</v>
      </c>
      <c r="AJ448">
        <f t="shared" si="159"/>
        <v>1.5</v>
      </c>
      <c r="AK448">
        <v>0</v>
      </c>
      <c r="AL448">
        <v>0.247</v>
      </c>
      <c r="AM448">
        <f t="shared" si="131"/>
        <v>0.754</v>
      </c>
      <c r="AN448">
        <v>273</v>
      </c>
      <c r="AO448" t="s">
        <v>13</v>
      </c>
      <c r="AP448" s="3">
        <f t="shared" si="153"/>
        <v>1109.7560975609756</v>
      </c>
      <c r="AQ448" t="s">
        <v>13</v>
      </c>
      <c r="AR448">
        <f t="shared" si="144"/>
        <v>1.9893899204244031E-2</v>
      </c>
      <c r="AS448">
        <f t="shared" si="160"/>
        <v>0.7390000000000001</v>
      </c>
      <c r="AT448">
        <f t="shared" si="161"/>
        <v>820</v>
      </c>
      <c r="AU448">
        <f t="shared" si="162"/>
        <v>17</v>
      </c>
      <c r="AV448">
        <f t="shared" si="132"/>
        <v>643</v>
      </c>
      <c r="AW448">
        <f t="shared" si="133"/>
        <v>27</v>
      </c>
      <c r="AX448" s="3">
        <f t="shared" si="134"/>
        <v>439.7560975609756</v>
      </c>
      <c r="AY448">
        <f t="shared" si="135"/>
        <v>410</v>
      </c>
      <c r="AZ448">
        <f t="shared" si="136"/>
        <v>41</v>
      </c>
      <c r="BA448" s="3">
        <f t="shared" si="137"/>
        <v>658.7560975609756</v>
      </c>
    </row>
    <row r="449" spans="1:53" x14ac:dyDescent="0.2">
      <c r="A449">
        <v>1982</v>
      </c>
      <c r="B449" t="s">
        <v>70</v>
      </c>
      <c r="C449" t="s">
        <v>58</v>
      </c>
      <c r="D449">
        <v>0</v>
      </c>
      <c r="E449">
        <v>0</v>
      </c>
      <c r="F449">
        <v>0</v>
      </c>
      <c r="G449">
        <v>0.3</v>
      </c>
      <c r="H449">
        <v>0</v>
      </c>
      <c r="I449">
        <v>27.6</v>
      </c>
      <c r="J449">
        <v>0.4</v>
      </c>
      <c r="K449">
        <f t="shared" si="155"/>
        <v>28.3</v>
      </c>
      <c r="L449">
        <v>1.9</v>
      </c>
      <c r="M449">
        <v>0</v>
      </c>
      <c r="N449">
        <v>0</v>
      </c>
      <c r="O449">
        <f t="shared" si="156"/>
        <v>1.9</v>
      </c>
      <c r="P449">
        <v>0</v>
      </c>
      <c r="Q449">
        <v>0.3</v>
      </c>
      <c r="R449">
        <v>0.9</v>
      </c>
      <c r="S449">
        <f t="shared" si="157"/>
        <v>1.2</v>
      </c>
      <c r="T449">
        <v>17.7</v>
      </c>
      <c r="U449">
        <v>7.5</v>
      </c>
      <c r="V449">
        <v>3</v>
      </c>
      <c r="W449">
        <v>0.3</v>
      </c>
      <c r="X449">
        <v>0.9</v>
      </c>
      <c r="Y449">
        <v>1</v>
      </c>
      <c r="Z449">
        <v>1.5</v>
      </c>
      <c r="AA449">
        <f t="shared" si="158"/>
        <v>31.9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12.7</v>
      </c>
      <c r="AI449">
        <v>0.1</v>
      </c>
      <c r="AJ449">
        <f t="shared" si="159"/>
        <v>12.799999999999999</v>
      </c>
      <c r="AK449">
        <v>0</v>
      </c>
      <c r="AL449">
        <v>0.24</v>
      </c>
      <c r="AM449">
        <f t="shared" si="131"/>
        <v>0.7609999999999999</v>
      </c>
      <c r="AN449">
        <v>358</v>
      </c>
      <c r="AO449" t="s">
        <v>13</v>
      </c>
      <c r="AP449" s="3">
        <f t="shared" si="153"/>
        <v>1497.9079497907944</v>
      </c>
      <c r="AQ449" t="s">
        <v>13</v>
      </c>
      <c r="AR449">
        <f t="shared" si="144"/>
        <v>0.16819973718791068</v>
      </c>
      <c r="AS449">
        <f t="shared" si="160"/>
        <v>0.63300000000000001</v>
      </c>
      <c r="AT449">
        <f t="shared" si="161"/>
        <v>948</v>
      </c>
      <c r="AU449">
        <f t="shared" si="162"/>
        <v>192</v>
      </c>
      <c r="AV449">
        <f t="shared" si="132"/>
        <v>736</v>
      </c>
      <c r="AW449">
        <f t="shared" si="133"/>
        <v>266</v>
      </c>
      <c r="AX449" s="3">
        <f t="shared" si="134"/>
        <v>495.90794979079442</v>
      </c>
      <c r="AY449">
        <f t="shared" si="135"/>
        <v>474</v>
      </c>
      <c r="AZ449">
        <f t="shared" si="136"/>
        <v>357</v>
      </c>
      <c r="BA449" s="3">
        <f t="shared" si="137"/>
        <v>666.90794979079442</v>
      </c>
    </row>
    <row r="450" spans="1:53" x14ac:dyDescent="0.2">
      <c r="A450">
        <v>1983</v>
      </c>
      <c r="B450" t="s">
        <v>70</v>
      </c>
      <c r="C450" t="s">
        <v>58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36.700000000000003</v>
      </c>
      <c r="J450">
        <v>0</v>
      </c>
      <c r="K450">
        <f t="shared" si="155"/>
        <v>36.700000000000003</v>
      </c>
      <c r="L450">
        <v>2.5</v>
      </c>
      <c r="M450">
        <v>0.3</v>
      </c>
      <c r="N450">
        <v>0</v>
      </c>
      <c r="O450">
        <f t="shared" si="156"/>
        <v>2.8</v>
      </c>
      <c r="P450">
        <v>0</v>
      </c>
      <c r="Q450">
        <v>0.5</v>
      </c>
      <c r="R450">
        <v>2</v>
      </c>
      <c r="S450">
        <f t="shared" si="157"/>
        <v>2.5</v>
      </c>
      <c r="T450">
        <v>12.2</v>
      </c>
      <c r="U450">
        <v>4.3</v>
      </c>
      <c r="V450">
        <v>0.2</v>
      </c>
      <c r="W450">
        <v>0</v>
      </c>
      <c r="X450">
        <v>0.8</v>
      </c>
      <c r="Y450">
        <v>0.3</v>
      </c>
      <c r="Z450">
        <v>5.4</v>
      </c>
      <c r="AA450">
        <f t="shared" si="158"/>
        <v>23.200000000000003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4.9000000000000004</v>
      </c>
      <c r="AI450">
        <v>0</v>
      </c>
      <c r="AJ450">
        <f t="shared" si="159"/>
        <v>4.9000000000000004</v>
      </c>
      <c r="AK450">
        <v>0.1</v>
      </c>
      <c r="AL450">
        <v>0.29699999999999999</v>
      </c>
      <c r="AM450">
        <f t="shared" si="131"/>
        <v>0.70099999999999996</v>
      </c>
      <c r="AN450">
        <v>2386</v>
      </c>
      <c r="AO450" t="s">
        <v>13</v>
      </c>
      <c r="AP450" s="3">
        <f t="shared" si="153"/>
        <v>7979.9331103678915</v>
      </c>
      <c r="AQ450" t="s">
        <v>13</v>
      </c>
      <c r="AR450">
        <f t="shared" si="144"/>
        <v>6.9900142653352357E-2</v>
      </c>
      <c r="AS450">
        <f t="shared" si="160"/>
        <v>0.65200000000000002</v>
      </c>
      <c r="AT450">
        <f t="shared" si="161"/>
        <v>5203</v>
      </c>
      <c r="AU450">
        <f t="shared" si="162"/>
        <v>391</v>
      </c>
      <c r="AV450">
        <f t="shared" si="132"/>
        <v>3739</v>
      </c>
      <c r="AW450">
        <f t="shared" si="133"/>
        <v>597</v>
      </c>
      <c r="AX450" s="3">
        <f t="shared" si="134"/>
        <v>3643.9331103678915</v>
      </c>
      <c r="AY450">
        <f t="shared" si="135"/>
        <v>2601</v>
      </c>
      <c r="AZ450">
        <f t="shared" si="136"/>
        <v>757</v>
      </c>
      <c r="BA450" s="3">
        <f t="shared" si="137"/>
        <v>4621.9331103678915</v>
      </c>
    </row>
    <row r="451" spans="1:53" x14ac:dyDescent="0.2">
      <c r="A451">
        <v>1984</v>
      </c>
      <c r="B451" t="s">
        <v>70</v>
      </c>
      <c r="C451" t="s">
        <v>58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53</v>
      </c>
      <c r="J451">
        <v>0.3</v>
      </c>
      <c r="K451">
        <f t="shared" si="155"/>
        <v>53.3</v>
      </c>
      <c r="L451">
        <v>3.4</v>
      </c>
      <c r="M451">
        <v>0</v>
      </c>
      <c r="N451">
        <v>0</v>
      </c>
      <c r="O451">
        <f t="shared" si="156"/>
        <v>3.4</v>
      </c>
      <c r="P451">
        <v>0.5</v>
      </c>
      <c r="Q451">
        <v>1.6</v>
      </c>
      <c r="R451">
        <v>0.8</v>
      </c>
      <c r="S451">
        <f t="shared" si="157"/>
        <v>2.9000000000000004</v>
      </c>
      <c r="T451">
        <v>4</v>
      </c>
      <c r="U451">
        <v>1.1000000000000001</v>
      </c>
      <c r="V451">
        <v>2.2999999999999998</v>
      </c>
      <c r="W451">
        <v>0.2</v>
      </c>
      <c r="X451">
        <v>0</v>
      </c>
      <c r="Y451">
        <v>0.6</v>
      </c>
      <c r="Z451">
        <v>1.4</v>
      </c>
      <c r="AA451">
        <f t="shared" si="158"/>
        <v>9.6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8.4</v>
      </c>
      <c r="AI451">
        <v>1.5</v>
      </c>
      <c r="AJ451">
        <f t="shared" si="159"/>
        <v>9.9</v>
      </c>
      <c r="AK451">
        <v>0.4</v>
      </c>
      <c r="AL451">
        <v>0.20399999999999999</v>
      </c>
      <c r="AM451">
        <f t="shared" ref="AM451:AM514" si="163">SUM(AB451:AI451,T451:Z451,P451:R451,L451:N451,D451:J451)/100</f>
        <v>0.79099999999999993</v>
      </c>
      <c r="AN451">
        <v>961</v>
      </c>
      <c r="AO451" t="s">
        <v>13</v>
      </c>
      <c r="AP451" s="3">
        <f t="shared" si="153"/>
        <v>4598.0861244019125</v>
      </c>
      <c r="AQ451" t="s">
        <v>13</v>
      </c>
      <c r="AR451">
        <f t="shared" si="144"/>
        <v>0.12515802781289509</v>
      </c>
      <c r="AS451">
        <f t="shared" si="160"/>
        <v>0.69199999999999984</v>
      </c>
      <c r="AT451">
        <f t="shared" si="161"/>
        <v>3182</v>
      </c>
      <c r="AU451">
        <f t="shared" si="162"/>
        <v>455</v>
      </c>
      <c r="AV451">
        <f t="shared" ref="AV451:AV514" si="164">ROUND((((K451*0.5)+O451+S451+AA451)/100)*AP451,0)</f>
        <v>1956</v>
      </c>
      <c r="AW451">
        <f t="shared" ref="AW451:AW514" si="165">ROUND((AU451/(AP451-AT451))*(AP451-AV451),0)</f>
        <v>849</v>
      </c>
      <c r="AX451" s="3">
        <f t="shared" ref="AX451:AX514" si="166">AP451-AV451-AW451</f>
        <v>1793.0861244019125</v>
      </c>
      <c r="AY451">
        <f t="shared" ref="AY451:AY514" si="167">ROUND((0.5*AS451)*AP451,0)</f>
        <v>1591</v>
      </c>
      <c r="AZ451">
        <f t="shared" ref="AZ451:AZ514" si="168">ROUND((AU451/(AP451-AT451))*(AP451-AY451),0)</f>
        <v>966</v>
      </c>
      <c r="BA451" s="3">
        <f t="shared" ref="BA451:BA514" si="169">AP451-AZ451-AY451</f>
        <v>2041.0861244019125</v>
      </c>
    </row>
    <row r="452" spans="1:53" x14ac:dyDescent="0.2">
      <c r="A452">
        <v>1985</v>
      </c>
      <c r="B452" t="s">
        <v>70</v>
      </c>
      <c r="C452" t="s">
        <v>58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30.3</v>
      </c>
      <c r="J452">
        <v>0.7</v>
      </c>
      <c r="K452">
        <f t="shared" si="155"/>
        <v>31</v>
      </c>
      <c r="L452">
        <v>0.9</v>
      </c>
      <c r="M452">
        <v>0.4</v>
      </c>
      <c r="N452">
        <v>0</v>
      </c>
      <c r="O452">
        <f t="shared" si="156"/>
        <v>1.3</v>
      </c>
      <c r="P452">
        <v>0</v>
      </c>
      <c r="Q452">
        <v>1.1000000000000001</v>
      </c>
      <c r="R452">
        <v>1.1000000000000001</v>
      </c>
      <c r="S452">
        <f t="shared" si="157"/>
        <v>2.2000000000000002</v>
      </c>
      <c r="T452">
        <v>13.2</v>
      </c>
      <c r="U452">
        <v>3.1</v>
      </c>
      <c r="V452">
        <v>4.4000000000000004</v>
      </c>
      <c r="W452">
        <v>0.7</v>
      </c>
      <c r="X452">
        <v>0.2</v>
      </c>
      <c r="Y452">
        <v>1.2</v>
      </c>
      <c r="Z452">
        <v>1.6</v>
      </c>
      <c r="AA452">
        <f t="shared" si="158"/>
        <v>24.400000000000002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2.2999999999999998</v>
      </c>
      <c r="AI452">
        <v>0.6</v>
      </c>
      <c r="AJ452">
        <f t="shared" si="159"/>
        <v>2.9</v>
      </c>
      <c r="AK452">
        <v>0</v>
      </c>
      <c r="AL452">
        <v>0.38299999999999995</v>
      </c>
      <c r="AM452">
        <f t="shared" si="163"/>
        <v>0.61799999999999999</v>
      </c>
      <c r="AN452">
        <v>2333</v>
      </c>
      <c r="AO452" t="s">
        <v>13</v>
      </c>
      <c r="AP452" s="3">
        <f t="shared" si="153"/>
        <v>6107.3298429319375</v>
      </c>
      <c r="AQ452" t="s">
        <v>13</v>
      </c>
      <c r="AR452">
        <f t="shared" si="144"/>
        <v>4.6925566343042069E-2</v>
      </c>
      <c r="AS452">
        <f t="shared" si="160"/>
        <v>0.58900000000000008</v>
      </c>
      <c r="AT452">
        <f t="shared" si="161"/>
        <v>3597</v>
      </c>
      <c r="AU452">
        <f t="shared" si="162"/>
        <v>177</v>
      </c>
      <c r="AV452">
        <f t="shared" si="164"/>
        <v>2651</v>
      </c>
      <c r="AW452">
        <f t="shared" si="165"/>
        <v>244</v>
      </c>
      <c r="AX452" s="3">
        <f t="shared" si="166"/>
        <v>3212.3298429319375</v>
      </c>
      <c r="AY452">
        <f t="shared" si="167"/>
        <v>1799</v>
      </c>
      <c r="AZ452">
        <f t="shared" si="168"/>
        <v>304</v>
      </c>
      <c r="BA452" s="3">
        <f t="shared" si="169"/>
        <v>4004.3298429319375</v>
      </c>
    </row>
    <row r="453" spans="1:53" x14ac:dyDescent="0.2">
      <c r="A453">
        <v>1986</v>
      </c>
      <c r="B453" t="s">
        <v>70</v>
      </c>
      <c r="C453" t="s">
        <v>58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9.1999999999999993</v>
      </c>
      <c r="J453">
        <v>2.2000000000000002</v>
      </c>
      <c r="K453">
        <f t="shared" si="155"/>
        <v>11.399999999999999</v>
      </c>
      <c r="L453">
        <v>0</v>
      </c>
      <c r="M453">
        <v>0.6</v>
      </c>
      <c r="N453">
        <v>0</v>
      </c>
      <c r="O453">
        <f t="shared" si="156"/>
        <v>0.6</v>
      </c>
      <c r="P453">
        <v>0</v>
      </c>
      <c r="Q453">
        <v>6.4</v>
      </c>
      <c r="R453">
        <v>2.7</v>
      </c>
      <c r="S453">
        <f t="shared" si="157"/>
        <v>9.1000000000000014</v>
      </c>
      <c r="T453">
        <v>3.7</v>
      </c>
      <c r="U453">
        <v>1.6</v>
      </c>
      <c r="V453">
        <v>2.7</v>
      </c>
      <c r="W453">
        <v>0.4</v>
      </c>
      <c r="X453">
        <v>0</v>
      </c>
      <c r="Y453">
        <v>1</v>
      </c>
      <c r="Z453">
        <v>22.5</v>
      </c>
      <c r="AA453">
        <f t="shared" si="158"/>
        <v>31.9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7.2</v>
      </c>
      <c r="AI453">
        <v>4.5</v>
      </c>
      <c r="AJ453">
        <f t="shared" si="159"/>
        <v>11.7</v>
      </c>
      <c r="AK453">
        <v>0.2</v>
      </c>
      <c r="AL453">
        <v>0.35</v>
      </c>
      <c r="AM453">
        <f t="shared" si="163"/>
        <v>0.64700000000000002</v>
      </c>
      <c r="AN453">
        <v>750</v>
      </c>
      <c r="AO453" t="s">
        <v>13</v>
      </c>
      <c r="AP453" s="3">
        <f t="shared" si="153"/>
        <v>2124.6458923512751</v>
      </c>
      <c r="AQ453" t="s">
        <v>13</v>
      </c>
      <c r="AR453">
        <f t="shared" si="144"/>
        <v>0.18083462132921174</v>
      </c>
      <c r="AS453">
        <f t="shared" si="160"/>
        <v>0.53</v>
      </c>
      <c r="AT453">
        <f t="shared" si="161"/>
        <v>1126</v>
      </c>
      <c r="AU453">
        <f t="shared" si="162"/>
        <v>249</v>
      </c>
      <c r="AV453">
        <f t="shared" si="164"/>
        <v>1005</v>
      </c>
      <c r="AW453">
        <f t="shared" si="165"/>
        <v>279</v>
      </c>
      <c r="AX453" s="3">
        <f t="shared" si="166"/>
        <v>840.64589235127505</v>
      </c>
      <c r="AY453">
        <f t="shared" si="167"/>
        <v>563</v>
      </c>
      <c r="AZ453">
        <f t="shared" si="168"/>
        <v>389</v>
      </c>
      <c r="BA453" s="3">
        <f t="shared" si="169"/>
        <v>1172.6458923512751</v>
      </c>
    </row>
    <row r="454" spans="1:53" x14ac:dyDescent="0.2">
      <c r="A454">
        <v>1987</v>
      </c>
      <c r="B454" t="s">
        <v>70</v>
      </c>
      <c r="C454" t="s">
        <v>58</v>
      </c>
      <c r="D454">
        <v>0</v>
      </c>
      <c r="E454">
        <v>0</v>
      </c>
      <c r="F454">
        <v>0</v>
      </c>
      <c r="G454">
        <v>0.2</v>
      </c>
      <c r="H454">
        <v>0</v>
      </c>
      <c r="I454">
        <v>33.700000000000003</v>
      </c>
      <c r="J454">
        <v>2</v>
      </c>
      <c r="K454">
        <f t="shared" si="155"/>
        <v>35.900000000000006</v>
      </c>
      <c r="L454">
        <v>2</v>
      </c>
      <c r="M454">
        <v>0</v>
      </c>
      <c r="N454">
        <v>0</v>
      </c>
      <c r="O454">
        <f t="shared" si="156"/>
        <v>2</v>
      </c>
      <c r="P454">
        <v>0</v>
      </c>
      <c r="Q454">
        <v>0.2</v>
      </c>
      <c r="R454">
        <v>0.6</v>
      </c>
      <c r="S454">
        <f t="shared" si="157"/>
        <v>0.8</v>
      </c>
      <c r="T454">
        <v>11.1</v>
      </c>
      <c r="U454">
        <v>3</v>
      </c>
      <c r="V454">
        <v>6</v>
      </c>
      <c r="W454">
        <v>0.7</v>
      </c>
      <c r="X454">
        <v>0.4</v>
      </c>
      <c r="Y454">
        <v>0.6</v>
      </c>
      <c r="Z454">
        <v>1.5</v>
      </c>
      <c r="AA454">
        <f t="shared" si="158"/>
        <v>23.3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16.399999999999999</v>
      </c>
      <c r="AI454">
        <v>3.5</v>
      </c>
      <c r="AJ454">
        <f t="shared" si="159"/>
        <v>19.899999999999999</v>
      </c>
      <c r="AK454">
        <v>0.2</v>
      </c>
      <c r="AL454">
        <v>0.17800000000000002</v>
      </c>
      <c r="AM454">
        <f t="shared" si="163"/>
        <v>0.81900000000000006</v>
      </c>
      <c r="AN454">
        <v>2492</v>
      </c>
      <c r="AO454" t="s">
        <v>13</v>
      </c>
      <c r="AP454" s="3">
        <f t="shared" si="153"/>
        <v>13767.955801104978</v>
      </c>
      <c r="AQ454" t="s">
        <v>13</v>
      </c>
      <c r="AR454">
        <f t="shared" si="144"/>
        <v>0.24297924297924295</v>
      </c>
      <c r="AS454">
        <f t="shared" si="160"/>
        <v>0.62</v>
      </c>
      <c r="AT454">
        <f t="shared" si="161"/>
        <v>8536</v>
      </c>
      <c r="AU454">
        <f t="shared" si="162"/>
        <v>2740</v>
      </c>
      <c r="AV454">
        <f t="shared" si="164"/>
        <v>6065</v>
      </c>
      <c r="AW454">
        <f t="shared" si="165"/>
        <v>4034</v>
      </c>
      <c r="AX454" s="3">
        <f t="shared" si="166"/>
        <v>3668.9558011049776</v>
      </c>
      <c r="AY454">
        <f t="shared" si="167"/>
        <v>4268</v>
      </c>
      <c r="AZ454">
        <f t="shared" si="168"/>
        <v>4975</v>
      </c>
      <c r="BA454" s="3">
        <f t="shared" si="169"/>
        <v>4524.9558011049776</v>
      </c>
    </row>
    <row r="455" spans="1:53" x14ac:dyDescent="0.2">
      <c r="A455">
        <v>1988</v>
      </c>
      <c r="B455" t="s">
        <v>70</v>
      </c>
      <c r="C455" t="s">
        <v>58</v>
      </c>
      <c r="D455">
        <v>0.3</v>
      </c>
      <c r="E455">
        <v>0</v>
      </c>
      <c r="F455">
        <v>0</v>
      </c>
      <c r="G455">
        <v>0.3</v>
      </c>
      <c r="H455">
        <v>0</v>
      </c>
      <c r="I455">
        <v>31.8</v>
      </c>
      <c r="J455">
        <v>1.9</v>
      </c>
      <c r="K455">
        <f t="shared" si="155"/>
        <v>34.299999999999997</v>
      </c>
      <c r="L455">
        <v>0.6</v>
      </c>
      <c r="M455">
        <v>0</v>
      </c>
      <c r="N455">
        <v>0</v>
      </c>
      <c r="O455">
        <f t="shared" si="156"/>
        <v>0.6</v>
      </c>
      <c r="P455">
        <v>0</v>
      </c>
      <c r="Q455">
        <v>0</v>
      </c>
      <c r="R455">
        <v>1.6</v>
      </c>
      <c r="S455">
        <f t="shared" si="157"/>
        <v>1.6</v>
      </c>
      <c r="T455">
        <v>8.6999999999999993</v>
      </c>
      <c r="U455">
        <v>0.8</v>
      </c>
      <c r="V455">
        <v>3</v>
      </c>
      <c r="W455">
        <v>0.1</v>
      </c>
      <c r="X455">
        <v>0.5</v>
      </c>
      <c r="Y455">
        <v>0.3</v>
      </c>
      <c r="Z455">
        <v>0.5</v>
      </c>
      <c r="AA455">
        <f t="shared" si="158"/>
        <v>13.9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22.1</v>
      </c>
      <c r="AI455">
        <v>1.8</v>
      </c>
      <c r="AJ455">
        <f t="shared" si="159"/>
        <v>23.900000000000002</v>
      </c>
      <c r="AK455">
        <v>1.2</v>
      </c>
      <c r="AL455">
        <v>0.24399999999999999</v>
      </c>
      <c r="AM455">
        <f t="shared" si="163"/>
        <v>0.74299999999999999</v>
      </c>
      <c r="AN455">
        <v>137</v>
      </c>
      <c r="AO455" t="s">
        <v>13</v>
      </c>
      <c r="AP455" s="3">
        <f t="shared" si="153"/>
        <v>533.07392996108945</v>
      </c>
      <c r="AQ455" t="s">
        <v>13</v>
      </c>
      <c r="AR455">
        <f t="shared" si="144"/>
        <v>0.32166890982503366</v>
      </c>
      <c r="AS455">
        <f t="shared" si="160"/>
        <v>0.504</v>
      </c>
      <c r="AT455">
        <f t="shared" si="161"/>
        <v>269</v>
      </c>
      <c r="AU455">
        <f t="shared" si="162"/>
        <v>127</v>
      </c>
      <c r="AV455">
        <f t="shared" si="164"/>
        <v>177</v>
      </c>
      <c r="AW455">
        <f t="shared" si="165"/>
        <v>171</v>
      </c>
      <c r="AX455" s="3">
        <f t="shared" si="166"/>
        <v>185.07392996108945</v>
      </c>
      <c r="AY455">
        <f t="shared" si="167"/>
        <v>134</v>
      </c>
      <c r="AZ455">
        <f t="shared" si="168"/>
        <v>192</v>
      </c>
      <c r="BA455" s="3">
        <f t="shared" si="169"/>
        <v>207.07392996108945</v>
      </c>
    </row>
    <row r="456" spans="1:53" x14ac:dyDescent="0.2">
      <c r="A456">
        <v>1989</v>
      </c>
      <c r="B456" t="s">
        <v>70</v>
      </c>
      <c r="C456" t="s">
        <v>58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17.100000000000001</v>
      </c>
      <c r="J456">
        <v>0</v>
      </c>
      <c r="K456">
        <f t="shared" si="155"/>
        <v>17.100000000000001</v>
      </c>
      <c r="L456">
        <v>0</v>
      </c>
      <c r="M456">
        <v>0</v>
      </c>
      <c r="N456">
        <v>0</v>
      </c>
      <c r="O456">
        <f t="shared" si="156"/>
        <v>0</v>
      </c>
      <c r="P456">
        <v>0</v>
      </c>
      <c r="Q456">
        <v>1.8</v>
      </c>
      <c r="R456">
        <v>0</v>
      </c>
      <c r="S456">
        <f t="shared" si="157"/>
        <v>1.8</v>
      </c>
      <c r="T456">
        <v>14.8</v>
      </c>
      <c r="U456">
        <v>1.6</v>
      </c>
      <c r="V456">
        <v>9.6999999999999993</v>
      </c>
      <c r="W456">
        <v>0.7</v>
      </c>
      <c r="X456">
        <v>0</v>
      </c>
      <c r="Y456">
        <v>0</v>
      </c>
      <c r="Z456">
        <v>2.6</v>
      </c>
      <c r="AA456">
        <f t="shared" si="158"/>
        <v>29.400000000000002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5.5</v>
      </c>
      <c r="AI456">
        <v>0.8</v>
      </c>
      <c r="AJ456">
        <f t="shared" si="159"/>
        <v>6.3</v>
      </c>
      <c r="AK456">
        <v>0</v>
      </c>
      <c r="AL456">
        <v>0.45500000000000002</v>
      </c>
      <c r="AM456">
        <f t="shared" si="163"/>
        <v>0.54600000000000004</v>
      </c>
      <c r="AN456">
        <v>1918</v>
      </c>
      <c r="AO456" t="s">
        <v>13</v>
      </c>
      <c r="AP456" s="3">
        <f t="shared" si="153"/>
        <v>4224.6696035242294</v>
      </c>
      <c r="AQ456" t="s">
        <v>13</v>
      </c>
      <c r="AR456">
        <f t="shared" si="144"/>
        <v>0.11538461538461538</v>
      </c>
      <c r="AS456">
        <f t="shared" si="160"/>
        <v>0.48300000000000004</v>
      </c>
      <c r="AT456">
        <f t="shared" si="161"/>
        <v>2041</v>
      </c>
      <c r="AU456">
        <f t="shared" si="162"/>
        <v>266</v>
      </c>
      <c r="AV456">
        <f t="shared" si="164"/>
        <v>1679</v>
      </c>
      <c r="AW456">
        <f t="shared" si="165"/>
        <v>310</v>
      </c>
      <c r="AX456" s="3">
        <f t="shared" si="166"/>
        <v>2235.6696035242294</v>
      </c>
      <c r="AY456">
        <f t="shared" si="167"/>
        <v>1020</v>
      </c>
      <c r="AZ456">
        <f t="shared" si="168"/>
        <v>390</v>
      </c>
      <c r="BA456" s="3">
        <f t="shared" si="169"/>
        <v>2814.6696035242294</v>
      </c>
    </row>
    <row r="457" spans="1:53" x14ac:dyDescent="0.2">
      <c r="A457">
        <v>1990</v>
      </c>
      <c r="B457" t="s">
        <v>70</v>
      </c>
      <c r="C457" t="s">
        <v>58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23.1</v>
      </c>
      <c r="J457">
        <v>0</v>
      </c>
      <c r="K457">
        <f t="shared" si="155"/>
        <v>23.1</v>
      </c>
      <c r="L457">
        <v>0</v>
      </c>
      <c r="M457">
        <v>0.2</v>
      </c>
      <c r="N457">
        <v>0</v>
      </c>
      <c r="O457">
        <f t="shared" si="156"/>
        <v>0.2</v>
      </c>
      <c r="P457">
        <v>0</v>
      </c>
      <c r="Q457">
        <v>1.6</v>
      </c>
      <c r="R457">
        <v>0</v>
      </c>
      <c r="S457">
        <f t="shared" si="157"/>
        <v>1.6</v>
      </c>
      <c r="T457">
        <v>14.4</v>
      </c>
      <c r="U457">
        <v>6.1</v>
      </c>
      <c r="V457">
        <v>3.7</v>
      </c>
      <c r="W457">
        <v>0.9</v>
      </c>
      <c r="X457">
        <v>0</v>
      </c>
      <c r="Y457">
        <v>0</v>
      </c>
      <c r="Z457">
        <v>1.8</v>
      </c>
      <c r="AA457">
        <f t="shared" si="158"/>
        <v>26.9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0.3</v>
      </c>
      <c r="AI457">
        <v>2.6</v>
      </c>
      <c r="AJ457">
        <f t="shared" si="159"/>
        <v>2.9</v>
      </c>
      <c r="AK457">
        <v>0</v>
      </c>
      <c r="AL457">
        <v>0.45299999999999996</v>
      </c>
      <c r="AM457">
        <f t="shared" si="163"/>
        <v>0.54700000000000004</v>
      </c>
      <c r="AN457">
        <v>222</v>
      </c>
      <c r="AO457" t="s">
        <v>13</v>
      </c>
      <c r="AP457" s="3">
        <f t="shared" si="153"/>
        <v>490.06622516556297</v>
      </c>
      <c r="AQ457" t="s">
        <v>13</v>
      </c>
      <c r="AR457">
        <f t="shared" si="144"/>
        <v>5.3016453382084085E-2</v>
      </c>
      <c r="AS457">
        <f t="shared" si="160"/>
        <v>0.51800000000000002</v>
      </c>
      <c r="AT457">
        <f t="shared" si="161"/>
        <v>254</v>
      </c>
      <c r="AU457">
        <f t="shared" si="162"/>
        <v>14</v>
      </c>
      <c r="AV457">
        <f t="shared" si="164"/>
        <v>197</v>
      </c>
      <c r="AW457">
        <f t="shared" si="165"/>
        <v>17</v>
      </c>
      <c r="AX457" s="3">
        <f t="shared" si="166"/>
        <v>276.06622516556297</v>
      </c>
      <c r="AY457">
        <f t="shared" si="167"/>
        <v>127</v>
      </c>
      <c r="AZ457">
        <f t="shared" si="168"/>
        <v>22</v>
      </c>
      <c r="BA457" s="3">
        <f t="shared" si="169"/>
        <v>341.06622516556297</v>
      </c>
    </row>
    <row r="458" spans="1:53" x14ac:dyDescent="0.2">
      <c r="A458">
        <v>1991</v>
      </c>
      <c r="B458" t="s">
        <v>70</v>
      </c>
      <c r="C458" t="s">
        <v>58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12.3</v>
      </c>
      <c r="J458">
        <v>2.5</v>
      </c>
      <c r="K458">
        <f t="shared" si="155"/>
        <v>14.8</v>
      </c>
      <c r="L458">
        <v>0.3</v>
      </c>
      <c r="M458">
        <v>0</v>
      </c>
      <c r="N458">
        <v>0</v>
      </c>
      <c r="O458">
        <f t="shared" si="156"/>
        <v>0.3</v>
      </c>
      <c r="P458">
        <v>0</v>
      </c>
      <c r="Q458">
        <v>2.5</v>
      </c>
      <c r="R458">
        <v>0.8</v>
      </c>
      <c r="S458">
        <f t="shared" si="157"/>
        <v>3.3</v>
      </c>
      <c r="T458">
        <v>8.6999999999999993</v>
      </c>
      <c r="U458">
        <v>3.2</v>
      </c>
      <c r="V458">
        <v>2.4</v>
      </c>
      <c r="W458">
        <v>1.5</v>
      </c>
      <c r="X458">
        <v>0</v>
      </c>
      <c r="Y458">
        <v>0.3</v>
      </c>
      <c r="Z458">
        <v>2.8</v>
      </c>
      <c r="AA458">
        <f t="shared" si="158"/>
        <v>18.899999999999999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1.8</v>
      </c>
      <c r="AI458">
        <v>8.9</v>
      </c>
      <c r="AJ458">
        <f t="shared" si="159"/>
        <v>10.700000000000001</v>
      </c>
      <c r="AK458">
        <v>0</v>
      </c>
      <c r="AL458">
        <v>0.52100000000000002</v>
      </c>
      <c r="AM458">
        <f t="shared" si="163"/>
        <v>0.47999999999999987</v>
      </c>
      <c r="AN458">
        <v>203</v>
      </c>
      <c r="AO458" t="s">
        <v>13</v>
      </c>
      <c r="AP458" s="3">
        <f t="shared" si="153"/>
        <v>390.3846153846153</v>
      </c>
      <c r="AQ458" t="s">
        <v>13</v>
      </c>
      <c r="AR458">
        <f t="shared" si="144"/>
        <v>0.22291666666666676</v>
      </c>
      <c r="AS458">
        <f t="shared" si="160"/>
        <v>0.373</v>
      </c>
      <c r="AT458">
        <f t="shared" si="161"/>
        <v>146</v>
      </c>
      <c r="AU458">
        <f t="shared" si="162"/>
        <v>42</v>
      </c>
      <c r="AV458">
        <f t="shared" si="164"/>
        <v>117</v>
      </c>
      <c r="AW458">
        <f t="shared" si="165"/>
        <v>47</v>
      </c>
      <c r="AX458" s="3">
        <f t="shared" si="166"/>
        <v>226.3846153846153</v>
      </c>
      <c r="AY458">
        <f t="shared" si="167"/>
        <v>73</v>
      </c>
      <c r="AZ458">
        <f t="shared" si="168"/>
        <v>55</v>
      </c>
      <c r="BA458" s="3">
        <f t="shared" si="169"/>
        <v>262.3846153846153</v>
      </c>
    </row>
    <row r="459" spans="1:53" x14ac:dyDescent="0.2">
      <c r="A459">
        <v>1992</v>
      </c>
      <c r="B459" t="s">
        <v>70</v>
      </c>
      <c r="C459" t="s">
        <v>58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19.8</v>
      </c>
      <c r="J459">
        <v>1.8</v>
      </c>
      <c r="K459">
        <f t="shared" si="155"/>
        <v>21.6</v>
      </c>
      <c r="L459">
        <v>0.6</v>
      </c>
      <c r="M459">
        <v>0</v>
      </c>
      <c r="N459">
        <v>0</v>
      </c>
      <c r="O459">
        <f t="shared" si="156"/>
        <v>0.6</v>
      </c>
      <c r="P459">
        <v>0</v>
      </c>
      <c r="Q459">
        <v>0.9</v>
      </c>
      <c r="R459">
        <v>0</v>
      </c>
      <c r="S459">
        <f t="shared" si="157"/>
        <v>0.9</v>
      </c>
      <c r="T459">
        <v>25.2</v>
      </c>
      <c r="U459">
        <v>3.8</v>
      </c>
      <c r="V459">
        <v>4.9000000000000004</v>
      </c>
      <c r="W459">
        <v>1.7</v>
      </c>
      <c r="X459">
        <v>0</v>
      </c>
      <c r="Y459">
        <v>0</v>
      </c>
      <c r="Z459">
        <v>2.1</v>
      </c>
      <c r="AA459">
        <f t="shared" si="158"/>
        <v>37.700000000000003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0.7</v>
      </c>
      <c r="AI459">
        <v>3.1</v>
      </c>
      <c r="AJ459">
        <f t="shared" si="159"/>
        <v>3.8</v>
      </c>
      <c r="AK459">
        <v>0</v>
      </c>
      <c r="AL459">
        <v>0.35499999999999998</v>
      </c>
      <c r="AM459">
        <f t="shared" si="163"/>
        <v>0.64599999999999991</v>
      </c>
      <c r="AN459">
        <v>46</v>
      </c>
      <c r="AO459" t="s">
        <v>13</v>
      </c>
      <c r="AP459" s="3">
        <f t="shared" si="153"/>
        <v>129.94350282485871</v>
      </c>
      <c r="AQ459" t="s">
        <v>13</v>
      </c>
      <c r="AR459">
        <f t="shared" si="144"/>
        <v>5.8823529411764712E-2</v>
      </c>
      <c r="AS459">
        <f t="shared" si="160"/>
        <v>0.6080000000000001</v>
      </c>
      <c r="AT459">
        <f t="shared" si="161"/>
        <v>79</v>
      </c>
      <c r="AU459">
        <f t="shared" si="162"/>
        <v>5</v>
      </c>
      <c r="AV459">
        <f t="shared" si="164"/>
        <v>65</v>
      </c>
      <c r="AW459">
        <f t="shared" si="165"/>
        <v>6</v>
      </c>
      <c r="AX459" s="3">
        <f t="shared" si="166"/>
        <v>58.943502824858712</v>
      </c>
      <c r="AY459">
        <f t="shared" si="167"/>
        <v>40</v>
      </c>
      <c r="AZ459">
        <f t="shared" si="168"/>
        <v>9</v>
      </c>
      <c r="BA459" s="3">
        <f t="shared" si="169"/>
        <v>80.943502824858712</v>
      </c>
    </row>
    <row r="460" spans="1:53" x14ac:dyDescent="0.2">
      <c r="A460">
        <v>1993</v>
      </c>
      <c r="B460" t="s">
        <v>70</v>
      </c>
      <c r="C460" t="s">
        <v>58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20.9</v>
      </c>
      <c r="J460">
        <v>4.4000000000000004</v>
      </c>
      <c r="K460">
        <f t="shared" si="155"/>
        <v>25.299999999999997</v>
      </c>
      <c r="L460">
        <v>0.7</v>
      </c>
      <c r="M460">
        <v>0</v>
      </c>
      <c r="N460">
        <v>0</v>
      </c>
      <c r="O460">
        <f t="shared" si="156"/>
        <v>0.7</v>
      </c>
      <c r="P460">
        <v>0</v>
      </c>
      <c r="Q460">
        <v>0</v>
      </c>
      <c r="R460">
        <v>0</v>
      </c>
      <c r="S460">
        <f t="shared" si="157"/>
        <v>0</v>
      </c>
      <c r="T460">
        <v>15.2</v>
      </c>
      <c r="U460">
        <v>2.4</v>
      </c>
      <c r="V460">
        <v>5.5</v>
      </c>
      <c r="W460">
        <v>0.2</v>
      </c>
      <c r="X460">
        <v>0</v>
      </c>
      <c r="Y460">
        <v>0</v>
      </c>
      <c r="Z460">
        <v>4.5</v>
      </c>
      <c r="AA460">
        <f t="shared" si="158"/>
        <v>27.799999999999997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1.9</v>
      </c>
      <c r="AI460">
        <v>4.0999999999999996</v>
      </c>
      <c r="AJ460">
        <f t="shared" si="159"/>
        <v>6</v>
      </c>
      <c r="AK460">
        <v>0</v>
      </c>
      <c r="AL460">
        <v>0.40100000000000002</v>
      </c>
      <c r="AM460">
        <f t="shared" si="163"/>
        <v>0.59799999999999998</v>
      </c>
      <c r="AN460">
        <v>125</v>
      </c>
      <c r="AO460" t="s">
        <v>13</v>
      </c>
      <c r="AP460" s="3">
        <f t="shared" si="153"/>
        <v>310.94527363184079</v>
      </c>
      <c r="AQ460" t="s">
        <v>13</v>
      </c>
      <c r="AR460">
        <f t="shared" si="144"/>
        <v>0.10033444816053512</v>
      </c>
      <c r="AS460">
        <f t="shared" si="160"/>
        <v>0.53799999999999992</v>
      </c>
      <c r="AT460">
        <f t="shared" si="161"/>
        <v>167</v>
      </c>
      <c r="AU460">
        <f t="shared" si="162"/>
        <v>19</v>
      </c>
      <c r="AV460">
        <f t="shared" si="164"/>
        <v>128</v>
      </c>
      <c r="AW460">
        <f t="shared" si="165"/>
        <v>24</v>
      </c>
      <c r="AX460" s="3">
        <f t="shared" si="166"/>
        <v>158.94527363184079</v>
      </c>
      <c r="AY460">
        <f t="shared" si="167"/>
        <v>84</v>
      </c>
      <c r="AZ460">
        <f t="shared" si="168"/>
        <v>30</v>
      </c>
      <c r="BA460" s="3">
        <f t="shared" si="169"/>
        <v>196.94527363184079</v>
      </c>
    </row>
    <row r="461" spans="1:53" x14ac:dyDescent="0.2">
      <c r="A461">
        <v>1994</v>
      </c>
      <c r="B461" t="s">
        <v>70</v>
      </c>
      <c r="C461" t="s">
        <v>58</v>
      </c>
      <c r="D461" t="s">
        <v>13</v>
      </c>
      <c r="E461" t="s">
        <v>13</v>
      </c>
      <c r="F461" t="s">
        <v>13</v>
      </c>
      <c r="G461" t="s">
        <v>13</v>
      </c>
      <c r="H461" t="s">
        <v>13</v>
      </c>
      <c r="I461" t="s">
        <v>13</v>
      </c>
      <c r="J461" t="s">
        <v>13</v>
      </c>
      <c r="K461" t="s">
        <v>13</v>
      </c>
      <c r="L461" t="s">
        <v>13</v>
      </c>
      <c r="M461" t="s">
        <v>13</v>
      </c>
      <c r="N461" t="s">
        <v>13</v>
      </c>
      <c r="O461" t="s">
        <v>13</v>
      </c>
      <c r="P461" t="s">
        <v>13</v>
      </c>
      <c r="Q461" t="s">
        <v>13</v>
      </c>
      <c r="R461" t="s">
        <v>13</v>
      </c>
      <c r="S461" t="s">
        <v>13</v>
      </c>
      <c r="T461" t="s">
        <v>13</v>
      </c>
      <c r="U461" t="s">
        <v>13</v>
      </c>
      <c r="V461" t="s">
        <v>13</v>
      </c>
      <c r="W461" t="s">
        <v>13</v>
      </c>
      <c r="X461" t="s">
        <v>13</v>
      </c>
      <c r="Y461" t="s">
        <v>13</v>
      </c>
      <c r="Z461" t="s">
        <v>13</v>
      </c>
      <c r="AA461" t="s">
        <v>13</v>
      </c>
      <c r="AB461" t="s">
        <v>13</v>
      </c>
      <c r="AC461" t="s">
        <v>13</v>
      </c>
      <c r="AD461" t="s">
        <v>13</v>
      </c>
      <c r="AE461" t="s">
        <v>13</v>
      </c>
      <c r="AF461" t="s">
        <v>13</v>
      </c>
      <c r="AG461" t="s">
        <v>13</v>
      </c>
      <c r="AH461" t="s">
        <v>13</v>
      </c>
      <c r="AI461" t="s">
        <v>13</v>
      </c>
      <c r="AJ461" t="s">
        <v>13</v>
      </c>
      <c r="AK461" t="s">
        <v>13</v>
      </c>
      <c r="AL461" t="s">
        <v>13</v>
      </c>
      <c r="AM461" t="s">
        <v>13</v>
      </c>
      <c r="AN461">
        <v>39</v>
      </c>
      <c r="AO461" t="s">
        <v>13</v>
      </c>
      <c r="AP461" t="s">
        <v>13</v>
      </c>
      <c r="AQ461" t="s">
        <v>13</v>
      </c>
      <c r="AR461" t="s">
        <v>13</v>
      </c>
      <c r="AS461" t="s">
        <v>13</v>
      </c>
      <c r="AT461" t="s">
        <v>13</v>
      </c>
      <c r="AU461" t="s">
        <v>13</v>
      </c>
      <c r="AV461" t="s">
        <v>13</v>
      </c>
      <c r="AW461" t="s">
        <v>13</v>
      </c>
      <c r="AX461" t="s">
        <v>13</v>
      </c>
      <c r="AY461" t="s">
        <v>13</v>
      </c>
      <c r="AZ461" t="s">
        <v>13</v>
      </c>
      <c r="BA461" t="s">
        <v>13</v>
      </c>
    </row>
    <row r="462" spans="1:53" x14ac:dyDescent="0.2">
      <c r="A462">
        <v>1995</v>
      </c>
      <c r="B462" t="s">
        <v>70</v>
      </c>
      <c r="C462" t="s">
        <v>58</v>
      </c>
      <c r="D462" t="s">
        <v>13</v>
      </c>
      <c r="E462" t="s">
        <v>13</v>
      </c>
      <c r="F462" t="s">
        <v>13</v>
      </c>
      <c r="G462" t="s">
        <v>13</v>
      </c>
      <c r="H462" t="s">
        <v>13</v>
      </c>
      <c r="I462" t="s">
        <v>13</v>
      </c>
      <c r="J462" t="s">
        <v>13</v>
      </c>
      <c r="K462" t="s">
        <v>13</v>
      </c>
      <c r="L462" t="s">
        <v>13</v>
      </c>
      <c r="M462" t="s">
        <v>13</v>
      </c>
      <c r="N462" t="s">
        <v>13</v>
      </c>
      <c r="O462" t="s">
        <v>13</v>
      </c>
      <c r="P462" t="s">
        <v>13</v>
      </c>
      <c r="Q462" t="s">
        <v>13</v>
      </c>
      <c r="R462" t="s">
        <v>13</v>
      </c>
      <c r="S462" t="s">
        <v>13</v>
      </c>
      <c r="T462" t="s">
        <v>13</v>
      </c>
      <c r="U462" t="s">
        <v>13</v>
      </c>
      <c r="V462" t="s">
        <v>13</v>
      </c>
      <c r="W462" t="s">
        <v>13</v>
      </c>
      <c r="X462" t="s">
        <v>13</v>
      </c>
      <c r="Y462" t="s">
        <v>13</v>
      </c>
      <c r="Z462" t="s">
        <v>13</v>
      </c>
      <c r="AA462" t="s">
        <v>13</v>
      </c>
      <c r="AB462" t="s">
        <v>13</v>
      </c>
      <c r="AC462" t="s">
        <v>13</v>
      </c>
      <c r="AD462" t="s">
        <v>13</v>
      </c>
      <c r="AE462" t="s">
        <v>13</v>
      </c>
      <c r="AF462" t="s">
        <v>13</v>
      </c>
      <c r="AG462" t="s">
        <v>13</v>
      </c>
      <c r="AH462" t="s">
        <v>13</v>
      </c>
      <c r="AI462" t="s">
        <v>13</v>
      </c>
      <c r="AJ462" t="s">
        <v>13</v>
      </c>
      <c r="AK462" t="s">
        <v>13</v>
      </c>
      <c r="AL462" t="s">
        <v>13</v>
      </c>
      <c r="AM462" t="s">
        <v>13</v>
      </c>
      <c r="AN462">
        <v>24</v>
      </c>
      <c r="AO462" t="s">
        <v>13</v>
      </c>
      <c r="AP462" t="s">
        <v>13</v>
      </c>
      <c r="AQ462" t="s">
        <v>13</v>
      </c>
      <c r="AR462" t="s">
        <v>13</v>
      </c>
      <c r="AS462" t="s">
        <v>13</v>
      </c>
      <c r="AT462" t="s">
        <v>13</v>
      </c>
      <c r="AU462" t="s">
        <v>13</v>
      </c>
      <c r="AV462" t="s">
        <v>13</v>
      </c>
      <c r="AW462" t="s">
        <v>13</v>
      </c>
      <c r="AX462" t="s">
        <v>13</v>
      </c>
      <c r="AY462" t="s">
        <v>13</v>
      </c>
      <c r="AZ462" t="s">
        <v>13</v>
      </c>
      <c r="BA462" t="s">
        <v>13</v>
      </c>
    </row>
    <row r="463" spans="1:53" x14ac:dyDescent="0.2">
      <c r="A463">
        <v>1996</v>
      </c>
      <c r="B463" t="s">
        <v>70</v>
      </c>
      <c r="C463" t="s">
        <v>58</v>
      </c>
      <c r="D463" t="s">
        <v>13</v>
      </c>
      <c r="E463" t="s">
        <v>13</v>
      </c>
      <c r="F463" t="s">
        <v>13</v>
      </c>
      <c r="G463" t="s">
        <v>13</v>
      </c>
      <c r="H463" t="s">
        <v>13</v>
      </c>
      <c r="I463" t="s">
        <v>13</v>
      </c>
      <c r="J463" t="s">
        <v>13</v>
      </c>
      <c r="K463" t="s">
        <v>13</v>
      </c>
      <c r="L463" t="s">
        <v>13</v>
      </c>
      <c r="M463" t="s">
        <v>13</v>
      </c>
      <c r="N463" t="s">
        <v>13</v>
      </c>
      <c r="O463" t="s">
        <v>13</v>
      </c>
      <c r="P463" t="s">
        <v>13</v>
      </c>
      <c r="Q463" t="s">
        <v>13</v>
      </c>
      <c r="R463" t="s">
        <v>13</v>
      </c>
      <c r="S463" t="s">
        <v>13</v>
      </c>
      <c r="T463" t="s">
        <v>13</v>
      </c>
      <c r="U463" t="s">
        <v>13</v>
      </c>
      <c r="V463" t="s">
        <v>13</v>
      </c>
      <c r="W463" t="s">
        <v>13</v>
      </c>
      <c r="X463" t="s">
        <v>13</v>
      </c>
      <c r="Y463" t="s">
        <v>13</v>
      </c>
      <c r="Z463" t="s">
        <v>13</v>
      </c>
      <c r="AA463" t="s">
        <v>13</v>
      </c>
      <c r="AB463" t="s">
        <v>13</v>
      </c>
      <c r="AC463" t="s">
        <v>13</v>
      </c>
      <c r="AD463" t="s">
        <v>13</v>
      </c>
      <c r="AE463" t="s">
        <v>13</v>
      </c>
      <c r="AF463" t="s">
        <v>13</v>
      </c>
      <c r="AG463" t="s">
        <v>13</v>
      </c>
      <c r="AH463" t="s">
        <v>13</v>
      </c>
      <c r="AI463" t="s">
        <v>13</v>
      </c>
      <c r="AJ463" t="s">
        <v>13</v>
      </c>
      <c r="AK463" t="s">
        <v>13</v>
      </c>
      <c r="AL463" t="s">
        <v>13</v>
      </c>
      <c r="AM463" t="s">
        <v>13</v>
      </c>
      <c r="AN463">
        <v>307</v>
      </c>
      <c r="AO463" t="s">
        <v>13</v>
      </c>
      <c r="AP463" t="s">
        <v>13</v>
      </c>
      <c r="AQ463" t="s">
        <v>13</v>
      </c>
      <c r="AR463" t="s">
        <v>13</v>
      </c>
      <c r="AS463" t="s">
        <v>13</v>
      </c>
      <c r="AT463" t="s">
        <v>13</v>
      </c>
      <c r="AU463" t="s">
        <v>13</v>
      </c>
      <c r="AV463" t="s">
        <v>13</v>
      </c>
      <c r="AW463" t="s">
        <v>13</v>
      </c>
      <c r="AX463" t="s">
        <v>13</v>
      </c>
      <c r="AY463" t="s">
        <v>13</v>
      </c>
      <c r="AZ463" t="s">
        <v>13</v>
      </c>
      <c r="BA463" t="s">
        <v>13</v>
      </c>
    </row>
    <row r="464" spans="1:53" x14ac:dyDescent="0.2">
      <c r="A464">
        <v>1997</v>
      </c>
      <c r="B464" t="s">
        <v>70</v>
      </c>
      <c r="C464" t="s">
        <v>58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21.7</v>
      </c>
      <c r="J464">
        <v>3.7</v>
      </c>
      <c r="K464">
        <f t="shared" ref="K464:K472" si="170">SUM(D464:J464)</f>
        <v>25.4</v>
      </c>
      <c r="L464">
        <v>0</v>
      </c>
      <c r="M464">
        <v>0</v>
      </c>
      <c r="N464">
        <v>0</v>
      </c>
      <c r="O464">
        <f t="shared" ref="O464:O472" si="171">SUM(L464:N464)</f>
        <v>0</v>
      </c>
      <c r="P464">
        <v>0</v>
      </c>
      <c r="Q464">
        <v>0</v>
      </c>
      <c r="R464">
        <v>2.2000000000000002</v>
      </c>
      <c r="S464">
        <f t="shared" ref="S464:S472" si="172">SUM(P464:R464)</f>
        <v>2.2000000000000002</v>
      </c>
      <c r="T464">
        <v>3.4</v>
      </c>
      <c r="U464">
        <v>3.1</v>
      </c>
      <c r="V464">
        <v>5.5</v>
      </c>
      <c r="W464">
        <v>0</v>
      </c>
      <c r="X464">
        <v>0</v>
      </c>
      <c r="Y464">
        <v>0</v>
      </c>
      <c r="Z464">
        <v>0</v>
      </c>
      <c r="AA464">
        <f t="shared" ref="AA464:AA472" si="173">SUM(T464:Z464)</f>
        <v>12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0.9</v>
      </c>
      <c r="AI464">
        <v>7.4</v>
      </c>
      <c r="AJ464">
        <f t="shared" ref="AJ464:AJ472" si="174">SUM(AB464:AI464)</f>
        <v>8.3000000000000007</v>
      </c>
      <c r="AK464">
        <v>1.8</v>
      </c>
      <c r="AL464">
        <v>0.502</v>
      </c>
      <c r="AM464">
        <f t="shared" si="163"/>
        <v>0.47900000000000004</v>
      </c>
      <c r="AN464">
        <v>6</v>
      </c>
      <c r="AO464" t="s">
        <v>13</v>
      </c>
      <c r="AP464" s="3">
        <f t="shared" si="153"/>
        <v>11.516314779270635</v>
      </c>
      <c r="AQ464" t="s">
        <v>13</v>
      </c>
      <c r="AR464">
        <f t="shared" si="144"/>
        <v>0.1732776617954071</v>
      </c>
      <c r="AS464">
        <f t="shared" ref="AS464:AS472" si="175">SUM(K464,O464,S464,AA464)/100</f>
        <v>0.39599999999999996</v>
      </c>
      <c r="AT464">
        <f t="shared" ref="AT464:AT472" si="176">ROUND(AS464*AP464,0)</f>
        <v>5</v>
      </c>
      <c r="AU464">
        <f t="shared" ref="AU464:AU472" si="177">ROUND((AJ464/100)*AP464,0)</f>
        <v>1</v>
      </c>
      <c r="AV464">
        <f t="shared" si="164"/>
        <v>3</v>
      </c>
      <c r="AW464">
        <f t="shared" si="165"/>
        <v>1</v>
      </c>
      <c r="AX464" s="3">
        <f t="shared" si="166"/>
        <v>7.5163147792706351</v>
      </c>
      <c r="AY464">
        <f t="shared" si="167"/>
        <v>2</v>
      </c>
      <c r="AZ464">
        <f t="shared" si="168"/>
        <v>1</v>
      </c>
      <c r="BA464" s="3">
        <f t="shared" si="169"/>
        <v>8.5163147792706351</v>
      </c>
    </row>
    <row r="465" spans="1:53" x14ac:dyDescent="0.2">
      <c r="A465">
        <v>1998</v>
      </c>
      <c r="B465" t="s">
        <v>70</v>
      </c>
      <c r="C465" t="s">
        <v>58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0.9</v>
      </c>
      <c r="J465">
        <v>11</v>
      </c>
      <c r="K465">
        <f t="shared" si="170"/>
        <v>11.9</v>
      </c>
      <c r="L465">
        <v>0</v>
      </c>
      <c r="M465">
        <v>0</v>
      </c>
      <c r="N465">
        <v>4.9000000000000004</v>
      </c>
      <c r="O465">
        <f t="shared" si="171"/>
        <v>4.9000000000000004</v>
      </c>
      <c r="P465">
        <v>0</v>
      </c>
      <c r="Q465">
        <v>0</v>
      </c>
      <c r="R465">
        <v>0</v>
      </c>
      <c r="S465">
        <f t="shared" si="172"/>
        <v>0</v>
      </c>
      <c r="T465">
        <v>1</v>
      </c>
      <c r="U465">
        <v>1.5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f t="shared" si="173"/>
        <v>2.5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1.8</v>
      </c>
      <c r="AI465">
        <v>20.2</v>
      </c>
      <c r="AJ465">
        <f t="shared" si="174"/>
        <v>22</v>
      </c>
      <c r="AK465">
        <v>0.9</v>
      </c>
      <c r="AL465">
        <v>0.57700000000000007</v>
      </c>
      <c r="AM465">
        <f t="shared" si="163"/>
        <v>0.41299999999999998</v>
      </c>
      <c r="AN465">
        <v>852</v>
      </c>
      <c r="AO465" t="s">
        <v>13</v>
      </c>
      <c r="AP465" s="3">
        <f t="shared" si="153"/>
        <v>1451.4480408858603</v>
      </c>
      <c r="AQ465" t="s">
        <v>13</v>
      </c>
      <c r="AR465">
        <f t="shared" si="144"/>
        <v>0.53268765133171914</v>
      </c>
      <c r="AS465">
        <f t="shared" si="175"/>
        <v>0.193</v>
      </c>
      <c r="AT465">
        <f t="shared" si="176"/>
        <v>280</v>
      </c>
      <c r="AU465">
        <f t="shared" si="177"/>
        <v>319</v>
      </c>
      <c r="AV465">
        <f t="shared" si="164"/>
        <v>194</v>
      </c>
      <c r="AW465">
        <f t="shared" si="165"/>
        <v>342</v>
      </c>
      <c r="AX465" s="3">
        <f t="shared" si="166"/>
        <v>915.44804088586034</v>
      </c>
      <c r="AY465">
        <f t="shared" si="167"/>
        <v>140</v>
      </c>
      <c r="AZ465">
        <f t="shared" si="168"/>
        <v>357</v>
      </c>
      <c r="BA465" s="3">
        <f t="shared" si="169"/>
        <v>954.44804088586034</v>
      </c>
    </row>
    <row r="466" spans="1:53" x14ac:dyDescent="0.2">
      <c r="A466">
        <v>1999</v>
      </c>
      <c r="B466" t="s">
        <v>70</v>
      </c>
      <c r="C466" t="s">
        <v>58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2.1</v>
      </c>
      <c r="J466">
        <v>9.4</v>
      </c>
      <c r="K466">
        <f t="shared" si="170"/>
        <v>11.5</v>
      </c>
      <c r="L466">
        <v>0</v>
      </c>
      <c r="M466">
        <v>0</v>
      </c>
      <c r="N466">
        <v>0</v>
      </c>
      <c r="O466">
        <f t="shared" si="171"/>
        <v>0</v>
      </c>
      <c r="P466">
        <v>0</v>
      </c>
      <c r="Q466">
        <v>0</v>
      </c>
      <c r="R466">
        <v>0</v>
      </c>
      <c r="S466">
        <f t="shared" si="172"/>
        <v>0</v>
      </c>
      <c r="T466">
        <v>4.5999999999999996</v>
      </c>
      <c r="U466">
        <v>1.6</v>
      </c>
      <c r="V466">
        <v>2.9</v>
      </c>
      <c r="W466">
        <v>1.8</v>
      </c>
      <c r="X466">
        <v>0</v>
      </c>
      <c r="Y466">
        <v>0</v>
      </c>
      <c r="Z466">
        <v>0</v>
      </c>
      <c r="AA466">
        <f t="shared" si="173"/>
        <v>10.9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3.3</v>
      </c>
      <c r="AI466">
        <v>6.2</v>
      </c>
      <c r="AJ466">
        <f t="shared" si="174"/>
        <v>9.5</v>
      </c>
      <c r="AK466">
        <v>0</v>
      </c>
      <c r="AL466">
        <v>0.68099999999999994</v>
      </c>
      <c r="AM466">
        <f t="shared" si="163"/>
        <v>0.31900000000000001</v>
      </c>
      <c r="AN466">
        <v>176</v>
      </c>
      <c r="AO466" t="s">
        <v>13</v>
      </c>
      <c r="AP466" s="3">
        <f t="shared" si="153"/>
        <v>258.44346549192363</v>
      </c>
      <c r="AQ466" t="s">
        <v>13</v>
      </c>
      <c r="AR466">
        <f t="shared" si="144"/>
        <v>0.29780564263322884</v>
      </c>
      <c r="AS466">
        <f t="shared" si="175"/>
        <v>0.22399999999999998</v>
      </c>
      <c r="AT466">
        <f t="shared" si="176"/>
        <v>58</v>
      </c>
      <c r="AU466">
        <f t="shared" si="177"/>
        <v>25</v>
      </c>
      <c r="AV466">
        <f t="shared" si="164"/>
        <v>43</v>
      </c>
      <c r="AW466">
        <f t="shared" si="165"/>
        <v>27</v>
      </c>
      <c r="AX466" s="3">
        <f t="shared" si="166"/>
        <v>188.44346549192363</v>
      </c>
      <c r="AY466">
        <f t="shared" si="167"/>
        <v>29</v>
      </c>
      <c r="AZ466">
        <f t="shared" si="168"/>
        <v>29</v>
      </c>
      <c r="BA466" s="3">
        <f t="shared" si="169"/>
        <v>200.44346549192363</v>
      </c>
    </row>
    <row r="467" spans="1:53" x14ac:dyDescent="0.2">
      <c r="A467">
        <v>2000</v>
      </c>
      <c r="B467" t="s">
        <v>70</v>
      </c>
      <c r="C467" t="s">
        <v>58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16.600000000000001</v>
      </c>
      <c r="J467">
        <v>12.9</v>
      </c>
      <c r="K467">
        <f t="shared" si="170"/>
        <v>29.5</v>
      </c>
      <c r="L467">
        <v>0</v>
      </c>
      <c r="M467">
        <v>0</v>
      </c>
      <c r="N467">
        <v>0</v>
      </c>
      <c r="O467">
        <f t="shared" si="171"/>
        <v>0</v>
      </c>
      <c r="P467">
        <v>0</v>
      </c>
      <c r="Q467">
        <v>0</v>
      </c>
      <c r="R467">
        <v>1.9</v>
      </c>
      <c r="S467">
        <f t="shared" si="172"/>
        <v>1.9</v>
      </c>
      <c r="T467">
        <v>2.2999999999999998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3.7</v>
      </c>
      <c r="AA467">
        <f t="shared" si="173"/>
        <v>6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2.2000000000000002</v>
      </c>
      <c r="AI467">
        <v>3</v>
      </c>
      <c r="AJ467">
        <f t="shared" si="174"/>
        <v>5.2</v>
      </c>
      <c r="AK467">
        <v>0</v>
      </c>
      <c r="AL467">
        <v>0.57499999999999996</v>
      </c>
      <c r="AM467">
        <f t="shared" si="163"/>
        <v>0.42599999999999999</v>
      </c>
      <c r="AN467">
        <v>401</v>
      </c>
      <c r="AO467" t="s">
        <v>13</v>
      </c>
      <c r="AP467" s="3">
        <f t="shared" si="153"/>
        <v>698.60627177700337</v>
      </c>
      <c r="AQ467" t="s">
        <v>13</v>
      </c>
      <c r="AR467">
        <f t="shared" si="144"/>
        <v>0.12206572769953053</v>
      </c>
      <c r="AS467">
        <f t="shared" si="175"/>
        <v>0.374</v>
      </c>
      <c r="AT467">
        <f t="shared" si="176"/>
        <v>261</v>
      </c>
      <c r="AU467">
        <f t="shared" si="177"/>
        <v>36</v>
      </c>
      <c r="AV467">
        <f t="shared" si="164"/>
        <v>158</v>
      </c>
      <c r="AW467">
        <f t="shared" si="165"/>
        <v>44</v>
      </c>
      <c r="AX467" s="3">
        <f t="shared" si="166"/>
        <v>496.60627177700337</v>
      </c>
      <c r="AY467">
        <f t="shared" si="167"/>
        <v>131</v>
      </c>
      <c r="AZ467">
        <f t="shared" si="168"/>
        <v>47</v>
      </c>
      <c r="BA467" s="3">
        <f t="shared" si="169"/>
        <v>520.60627177700337</v>
      </c>
    </row>
    <row r="468" spans="1:53" x14ac:dyDescent="0.2">
      <c r="A468">
        <v>2001</v>
      </c>
      <c r="B468" t="s">
        <v>70</v>
      </c>
      <c r="C468" t="s">
        <v>58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8.9</v>
      </c>
      <c r="J468">
        <v>2.4</v>
      </c>
      <c r="K468">
        <f t="shared" si="170"/>
        <v>11.3</v>
      </c>
      <c r="L468">
        <v>0</v>
      </c>
      <c r="M468">
        <v>0</v>
      </c>
      <c r="N468">
        <v>0</v>
      </c>
      <c r="O468">
        <f t="shared" si="171"/>
        <v>0</v>
      </c>
      <c r="P468">
        <v>0</v>
      </c>
      <c r="Q468">
        <v>0</v>
      </c>
      <c r="R468">
        <v>0.3</v>
      </c>
      <c r="S468">
        <f t="shared" si="172"/>
        <v>0.3</v>
      </c>
      <c r="T468">
        <v>7.9</v>
      </c>
      <c r="U468">
        <v>2.8</v>
      </c>
      <c r="V468">
        <v>12.4</v>
      </c>
      <c r="W468">
        <v>0.7</v>
      </c>
      <c r="X468">
        <v>0</v>
      </c>
      <c r="Y468">
        <v>0.1</v>
      </c>
      <c r="Z468">
        <v>1</v>
      </c>
      <c r="AA468">
        <f t="shared" si="173"/>
        <v>24.900000000000002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1.2</v>
      </c>
      <c r="AI468">
        <v>4.3</v>
      </c>
      <c r="AJ468">
        <f t="shared" si="174"/>
        <v>5.5</v>
      </c>
      <c r="AK468">
        <v>0.9</v>
      </c>
      <c r="AL468">
        <v>0.57100000000000006</v>
      </c>
      <c r="AM468">
        <f t="shared" si="163"/>
        <v>0.42</v>
      </c>
      <c r="AN468">
        <v>714</v>
      </c>
      <c r="AO468" t="s">
        <v>13</v>
      </c>
      <c r="AP468" s="3">
        <f t="shared" si="153"/>
        <v>1231.0344827586205</v>
      </c>
      <c r="AQ468" t="s">
        <v>13</v>
      </c>
      <c r="AR468">
        <f t="shared" si="144"/>
        <v>0.13095238095238096</v>
      </c>
      <c r="AS468">
        <f t="shared" si="175"/>
        <v>0.36499999999999999</v>
      </c>
      <c r="AT468">
        <f t="shared" si="176"/>
        <v>449</v>
      </c>
      <c r="AU468">
        <f t="shared" si="177"/>
        <v>68</v>
      </c>
      <c r="AV468">
        <f t="shared" si="164"/>
        <v>380</v>
      </c>
      <c r="AW468">
        <f t="shared" si="165"/>
        <v>74</v>
      </c>
      <c r="AX468" s="3">
        <f t="shared" si="166"/>
        <v>777.03448275862047</v>
      </c>
      <c r="AY468">
        <f t="shared" si="167"/>
        <v>225</v>
      </c>
      <c r="AZ468">
        <f t="shared" si="168"/>
        <v>87</v>
      </c>
      <c r="BA468" s="3">
        <f t="shared" si="169"/>
        <v>919.03448275862047</v>
      </c>
    </row>
    <row r="469" spans="1:53" x14ac:dyDescent="0.2">
      <c r="A469">
        <v>2002</v>
      </c>
      <c r="B469" t="s">
        <v>70</v>
      </c>
      <c r="C469" t="s">
        <v>58</v>
      </c>
      <c r="D469">
        <v>0.4</v>
      </c>
      <c r="E469">
        <v>0</v>
      </c>
      <c r="F469">
        <v>0</v>
      </c>
      <c r="G469">
        <v>0</v>
      </c>
      <c r="H469">
        <v>0</v>
      </c>
      <c r="I469">
        <v>9</v>
      </c>
      <c r="J469">
        <v>3.2</v>
      </c>
      <c r="K469">
        <f t="shared" si="170"/>
        <v>12.600000000000001</v>
      </c>
      <c r="L469">
        <v>0</v>
      </c>
      <c r="M469">
        <v>0</v>
      </c>
      <c r="N469">
        <v>0</v>
      </c>
      <c r="O469">
        <f t="shared" si="171"/>
        <v>0</v>
      </c>
      <c r="P469">
        <v>0</v>
      </c>
      <c r="Q469">
        <v>0</v>
      </c>
      <c r="R469">
        <v>0</v>
      </c>
      <c r="S469">
        <f t="shared" si="172"/>
        <v>0</v>
      </c>
      <c r="T469">
        <v>17.5</v>
      </c>
      <c r="U469">
        <v>5.7</v>
      </c>
      <c r="V469">
        <v>3.5</v>
      </c>
      <c r="W469">
        <v>1.5</v>
      </c>
      <c r="X469">
        <v>0</v>
      </c>
      <c r="Y469">
        <v>0.1</v>
      </c>
      <c r="Z469">
        <v>0</v>
      </c>
      <c r="AA469">
        <f t="shared" si="173"/>
        <v>28.3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7</v>
      </c>
      <c r="AI469">
        <v>2.7</v>
      </c>
      <c r="AJ469">
        <f t="shared" si="174"/>
        <v>9.6999999999999993</v>
      </c>
      <c r="AK469">
        <v>0</v>
      </c>
      <c r="AL469">
        <v>0.495</v>
      </c>
      <c r="AM469">
        <f t="shared" si="163"/>
        <v>0.50600000000000001</v>
      </c>
      <c r="AN469">
        <v>281</v>
      </c>
      <c r="AO469" t="s">
        <v>13</v>
      </c>
      <c r="AP469" s="3">
        <f t="shared" si="153"/>
        <v>568.82591093117412</v>
      </c>
      <c r="AQ469" t="s">
        <v>13</v>
      </c>
      <c r="AR469">
        <f t="shared" si="144"/>
        <v>0.19169960474308298</v>
      </c>
      <c r="AS469">
        <f t="shared" si="175"/>
        <v>0.40900000000000003</v>
      </c>
      <c r="AT469">
        <f t="shared" si="176"/>
        <v>233</v>
      </c>
      <c r="AU469">
        <f t="shared" si="177"/>
        <v>55</v>
      </c>
      <c r="AV469">
        <f t="shared" si="164"/>
        <v>197</v>
      </c>
      <c r="AW469">
        <f t="shared" si="165"/>
        <v>61</v>
      </c>
      <c r="AX469" s="3">
        <f t="shared" si="166"/>
        <v>310.82591093117412</v>
      </c>
      <c r="AY469">
        <f t="shared" si="167"/>
        <v>116</v>
      </c>
      <c r="AZ469">
        <f t="shared" si="168"/>
        <v>74</v>
      </c>
      <c r="BA469" s="3">
        <f t="shared" si="169"/>
        <v>378.82591093117412</v>
      </c>
    </row>
    <row r="470" spans="1:53" x14ac:dyDescent="0.2">
      <c r="A470">
        <v>2003</v>
      </c>
      <c r="B470" t="s">
        <v>70</v>
      </c>
      <c r="C470" t="s">
        <v>58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13.1</v>
      </c>
      <c r="J470">
        <v>5.7</v>
      </c>
      <c r="K470">
        <f t="shared" si="170"/>
        <v>18.8</v>
      </c>
      <c r="L470">
        <v>0</v>
      </c>
      <c r="M470">
        <v>0</v>
      </c>
      <c r="N470">
        <v>0</v>
      </c>
      <c r="O470">
        <f t="shared" si="171"/>
        <v>0</v>
      </c>
      <c r="P470">
        <v>0</v>
      </c>
      <c r="Q470">
        <v>0</v>
      </c>
      <c r="R470">
        <v>0.4</v>
      </c>
      <c r="S470">
        <f t="shared" si="172"/>
        <v>0.4</v>
      </c>
      <c r="T470">
        <v>10.9</v>
      </c>
      <c r="U470">
        <v>6.4</v>
      </c>
      <c r="V470">
        <v>3.6</v>
      </c>
      <c r="W470">
        <v>0.2</v>
      </c>
      <c r="X470">
        <v>0</v>
      </c>
      <c r="Y470">
        <v>0</v>
      </c>
      <c r="Z470">
        <v>0.7</v>
      </c>
      <c r="AA470">
        <f t="shared" si="173"/>
        <v>21.8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5.8</v>
      </c>
      <c r="AI470">
        <v>1.9</v>
      </c>
      <c r="AJ470">
        <f t="shared" si="174"/>
        <v>7.6999999999999993</v>
      </c>
      <c r="AK470">
        <v>0</v>
      </c>
      <c r="AL470">
        <v>0.51200000000000001</v>
      </c>
      <c r="AM470">
        <f t="shared" si="163"/>
        <v>0.48700000000000004</v>
      </c>
      <c r="AN470">
        <v>319</v>
      </c>
      <c r="AO470" t="s">
        <v>13</v>
      </c>
      <c r="AP470" s="3">
        <f t="shared" si="153"/>
        <v>621.8323586744641</v>
      </c>
      <c r="AQ470" t="s">
        <v>13</v>
      </c>
      <c r="AR470">
        <f t="shared" si="144"/>
        <v>0.15811088295687883</v>
      </c>
      <c r="AS470">
        <f t="shared" si="175"/>
        <v>0.41</v>
      </c>
      <c r="AT470">
        <f t="shared" si="176"/>
        <v>255</v>
      </c>
      <c r="AU470">
        <f t="shared" si="177"/>
        <v>48</v>
      </c>
      <c r="AV470">
        <f t="shared" si="164"/>
        <v>196</v>
      </c>
      <c r="AW470">
        <f t="shared" si="165"/>
        <v>56</v>
      </c>
      <c r="AX470" s="3">
        <f t="shared" si="166"/>
        <v>369.8323586744641</v>
      </c>
      <c r="AY470">
        <f t="shared" si="167"/>
        <v>127</v>
      </c>
      <c r="AZ470">
        <f t="shared" si="168"/>
        <v>65</v>
      </c>
      <c r="BA470" s="3">
        <f t="shared" si="169"/>
        <v>429.8323586744641</v>
      </c>
    </row>
    <row r="471" spans="1:53" x14ac:dyDescent="0.2">
      <c r="A471">
        <v>2004</v>
      </c>
      <c r="B471" t="s">
        <v>70</v>
      </c>
      <c r="C471" t="s">
        <v>58</v>
      </c>
      <c r="D471">
        <v>0.5</v>
      </c>
      <c r="E471">
        <v>0</v>
      </c>
      <c r="F471">
        <v>0</v>
      </c>
      <c r="G471">
        <v>0.3</v>
      </c>
      <c r="H471">
        <v>0</v>
      </c>
      <c r="I471">
        <v>21.3</v>
      </c>
      <c r="J471">
        <v>8.9</v>
      </c>
      <c r="K471">
        <f t="shared" si="170"/>
        <v>31</v>
      </c>
      <c r="L471">
        <v>0</v>
      </c>
      <c r="M471">
        <v>0</v>
      </c>
      <c r="N471">
        <v>0</v>
      </c>
      <c r="O471">
        <f t="shared" si="171"/>
        <v>0</v>
      </c>
      <c r="P471">
        <v>0</v>
      </c>
      <c r="Q471">
        <v>0</v>
      </c>
      <c r="R471">
        <v>0.7</v>
      </c>
      <c r="S471">
        <f t="shared" si="172"/>
        <v>0.7</v>
      </c>
      <c r="T471">
        <v>4.5</v>
      </c>
      <c r="U471">
        <v>3.6</v>
      </c>
      <c r="V471">
        <v>3.9</v>
      </c>
      <c r="W471">
        <v>0.1</v>
      </c>
      <c r="X471">
        <v>0</v>
      </c>
      <c r="Y471">
        <v>0</v>
      </c>
      <c r="Z471">
        <v>0.1</v>
      </c>
      <c r="AA471">
        <f t="shared" si="173"/>
        <v>12.2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15.1</v>
      </c>
      <c r="AI471">
        <v>1.2</v>
      </c>
      <c r="AJ471">
        <f t="shared" si="174"/>
        <v>16.3</v>
      </c>
      <c r="AK471">
        <v>0</v>
      </c>
      <c r="AL471">
        <v>0.39700000000000002</v>
      </c>
      <c r="AM471">
        <f t="shared" si="163"/>
        <v>0.60199999999999998</v>
      </c>
      <c r="AN471">
        <v>626</v>
      </c>
      <c r="AO471" t="s">
        <v>13</v>
      </c>
      <c r="AP471" s="3">
        <f t="shared" si="153"/>
        <v>1572.8643216080402</v>
      </c>
      <c r="AQ471" t="s">
        <v>13</v>
      </c>
      <c r="AR471">
        <f t="shared" si="144"/>
        <v>0.2707641196013289</v>
      </c>
      <c r="AS471">
        <f t="shared" si="175"/>
        <v>0.439</v>
      </c>
      <c r="AT471">
        <f t="shared" si="176"/>
        <v>690</v>
      </c>
      <c r="AU471">
        <f t="shared" si="177"/>
        <v>256</v>
      </c>
      <c r="AV471">
        <f t="shared" si="164"/>
        <v>447</v>
      </c>
      <c r="AW471">
        <f t="shared" si="165"/>
        <v>326</v>
      </c>
      <c r="AX471" s="3">
        <f t="shared" si="166"/>
        <v>799.8643216080402</v>
      </c>
      <c r="AY471">
        <f t="shared" si="167"/>
        <v>345</v>
      </c>
      <c r="AZ471">
        <f t="shared" si="168"/>
        <v>356</v>
      </c>
      <c r="BA471" s="3">
        <f t="shared" si="169"/>
        <v>871.8643216080402</v>
      </c>
    </row>
    <row r="472" spans="1:53" x14ac:dyDescent="0.2">
      <c r="A472">
        <v>2005</v>
      </c>
      <c r="B472" t="s">
        <v>70</v>
      </c>
      <c r="C472" t="s">
        <v>58</v>
      </c>
      <c r="D472">
        <v>0</v>
      </c>
      <c r="E472">
        <v>0</v>
      </c>
      <c r="F472">
        <v>0</v>
      </c>
      <c r="G472">
        <v>0.4</v>
      </c>
      <c r="H472">
        <v>0</v>
      </c>
      <c r="I472">
        <v>29.2</v>
      </c>
      <c r="J472">
        <v>7.9</v>
      </c>
      <c r="K472">
        <f t="shared" si="170"/>
        <v>37.5</v>
      </c>
      <c r="L472">
        <v>0</v>
      </c>
      <c r="M472">
        <v>0</v>
      </c>
      <c r="N472">
        <v>0</v>
      </c>
      <c r="O472">
        <f t="shared" si="171"/>
        <v>0</v>
      </c>
      <c r="P472">
        <v>0</v>
      </c>
      <c r="Q472">
        <v>0</v>
      </c>
      <c r="R472">
        <v>0</v>
      </c>
      <c r="S472">
        <f t="shared" si="172"/>
        <v>0</v>
      </c>
      <c r="T472">
        <v>5.3</v>
      </c>
      <c r="U472">
        <v>2.2999999999999998</v>
      </c>
      <c r="V472">
        <v>1.8</v>
      </c>
      <c r="W472">
        <v>0</v>
      </c>
      <c r="X472">
        <v>0</v>
      </c>
      <c r="Y472">
        <v>0</v>
      </c>
      <c r="Z472">
        <v>0</v>
      </c>
      <c r="AA472">
        <f t="shared" si="173"/>
        <v>9.4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14.9</v>
      </c>
      <c r="AI472">
        <v>0.2</v>
      </c>
      <c r="AJ472">
        <f t="shared" si="174"/>
        <v>15.1</v>
      </c>
      <c r="AK472">
        <v>0</v>
      </c>
      <c r="AL472">
        <v>0.38100000000000001</v>
      </c>
      <c r="AM472">
        <f t="shared" si="163"/>
        <v>0.61999999999999988</v>
      </c>
      <c r="AN472">
        <v>103</v>
      </c>
      <c r="AO472" t="s">
        <v>13</v>
      </c>
      <c r="AP472" s="3">
        <f t="shared" si="153"/>
        <v>271.05263157894728</v>
      </c>
      <c r="AQ472" t="s">
        <v>13</v>
      </c>
      <c r="AR472">
        <f t="shared" si="144"/>
        <v>0.24354838709677423</v>
      </c>
      <c r="AS472">
        <f t="shared" si="175"/>
        <v>0.46899999999999997</v>
      </c>
      <c r="AT472">
        <f t="shared" si="176"/>
        <v>127</v>
      </c>
      <c r="AU472">
        <f t="shared" si="177"/>
        <v>41</v>
      </c>
      <c r="AV472">
        <f t="shared" si="164"/>
        <v>76</v>
      </c>
      <c r="AW472">
        <f t="shared" si="165"/>
        <v>56</v>
      </c>
      <c r="AX472" s="3">
        <f t="shared" si="166"/>
        <v>139.05263157894728</v>
      </c>
      <c r="AY472">
        <f t="shared" si="167"/>
        <v>64</v>
      </c>
      <c r="AZ472">
        <f t="shared" si="168"/>
        <v>59</v>
      </c>
      <c r="BA472" s="3">
        <f t="shared" si="169"/>
        <v>148.05263157894728</v>
      </c>
    </row>
    <row r="473" spans="1:53" x14ac:dyDescent="0.2">
      <c r="A473">
        <v>2006</v>
      </c>
      <c r="B473" t="s">
        <v>70</v>
      </c>
      <c r="C473" t="s">
        <v>58</v>
      </c>
      <c r="D473" t="s">
        <v>13</v>
      </c>
      <c r="E473" t="s">
        <v>13</v>
      </c>
      <c r="F473" t="s">
        <v>13</v>
      </c>
      <c r="G473" t="s">
        <v>13</v>
      </c>
      <c r="H473" t="s">
        <v>13</v>
      </c>
      <c r="I473" t="s">
        <v>13</v>
      </c>
      <c r="J473" t="s">
        <v>13</v>
      </c>
      <c r="K473" t="s">
        <v>13</v>
      </c>
      <c r="L473" t="s">
        <v>13</v>
      </c>
      <c r="M473" t="s">
        <v>13</v>
      </c>
      <c r="N473" t="s">
        <v>13</v>
      </c>
      <c r="O473" t="s">
        <v>13</v>
      </c>
      <c r="P473" t="s">
        <v>13</v>
      </c>
      <c r="Q473" t="s">
        <v>13</v>
      </c>
      <c r="R473" t="s">
        <v>13</v>
      </c>
      <c r="S473" t="s">
        <v>13</v>
      </c>
      <c r="T473" t="s">
        <v>13</v>
      </c>
      <c r="U473" t="s">
        <v>13</v>
      </c>
      <c r="V473" t="s">
        <v>13</v>
      </c>
      <c r="W473" t="s">
        <v>13</v>
      </c>
      <c r="X473" t="s">
        <v>13</v>
      </c>
      <c r="Y473" t="s">
        <v>13</v>
      </c>
      <c r="Z473" t="s">
        <v>13</v>
      </c>
      <c r="AA473" t="s">
        <v>13</v>
      </c>
      <c r="AB473" t="s">
        <v>13</v>
      </c>
      <c r="AC473" t="s">
        <v>13</v>
      </c>
      <c r="AD473" t="s">
        <v>13</v>
      </c>
      <c r="AE473" t="s">
        <v>13</v>
      </c>
      <c r="AF473" t="s">
        <v>13</v>
      </c>
      <c r="AG473" t="s">
        <v>13</v>
      </c>
      <c r="AH473" t="s">
        <v>13</v>
      </c>
      <c r="AI473" t="s">
        <v>13</v>
      </c>
      <c r="AJ473" t="s">
        <v>13</v>
      </c>
      <c r="AK473" t="s">
        <v>13</v>
      </c>
      <c r="AL473" t="s">
        <v>13</v>
      </c>
      <c r="AM473" t="s">
        <v>13</v>
      </c>
      <c r="AN473">
        <v>319</v>
      </c>
      <c r="AO473" t="s">
        <v>13</v>
      </c>
      <c r="AP473" t="s">
        <v>13</v>
      </c>
      <c r="AQ473" t="s">
        <v>13</v>
      </c>
      <c r="AR473" t="s">
        <v>13</v>
      </c>
      <c r="AS473" t="s">
        <v>13</v>
      </c>
      <c r="AT473" t="s">
        <v>13</v>
      </c>
      <c r="AU473" t="s">
        <v>13</v>
      </c>
      <c r="AV473" t="s">
        <v>13</v>
      </c>
      <c r="AW473" t="s">
        <v>13</v>
      </c>
      <c r="AX473" t="s">
        <v>13</v>
      </c>
      <c r="AY473" t="s">
        <v>13</v>
      </c>
      <c r="AZ473" t="s">
        <v>13</v>
      </c>
      <c r="BA473" t="s">
        <v>13</v>
      </c>
    </row>
    <row r="474" spans="1:53" x14ac:dyDescent="0.2">
      <c r="A474">
        <v>2007</v>
      </c>
      <c r="B474" t="s">
        <v>70</v>
      </c>
      <c r="C474" t="s">
        <v>58</v>
      </c>
      <c r="D474">
        <v>0</v>
      </c>
      <c r="E474">
        <v>0.9</v>
      </c>
      <c r="F474">
        <v>0</v>
      </c>
      <c r="G474">
        <v>0</v>
      </c>
      <c r="H474">
        <v>0</v>
      </c>
      <c r="I474">
        <v>14.3</v>
      </c>
      <c r="J474">
        <v>0</v>
      </c>
      <c r="K474">
        <f t="shared" ref="K474:K489" si="178">SUM(D474:J474)</f>
        <v>15.200000000000001</v>
      </c>
      <c r="L474">
        <v>0</v>
      </c>
      <c r="M474">
        <v>0</v>
      </c>
      <c r="N474">
        <v>0</v>
      </c>
      <c r="O474">
        <f t="shared" ref="O474:O489" si="179">SUM(L474:N474)</f>
        <v>0</v>
      </c>
      <c r="P474">
        <v>0</v>
      </c>
      <c r="Q474">
        <v>0</v>
      </c>
      <c r="R474">
        <v>0</v>
      </c>
      <c r="S474">
        <f t="shared" ref="S474:S489" si="180">SUM(P474:R474)</f>
        <v>0</v>
      </c>
      <c r="T474">
        <v>6.5</v>
      </c>
      <c r="U474">
        <v>2.5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f t="shared" ref="AA474:AA489" si="181">SUM(T474:Z474)</f>
        <v>9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4.0999999999999996</v>
      </c>
      <c r="AI474">
        <v>2.6</v>
      </c>
      <c r="AJ474">
        <f t="shared" ref="AJ474:AJ489" si="182">SUM(AB474:AI474)</f>
        <v>6.6999999999999993</v>
      </c>
      <c r="AK474">
        <v>0</v>
      </c>
      <c r="AL474">
        <v>0.69</v>
      </c>
      <c r="AM474">
        <f t="shared" si="163"/>
        <v>0.309</v>
      </c>
      <c r="AN474">
        <v>88</v>
      </c>
      <c r="AO474" t="s">
        <v>13</v>
      </c>
      <c r="AP474" s="3">
        <f t="shared" si="153"/>
        <v>127.35166425470332</v>
      </c>
      <c r="AQ474" t="s">
        <v>13</v>
      </c>
      <c r="AR474">
        <f t="shared" si="144"/>
        <v>0.21682847896440127</v>
      </c>
      <c r="AS474">
        <f t="shared" ref="AS474:AS489" si="183">SUM(K474,O474,S474,AA474)/100</f>
        <v>0.24200000000000002</v>
      </c>
      <c r="AT474">
        <f t="shared" ref="AT474:AT489" si="184">ROUND(AS474*AP474,0)</f>
        <v>31</v>
      </c>
      <c r="AU474">
        <f t="shared" ref="AU474:AU489" si="185">ROUND((AJ474/100)*AP474,0)</f>
        <v>9</v>
      </c>
      <c r="AV474">
        <f t="shared" si="164"/>
        <v>21</v>
      </c>
      <c r="AW474">
        <f t="shared" si="165"/>
        <v>10</v>
      </c>
      <c r="AX474" s="3">
        <f t="shared" si="166"/>
        <v>96.351664254703323</v>
      </c>
      <c r="AY474">
        <f t="shared" si="167"/>
        <v>15</v>
      </c>
      <c r="AZ474">
        <f t="shared" si="168"/>
        <v>10</v>
      </c>
      <c r="BA474" s="3">
        <f t="shared" si="169"/>
        <v>102.35166425470332</v>
      </c>
    </row>
    <row r="475" spans="1:53" x14ac:dyDescent="0.2">
      <c r="A475">
        <v>2008</v>
      </c>
      <c r="B475" t="s">
        <v>70</v>
      </c>
      <c r="C475" t="s">
        <v>58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11.5</v>
      </c>
      <c r="J475">
        <v>8.3000000000000007</v>
      </c>
      <c r="K475">
        <f t="shared" si="178"/>
        <v>19.8</v>
      </c>
      <c r="L475">
        <v>0</v>
      </c>
      <c r="M475">
        <v>0</v>
      </c>
      <c r="N475">
        <v>0</v>
      </c>
      <c r="O475">
        <f t="shared" si="179"/>
        <v>0</v>
      </c>
      <c r="P475">
        <v>0</v>
      </c>
      <c r="Q475">
        <v>0</v>
      </c>
      <c r="R475">
        <v>1.9</v>
      </c>
      <c r="S475">
        <f t="shared" si="180"/>
        <v>1.9</v>
      </c>
      <c r="T475">
        <v>4.7</v>
      </c>
      <c r="U475">
        <v>7.1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f t="shared" si="181"/>
        <v>11.8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22.1</v>
      </c>
      <c r="AI475">
        <v>3.3</v>
      </c>
      <c r="AJ475">
        <f t="shared" si="182"/>
        <v>25.400000000000002</v>
      </c>
      <c r="AK475">
        <v>0</v>
      </c>
      <c r="AL475">
        <v>0.40899999999999997</v>
      </c>
      <c r="AM475">
        <f t="shared" si="163"/>
        <v>0.58900000000000008</v>
      </c>
      <c r="AN475">
        <v>95</v>
      </c>
      <c r="AO475">
        <v>33</v>
      </c>
      <c r="AP475" s="3">
        <f t="shared" si="153"/>
        <v>231.14355231143557</v>
      </c>
      <c r="AQ475" s="3">
        <f t="shared" si="154"/>
        <v>80.291970802919721</v>
      </c>
      <c r="AR475">
        <f t="shared" si="144"/>
        <v>0.43123938879456702</v>
      </c>
      <c r="AS475">
        <f t="shared" si="183"/>
        <v>0.33500000000000002</v>
      </c>
      <c r="AT475">
        <f t="shared" si="184"/>
        <v>77</v>
      </c>
      <c r="AU475">
        <f t="shared" si="185"/>
        <v>59</v>
      </c>
      <c r="AV475">
        <f t="shared" si="164"/>
        <v>55</v>
      </c>
      <c r="AW475">
        <f t="shared" si="165"/>
        <v>67</v>
      </c>
      <c r="AX475" s="3">
        <f t="shared" si="166"/>
        <v>109.14355231143557</v>
      </c>
      <c r="AY475">
        <f t="shared" si="167"/>
        <v>39</v>
      </c>
      <c r="AZ475">
        <f t="shared" si="168"/>
        <v>74</v>
      </c>
      <c r="BA475" s="3">
        <f t="shared" si="169"/>
        <v>118.14355231143557</v>
      </c>
    </row>
    <row r="476" spans="1:53" x14ac:dyDescent="0.2">
      <c r="A476">
        <v>2009</v>
      </c>
      <c r="B476" t="s">
        <v>70</v>
      </c>
      <c r="C476" t="s">
        <v>58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4.0999999999999996</v>
      </c>
      <c r="J476">
        <v>8.1999999999999993</v>
      </c>
      <c r="K476">
        <f t="shared" si="178"/>
        <v>12.299999999999999</v>
      </c>
      <c r="L476">
        <v>0</v>
      </c>
      <c r="M476">
        <v>0</v>
      </c>
      <c r="N476">
        <v>0</v>
      </c>
      <c r="O476">
        <f t="shared" si="179"/>
        <v>0</v>
      </c>
      <c r="P476">
        <v>0</v>
      </c>
      <c r="Q476">
        <v>0</v>
      </c>
      <c r="R476">
        <v>4.5999999999999996</v>
      </c>
      <c r="S476">
        <f t="shared" si="180"/>
        <v>4.5999999999999996</v>
      </c>
      <c r="T476">
        <v>4</v>
      </c>
      <c r="U476">
        <v>4.9000000000000004</v>
      </c>
      <c r="V476">
        <v>0</v>
      </c>
      <c r="W476">
        <v>0</v>
      </c>
      <c r="X476">
        <v>0</v>
      </c>
      <c r="Y476">
        <v>0</v>
      </c>
      <c r="Z476">
        <v>4</v>
      </c>
      <c r="AA476">
        <f t="shared" si="181"/>
        <v>12.9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27</v>
      </c>
      <c r="AI476">
        <v>2.8</v>
      </c>
      <c r="AJ476">
        <f t="shared" si="182"/>
        <v>29.8</v>
      </c>
      <c r="AK476">
        <v>0</v>
      </c>
      <c r="AL476">
        <v>0.40500000000000003</v>
      </c>
      <c r="AM476">
        <f t="shared" si="163"/>
        <v>0.59599999999999997</v>
      </c>
      <c r="AN476">
        <v>555</v>
      </c>
      <c r="AO476">
        <v>269</v>
      </c>
      <c r="AP476" s="3">
        <f t="shared" si="153"/>
        <v>1373.7623762376236</v>
      </c>
      <c r="AQ476" s="3">
        <f t="shared" si="154"/>
        <v>665.8415841584158</v>
      </c>
      <c r="AR476">
        <f t="shared" si="144"/>
        <v>0.5</v>
      </c>
      <c r="AS476">
        <f t="shared" si="183"/>
        <v>0.29799999999999999</v>
      </c>
      <c r="AT476">
        <f t="shared" si="184"/>
        <v>409</v>
      </c>
      <c r="AU476">
        <f t="shared" si="185"/>
        <v>409</v>
      </c>
      <c r="AV476">
        <f t="shared" si="164"/>
        <v>325</v>
      </c>
      <c r="AW476">
        <f t="shared" si="165"/>
        <v>445</v>
      </c>
      <c r="AX476" s="3">
        <f t="shared" si="166"/>
        <v>603.76237623762358</v>
      </c>
      <c r="AY476">
        <f t="shared" si="167"/>
        <v>205</v>
      </c>
      <c r="AZ476">
        <f t="shared" si="168"/>
        <v>495</v>
      </c>
      <c r="BA476" s="3">
        <f t="shared" si="169"/>
        <v>673.76237623762358</v>
      </c>
    </row>
    <row r="477" spans="1:53" x14ac:dyDescent="0.2">
      <c r="A477">
        <v>2010</v>
      </c>
      <c r="B477" t="s">
        <v>70</v>
      </c>
      <c r="C477" t="s">
        <v>58</v>
      </c>
      <c r="D477">
        <v>0.3</v>
      </c>
      <c r="E477">
        <v>0</v>
      </c>
      <c r="F477">
        <v>0</v>
      </c>
      <c r="G477">
        <v>0.2</v>
      </c>
      <c r="H477">
        <v>0</v>
      </c>
      <c r="I477">
        <v>6.6</v>
      </c>
      <c r="J477">
        <v>6.6</v>
      </c>
      <c r="K477">
        <f t="shared" si="178"/>
        <v>13.7</v>
      </c>
      <c r="L477">
        <v>0</v>
      </c>
      <c r="M477">
        <v>0</v>
      </c>
      <c r="N477">
        <v>0</v>
      </c>
      <c r="O477">
        <f t="shared" si="179"/>
        <v>0</v>
      </c>
      <c r="P477">
        <v>0</v>
      </c>
      <c r="Q477">
        <v>0</v>
      </c>
      <c r="R477">
        <v>3.2</v>
      </c>
      <c r="S477">
        <f t="shared" si="180"/>
        <v>3.2</v>
      </c>
      <c r="T477">
        <v>14.8</v>
      </c>
      <c r="U477">
        <v>5</v>
      </c>
      <c r="V477">
        <v>3.7</v>
      </c>
      <c r="W477">
        <v>0</v>
      </c>
      <c r="X477">
        <v>0.2</v>
      </c>
      <c r="Y477">
        <v>0</v>
      </c>
      <c r="Z477">
        <v>0.2</v>
      </c>
      <c r="AA477">
        <f t="shared" si="181"/>
        <v>23.9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26.7</v>
      </c>
      <c r="AI477">
        <v>3.2</v>
      </c>
      <c r="AJ477">
        <f t="shared" si="182"/>
        <v>29.9</v>
      </c>
      <c r="AK477">
        <v>0</v>
      </c>
      <c r="AL477">
        <v>0.29199999999999998</v>
      </c>
      <c r="AM477">
        <f t="shared" si="163"/>
        <v>0.70700000000000007</v>
      </c>
      <c r="AN477">
        <v>170</v>
      </c>
      <c r="AO477">
        <v>83</v>
      </c>
      <c r="AP477" s="3">
        <f t="shared" si="153"/>
        <v>580.20477815699678</v>
      </c>
      <c r="AQ477" s="3">
        <f t="shared" si="154"/>
        <v>283.27645051194548</v>
      </c>
      <c r="AR477">
        <f t="shared" si="144"/>
        <v>0.42291371994342286</v>
      </c>
      <c r="AS477">
        <f t="shared" si="183"/>
        <v>0.40799999999999997</v>
      </c>
      <c r="AT477">
        <f t="shared" si="184"/>
        <v>237</v>
      </c>
      <c r="AU477">
        <f t="shared" si="185"/>
        <v>173</v>
      </c>
      <c r="AV477">
        <f t="shared" si="164"/>
        <v>197</v>
      </c>
      <c r="AW477">
        <f t="shared" si="165"/>
        <v>193</v>
      </c>
      <c r="AX477" s="3">
        <f t="shared" si="166"/>
        <v>190.20477815699678</v>
      </c>
      <c r="AY477">
        <f t="shared" si="167"/>
        <v>118</v>
      </c>
      <c r="AZ477">
        <f t="shared" si="168"/>
        <v>233</v>
      </c>
      <c r="BA477" s="3">
        <f t="shared" si="169"/>
        <v>229.20477815699678</v>
      </c>
    </row>
    <row r="478" spans="1:53" x14ac:dyDescent="0.2">
      <c r="A478">
        <v>2011</v>
      </c>
      <c r="B478" t="s">
        <v>70</v>
      </c>
      <c r="C478" t="s">
        <v>58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9.4</v>
      </c>
      <c r="J478">
        <v>6.8</v>
      </c>
      <c r="K478">
        <f t="shared" si="178"/>
        <v>16.2</v>
      </c>
      <c r="L478">
        <v>0</v>
      </c>
      <c r="M478">
        <v>0</v>
      </c>
      <c r="N478">
        <v>1.4</v>
      </c>
      <c r="O478">
        <f t="shared" si="179"/>
        <v>1.4</v>
      </c>
      <c r="P478">
        <v>0</v>
      </c>
      <c r="Q478">
        <v>0</v>
      </c>
      <c r="R478">
        <v>0.6</v>
      </c>
      <c r="S478">
        <f t="shared" si="180"/>
        <v>0.6</v>
      </c>
      <c r="T478">
        <v>4.8</v>
      </c>
      <c r="U478">
        <v>7.2</v>
      </c>
      <c r="V478">
        <v>2.2999999999999998</v>
      </c>
      <c r="W478">
        <v>0.4</v>
      </c>
      <c r="X478">
        <v>2.2999999999999998</v>
      </c>
      <c r="Y478">
        <v>0</v>
      </c>
      <c r="Z478">
        <v>1.1000000000000001</v>
      </c>
      <c r="AA478">
        <f t="shared" si="181"/>
        <v>18.100000000000001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17.7</v>
      </c>
      <c r="AI478">
        <v>3.2</v>
      </c>
      <c r="AJ478">
        <f t="shared" si="182"/>
        <v>20.9</v>
      </c>
      <c r="AK478">
        <v>0</v>
      </c>
      <c r="AL478">
        <v>0.43</v>
      </c>
      <c r="AM478">
        <f t="shared" si="163"/>
        <v>0.57199999999999984</v>
      </c>
      <c r="AN478">
        <v>416</v>
      </c>
      <c r="AO478">
        <v>62</v>
      </c>
      <c r="AP478" s="3">
        <f t="shared" si="153"/>
        <v>971.9626168224296</v>
      </c>
      <c r="AQ478" s="3">
        <f t="shared" si="154"/>
        <v>144.85981308411209</v>
      </c>
      <c r="AR478">
        <f t="shared" si="144"/>
        <v>0.36538461538461547</v>
      </c>
      <c r="AS478">
        <f t="shared" si="183"/>
        <v>0.36299999999999999</v>
      </c>
      <c r="AT478">
        <f t="shared" si="184"/>
        <v>353</v>
      </c>
      <c r="AU478">
        <f t="shared" si="185"/>
        <v>203</v>
      </c>
      <c r="AV478">
        <f t="shared" si="164"/>
        <v>274</v>
      </c>
      <c r="AW478">
        <f t="shared" si="165"/>
        <v>229</v>
      </c>
      <c r="AX478" s="3">
        <f t="shared" si="166"/>
        <v>468.9626168224296</v>
      </c>
      <c r="AY478">
        <f t="shared" si="167"/>
        <v>176</v>
      </c>
      <c r="AZ478">
        <f t="shared" si="168"/>
        <v>261</v>
      </c>
      <c r="BA478" s="3">
        <f t="shared" si="169"/>
        <v>534.9626168224296</v>
      </c>
    </row>
    <row r="479" spans="1:53" x14ac:dyDescent="0.2">
      <c r="A479">
        <v>2012</v>
      </c>
      <c r="B479" t="s">
        <v>70</v>
      </c>
      <c r="C479" t="s">
        <v>58</v>
      </c>
      <c r="D479">
        <v>0</v>
      </c>
      <c r="E479">
        <v>0</v>
      </c>
      <c r="F479">
        <v>0</v>
      </c>
      <c r="G479">
        <v>0.5</v>
      </c>
      <c r="H479">
        <v>0</v>
      </c>
      <c r="I479">
        <v>3</v>
      </c>
      <c r="J479">
        <v>8.9</v>
      </c>
      <c r="K479">
        <f t="shared" si="178"/>
        <v>12.4</v>
      </c>
      <c r="L479">
        <v>0</v>
      </c>
      <c r="M479">
        <v>0</v>
      </c>
      <c r="N479">
        <v>0</v>
      </c>
      <c r="O479">
        <f t="shared" si="179"/>
        <v>0</v>
      </c>
      <c r="P479">
        <v>0</v>
      </c>
      <c r="Q479">
        <v>0</v>
      </c>
      <c r="R479">
        <v>1.4</v>
      </c>
      <c r="S479">
        <f t="shared" si="180"/>
        <v>1.4</v>
      </c>
      <c r="T479">
        <v>9.4</v>
      </c>
      <c r="U479">
        <v>9.6</v>
      </c>
      <c r="V479">
        <v>6.9</v>
      </c>
      <c r="W479">
        <v>1.6</v>
      </c>
      <c r="X479">
        <v>0.3</v>
      </c>
      <c r="Y479">
        <v>0</v>
      </c>
      <c r="Z479">
        <v>1.1000000000000001</v>
      </c>
      <c r="AA479">
        <f t="shared" si="181"/>
        <v>28.900000000000002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16.3</v>
      </c>
      <c r="AI479">
        <v>2.9</v>
      </c>
      <c r="AJ479">
        <f t="shared" si="182"/>
        <v>19.2</v>
      </c>
      <c r="AK479">
        <v>0</v>
      </c>
      <c r="AL479">
        <v>0.38200000000000001</v>
      </c>
      <c r="AM479">
        <f t="shared" si="163"/>
        <v>0.61899999999999999</v>
      </c>
      <c r="AN479">
        <v>160</v>
      </c>
      <c r="AO479">
        <v>35</v>
      </c>
      <c r="AP479" s="3">
        <f t="shared" si="153"/>
        <v>419.9475065616798</v>
      </c>
      <c r="AQ479" s="3">
        <f t="shared" si="154"/>
        <v>91.863517060367457</v>
      </c>
      <c r="AR479">
        <f t="shared" si="144"/>
        <v>0.31017770597738287</v>
      </c>
      <c r="AS479">
        <f t="shared" si="183"/>
        <v>0.42700000000000005</v>
      </c>
      <c r="AT479">
        <f t="shared" si="184"/>
        <v>179</v>
      </c>
      <c r="AU479">
        <f t="shared" si="185"/>
        <v>81</v>
      </c>
      <c r="AV479">
        <f t="shared" si="164"/>
        <v>153</v>
      </c>
      <c r="AW479">
        <f t="shared" si="165"/>
        <v>90</v>
      </c>
      <c r="AX479" s="3">
        <f t="shared" si="166"/>
        <v>176.9475065616798</v>
      </c>
      <c r="AY479">
        <f t="shared" si="167"/>
        <v>90</v>
      </c>
      <c r="AZ479">
        <f t="shared" si="168"/>
        <v>111</v>
      </c>
      <c r="BA479" s="3">
        <f t="shared" si="169"/>
        <v>218.9475065616798</v>
      </c>
    </row>
    <row r="480" spans="1:53" x14ac:dyDescent="0.2">
      <c r="A480">
        <v>2013</v>
      </c>
      <c r="B480" t="s">
        <v>70</v>
      </c>
      <c r="C480" t="s">
        <v>58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2.4</v>
      </c>
      <c r="J480">
        <v>3.6</v>
      </c>
      <c r="K480">
        <f t="shared" si="178"/>
        <v>6</v>
      </c>
      <c r="L480">
        <v>0</v>
      </c>
      <c r="M480">
        <v>0</v>
      </c>
      <c r="N480">
        <v>0.6</v>
      </c>
      <c r="O480">
        <f t="shared" si="179"/>
        <v>0.6</v>
      </c>
      <c r="P480">
        <v>0</v>
      </c>
      <c r="Q480">
        <v>0</v>
      </c>
      <c r="R480">
        <v>3.6</v>
      </c>
      <c r="S480">
        <f t="shared" si="180"/>
        <v>3.6</v>
      </c>
      <c r="T480">
        <v>6.9</v>
      </c>
      <c r="U480">
        <v>5</v>
      </c>
      <c r="V480">
        <v>2.2000000000000002</v>
      </c>
      <c r="W480">
        <v>0</v>
      </c>
      <c r="X480">
        <v>0</v>
      </c>
      <c r="Y480">
        <v>0</v>
      </c>
      <c r="Z480">
        <v>7.8</v>
      </c>
      <c r="AA480">
        <f t="shared" si="181"/>
        <v>21.900000000000002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16.2</v>
      </c>
      <c r="AI480">
        <v>2.6</v>
      </c>
      <c r="AJ480">
        <f t="shared" si="182"/>
        <v>18.8</v>
      </c>
      <c r="AK480">
        <v>0</v>
      </c>
      <c r="AL480">
        <v>0.49200000000000005</v>
      </c>
      <c r="AM480">
        <f t="shared" si="163"/>
        <v>0.50900000000000001</v>
      </c>
      <c r="AN480">
        <v>1541</v>
      </c>
      <c r="AO480">
        <v>91</v>
      </c>
      <c r="AP480" s="3">
        <f t="shared" si="153"/>
        <v>3138.4928716904278</v>
      </c>
      <c r="AQ480" s="3">
        <f t="shared" si="154"/>
        <v>185.33604887983708</v>
      </c>
      <c r="AR480">
        <f t="shared" si="144"/>
        <v>0.36935166994106089</v>
      </c>
      <c r="AS480">
        <f t="shared" si="183"/>
        <v>0.32100000000000001</v>
      </c>
      <c r="AT480">
        <f t="shared" si="184"/>
        <v>1007</v>
      </c>
      <c r="AU480">
        <f t="shared" si="185"/>
        <v>590</v>
      </c>
      <c r="AV480">
        <f t="shared" si="164"/>
        <v>913</v>
      </c>
      <c r="AW480">
        <f t="shared" si="165"/>
        <v>616</v>
      </c>
      <c r="AX480" s="3">
        <f t="shared" si="166"/>
        <v>1609.4928716904278</v>
      </c>
      <c r="AY480">
        <f t="shared" si="167"/>
        <v>504</v>
      </c>
      <c r="AZ480">
        <f t="shared" si="168"/>
        <v>729</v>
      </c>
      <c r="BA480" s="3">
        <f t="shared" si="169"/>
        <v>1905.4928716904278</v>
      </c>
    </row>
    <row r="481" spans="1:53" x14ac:dyDescent="0.2">
      <c r="A481">
        <v>2014</v>
      </c>
      <c r="B481" t="s">
        <v>70</v>
      </c>
      <c r="C481" t="s">
        <v>58</v>
      </c>
      <c r="D481">
        <v>0</v>
      </c>
      <c r="E481">
        <v>0.1</v>
      </c>
      <c r="F481">
        <v>0.1</v>
      </c>
      <c r="G481">
        <v>0</v>
      </c>
      <c r="H481">
        <v>0</v>
      </c>
      <c r="I481">
        <v>6.2</v>
      </c>
      <c r="J481">
        <v>2.8</v>
      </c>
      <c r="K481">
        <f t="shared" si="178"/>
        <v>9.1999999999999993</v>
      </c>
      <c r="L481">
        <v>0</v>
      </c>
      <c r="M481">
        <v>0</v>
      </c>
      <c r="N481">
        <v>0</v>
      </c>
      <c r="O481">
        <f t="shared" si="179"/>
        <v>0</v>
      </c>
      <c r="P481">
        <v>0.1</v>
      </c>
      <c r="Q481">
        <v>0</v>
      </c>
      <c r="R481">
        <v>3</v>
      </c>
      <c r="S481">
        <f t="shared" si="180"/>
        <v>3.1</v>
      </c>
      <c r="T481">
        <v>15.8</v>
      </c>
      <c r="U481">
        <v>12.2</v>
      </c>
      <c r="V481">
        <v>8.1</v>
      </c>
      <c r="W481">
        <v>1</v>
      </c>
      <c r="X481">
        <v>0.4</v>
      </c>
      <c r="Y481">
        <v>0</v>
      </c>
      <c r="Z481">
        <v>0.5</v>
      </c>
      <c r="AA481">
        <f t="shared" si="181"/>
        <v>38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15.8</v>
      </c>
      <c r="AI481">
        <v>2.8</v>
      </c>
      <c r="AJ481">
        <f t="shared" si="182"/>
        <v>18.600000000000001</v>
      </c>
      <c r="AK481">
        <v>0</v>
      </c>
      <c r="AL481">
        <v>0.31</v>
      </c>
      <c r="AM481">
        <f t="shared" si="163"/>
        <v>0.68900000000000006</v>
      </c>
      <c r="AN481">
        <v>686</v>
      </c>
      <c r="AO481">
        <v>185</v>
      </c>
      <c r="AP481" s="3">
        <f t="shared" si="153"/>
        <v>2205.7877813504829</v>
      </c>
      <c r="AQ481" s="3">
        <f t="shared" si="154"/>
        <v>594.85530546623806</v>
      </c>
      <c r="AR481">
        <f t="shared" si="144"/>
        <v>0.26995645863570394</v>
      </c>
      <c r="AS481">
        <f t="shared" si="183"/>
        <v>0.503</v>
      </c>
      <c r="AT481">
        <f t="shared" si="184"/>
        <v>1110</v>
      </c>
      <c r="AU481">
        <f t="shared" si="185"/>
        <v>410</v>
      </c>
      <c r="AV481">
        <f t="shared" si="164"/>
        <v>1008</v>
      </c>
      <c r="AW481">
        <f t="shared" si="165"/>
        <v>448</v>
      </c>
      <c r="AX481" s="3">
        <f t="shared" si="166"/>
        <v>749.78778135048287</v>
      </c>
      <c r="AY481">
        <f t="shared" si="167"/>
        <v>555</v>
      </c>
      <c r="AZ481">
        <f t="shared" si="168"/>
        <v>618</v>
      </c>
      <c r="BA481" s="3">
        <f t="shared" si="169"/>
        <v>1032.7877813504829</v>
      </c>
    </row>
    <row r="482" spans="1:53" x14ac:dyDescent="0.2">
      <c r="A482">
        <v>2015</v>
      </c>
      <c r="B482" t="s">
        <v>70</v>
      </c>
      <c r="C482" t="s">
        <v>58</v>
      </c>
      <c r="D482">
        <v>0.4</v>
      </c>
      <c r="E482">
        <v>0</v>
      </c>
      <c r="F482">
        <v>0</v>
      </c>
      <c r="G482">
        <v>0.2</v>
      </c>
      <c r="H482">
        <v>0.6</v>
      </c>
      <c r="I482">
        <v>5.2</v>
      </c>
      <c r="J482">
        <v>2.1</v>
      </c>
      <c r="K482">
        <f t="shared" si="178"/>
        <v>8.5</v>
      </c>
      <c r="L482">
        <v>0</v>
      </c>
      <c r="M482">
        <v>0</v>
      </c>
      <c r="N482">
        <v>0</v>
      </c>
      <c r="O482">
        <f t="shared" si="179"/>
        <v>0</v>
      </c>
      <c r="P482">
        <v>0</v>
      </c>
      <c r="Q482">
        <v>0</v>
      </c>
      <c r="R482">
        <v>2.4</v>
      </c>
      <c r="S482">
        <f t="shared" si="180"/>
        <v>2.4</v>
      </c>
      <c r="T482">
        <v>17.2</v>
      </c>
      <c r="U482">
        <v>8.9</v>
      </c>
      <c r="V482">
        <v>5.7</v>
      </c>
      <c r="W482">
        <v>0.2</v>
      </c>
      <c r="X482">
        <v>0</v>
      </c>
      <c r="Y482">
        <v>0</v>
      </c>
      <c r="Z482">
        <v>1.2</v>
      </c>
      <c r="AA482">
        <f t="shared" si="181"/>
        <v>33.200000000000003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11.6</v>
      </c>
      <c r="AI482">
        <v>2</v>
      </c>
      <c r="AJ482">
        <f t="shared" si="182"/>
        <v>13.6</v>
      </c>
      <c r="AK482">
        <v>0</v>
      </c>
      <c r="AL482">
        <v>0.42299999999999999</v>
      </c>
      <c r="AM482">
        <f t="shared" si="163"/>
        <v>0.57700000000000007</v>
      </c>
      <c r="AN482">
        <v>484</v>
      </c>
      <c r="AO482">
        <v>219</v>
      </c>
      <c r="AP482" s="3">
        <f t="shared" si="153"/>
        <v>1144.2080378250594</v>
      </c>
      <c r="AQ482" s="3">
        <f t="shared" si="154"/>
        <v>517.73049645390074</v>
      </c>
      <c r="AR482">
        <f t="shared" si="144"/>
        <v>0.23570190641247832</v>
      </c>
      <c r="AS482">
        <f t="shared" si="183"/>
        <v>0.441</v>
      </c>
      <c r="AT482">
        <f t="shared" si="184"/>
        <v>505</v>
      </c>
      <c r="AU482">
        <f t="shared" si="185"/>
        <v>156</v>
      </c>
      <c r="AV482">
        <f t="shared" si="164"/>
        <v>456</v>
      </c>
      <c r="AW482">
        <f t="shared" si="165"/>
        <v>168</v>
      </c>
      <c r="AX482" s="3">
        <f t="shared" si="166"/>
        <v>520.20803782505936</v>
      </c>
      <c r="AY482">
        <f t="shared" si="167"/>
        <v>252</v>
      </c>
      <c r="AZ482">
        <f t="shared" si="168"/>
        <v>218</v>
      </c>
      <c r="BA482" s="3">
        <f t="shared" si="169"/>
        <v>674.20803782505936</v>
      </c>
    </row>
    <row r="483" spans="1:53" x14ac:dyDescent="0.2">
      <c r="A483">
        <v>2016</v>
      </c>
      <c r="B483" t="s">
        <v>70</v>
      </c>
      <c r="C483" t="s">
        <v>58</v>
      </c>
      <c r="D483">
        <v>0.8</v>
      </c>
      <c r="E483">
        <v>0</v>
      </c>
      <c r="F483">
        <v>0</v>
      </c>
      <c r="G483">
        <v>0</v>
      </c>
      <c r="H483">
        <v>0</v>
      </c>
      <c r="I483">
        <v>8.6999999999999993</v>
      </c>
      <c r="J483">
        <v>12</v>
      </c>
      <c r="K483">
        <f t="shared" si="178"/>
        <v>21.5</v>
      </c>
      <c r="L483">
        <v>0</v>
      </c>
      <c r="M483">
        <v>0</v>
      </c>
      <c r="N483">
        <v>0</v>
      </c>
      <c r="O483">
        <f t="shared" si="179"/>
        <v>0</v>
      </c>
      <c r="P483">
        <v>0</v>
      </c>
      <c r="Q483">
        <v>0</v>
      </c>
      <c r="R483">
        <v>0.6</v>
      </c>
      <c r="S483">
        <f t="shared" si="180"/>
        <v>0.6</v>
      </c>
      <c r="T483">
        <v>5.2</v>
      </c>
      <c r="U483">
        <v>6.7</v>
      </c>
      <c r="V483">
        <v>1.5</v>
      </c>
      <c r="W483">
        <v>0</v>
      </c>
      <c r="X483">
        <v>0</v>
      </c>
      <c r="Y483">
        <v>0</v>
      </c>
      <c r="Z483">
        <v>0.6</v>
      </c>
      <c r="AA483">
        <f t="shared" si="181"/>
        <v>14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13.9</v>
      </c>
      <c r="AI483">
        <v>6.5</v>
      </c>
      <c r="AJ483">
        <f t="shared" si="182"/>
        <v>20.399999999999999</v>
      </c>
      <c r="AK483">
        <v>0</v>
      </c>
      <c r="AL483">
        <v>0.435</v>
      </c>
      <c r="AM483">
        <f t="shared" si="163"/>
        <v>0.56499999999999995</v>
      </c>
      <c r="AN483">
        <v>251</v>
      </c>
      <c r="AO483">
        <v>80</v>
      </c>
      <c r="AP483" s="3">
        <f t="shared" si="153"/>
        <v>577.01149425287349</v>
      </c>
      <c r="AQ483" s="3">
        <f t="shared" si="154"/>
        <v>183.90804597701148</v>
      </c>
      <c r="AR483">
        <f t="shared" si="144"/>
        <v>0.36106194690265486</v>
      </c>
      <c r="AS483">
        <f t="shared" si="183"/>
        <v>0.36099999999999999</v>
      </c>
      <c r="AT483">
        <f t="shared" si="184"/>
        <v>208</v>
      </c>
      <c r="AU483">
        <f t="shared" si="185"/>
        <v>118</v>
      </c>
      <c r="AV483">
        <f t="shared" si="164"/>
        <v>146</v>
      </c>
      <c r="AW483">
        <f t="shared" si="165"/>
        <v>138</v>
      </c>
      <c r="AX483" s="3">
        <f t="shared" si="166"/>
        <v>293.01149425287349</v>
      </c>
      <c r="AY483">
        <f t="shared" si="167"/>
        <v>104</v>
      </c>
      <c r="AZ483">
        <f t="shared" si="168"/>
        <v>151</v>
      </c>
      <c r="BA483" s="3">
        <f t="shared" si="169"/>
        <v>322.01149425287349</v>
      </c>
    </row>
    <row r="484" spans="1:53" x14ac:dyDescent="0.2">
      <c r="A484">
        <v>2017</v>
      </c>
      <c r="B484" t="s">
        <v>70</v>
      </c>
      <c r="C484" t="s">
        <v>58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8.6999999999999993</v>
      </c>
      <c r="J484">
        <v>10.9</v>
      </c>
      <c r="K484">
        <f t="shared" si="178"/>
        <v>19.600000000000001</v>
      </c>
      <c r="L484">
        <v>0</v>
      </c>
      <c r="M484">
        <v>0</v>
      </c>
      <c r="N484">
        <v>0</v>
      </c>
      <c r="O484">
        <f t="shared" si="179"/>
        <v>0</v>
      </c>
      <c r="P484">
        <v>0</v>
      </c>
      <c r="Q484">
        <v>0</v>
      </c>
      <c r="R484">
        <v>1.6</v>
      </c>
      <c r="S484">
        <f t="shared" si="180"/>
        <v>1.6</v>
      </c>
      <c r="T484">
        <v>22.2</v>
      </c>
      <c r="U484">
        <v>10.9</v>
      </c>
      <c r="V484">
        <v>2.1</v>
      </c>
      <c r="W484">
        <v>0.5</v>
      </c>
      <c r="X484">
        <v>0</v>
      </c>
      <c r="Y484">
        <v>0</v>
      </c>
      <c r="Z484">
        <v>0</v>
      </c>
      <c r="AA484">
        <f t="shared" si="181"/>
        <v>35.700000000000003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9.3000000000000007</v>
      </c>
      <c r="AI484">
        <v>5.8</v>
      </c>
      <c r="AJ484">
        <f t="shared" si="182"/>
        <v>15.100000000000001</v>
      </c>
      <c r="AK484">
        <v>0</v>
      </c>
      <c r="AL484">
        <v>0.28000000000000003</v>
      </c>
      <c r="AM484">
        <f t="shared" si="163"/>
        <v>0.72</v>
      </c>
      <c r="AN484">
        <v>395</v>
      </c>
      <c r="AO484">
        <v>295</v>
      </c>
      <c r="AP484" s="3">
        <f t="shared" si="153"/>
        <v>1410.7142857142856</v>
      </c>
      <c r="AQ484" s="3">
        <f t="shared" si="154"/>
        <v>1053.5714285714284</v>
      </c>
      <c r="AR484">
        <f t="shared" ref="AR484:AR547" si="186">(AJ484/100)/AM484</f>
        <v>0.20972222222222225</v>
      </c>
      <c r="AS484">
        <f t="shared" si="183"/>
        <v>0.56900000000000006</v>
      </c>
      <c r="AT484">
        <f t="shared" si="184"/>
        <v>803</v>
      </c>
      <c r="AU484">
        <f t="shared" si="185"/>
        <v>213</v>
      </c>
      <c r="AV484">
        <f t="shared" si="164"/>
        <v>664</v>
      </c>
      <c r="AW484">
        <f t="shared" si="165"/>
        <v>262</v>
      </c>
      <c r="AX484" s="3">
        <f t="shared" si="166"/>
        <v>484.71428571428555</v>
      </c>
      <c r="AY484">
        <f t="shared" si="167"/>
        <v>401</v>
      </c>
      <c r="AZ484">
        <f t="shared" si="168"/>
        <v>354</v>
      </c>
      <c r="BA484" s="3">
        <f t="shared" si="169"/>
        <v>655.71428571428555</v>
      </c>
    </row>
    <row r="485" spans="1:53" x14ac:dyDescent="0.2">
      <c r="A485">
        <v>2018</v>
      </c>
      <c r="B485" t="s">
        <v>70</v>
      </c>
      <c r="C485" t="s">
        <v>58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6.6</v>
      </c>
      <c r="J485">
        <v>5.5</v>
      </c>
      <c r="K485">
        <f t="shared" si="178"/>
        <v>12.1</v>
      </c>
      <c r="L485">
        <v>0</v>
      </c>
      <c r="M485">
        <v>0</v>
      </c>
      <c r="N485">
        <v>0</v>
      </c>
      <c r="O485">
        <f t="shared" si="179"/>
        <v>0</v>
      </c>
      <c r="P485">
        <v>0</v>
      </c>
      <c r="Q485">
        <v>0</v>
      </c>
      <c r="R485">
        <v>5.6</v>
      </c>
      <c r="S485">
        <f t="shared" si="180"/>
        <v>5.6</v>
      </c>
      <c r="T485">
        <v>18.100000000000001</v>
      </c>
      <c r="U485">
        <v>7.2</v>
      </c>
      <c r="V485">
        <v>6.9</v>
      </c>
      <c r="W485">
        <v>0.7</v>
      </c>
      <c r="X485">
        <v>0</v>
      </c>
      <c r="Y485">
        <v>0.3</v>
      </c>
      <c r="Z485">
        <v>1.1000000000000001</v>
      </c>
      <c r="AA485">
        <f t="shared" si="181"/>
        <v>34.300000000000004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9.6999999999999993</v>
      </c>
      <c r="AI485">
        <v>8.6</v>
      </c>
      <c r="AJ485">
        <f t="shared" si="182"/>
        <v>18.299999999999997</v>
      </c>
      <c r="AK485">
        <v>0.2</v>
      </c>
      <c r="AL485">
        <v>0.29299999999999998</v>
      </c>
      <c r="AM485">
        <f t="shared" si="163"/>
        <v>0.70299999999999996</v>
      </c>
      <c r="AN485">
        <v>734</v>
      </c>
      <c r="AO485">
        <v>515</v>
      </c>
      <c r="AP485" s="3">
        <f t="shared" si="153"/>
        <v>2471.3804713804711</v>
      </c>
      <c r="AQ485" s="3">
        <f t="shared" si="154"/>
        <v>1734.0067340067337</v>
      </c>
      <c r="AR485">
        <f t="shared" si="186"/>
        <v>0.26031294452347081</v>
      </c>
      <c r="AS485">
        <f t="shared" si="183"/>
        <v>0.52</v>
      </c>
      <c r="AT485">
        <f t="shared" si="184"/>
        <v>1285</v>
      </c>
      <c r="AU485">
        <f t="shared" si="185"/>
        <v>452</v>
      </c>
      <c r="AV485">
        <f t="shared" si="164"/>
        <v>1136</v>
      </c>
      <c r="AW485">
        <f t="shared" si="165"/>
        <v>509</v>
      </c>
      <c r="AX485" s="3">
        <f t="shared" si="166"/>
        <v>826.38047138047114</v>
      </c>
      <c r="AY485">
        <f t="shared" si="167"/>
        <v>643</v>
      </c>
      <c r="AZ485">
        <f t="shared" si="168"/>
        <v>697</v>
      </c>
      <c r="BA485" s="3">
        <f t="shared" si="169"/>
        <v>1131.3804713804711</v>
      </c>
    </row>
    <row r="486" spans="1:53" x14ac:dyDescent="0.2">
      <c r="A486">
        <v>2019</v>
      </c>
      <c r="B486" t="s">
        <v>70</v>
      </c>
      <c r="C486" t="s">
        <v>58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2.6</v>
      </c>
      <c r="J486">
        <v>10.199999999999999</v>
      </c>
      <c r="K486">
        <f t="shared" si="178"/>
        <v>12.799999999999999</v>
      </c>
      <c r="L486">
        <v>0</v>
      </c>
      <c r="M486">
        <v>0</v>
      </c>
      <c r="N486">
        <v>0</v>
      </c>
      <c r="O486">
        <f t="shared" si="179"/>
        <v>0</v>
      </c>
      <c r="P486">
        <v>0</v>
      </c>
      <c r="Q486">
        <v>0</v>
      </c>
      <c r="R486">
        <v>5.5</v>
      </c>
      <c r="S486">
        <f t="shared" si="180"/>
        <v>5.5</v>
      </c>
      <c r="T486">
        <v>6.9</v>
      </c>
      <c r="U486">
        <v>5.5</v>
      </c>
      <c r="V486">
        <v>3.8</v>
      </c>
      <c r="W486">
        <v>1.6</v>
      </c>
      <c r="X486">
        <v>0</v>
      </c>
      <c r="Y486">
        <v>0</v>
      </c>
      <c r="Z486">
        <v>2.7</v>
      </c>
      <c r="AA486">
        <f t="shared" si="181"/>
        <v>20.5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15.5</v>
      </c>
      <c r="AI486">
        <v>6.4</v>
      </c>
      <c r="AJ486">
        <f t="shared" si="182"/>
        <v>21.9</v>
      </c>
      <c r="AK486">
        <v>0</v>
      </c>
      <c r="AL486">
        <v>0.39200000000000002</v>
      </c>
      <c r="AM486">
        <f t="shared" si="163"/>
        <v>0.60699999999999998</v>
      </c>
      <c r="AN486">
        <v>443</v>
      </c>
      <c r="AO486">
        <v>344</v>
      </c>
      <c r="AP486" s="3">
        <f t="shared" si="153"/>
        <v>1127.2264631043256</v>
      </c>
      <c r="AQ486" s="3">
        <f t="shared" si="154"/>
        <v>875.31806615776077</v>
      </c>
      <c r="AR486">
        <f t="shared" si="186"/>
        <v>0.36079077429983519</v>
      </c>
      <c r="AS486">
        <f t="shared" si="183"/>
        <v>0.38799999999999996</v>
      </c>
      <c r="AT486">
        <f t="shared" si="184"/>
        <v>437</v>
      </c>
      <c r="AU486">
        <f t="shared" si="185"/>
        <v>247</v>
      </c>
      <c r="AV486">
        <f t="shared" si="164"/>
        <v>365</v>
      </c>
      <c r="AW486">
        <f t="shared" si="165"/>
        <v>273</v>
      </c>
      <c r="AX486" s="3">
        <f t="shared" si="166"/>
        <v>489.2264631043256</v>
      </c>
      <c r="AY486">
        <f t="shared" si="167"/>
        <v>219</v>
      </c>
      <c r="AZ486">
        <f t="shared" si="168"/>
        <v>325</v>
      </c>
      <c r="BA486" s="3">
        <f t="shared" si="169"/>
        <v>583.2264631043256</v>
      </c>
    </row>
    <row r="487" spans="1:53" x14ac:dyDescent="0.2">
      <c r="A487">
        <v>2020</v>
      </c>
      <c r="B487" t="s">
        <v>70</v>
      </c>
      <c r="C487" t="s">
        <v>58</v>
      </c>
      <c r="D487">
        <v>0.4</v>
      </c>
      <c r="E487">
        <v>0.4</v>
      </c>
      <c r="F487">
        <v>0</v>
      </c>
      <c r="G487">
        <v>0</v>
      </c>
      <c r="H487">
        <v>0</v>
      </c>
      <c r="I487">
        <v>1.4</v>
      </c>
      <c r="J487">
        <v>1.3</v>
      </c>
      <c r="K487">
        <f t="shared" si="178"/>
        <v>3.5</v>
      </c>
      <c r="L487">
        <v>0</v>
      </c>
      <c r="M487">
        <v>0</v>
      </c>
      <c r="N487">
        <v>0</v>
      </c>
      <c r="O487">
        <f t="shared" si="179"/>
        <v>0</v>
      </c>
      <c r="P487">
        <v>0</v>
      </c>
      <c r="Q487">
        <v>0</v>
      </c>
      <c r="R487">
        <v>0</v>
      </c>
      <c r="S487">
        <f t="shared" si="180"/>
        <v>0</v>
      </c>
      <c r="T487">
        <v>3.8</v>
      </c>
      <c r="U487">
        <v>3.7</v>
      </c>
      <c r="V487">
        <v>0.5</v>
      </c>
      <c r="W487">
        <v>1.7</v>
      </c>
      <c r="X487">
        <v>0</v>
      </c>
      <c r="Y487">
        <v>0</v>
      </c>
      <c r="Z487">
        <v>6.6</v>
      </c>
      <c r="AA487">
        <f t="shared" si="181"/>
        <v>16.299999999999997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16.5</v>
      </c>
      <c r="AI487">
        <v>5</v>
      </c>
      <c r="AJ487">
        <f t="shared" si="182"/>
        <v>21.5</v>
      </c>
      <c r="AK487">
        <v>0</v>
      </c>
      <c r="AL487">
        <v>0.58599999999999997</v>
      </c>
      <c r="AM487">
        <f t="shared" si="163"/>
        <v>0.41299999999999992</v>
      </c>
      <c r="AN487">
        <v>256</v>
      </c>
      <c r="AO487">
        <v>203</v>
      </c>
      <c r="AP487" s="3">
        <f t="shared" si="153"/>
        <v>436.11584327086877</v>
      </c>
      <c r="AQ487" s="3">
        <f t="shared" si="154"/>
        <v>345.82623509369671</v>
      </c>
      <c r="AR487">
        <f t="shared" si="186"/>
        <v>0.52058111380145289</v>
      </c>
      <c r="AS487">
        <f t="shared" si="183"/>
        <v>0.19799999999999998</v>
      </c>
      <c r="AT487">
        <f t="shared" si="184"/>
        <v>86</v>
      </c>
      <c r="AU487">
        <f t="shared" si="185"/>
        <v>94</v>
      </c>
      <c r="AV487">
        <f t="shared" si="164"/>
        <v>79</v>
      </c>
      <c r="AW487">
        <f t="shared" si="165"/>
        <v>96</v>
      </c>
      <c r="AX487" s="3">
        <f t="shared" si="166"/>
        <v>261.11584327086877</v>
      </c>
      <c r="AY487">
        <f t="shared" si="167"/>
        <v>43</v>
      </c>
      <c r="AZ487">
        <f t="shared" si="168"/>
        <v>106</v>
      </c>
      <c r="BA487" s="3">
        <f t="shared" si="169"/>
        <v>287.11584327086877</v>
      </c>
    </row>
    <row r="488" spans="1:53" x14ac:dyDescent="0.2">
      <c r="A488">
        <v>2021</v>
      </c>
      <c r="B488" t="s">
        <v>70</v>
      </c>
      <c r="C488" t="s">
        <v>58</v>
      </c>
      <c r="D488">
        <v>0.4</v>
      </c>
      <c r="E488">
        <v>0.4</v>
      </c>
      <c r="F488">
        <v>0.6</v>
      </c>
      <c r="G488">
        <v>0.2</v>
      </c>
      <c r="H488">
        <v>0.6</v>
      </c>
      <c r="I488">
        <v>3.1</v>
      </c>
      <c r="J488">
        <v>2</v>
      </c>
      <c r="K488">
        <f t="shared" si="178"/>
        <v>7.3</v>
      </c>
      <c r="L488">
        <v>0</v>
      </c>
      <c r="M488">
        <v>0</v>
      </c>
      <c r="N488">
        <v>0.4</v>
      </c>
      <c r="O488">
        <f t="shared" si="179"/>
        <v>0.4</v>
      </c>
      <c r="P488">
        <v>0</v>
      </c>
      <c r="Q488">
        <v>0</v>
      </c>
      <c r="R488">
        <v>1.5</v>
      </c>
      <c r="S488">
        <f t="shared" si="180"/>
        <v>1.5</v>
      </c>
      <c r="T488">
        <v>9.8000000000000007</v>
      </c>
      <c r="U488">
        <v>4</v>
      </c>
      <c r="V488">
        <v>4.0999999999999996</v>
      </c>
      <c r="W488">
        <v>1.2</v>
      </c>
      <c r="X488">
        <v>0</v>
      </c>
      <c r="Y488">
        <v>0</v>
      </c>
      <c r="Z488">
        <v>1</v>
      </c>
      <c r="AA488">
        <f t="shared" si="181"/>
        <v>20.099999999999998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9</v>
      </c>
      <c r="AI488">
        <v>6.4</v>
      </c>
      <c r="AJ488">
        <f t="shared" si="182"/>
        <v>15.4</v>
      </c>
      <c r="AK488">
        <v>0</v>
      </c>
      <c r="AL488">
        <v>0.55399999999999994</v>
      </c>
      <c r="AM488">
        <f t="shared" si="163"/>
        <v>0.44700000000000012</v>
      </c>
      <c r="AN488">
        <v>200</v>
      </c>
      <c r="AO488">
        <v>168</v>
      </c>
      <c r="AP488" s="3">
        <f t="shared" si="153"/>
        <v>361.66365280289335</v>
      </c>
      <c r="AQ488" s="3">
        <f t="shared" si="154"/>
        <v>303.79746835443041</v>
      </c>
      <c r="AR488">
        <f t="shared" si="186"/>
        <v>0.34451901565995519</v>
      </c>
      <c r="AS488">
        <f t="shared" si="183"/>
        <v>0.29299999999999998</v>
      </c>
      <c r="AT488">
        <f t="shared" si="184"/>
        <v>106</v>
      </c>
      <c r="AU488">
        <f t="shared" si="185"/>
        <v>56</v>
      </c>
      <c r="AV488">
        <f t="shared" si="164"/>
        <v>93</v>
      </c>
      <c r="AW488">
        <f t="shared" si="165"/>
        <v>59</v>
      </c>
      <c r="AX488" s="3">
        <f t="shared" si="166"/>
        <v>209.66365280289335</v>
      </c>
      <c r="AY488">
        <f t="shared" si="167"/>
        <v>53</v>
      </c>
      <c r="AZ488">
        <f t="shared" si="168"/>
        <v>68</v>
      </c>
      <c r="BA488" s="3">
        <f t="shared" si="169"/>
        <v>240.66365280289335</v>
      </c>
    </row>
    <row r="489" spans="1:53" x14ac:dyDescent="0.2">
      <c r="A489">
        <v>2022</v>
      </c>
      <c r="B489" t="s">
        <v>70</v>
      </c>
      <c r="C489" t="s">
        <v>58</v>
      </c>
      <c r="D489">
        <v>1.2</v>
      </c>
      <c r="E489">
        <v>0</v>
      </c>
      <c r="F489">
        <v>0</v>
      </c>
      <c r="G489">
        <v>0</v>
      </c>
      <c r="H489">
        <v>0</v>
      </c>
      <c r="I489">
        <v>4.5999999999999996</v>
      </c>
      <c r="J489">
        <v>2.6</v>
      </c>
      <c r="K489">
        <f t="shared" si="178"/>
        <v>8.4</v>
      </c>
      <c r="L489">
        <v>0</v>
      </c>
      <c r="M489">
        <v>0</v>
      </c>
      <c r="N489">
        <v>0.1</v>
      </c>
      <c r="O489">
        <f t="shared" si="179"/>
        <v>0.1</v>
      </c>
      <c r="P489">
        <v>0</v>
      </c>
      <c r="Q489">
        <v>0</v>
      </c>
      <c r="R489">
        <v>2</v>
      </c>
      <c r="S489">
        <f t="shared" si="180"/>
        <v>2</v>
      </c>
      <c r="T489">
        <v>6.1</v>
      </c>
      <c r="U489">
        <v>4.7</v>
      </c>
      <c r="V489">
        <v>3.2</v>
      </c>
      <c r="W489">
        <v>0.7</v>
      </c>
      <c r="X489">
        <v>0</v>
      </c>
      <c r="Y489">
        <v>0</v>
      </c>
      <c r="Z489">
        <v>0.6</v>
      </c>
      <c r="AA489">
        <f t="shared" si="181"/>
        <v>15.299999999999999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12</v>
      </c>
      <c r="AI489">
        <v>1.6</v>
      </c>
      <c r="AJ489">
        <f t="shared" si="182"/>
        <v>13.6</v>
      </c>
      <c r="AK489">
        <v>0</v>
      </c>
      <c r="AL489">
        <v>0.60699999999999998</v>
      </c>
      <c r="AM489">
        <f t="shared" si="163"/>
        <v>0.39400000000000007</v>
      </c>
      <c r="AN489">
        <v>364</v>
      </c>
      <c r="AO489">
        <v>53</v>
      </c>
      <c r="AP489" s="3">
        <f t="shared" si="153"/>
        <v>600.6600660066008</v>
      </c>
      <c r="AQ489" s="3">
        <f t="shared" si="154"/>
        <v>87.458745874587478</v>
      </c>
      <c r="AR489">
        <f t="shared" si="186"/>
        <v>0.34517766497461927</v>
      </c>
      <c r="AS489">
        <f t="shared" si="183"/>
        <v>0.25799999999999995</v>
      </c>
      <c r="AT489">
        <f t="shared" si="184"/>
        <v>155</v>
      </c>
      <c r="AU489">
        <f t="shared" si="185"/>
        <v>82</v>
      </c>
      <c r="AV489">
        <f t="shared" si="164"/>
        <v>130</v>
      </c>
      <c r="AW489">
        <f t="shared" si="165"/>
        <v>87</v>
      </c>
      <c r="AX489" s="3">
        <f t="shared" si="166"/>
        <v>383.6600660066008</v>
      </c>
      <c r="AY489">
        <f t="shared" si="167"/>
        <v>77</v>
      </c>
      <c r="AZ489">
        <f t="shared" si="168"/>
        <v>96</v>
      </c>
      <c r="BA489" s="3">
        <f t="shared" si="169"/>
        <v>427.6600660066008</v>
      </c>
    </row>
    <row r="490" spans="1:53" x14ac:dyDescent="0.2">
      <c r="A490">
        <v>2023</v>
      </c>
      <c r="B490" t="s">
        <v>70</v>
      </c>
      <c r="C490" t="s">
        <v>58</v>
      </c>
      <c r="D490" t="s">
        <v>13</v>
      </c>
      <c r="E490" t="s">
        <v>13</v>
      </c>
      <c r="F490" t="s">
        <v>13</v>
      </c>
      <c r="G490" t="s">
        <v>13</v>
      </c>
      <c r="H490" t="s">
        <v>13</v>
      </c>
      <c r="I490" t="s">
        <v>13</v>
      </c>
      <c r="J490" t="s">
        <v>13</v>
      </c>
      <c r="K490" t="s">
        <v>13</v>
      </c>
      <c r="L490" t="s">
        <v>13</v>
      </c>
      <c r="M490" t="s">
        <v>13</v>
      </c>
      <c r="N490" t="s">
        <v>13</v>
      </c>
      <c r="O490" t="s">
        <v>13</v>
      </c>
      <c r="P490" t="s">
        <v>13</v>
      </c>
      <c r="Q490" t="s">
        <v>13</v>
      </c>
      <c r="R490" t="s">
        <v>13</v>
      </c>
      <c r="S490" t="s">
        <v>13</v>
      </c>
      <c r="T490" t="s">
        <v>13</v>
      </c>
      <c r="U490" t="s">
        <v>13</v>
      </c>
      <c r="V490" t="s">
        <v>13</v>
      </c>
      <c r="W490" t="s">
        <v>13</v>
      </c>
      <c r="X490" t="s">
        <v>13</v>
      </c>
      <c r="Y490" t="s">
        <v>13</v>
      </c>
      <c r="Z490" t="s">
        <v>13</v>
      </c>
      <c r="AA490" t="s">
        <v>13</v>
      </c>
      <c r="AB490" t="s">
        <v>13</v>
      </c>
      <c r="AC490" t="s">
        <v>13</v>
      </c>
      <c r="AD490" t="s">
        <v>13</v>
      </c>
      <c r="AE490" t="s">
        <v>13</v>
      </c>
      <c r="AF490" t="s">
        <v>13</v>
      </c>
      <c r="AG490" t="s">
        <v>13</v>
      </c>
      <c r="AH490" t="s">
        <v>13</v>
      </c>
      <c r="AI490" t="s">
        <v>13</v>
      </c>
      <c r="AJ490" t="s">
        <v>13</v>
      </c>
      <c r="AK490" t="s">
        <v>13</v>
      </c>
      <c r="AL490" t="s">
        <v>13</v>
      </c>
      <c r="AM490" t="s">
        <v>13</v>
      </c>
      <c r="AN490">
        <v>747</v>
      </c>
      <c r="AO490">
        <v>192</v>
      </c>
      <c r="AP490" t="s">
        <v>13</v>
      </c>
      <c r="AQ490" s="3" t="s">
        <v>13</v>
      </c>
      <c r="AR490" s="3" t="s">
        <v>13</v>
      </c>
      <c r="AS490" s="3" t="s">
        <v>13</v>
      </c>
      <c r="AT490" s="3" t="s">
        <v>13</v>
      </c>
      <c r="AU490" s="3" t="s">
        <v>13</v>
      </c>
      <c r="AV490" s="3" t="s">
        <v>13</v>
      </c>
      <c r="AW490" s="3" t="s">
        <v>13</v>
      </c>
      <c r="AX490" s="3" t="s">
        <v>13</v>
      </c>
      <c r="AY490" s="3" t="s">
        <v>13</v>
      </c>
      <c r="AZ490" s="3" t="s">
        <v>13</v>
      </c>
      <c r="BA490" s="3" t="s">
        <v>13</v>
      </c>
    </row>
    <row r="491" spans="1:53" x14ac:dyDescent="0.2">
      <c r="A491">
        <v>1980</v>
      </c>
      <c r="B491" t="s">
        <v>71</v>
      </c>
      <c r="C491" t="s">
        <v>58</v>
      </c>
      <c r="D491">
        <v>0.7</v>
      </c>
      <c r="E491">
        <v>0</v>
      </c>
      <c r="F491">
        <v>0</v>
      </c>
      <c r="G491">
        <v>0.1</v>
      </c>
      <c r="H491">
        <v>0</v>
      </c>
      <c r="I491">
        <v>27.5</v>
      </c>
      <c r="J491">
        <v>0.4</v>
      </c>
      <c r="K491">
        <f t="shared" ref="K491:K504" si="187">SUM(D491:J491)</f>
        <v>28.7</v>
      </c>
      <c r="L491">
        <v>0.6</v>
      </c>
      <c r="M491">
        <v>0.7</v>
      </c>
      <c r="N491">
        <v>0</v>
      </c>
      <c r="O491">
        <f t="shared" ref="O491:O504" si="188">SUM(L491:N491)</f>
        <v>1.2999999999999998</v>
      </c>
      <c r="P491">
        <v>0</v>
      </c>
      <c r="Q491">
        <v>3.7</v>
      </c>
      <c r="R491">
        <v>2</v>
      </c>
      <c r="S491">
        <f t="shared" ref="S491:S504" si="189">SUM(P491:R491)</f>
        <v>5.7</v>
      </c>
      <c r="T491">
        <v>20.100000000000001</v>
      </c>
      <c r="U491">
        <v>8.1999999999999993</v>
      </c>
      <c r="V491">
        <v>2.8</v>
      </c>
      <c r="W491">
        <v>0.6</v>
      </c>
      <c r="X491">
        <v>0.5</v>
      </c>
      <c r="Y491">
        <v>1.2</v>
      </c>
      <c r="Z491">
        <v>9.4</v>
      </c>
      <c r="AA491">
        <f t="shared" ref="AA491:AA504" si="190">SUM(T491:Z491)</f>
        <v>42.800000000000004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6.1</v>
      </c>
      <c r="AI491">
        <v>0</v>
      </c>
      <c r="AJ491">
        <f t="shared" ref="AJ491:AJ504" si="191">SUM(AB491:AI491)</f>
        <v>6.1</v>
      </c>
      <c r="AK491">
        <v>0</v>
      </c>
      <c r="AL491">
        <v>0.153</v>
      </c>
      <c r="AM491">
        <f t="shared" si="163"/>
        <v>0.8460000000000002</v>
      </c>
      <c r="AN491">
        <v>180</v>
      </c>
      <c r="AO491" t="s">
        <v>13</v>
      </c>
      <c r="AP491" s="3">
        <f t="shared" si="153"/>
        <v>1168.8311688311703</v>
      </c>
      <c r="AQ491" s="3" t="s">
        <v>13</v>
      </c>
      <c r="AR491">
        <f t="shared" si="186"/>
        <v>7.210401891252953E-2</v>
      </c>
      <c r="AS491">
        <f t="shared" ref="AS491:AS504" si="192">SUM(K491,O491,S491,AA491)/100</f>
        <v>0.78500000000000003</v>
      </c>
      <c r="AT491">
        <f t="shared" ref="AT491:AT504" si="193">ROUND(AS491*AP491,0)</f>
        <v>918</v>
      </c>
      <c r="AU491">
        <f t="shared" ref="AU491:AU504" si="194">ROUND((AJ491/100)*AP491,0)</f>
        <v>71</v>
      </c>
      <c r="AV491">
        <f t="shared" si="164"/>
        <v>750</v>
      </c>
      <c r="AW491">
        <f t="shared" si="165"/>
        <v>119</v>
      </c>
      <c r="AX491" s="3">
        <f t="shared" si="166"/>
        <v>299.83116883117032</v>
      </c>
      <c r="AY491">
        <f t="shared" si="167"/>
        <v>459</v>
      </c>
      <c r="AZ491">
        <f t="shared" si="168"/>
        <v>201</v>
      </c>
      <c r="BA491" s="3">
        <f t="shared" si="169"/>
        <v>508.83116883117032</v>
      </c>
    </row>
    <row r="492" spans="1:53" x14ac:dyDescent="0.2">
      <c r="A492">
        <v>1981</v>
      </c>
      <c r="B492" t="s">
        <v>71</v>
      </c>
      <c r="C492" t="s">
        <v>58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32</v>
      </c>
      <c r="J492">
        <v>0</v>
      </c>
      <c r="K492">
        <f t="shared" si="187"/>
        <v>32</v>
      </c>
      <c r="L492">
        <v>0.5</v>
      </c>
      <c r="M492">
        <v>0.1</v>
      </c>
      <c r="N492">
        <v>0</v>
      </c>
      <c r="O492">
        <f t="shared" si="188"/>
        <v>0.6</v>
      </c>
      <c r="P492">
        <v>0</v>
      </c>
      <c r="Q492">
        <v>2.2999999999999998</v>
      </c>
      <c r="R492">
        <v>2</v>
      </c>
      <c r="S492">
        <f t="shared" si="189"/>
        <v>4.3</v>
      </c>
      <c r="T492">
        <v>21.4</v>
      </c>
      <c r="U492">
        <v>8</v>
      </c>
      <c r="V492">
        <v>3.1</v>
      </c>
      <c r="W492">
        <v>0.1</v>
      </c>
      <c r="X492">
        <v>0.1</v>
      </c>
      <c r="Y492">
        <v>0.4</v>
      </c>
      <c r="Z492">
        <v>3.9</v>
      </c>
      <c r="AA492">
        <f t="shared" si="190"/>
        <v>37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1.2</v>
      </c>
      <c r="AI492">
        <v>0.3</v>
      </c>
      <c r="AJ492">
        <f t="shared" si="191"/>
        <v>1.5</v>
      </c>
      <c r="AK492">
        <v>0</v>
      </c>
      <c r="AL492">
        <v>0.247</v>
      </c>
      <c r="AM492">
        <f t="shared" si="163"/>
        <v>0.754</v>
      </c>
      <c r="AN492">
        <v>116</v>
      </c>
      <c r="AO492" t="s">
        <v>13</v>
      </c>
      <c r="AP492" s="3">
        <f t="shared" si="153"/>
        <v>471.54471544715449</v>
      </c>
      <c r="AQ492" s="3" t="s">
        <v>13</v>
      </c>
      <c r="AR492">
        <f t="shared" si="186"/>
        <v>1.9893899204244031E-2</v>
      </c>
      <c r="AS492">
        <f t="shared" si="192"/>
        <v>0.7390000000000001</v>
      </c>
      <c r="AT492">
        <f t="shared" si="193"/>
        <v>348</v>
      </c>
      <c r="AU492">
        <f t="shared" si="194"/>
        <v>7</v>
      </c>
      <c r="AV492">
        <f t="shared" si="164"/>
        <v>273</v>
      </c>
      <c r="AW492">
        <f t="shared" si="165"/>
        <v>11</v>
      </c>
      <c r="AX492" s="3">
        <f t="shared" si="166"/>
        <v>187.54471544715449</v>
      </c>
      <c r="AY492">
        <f t="shared" si="167"/>
        <v>174</v>
      </c>
      <c r="AZ492">
        <f t="shared" si="168"/>
        <v>17</v>
      </c>
      <c r="BA492" s="3">
        <f t="shared" si="169"/>
        <v>280.54471544715449</v>
      </c>
    </row>
    <row r="493" spans="1:53" x14ac:dyDescent="0.2">
      <c r="A493">
        <v>1982</v>
      </c>
      <c r="B493" t="s">
        <v>71</v>
      </c>
      <c r="C493" t="s">
        <v>58</v>
      </c>
      <c r="D493">
        <v>0</v>
      </c>
      <c r="E493">
        <v>0</v>
      </c>
      <c r="F493">
        <v>0</v>
      </c>
      <c r="G493">
        <v>0.3</v>
      </c>
      <c r="H493">
        <v>0</v>
      </c>
      <c r="I493">
        <v>27.6</v>
      </c>
      <c r="J493">
        <v>0.4</v>
      </c>
      <c r="K493">
        <f t="shared" si="187"/>
        <v>28.3</v>
      </c>
      <c r="L493">
        <v>1.9</v>
      </c>
      <c r="M493">
        <v>0</v>
      </c>
      <c r="N493">
        <v>0</v>
      </c>
      <c r="O493">
        <f t="shared" si="188"/>
        <v>1.9</v>
      </c>
      <c r="P493">
        <v>0</v>
      </c>
      <c r="Q493">
        <v>0.3</v>
      </c>
      <c r="R493">
        <v>0.9</v>
      </c>
      <c r="S493">
        <f t="shared" si="189"/>
        <v>1.2</v>
      </c>
      <c r="T493">
        <v>17.7</v>
      </c>
      <c r="U493">
        <v>7.5</v>
      </c>
      <c r="V493">
        <v>3</v>
      </c>
      <c r="W493">
        <v>0.3</v>
      </c>
      <c r="X493">
        <v>0.9</v>
      </c>
      <c r="Y493">
        <v>1</v>
      </c>
      <c r="Z493">
        <v>1.5</v>
      </c>
      <c r="AA493">
        <f t="shared" si="190"/>
        <v>31.9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12.7</v>
      </c>
      <c r="AI493">
        <v>0.1</v>
      </c>
      <c r="AJ493">
        <f t="shared" si="191"/>
        <v>12.799999999999999</v>
      </c>
      <c r="AK493">
        <v>0</v>
      </c>
      <c r="AL493">
        <v>0.24</v>
      </c>
      <c r="AM493">
        <f t="shared" si="163"/>
        <v>0.7609999999999999</v>
      </c>
      <c r="AN493">
        <v>146</v>
      </c>
      <c r="AO493" t="s">
        <v>13</v>
      </c>
      <c r="AP493" s="3">
        <f t="shared" si="153"/>
        <v>610.87866108786579</v>
      </c>
      <c r="AQ493" s="3" t="s">
        <v>13</v>
      </c>
      <c r="AR493">
        <f t="shared" si="186"/>
        <v>0.16819973718791068</v>
      </c>
      <c r="AS493">
        <f t="shared" si="192"/>
        <v>0.63300000000000001</v>
      </c>
      <c r="AT493">
        <f t="shared" si="193"/>
        <v>387</v>
      </c>
      <c r="AU493">
        <f t="shared" si="194"/>
        <v>78</v>
      </c>
      <c r="AV493">
        <f t="shared" si="164"/>
        <v>300</v>
      </c>
      <c r="AW493">
        <f t="shared" si="165"/>
        <v>108</v>
      </c>
      <c r="AX493" s="3">
        <f t="shared" si="166"/>
        <v>202.87866108786579</v>
      </c>
      <c r="AY493">
        <f t="shared" si="167"/>
        <v>193</v>
      </c>
      <c r="AZ493">
        <f t="shared" si="168"/>
        <v>146</v>
      </c>
      <c r="BA493" s="3">
        <f t="shared" si="169"/>
        <v>271.87866108786579</v>
      </c>
    </row>
    <row r="494" spans="1:53" x14ac:dyDescent="0.2">
      <c r="A494">
        <v>1983</v>
      </c>
      <c r="B494" t="s">
        <v>71</v>
      </c>
      <c r="C494" t="s">
        <v>58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36.700000000000003</v>
      </c>
      <c r="J494">
        <v>0</v>
      </c>
      <c r="K494">
        <f t="shared" si="187"/>
        <v>36.700000000000003</v>
      </c>
      <c r="L494">
        <v>2.5</v>
      </c>
      <c r="M494">
        <v>0.3</v>
      </c>
      <c r="N494">
        <v>0</v>
      </c>
      <c r="O494">
        <f t="shared" si="188"/>
        <v>2.8</v>
      </c>
      <c r="P494">
        <v>0</v>
      </c>
      <c r="Q494">
        <v>0.5</v>
      </c>
      <c r="R494">
        <v>2</v>
      </c>
      <c r="S494">
        <f t="shared" si="189"/>
        <v>2.5</v>
      </c>
      <c r="T494">
        <v>12.2</v>
      </c>
      <c r="U494">
        <v>4.3</v>
      </c>
      <c r="V494">
        <v>0.2</v>
      </c>
      <c r="W494">
        <v>0</v>
      </c>
      <c r="X494">
        <v>0.8</v>
      </c>
      <c r="Y494">
        <v>0.3</v>
      </c>
      <c r="Z494">
        <v>5.4</v>
      </c>
      <c r="AA494">
        <f t="shared" si="190"/>
        <v>23.200000000000003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4.9000000000000004</v>
      </c>
      <c r="AI494">
        <v>0</v>
      </c>
      <c r="AJ494">
        <f t="shared" si="191"/>
        <v>4.9000000000000004</v>
      </c>
      <c r="AK494">
        <v>0.1</v>
      </c>
      <c r="AL494">
        <v>0.29699999999999999</v>
      </c>
      <c r="AM494">
        <f t="shared" si="163"/>
        <v>0.70099999999999996</v>
      </c>
      <c r="AN494">
        <v>122</v>
      </c>
      <c r="AO494" t="s">
        <v>13</v>
      </c>
      <c r="AP494" s="3">
        <f t="shared" si="153"/>
        <v>408.02675585284277</v>
      </c>
      <c r="AQ494" s="3" t="s">
        <v>13</v>
      </c>
      <c r="AR494">
        <f t="shared" si="186"/>
        <v>6.9900142653352357E-2</v>
      </c>
      <c r="AS494">
        <f t="shared" si="192"/>
        <v>0.65200000000000002</v>
      </c>
      <c r="AT494">
        <f t="shared" si="193"/>
        <v>266</v>
      </c>
      <c r="AU494">
        <f t="shared" si="194"/>
        <v>20</v>
      </c>
      <c r="AV494">
        <f t="shared" si="164"/>
        <v>191</v>
      </c>
      <c r="AW494">
        <f t="shared" si="165"/>
        <v>31</v>
      </c>
      <c r="AX494" s="3">
        <f t="shared" si="166"/>
        <v>186.02675585284277</v>
      </c>
      <c r="AY494">
        <f t="shared" si="167"/>
        <v>133</v>
      </c>
      <c r="AZ494">
        <f t="shared" si="168"/>
        <v>39</v>
      </c>
      <c r="BA494" s="3">
        <f t="shared" si="169"/>
        <v>236.02675585284277</v>
      </c>
    </row>
    <row r="495" spans="1:53" x14ac:dyDescent="0.2">
      <c r="A495">
        <v>1984</v>
      </c>
      <c r="B495" t="s">
        <v>71</v>
      </c>
      <c r="C495" t="s">
        <v>58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53</v>
      </c>
      <c r="J495">
        <v>0.3</v>
      </c>
      <c r="K495">
        <f t="shared" si="187"/>
        <v>53.3</v>
      </c>
      <c r="L495">
        <v>3.4</v>
      </c>
      <c r="M495">
        <v>0</v>
      </c>
      <c r="N495">
        <v>0</v>
      </c>
      <c r="O495">
        <f t="shared" si="188"/>
        <v>3.4</v>
      </c>
      <c r="P495">
        <v>0.5</v>
      </c>
      <c r="Q495">
        <v>1.6</v>
      </c>
      <c r="R495">
        <v>0.8</v>
      </c>
      <c r="S495">
        <f t="shared" si="189"/>
        <v>2.9000000000000004</v>
      </c>
      <c r="T495">
        <v>4</v>
      </c>
      <c r="U495">
        <v>1.1000000000000001</v>
      </c>
      <c r="V495">
        <v>2.2999999999999998</v>
      </c>
      <c r="W495">
        <v>0.2</v>
      </c>
      <c r="X495">
        <v>0</v>
      </c>
      <c r="Y495">
        <v>0.6</v>
      </c>
      <c r="Z495">
        <v>1.4</v>
      </c>
      <c r="AA495">
        <f t="shared" si="190"/>
        <v>9.6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8.4</v>
      </c>
      <c r="AI495">
        <v>1.5</v>
      </c>
      <c r="AJ495">
        <f t="shared" si="191"/>
        <v>9.9</v>
      </c>
      <c r="AK495">
        <v>0.4</v>
      </c>
      <c r="AL495">
        <v>0.20399999999999999</v>
      </c>
      <c r="AM495">
        <f t="shared" si="163"/>
        <v>0.79099999999999993</v>
      </c>
      <c r="AN495">
        <v>683</v>
      </c>
      <c r="AO495" t="s">
        <v>13</v>
      </c>
      <c r="AP495" s="3">
        <f t="shared" ref="AP495:AP533" si="195">AN495/(1-AM495)</f>
        <v>3267.9425837320564</v>
      </c>
      <c r="AQ495" s="3" t="s">
        <v>13</v>
      </c>
      <c r="AR495">
        <f t="shared" si="186"/>
        <v>0.12515802781289509</v>
      </c>
      <c r="AS495">
        <f t="shared" si="192"/>
        <v>0.69199999999999984</v>
      </c>
      <c r="AT495">
        <f t="shared" si="193"/>
        <v>2261</v>
      </c>
      <c r="AU495">
        <f t="shared" si="194"/>
        <v>324</v>
      </c>
      <c r="AV495">
        <f t="shared" si="164"/>
        <v>1391</v>
      </c>
      <c r="AW495">
        <f t="shared" si="165"/>
        <v>604</v>
      </c>
      <c r="AX495" s="3">
        <f t="shared" si="166"/>
        <v>1272.9425837320564</v>
      </c>
      <c r="AY495">
        <f t="shared" si="167"/>
        <v>1131</v>
      </c>
      <c r="AZ495">
        <f t="shared" si="168"/>
        <v>688</v>
      </c>
      <c r="BA495" s="3">
        <f t="shared" si="169"/>
        <v>1448.9425837320564</v>
      </c>
    </row>
    <row r="496" spans="1:53" x14ac:dyDescent="0.2">
      <c r="A496">
        <v>1985</v>
      </c>
      <c r="B496" t="s">
        <v>71</v>
      </c>
      <c r="C496" t="s">
        <v>58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30.3</v>
      </c>
      <c r="J496">
        <v>0.7</v>
      </c>
      <c r="K496">
        <f t="shared" si="187"/>
        <v>31</v>
      </c>
      <c r="L496">
        <v>0.9</v>
      </c>
      <c r="M496">
        <v>0.4</v>
      </c>
      <c r="N496">
        <v>0</v>
      </c>
      <c r="O496">
        <f t="shared" si="188"/>
        <v>1.3</v>
      </c>
      <c r="P496">
        <v>0</v>
      </c>
      <c r="Q496">
        <v>1.1000000000000001</v>
      </c>
      <c r="R496">
        <v>1.1000000000000001</v>
      </c>
      <c r="S496">
        <f t="shared" si="189"/>
        <v>2.2000000000000002</v>
      </c>
      <c r="T496">
        <v>13.2</v>
      </c>
      <c r="U496">
        <v>3.1</v>
      </c>
      <c r="V496">
        <v>4.4000000000000004</v>
      </c>
      <c r="W496">
        <v>0.7</v>
      </c>
      <c r="X496">
        <v>0.2</v>
      </c>
      <c r="Y496">
        <v>1.2</v>
      </c>
      <c r="Z496">
        <v>1.6</v>
      </c>
      <c r="AA496">
        <f t="shared" si="190"/>
        <v>24.400000000000002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2.2999999999999998</v>
      </c>
      <c r="AI496">
        <v>0.6</v>
      </c>
      <c r="AJ496">
        <f t="shared" si="191"/>
        <v>2.9</v>
      </c>
      <c r="AK496">
        <v>0</v>
      </c>
      <c r="AL496">
        <v>0.38299999999999995</v>
      </c>
      <c r="AM496">
        <f t="shared" si="163"/>
        <v>0.61799999999999999</v>
      </c>
      <c r="AN496">
        <v>491</v>
      </c>
      <c r="AO496" t="s">
        <v>13</v>
      </c>
      <c r="AP496" s="3">
        <f t="shared" si="195"/>
        <v>1285.3403141361257</v>
      </c>
      <c r="AQ496" s="3" t="s">
        <v>13</v>
      </c>
      <c r="AR496">
        <f t="shared" si="186"/>
        <v>4.6925566343042069E-2</v>
      </c>
      <c r="AS496">
        <f t="shared" si="192"/>
        <v>0.58900000000000008</v>
      </c>
      <c r="AT496">
        <f t="shared" si="193"/>
        <v>757</v>
      </c>
      <c r="AU496">
        <f t="shared" si="194"/>
        <v>37</v>
      </c>
      <c r="AV496">
        <f t="shared" si="164"/>
        <v>558</v>
      </c>
      <c r="AW496">
        <f t="shared" si="165"/>
        <v>51</v>
      </c>
      <c r="AX496" s="3">
        <f t="shared" si="166"/>
        <v>676.3403141361257</v>
      </c>
      <c r="AY496">
        <f t="shared" si="167"/>
        <v>379</v>
      </c>
      <c r="AZ496">
        <f t="shared" si="168"/>
        <v>63</v>
      </c>
      <c r="BA496" s="3">
        <f t="shared" si="169"/>
        <v>843.3403141361257</v>
      </c>
    </row>
    <row r="497" spans="1:53" x14ac:dyDescent="0.2">
      <c r="A497">
        <v>1986</v>
      </c>
      <c r="B497" t="s">
        <v>71</v>
      </c>
      <c r="C497" t="s">
        <v>58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9.1999999999999993</v>
      </c>
      <c r="J497">
        <v>2.2000000000000002</v>
      </c>
      <c r="K497">
        <f t="shared" si="187"/>
        <v>11.399999999999999</v>
      </c>
      <c r="L497">
        <v>0</v>
      </c>
      <c r="M497">
        <v>0.6</v>
      </c>
      <c r="N497">
        <v>0</v>
      </c>
      <c r="O497">
        <f t="shared" si="188"/>
        <v>0.6</v>
      </c>
      <c r="P497">
        <v>0</v>
      </c>
      <c r="Q497">
        <v>6.4</v>
      </c>
      <c r="R497">
        <v>2.7</v>
      </c>
      <c r="S497">
        <f t="shared" si="189"/>
        <v>9.1000000000000014</v>
      </c>
      <c r="T497">
        <v>3.7</v>
      </c>
      <c r="U497">
        <v>1.6</v>
      </c>
      <c r="V497">
        <v>2.7</v>
      </c>
      <c r="W497">
        <v>0.4</v>
      </c>
      <c r="X497">
        <v>0</v>
      </c>
      <c r="Y497">
        <v>1</v>
      </c>
      <c r="Z497">
        <v>22.5</v>
      </c>
      <c r="AA497">
        <f t="shared" si="190"/>
        <v>31.9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7.2</v>
      </c>
      <c r="AI497">
        <v>4.5</v>
      </c>
      <c r="AJ497">
        <f t="shared" si="191"/>
        <v>11.7</v>
      </c>
      <c r="AK497">
        <v>0.2</v>
      </c>
      <c r="AL497">
        <v>0.35</v>
      </c>
      <c r="AM497">
        <f t="shared" si="163"/>
        <v>0.64700000000000002</v>
      </c>
      <c r="AN497">
        <v>396</v>
      </c>
      <c r="AO497" t="s">
        <v>13</v>
      </c>
      <c r="AP497" s="3">
        <f t="shared" si="195"/>
        <v>1121.8130311614732</v>
      </c>
      <c r="AQ497" s="3" t="s">
        <v>13</v>
      </c>
      <c r="AR497">
        <f t="shared" si="186"/>
        <v>0.18083462132921174</v>
      </c>
      <c r="AS497">
        <f t="shared" si="192"/>
        <v>0.53</v>
      </c>
      <c r="AT497">
        <f t="shared" si="193"/>
        <v>595</v>
      </c>
      <c r="AU497">
        <f t="shared" si="194"/>
        <v>131</v>
      </c>
      <c r="AV497">
        <f t="shared" si="164"/>
        <v>531</v>
      </c>
      <c r="AW497">
        <f t="shared" si="165"/>
        <v>147</v>
      </c>
      <c r="AX497" s="3">
        <f t="shared" si="166"/>
        <v>443.81303116147319</v>
      </c>
      <c r="AY497">
        <f t="shared" si="167"/>
        <v>297</v>
      </c>
      <c r="AZ497">
        <f t="shared" si="168"/>
        <v>205</v>
      </c>
      <c r="BA497" s="3">
        <f t="shared" si="169"/>
        <v>619.81303116147319</v>
      </c>
    </row>
    <row r="498" spans="1:53" x14ac:dyDescent="0.2">
      <c r="A498">
        <v>1987</v>
      </c>
      <c r="B498" t="s">
        <v>71</v>
      </c>
      <c r="C498" t="s">
        <v>58</v>
      </c>
      <c r="D498">
        <v>0</v>
      </c>
      <c r="E498">
        <v>0</v>
      </c>
      <c r="F498">
        <v>0</v>
      </c>
      <c r="G498">
        <v>0.2</v>
      </c>
      <c r="H498">
        <v>0</v>
      </c>
      <c r="I498">
        <v>33.700000000000003</v>
      </c>
      <c r="J498">
        <v>2</v>
      </c>
      <c r="K498">
        <f t="shared" si="187"/>
        <v>35.900000000000006</v>
      </c>
      <c r="L498">
        <v>2</v>
      </c>
      <c r="M498">
        <v>0</v>
      </c>
      <c r="N498">
        <v>0</v>
      </c>
      <c r="O498">
        <f t="shared" si="188"/>
        <v>2</v>
      </c>
      <c r="P498">
        <v>0</v>
      </c>
      <c r="Q498">
        <v>0.2</v>
      </c>
      <c r="R498">
        <v>0.6</v>
      </c>
      <c r="S498">
        <f t="shared" si="189"/>
        <v>0.8</v>
      </c>
      <c r="T498">
        <v>11.1</v>
      </c>
      <c r="U498">
        <v>3</v>
      </c>
      <c r="V498">
        <v>6</v>
      </c>
      <c r="W498">
        <v>0.7</v>
      </c>
      <c r="X498">
        <v>0.4</v>
      </c>
      <c r="Y498">
        <v>0.6</v>
      </c>
      <c r="Z498">
        <v>1.5</v>
      </c>
      <c r="AA498">
        <f t="shared" si="190"/>
        <v>23.3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16.399999999999999</v>
      </c>
      <c r="AI498">
        <v>3.5</v>
      </c>
      <c r="AJ498">
        <f t="shared" si="191"/>
        <v>19.899999999999999</v>
      </c>
      <c r="AK498">
        <v>0.2</v>
      </c>
      <c r="AL498">
        <v>0.17800000000000002</v>
      </c>
      <c r="AM498">
        <f t="shared" si="163"/>
        <v>0.81900000000000006</v>
      </c>
      <c r="AN498">
        <v>386</v>
      </c>
      <c r="AO498" t="s">
        <v>13</v>
      </c>
      <c r="AP498" s="3">
        <f t="shared" si="195"/>
        <v>2132.5966850828736</v>
      </c>
      <c r="AQ498" s="3" t="s">
        <v>13</v>
      </c>
      <c r="AR498">
        <f t="shared" si="186"/>
        <v>0.24297924297924295</v>
      </c>
      <c r="AS498">
        <f t="shared" si="192"/>
        <v>0.62</v>
      </c>
      <c r="AT498">
        <f t="shared" si="193"/>
        <v>1322</v>
      </c>
      <c r="AU498">
        <f t="shared" si="194"/>
        <v>424</v>
      </c>
      <c r="AV498">
        <f t="shared" si="164"/>
        <v>939</v>
      </c>
      <c r="AW498">
        <f t="shared" si="165"/>
        <v>624</v>
      </c>
      <c r="AX498" s="3">
        <f t="shared" si="166"/>
        <v>569.59668508287359</v>
      </c>
      <c r="AY498">
        <f t="shared" si="167"/>
        <v>661</v>
      </c>
      <c r="AZ498">
        <f t="shared" si="168"/>
        <v>770</v>
      </c>
      <c r="BA498" s="3">
        <f t="shared" si="169"/>
        <v>701.59668508287359</v>
      </c>
    </row>
    <row r="499" spans="1:53" x14ac:dyDescent="0.2">
      <c r="A499">
        <v>1988</v>
      </c>
      <c r="B499" t="s">
        <v>71</v>
      </c>
      <c r="C499" t="s">
        <v>58</v>
      </c>
      <c r="D499">
        <v>0.3</v>
      </c>
      <c r="E499">
        <v>0</v>
      </c>
      <c r="F499">
        <v>0</v>
      </c>
      <c r="G499">
        <v>0.3</v>
      </c>
      <c r="H499">
        <v>0</v>
      </c>
      <c r="I499">
        <v>31.8</v>
      </c>
      <c r="J499">
        <v>1.9</v>
      </c>
      <c r="K499">
        <f t="shared" si="187"/>
        <v>34.299999999999997</v>
      </c>
      <c r="L499">
        <v>0.6</v>
      </c>
      <c r="M499">
        <v>0</v>
      </c>
      <c r="N499">
        <v>0</v>
      </c>
      <c r="O499">
        <f t="shared" si="188"/>
        <v>0.6</v>
      </c>
      <c r="P499">
        <v>0</v>
      </c>
      <c r="Q499">
        <v>0</v>
      </c>
      <c r="R499">
        <v>1.6</v>
      </c>
      <c r="S499">
        <f t="shared" si="189"/>
        <v>1.6</v>
      </c>
      <c r="T499">
        <v>8.6999999999999993</v>
      </c>
      <c r="U499">
        <v>0.8</v>
      </c>
      <c r="V499">
        <v>3</v>
      </c>
      <c r="W499">
        <v>0.1</v>
      </c>
      <c r="X499">
        <v>0.5</v>
      </c>
      <c r="Y499">
        <v>0.3</v>
      </c>
      <c r="Z499">
        <v>0.5</v>
      </c>
      <c r="AA499">
        <f t="shared" si="190"/>
        <v>13.9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22.1</v>
      </c>
      <c r="AI499">
        <v>1.8</v>
      </c>
      <c r="AJ499">
        <f t="shared" si="191"/>
        <v>23.900000000000002</v>
      </c>
      <c r="AK499">
        <v>1.2</v>
      </c>
      <c r="AL499">
        <v>0.24399999999999999</v>
      </c>
      <c r="AM499">
        <f t="shared" si="163"/>
        <v>0.74299999999999999</v>
      </c>
      <c r="AN499">
        <v>1890</v>
      </c>
      <c r="AO499" t="s">
        <v>13</v>
      </c>
      <c r="AP499" s="3">
        <f t="shared" si="195"/>
        <v>7354.0856031128405</v>
      </c>
      <c r="AQ499" s="3" t="s">
        <v>13</v>
      </c>
      <c r="AR499">
        <f t="shared" si="186"/>
        <v>0.32166890982503366</v>
      </c>
      <c r="AS499">
        <f t="shared" si="192"/>
        <v>0.504</v>
      </c>
      <c r="AT499">
        <f t="shared" si="193"/>
        <v>3706</v>
      </c>
      <c r="AU499">
        <f t="shared" si="194"/>
        <v>1758</v>
      </c>
      <c r="AV499">
        <f t="shared" si="164"/>
        <v>2445</v>
      </c>
      <c r="AW499">
        <f t="shared" si="165"/>
        <v>2366</v>
      </c>
      <c r="AX499" s="3">
        <f t="shared" si="166"/>
        <v>2543.0856031128405</v>
      </c>
      <c r="AY499">
        <f t="shared" si="167"/>
        <v>1853</v>
      </c>
      <c r="AZ499">
        <f t="shared" si="168"/>
        <v>2651</v>
      </c>
      <c r="BA499" s="3">
        <f t="shared" si="169"/>
        <v>2850.0856031128405</v>
      </c>
    </row>
    <row r="500" spans="1:53" x14ac:dyDescent="0.2">
      <c r="A500">
        <v>1989</v>
      </c>
      <c r="B500" t="s">
        <v>71</v>
      </c>
      <c r="C500" t="s">
        <v>58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17.100000000000001</v>
      </c>
      <c r="J500">
        <v>0</v>
      </c>
      <c r="K500">
        <f t="shared" si="187"/>
        <v>17.100000000000001</v>
      </c>
      <c r="L500">
        <v>0</v>
      </c>
      <c r="M500">
        <v>0</v>
      </c>
      <c r="N500">
        <v>0</v>
      </c>
      <c r="O500">
        <f t="shared" si="188"/>
        <v>0</v>
      </c>
      <c r="P500">
        <v>0</v>
      </c>
      <c r="Q500">
        <v>1.8</v>
      </c>
      <c r="R500">
        <v>0</v>
      </c>
      <c r="S500">
        <f t="shared" si="189"/>
        <v>1.8</v>
      </c>
      <c r="T500">
        <v>14.8</v>
      </c>
      <c r="U500">
        <v>1.6</v>
      </c>
      <c r="V500">
        <v>9.6999999999999993</v>
      </c>
      <c r="W500">
        <v>0.7</v>
      </c>
      <c r="X500">
        <v>0</v>
      </c>
      <c r="Y500">
        <v>0</v>
      </c>
      <c r="Z500">
        <v>2.6</v>
      </c>
      <c r="AA500">
        <f t="shared" si="190"/>
        <v>29.400000000000002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5.5</v>
      </c>
      <c r="AI500">
        <v>0.8</v>
      </c>
      <c r="AJ500">
        <f t="shared" si="191"/>
        <v>6.3</v>
      </c>
      <c r="AK500">
        <v>0</v>
      </c>
      <c r="AL500">
        <v>0.45500000000000002</v>
      </c>
      <c r="AM500">
        <f t="shared" si="163"/>
        <v>0.54600000000000004</v>
      </c>
      <c r="AN500">
        <v>2549</v>
      </c>
      <c r="AO500" t="s">
        <v>13</v>
      </c>
      <c r="AP500" s="3">
        <f t="shared" si="195"/>
        <v>5614.5374449339215</v>
      </c>
      <c r="AQ500" s="3" t="s">
        <v>13</v>
      </c>
      <c r="AR500">
        <f t="shared" si="186"/>
        <v>0.11538461538461538</v>
      </c>
      <c r="AS500">
        <f t="shared" si="192"/>
        <v>0.48300000000000004</v>
      </c>
      <c r="AT500">
        <f t="shared" si="193"/>
        <v>2712</v>
      </c>
      <c r="AU500">
        <f t="shared" si="194"/>
        <v>354</v>
      </c>
      <c r="AV500">
        <f t="shared" si="164"/>
        <v>2232</v>
      </c>
      <c r="AW500">
        <f t="shared" si="165"/>
        <v>413</v>
      </c>
      <c r="AX500" s="3">
        <f t="shared" si="166"/>
        <v>2969.5374449339215</v>
      </c>
      <c r="AY500">
        <f t="shared" si="167"/>
        <v>1356</v>
      </c>
      <c r="AZ500">
        <f t="shared" si="168"/>
        <v>519</v>
      </c>
      <c r="BA500" s="3">
        <f t="shared" si="169"/>
        <v>3739.5374449339215</v>
      </c>
    </row>
    <row r="501" spans="1:53" x14ac:dyDescent="0.2">
      <c r="A501">
        <v>1990</v>
      </c>
      <c r="B501" t="s">
        <v>71</v>
      </c>
      <c r="C501" t="s">
        <v>58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23.1</v>
      </c>
      <c r="J501">
        <v>0</v>
      </c>
      <c r="K501">
        <f t="shared" si="187"/>
        <v>23.1</v>
      </c>
      <c r="L501">
        <v>0</v>
      </c>
      <c r="M501">
        <v>0.2</v>
      </c>
      <c r="N501">
        <v>0</v>
      </c>
      <c r="O501">
        <f t="shared" si="188"/>
        <v>0.2</v>
      </c>
      <c r="P501">
        <v>0</v>
      </c>
      <c r="Q501">
        <v>1.6</v>
      </c>
      <c r="R501">
        <v>0</v>
      </c>
      <c r="S501">
        <f t="shared" si="189"/>
        <v>1.6</v>
      </c>
      <c r="T501">
        <v>14.4</v>
      </c>
      <c r="U501">
        <v>6.1</v>
      </c>
      <c r="V501">
        <v>3.7</v>
      </c>
      <c r="W501">
        <v>0.9</v>
      </c>
      <c r="X501">
        <v>0</v>
      </c>
      <c r="Y501">
        <v>0</v>
      </c>
      <c r="Z501">
        <v>1.8</v>
      </c>
      <c r="AA501">
        <f t="shared" si="190"/>
        <v>26.9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0.3</v>
      </c>
      <c r="AI501">
        <v>2.6</v>
      </c>
      <c r="AJ501">
        <f t="shared" si="191"/>
        <v>2.9</v>
      </c>
      <c r="AK501">
        <v>0</v>
      </c>
      <c r="AL501">
        <v>0.45299999999999996</v>
      </c>
      <c r="AM501">
        <f t="shared" si="163"/>
        <v>0.54700000000000004</v>
      </c>
      <c r="AN501">
        <v>812</v>
      </c>
      <c r="AO501" t="s">
        <v>13</v>
      </c>
      <c r="AP501" s="3">
        <f t="shared" si="195"/>
        <v>1792.4944812362032</v>
      </c>
      <c r="AQ501" s="3" t="s">
        <v>13</v>
      </c>
      <c r="AR501">
        <f t="shared" si="186"/>
        <v>5.3016453382084085E-2</v>
      </c>
      <c r="AS501">
        <f t="shared" si="192"/>
        <v>0.51800000000000002</v>
      </c>
      <c r="AT501">
        <f t="shared" si="193"/>
        <v>929</v>
      </c>
      <c r="AU501">
        <f t="shared" si="194"/>
        <v>52</v>
      </c>
      <c r="AV501">
        <f t="shared" si="164"/>
        <v>721</v>
      </c>
      <c r="AW501">
        <f t="shared" si="165"/>
        <v>65</v>
      </c>
      <c r="AX501" s="3">
        <f t="shared" si="166"/>
        <v>1006.4944812362032</v>
      </c>
      <c r="AY501">
        <f t="shared" si="167"/>
        <v>464</v>
      </c>
      <c r="AZ501">
        <f t="shared" si="168"/>
        <v>80</v>
      </c>
      <c r="BA501" s="3">
        <f t="shared" si="169"/>
        <v>1248.4944812362032</v>
      </c>
    </row>
    <row r="502" spans="1:53" x14ac:dyDescent="0.2">
      <c r="A502">
        <v>1991</v>
      </c>
      <c r="B502" t="s">
        <v>71</v>
      </c>
      <c r="C502" t="s">
        <v>58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12.3</v>
      </c>
      <c r="J502">
        <v>2.5</v>
      </c>
      <c r="K502">
        <f t="shared" si="187"/>
        <v>14.8</v>
      </c>
      <c r="L502">
        <v>0.3</v>
      </c>
      <c r="M502">
        <v>0</v>
      </c>
      <c r="N502">
        <v>0</v>
      </c>
      <c r="O502">
        <f t="shared" si="188"/>
        <v>0.3</v>
      </c>
      <c r="P502">
        <v>0</v>
      </c>
      <c r="Q502">
        <v>2.5</v>
      </c>
      <c r="R502">
        <v>0.8</v>
      </c>
      <c r="S502">
        <f t="shared" si="189"/>
        <v>3.3</v>
      </c>
      <c r="T502">
        <v>8.6999999999999993</v>
      </c>
      <c r="U502">
        <v>3.2</v>
      </c>
      <c r="V502">
        <v>2.4</v>
      </c>
      <c r="W502">
        <v>1.5</v>
      </c>
      <c r="X502">
        <v>0</v>
      </c>
      <c r="Y502">
        <v>0.3</v>
      </c>
      <c r="Z502">
        <v>2.8</v>
      </c>
      <c r="AA502">
        <f t="shared" si="190"/>
        <v>18.899999999999999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1.8</v>
      </c>
      <c r="AI502">
        <v>8.9</v>
      </c>
      <c r="AJ502">
        <f t="shared" si="191"/>
        <v>10.700000000000001</v>
      </c>
      <c r="AK502">
        <v>0</v>
      </c>
      <c r="AL502">
        <v>0.52100000000000002</v>
      </c>
      <c r="AM502">
        <f t="shared" si="163"/>
        <v>0.47999999999999987</v>
      </c>
      <c r="AN502">
        <v>340</v>
      </c>
      <c r="AO502" t="s">
        <v>13</v>
      </c>
      <c r="AP502" s="3">
        <f t="shared" si="195"/>
        <v>653.8461538461537</v>
      </c>
      <c r="AQ502" s="3" t="s">
        <v>13</v>
      </c>
      <c r="AR502">
        <f t="shared" si="186"/>
        <v>0.22291666666666676</v>
      </c>
      <c r="AS502">
        <f t="shared" si="192"/>
        <v>0.373</v>
      </c>
      <c r="AT502">
        <f t="shared" si="193"/>
        <v>244</v>
      </c>
      <c r="AU502">
        <f t="shared" si="194"/>
        <v>70</v>
      </c>
      <c r="AV502">
        <f t="shared" si="164"/>
        <v>196</v>
      </c>
      <c r="AW502">
        <f t="shared" si="165"/>
        <v>78</v>
      </c>
      <c r="AX502" s="3">
        <f t="shared" si="166"/>
        <v>379.8461538461537</v>
      </c>
      <c r="AY502">
        <f t="shared" si="167"/>
        <v>122</v>
      </c>
      <c r="AZ502">
        <f t="shared" si="168"/>
        <v>91</v>
      </c>
      <c r="BA502" s="3">
        <f t="shared" si="169"/>
        <v>440.8461538461537</v>
      </c>
    </row>
    <row r="503" spans="1:53" x14ac:dyDescent="0.2">
      <c r="A503">
        <v>1992</v>
      </c>
      <c r="B503" t="s">
        <v>71</v>
      </c>
      <c r="C503" t="s">
        <v>58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19.8</v>
      </c>
      <c r="J503">
        <v>1.8</v>
      </c>
      <c r="K503">
        <f t="shared" si="187"/>
        <v>21.6</v>
      </c>
      <c r="L503">
        <v>0.6</v>
      </c>
      <c r="M503">
        <v>0</v>
      </c>
      <c r="N503">
        <v>0</v>
      </c>
      <c r="O503">
        <f t="shared" si="188"/>
        <v>0.6</v>
      </c>
      <c r="P503">
        <v>0</v>
      </c>
      <c r="Q503">
        <v>0.9</v>
      </c>
      <c r="R503">
        <v>0</v>
      </c>
      <c r="S503">
        <f t="shared" si="189"/>
        <v>0.9</v>
      </c>
      <c r="T503">
        <v>25.2</v>
      </c>
      <c r="U503">
        <v>3.8</v>
      </c>
      <c r="V503">
        <v>4.9000000000000004</v>
      </c>
      <c r="W503">
        <v>1.7</v>
      </c>
      <c r="X503">
        <v>0</v>
      </c>
      <c r="Y503">
        <v>0</v>
      </c>
      <c r="Z503">
        <v>2.1</v>
      </c>
      <c r="AA503">
        <f t="shared" si="190"/>
        <v>37.700000000000003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0.7</v>
      </c>
      <c r="AI503">
        <v>3.1</v>
      </c>
      <c r="AJ503">
        <f t="shared" si="191"/>
        <v>3.8</v>
      </c>
      <c r="AK503">
        <v>0</v>
      </c>
      <c r="AL503">
        <v>0.35499999999999998</v>
      </c>
      <c r="AM503">
        <f t="shared" si="163"/>
        <v>0.64599999999999991</v>
      </c>
      <c r="AN503">
        <v>1247</v>
      </c>
      <c r="AO503" t="s">
        <v>13</v>
      </c>
      <c r="AP503" s="3">
        <f t="shared" si="195"/>
        <v>3522.5988700564963</v>
      </c>
      <c r="AQ503" s="3" t="s">
        <v>13</v>
      </c>
      <c r="AR503">
        <f t="shared" si="186"/>
        <v>5.8823529411764712E-2</v>
      </c>
      <c r="AS503">
        <f t="shared" si="192"/>
        <v>0.6080000000000001</v>
      </c>
      <c r="AT503">
        <f t="shared" si="193"/>
        <v>2142</v>
      </c>
      <c r="AU503">
        <f t="shared" si="194"/>
        <v>134</v>
      </c>
      <c r="AV503">
        <f t="shared" si="164"/>
        <v>1761</v>
      </c>
      <c r="AW503">
        <f t="shared" si="165"/>
        <v>171</v>
      </c>
      <c r="AX503" s="3">
        <f t="shared" si="166"/>
        <v>1590.5988700564963</v>
      </c>
      <c r="AY503">
        <f t="shared" si="167"/>
        <v>1071</v>
      </c>
      <c r="AZ503">
        <f t="shared" si="168"/>
        <v>238</v>
      </c>
      <c r="BA503" s="3">
        <f t="shared" si="169"/>
        <v>2213.5988700564963</v>
      </c>
    </row>
    <row r="504" spans="1:53" x14ac:dyDescent="0.2">
      <c r="A504">
        <v>1993</v>
      </c>
      <c r="B504" t="s">
        <v>71</v>
      </c>
      <c r="C504" t="s">
        <v>58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20.9</v>
      </c>
      <c r="J504">
        <v>4.4000000000000004</v>
      </c>
      <c r="K504">
        <f t="shared" si="187"/>
        <v>25.299999999999997</v>
      </c>
      <c r="L504">
        <v>0.7</v>
      </c>
      <c r="M504">
        <v>0</v>
      </c>
      <c r="N504">
        <v>0</v>
      </c>
      <c r="O504">
        <f t="shared" si="188"/>
        <v>0.7</v>
      </c>
      <c r="P504">
        <v>0</v>
      </c>
      <c r="Q504">
        <v>0</v>
      </c>
      <c r="R504">
        <v>0</v>
      </c>
      <c r="S504">
        <f t="shared" si="189"/>
        <v>0</v>
      </c>
      <c r="T504">
        <v>15.2</v>
      </c>
      <c r="U504">
        <v>2.4</v>
      </c>
      <c r="V504">
        <v>5.5</v>
      </c>
      <c r="W504">
        <v>0.2</v>
      </c>
      <c r="X504">
        <v>0</v>
      </c>
      <c r="Y504">
        <v>0</v>
      </c>
      <c r="Z504">
        <v>4.5</v>
      </c>
      <c r="AA504">
        <f t="shared" si="190"/>
        <v>27.799999999999997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1.9</v>
      </c>
      <c r="AI504">
        <v>4.0999999999999996</v>
      </c>
      <c r="AJ504">
        <f t="shared" si="191"/>
        <v>6</v>
      </c>
      <c r="AK504">
        <v>0</v>
      </c>
      <c r="AL504">
        <v>0.40100000000000002</v>
      </c>
      <c r="AM504">
        <f t="shared" si="163"/>
        <v>0.59799999999999998</v>
      </c>
      <c r="AN504">
        <v>890</v>
      </c>
      <c r="AO504" t="s">
        <v>13</v>
      </c>
      <c r="AP504" s="3">
        <f t="shared" si="195"/>
        <v>2213.9303482587065</v>
      </c>
      <c r="AQ504" s="3" t="s">
        <v>13</v>
      </c>
      <c r="AR504">
        <f t="shared" si="186"/>
        <v>0.10033444816053512</v>
      </c>
      <c r="AS504">
        <f t="shared" si="192"/>
        <v>0.53799999999999992</v>
      </c>
      <c r="AT504">
        <f t="shared" si="193"/>
        <v>1191</v>
      </c>
      <c r="AU504">
        <f t="shared" si="194"/>
        <v>133</v>
      </c>
      <c r="AV504">
        <f t="shared" si="164"/>
        <v>911</v>
      </c>
      <c r="AW504">
        <f t="shared" si="165"/>
        <v>169</v>
      </c>
      <c r="AX504" s="3">
        <f t="shared" si="166"/>
        <v>1133.9303482587065</v>
      </c>
      <c r="AY504">
        <f t="shared" si="167"/>
        <v>596</v>
      </c>
      <c r="AZ504">
        <f t="shared" si="168"/>
        <v>210</v>
      </c>
      <c r="BA504" s="3">
        <f t="shared" si="169"/>
        <v>1407.9303482587065</v>
      </c>
    </row>
    <row r="505" spans="1:53" x14ac:dyDescent="0.2">
      <c r="A505">
        <v>1994</v>
      </c>
      <c r="B505" t="s">
        <v>71</v>
      </c>
      <c r="C505" t="s">
        <v>58</v>
      </c>
      <c r="D505" t="s">
        <v>13</v>
      </c>
      <c r="E505" t="s">
        <v>13</v>
      </c>
      <c r="F505" t="s">
        <v>13</v>
      </c>
      <c r="G505" t="s">
        <v>13</v>
      </c>
      <c r="H505" t="s">
        <v>13</v>
      </c>
      <c r="I505" t="s">
        <v>13</v>
      </c>
      <c r="J505" t="s">
        <v>13</v>
      </c>
      <c r="K505" t="s">
        <v>13</v>
      </c>
      <c r="L505" t="s">
        <v>13</v>
      </c>
      <c r="M505" t="s">
        <v>13</v>
      </c>
      <c r="N505" t="s">
        <v>13</v>
      </c>
      <c r="O505" t="s">
        <v>13</v>
      </c>
      <c r="P505" t="s">
        <v>13</v>
      </c>
      <c r="Q505" t="s">
        <v>13</v>
      </c>
      <c r="R505" t="s">
        <v>13</v>
      </c>
      <c r="S505" t="s">
        <v>13</v>
      </c>
      <c r="T505" t="s">
        <v>13</v>
      </c>
      <c r="U505" t="s">
        <v>13</v>
      </c>
      <c r="V505" t="s">
        <v>13</v>
      </c>
      <c r="W505" t="s">
        <v>13</v>
      </c>
      <c r="X505" t="s">
        <v>13</v>
      </c>
      <c r="Y505" t="s">
        <v>13</v>
      </c>
      <c r="Z505" t="s">
        <v>13</v>
      </c>
      <c r="AA505" t="s">
        <v>13</v>
      </c>
      <c r="AB505" t="s">
        <v>13</v>
      </c>
      <c r="AC505" t="s">
        <v>13</v>
      </c>
      <c r="AD505" t="s">
        <v>13</v>
      </c>
      <c r="AE505" t="s">
        <v>13</v>
      </c>
      <c r="AF505" t="s">
        <v>13</v>
      </c>
      <c r="AG505" t="s">
        <v>13</v>
      </c>
      <c r="AH505" t="s">
        <v>13</v>
      </c>
      <c r="AI505" t="s">
        <v>13</v>
      </c>
      <c r="AJ505" t="s">
        <v>13</v>
      </c>
      <c r="AK505" t="s">
        <v>13</v>
      </c>
      <c r="AL505" t="s">
        <v>13</v>
      </c>
      <c r="AM505" t="s">
        <v>13</v>
      </c>
      <c r="AN505">
        <v>1695</v>
      </c>
      <c r="AO505" t="s">
        <v>13</v>
      </c>
      <c r="AP505" t="s">
        <v>13</v>
      </c>
      <c r="AQ505" t="s">
        <v>13</v>
      </c>
      <c r="AR505" t="s">
        <v>13</v>
      </c>
      <c r="AS505" t="s">
        <v>13</v>
      </c>
      <c r="AT505" t="s">
        <v>13</v>
      </c>
      <c r="AU505" t="s">
        <v>13</v>
      </c>
      <c r="AV505" t="s">
        <v>13</v>
      </c>
      <c r="AW505" t="s">
        <v>13</v>
      </c>
      <c r="AX505" t="s">
        <v>13</v>
      </c>
      <c r="AY505" t="s">
        <v>13</v>
      </c>
      <c r="AZ505" t="s">
        <v>13</v>
      </c>
      <c r="BA505" t="s">
        <v>13</v>
      </c>
    </row>
    <row r="506" spans="1:53" x14ac:dyDescent="0.2">
      <c r="A506">
        <v>1995</v>
      </c>
      <c r="B506" t="s">
        <v>71</v>
      </c>
      <c r="C506" t="s">
        <v>58</v>
      </c>
      <c r="D506" t="s">
        <v>13</v>
      </c>
      <c r="E506" t="s">
        <v>13</v>
      </c>
      <c r="F506" t="s">
        <v>13</v>
      </c>
      <c r="G506" t="s">
        <v>13</v>
      </c>
      <c r="H506" t="s">
        <v>13</v>
      </c>
      <c r="I506" t="s">
        <v>13</v>
      </c>
      <c r="J506" t="s">
        <v>13</v>
      </c>
      <c r="K506" t="s">
        <v>13</v>
      </c>
      <c r="L506" t="s">
        <v>13</v>
      </c>
      <c r="M506" t="s">
        <v>13</v>
      </c>
      <c r="N506" t="s">
        <v>13</v>
      </c>
      <c r="O506" t="s">
        <v>13</v>
      </c>
      <c r="P506" t="s">
        <v>13</v>
      </c>
      <c r="Q506" t="s">
        <v>13</v>
      </c>
      <c r="R506" t="s">
        <v>13</v>
      </c>
      <c r="S506" t="s">
        <v>13</v>
      </c>
      <c r="T506" t="s">
        <v>13</v>
      </c>
      <c r="U506" t="s">
        <v>13</v>
      </c>
      <c r="V506" t="s">
        <v>13</v>
      </c>
      <c r="W506" t="s">
        <v>13</v>
      </c>
      <c r="X506" t="s">
        <v>13</v>
      </c>
      <c r="Y506" t="s">
        <v>13</v>
      </c>
      <c r="Z506" t="s">
        <v>13</v>
      </c>
      <c r="AA506" t="s">
        <v>13</v>
      </c>
      <c r="AB506" t="s">
        <v>13</v>
      </c>
      <c r="AC506" t="s">
        <v>13</v>
      </c>
      <c r="AD506" t="s">
        <v>13</v>
      </c>
      <c r="AE506" t="s">
        <v>13</v>
      </c>
      <c r="AF506" t="s">
        <v>13</v>
      </c>
      <c r="AG506" t="s">
        <v>13</v>
      </c>
      <c r="AH506" t="s">
        <v>13</v>
      </c>
      <c r="AI506" t="s">
        <v>13</v>
      </c>
      <c r="AJ506" t="s">
        <v>13</v>
      </c>
      <c r="AK506" t="s">
        <v>13</v>
      </c>
      <c r="AL506" t="s">
        <v>13</v>
      </c>
      <c r="AM506" t="s">
        <v>13</v>
      </c>
      <c r="AN506">
        <v>1368</v>
      </c>
      <c r="AO506" t="s">
        <v>13</v>
      </c>
      <c r="AP506" t="s">
        <v>13</v>
      </c>
      <c r="AQ506" t="s">
        <v>13</v>
      </c>
      <c r="AR506" t="s">
        <v>13</v>
      </c>
      <c r="AS506" t="s">
        <v>13</v>
      </c>
      <c r="AT506" t="s">
        <v>13</v>
      </c>
      <c r="AU506" t="s">
        <v>13</v>
      </c>
      <c r="AV506" t="s">
        <v>13</v>
      </c>
      <c r="AW506" t="s">
        <v>13</v>
      </c>
      <c r="AX506" t="s">
        <v>13</v>
      </c>
      <c r="AY506" t="s">
        <v>13</v>
      </c>
      <c r="AZ506" t="s">
        <v>13</v>
      </c>
      <c r="BA506" t="s">
        <v>13</v>
      </c>
    </row>
    <row r="507" spans="1:53" x14ac:dyDescent="0.2">
      <c r="A507">
        <v>1996</v>
      </c>
      <c r="B507" t="s">
        <v>71</v>
      </c>
      <c r="C507" t="s">
        <v>58</v>
      </c>
      <c r="D507" t="s">
        <v>13</v>
      </c>
      <c r="E507" t="s">
        <v>13</v>
      </c>
      <c r="F507" t="s">
        <v>13</v>
      </c>
      <c r="G507" t="s">
        <v>13</v>
      </c>
      <c r="H507" t="s">
        <v>13</v>
      </c>
      <c r="I507" t="s">
        <v>13</v>
      </c>
      <c r="J507" t="s">
        <v>13</v>
      </c>
      <c r="K507" t="s">
        <v>13</v>
      </c>
      <c r="L507" t="s">
        <v>13</v>
      </c>
      <c r="M507" t="s">
        <v>13</v>
      </c>
      <c r="N507" t="s">
        <v>13</v>
      </c>
      <c r="O507" t="s">
        <v>13</v>
      </c>
      <c r="P507" t="s">
        <v>13</v>
      </c>
      <c r="Q507" t="s">
        <v>13</v>
      </c>
      <c r="R507" t="s">
        <v>13</v>
      </c>
      <c r="S507" t="s">
        <v>13</v>
      </c>
      <c r="T507" t="s">
        <v>13</v>
      </c>
      <c r="U507" t="s">
        <v>13</v>
      </c>
      <c r="V507" t="s">
        <v>13</v>
      </c>
      <c r="W507" t="s">
        <v>13</v>
      </c>
      <c r="X507" t="s">
        <v>13</v>
      </c>
      <c r="Y507" t="s">
        <v>13</v>
      </c>
      <c r="Z507" t="s">
        <v>13</v>
      </c>
      <c r="AA507" t="s">
        <v>13</v>
      </c>
      <c r="AB507" t="s">
        <v>13</v>
      </c>
      <c r="AC507" t="s">
        <v>13</v>
      </c>
      <c r="AD507" t="s">
        <v>13</v>
      </c>
      <c r="AE507" t="s">
        <v>13</v>
      </c>
      <c r="AF507" t="s">
        <v>13</v>
      </c>
      <c r="AG507" t="s">
        <v>13</v>
      </c>
      <c r="AH507" t="s">
        <v>13</v>
      </c>
      <c r="AI507" t="s">
        <v>13</v>
      </c>
      <c r="AJ507" t="s">
        <v>13</v>
      </c>
      <c r="AK507" t="s">
        <v>13</v>
      </c>
      <c r="AL507" t="s">
        <v>13</v>
      </c>
      <c r="AM507" t="s">
        <v>13</v>
      </c>
      <c r="AN507">
        <v>2305</v>
      </c>
      <c r="AO507" t="s">
        <v>13</v>
      </c>
      <c r="AP507" t="s">
        <v>13</v>
      </c>
      <c r="AQ507" t="s">
        <v>13</v>
      </c>
      <c r="AR507" t="s">
        <v>13</v>
      </c>
      <c r="AS507" t="s">
        <v>13</v>
      </c>
      <c r="AT507" t="s">
        <v>13</v>
      </c>
      <c r="AU507" t="s">
        <v>13</v>
      </c>
      <c r="AV507" t="s">
        <v>13</v>
      </c>
      <c r="AW507" t="s">
        <v>13</v>
      </c>
      <c r="AX507" t="s">
        <v>13</v>
      </c>
      <c r="AY507" t="s">
        <v>13</v>
      </c>
      <c r="AZ507" t="s">
        <v>13</v>
      </c>
      <c r="BA507" t="s">
        <v>13</v>
      </c>
    </row>
    <row r="508" spans="1:53" x14ac:dyDescent="0.2">
      <c r="A508">
        <v>1997</v>
      </c>
      <c r="B508" t="s">
        <v>71</v>
      </c>
      <c r="C508" t="s">
        <v>58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21.7</v>
      </c>
      <c r="J508">
        <v>3.7</v>
      </c>
      <c r="K508">
        <f t="shared" ref="K508:K516" si="196">SUM(D508:J508)</f>
        <v>25.4</v>
      </c>
      <c r="L508">
        <v>0</v>
      </c>
      <c r="M508">
        <v>0</v>
      </c>
      <c r="N508">
        <v>0</v>
      </c>
      <c r="O508">
        <f t="shared" ref="O508:O516" si="197">SUM(L508:N508)</f>
        <v>0</v>
      </c>
      <c r="P508">
        <v>0</v>
      </c>
      <c r="Q508">
        <v>0</v>
      </c>
      <c r="R508">
        <v>2.2000000000000002</v>
      </c>
      <c r="S508">
        <f t="shared" ref="S508:S516" si="198">SUM(P508:R508)</f>
        <v>2.2000000000000002</v>
      </c>
      <c r="T508">
        <v>3.4</v>
      </c>
      <c r="U508">
        <v>3.1</v>
      </c>
      <c r="V508">
        <v>5.5</v>
      </c>
      <c r="W508">
        <v>0</v>
      </c>
      <c r="X508">
        <v>0</v>
      </c>
      <c r="Y508">
        <v>0</v>
      </c>
      <c r="Z508">
        <v>0</v>
      </c>
      <c r="AA508">
        <f t="shared" ref="AA508:AA516" si="199">SUM(T508:Z508)</f>
        <v>12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0.9</v>
      </c>
      <c r="AI508">
        <v>7.4</v>
      </c>
      <c r="AJ508">
        <f t="shared" ref="AJ508:AJ516" si="200">SUM(AB508:AI508)</f>
        <v>8.3000000000000007</v>
      </c>
      <c r="AK508">
        <v>1.8</v>
      </c>
      <c r="AL508">
        <v>0.502</v>
      </c>
      <c r="AM508">
        <f t="shared" si="163"/>
        <v>0.47900000000000004</v>
      </c>
      <c r="AN508">
        <v>689</v>
      </c>
      <c r="AO508" t="s">
        <v>13</v>
      </c>
      <c r="AP508" s="3">
        <f t="shared" si="195"/>
        <v>1322.456813819578</v>
      </c>
      <c r="AQ508" t="s">
        <v>13</v>
      </c>
      <c r="AR508">
        <f t="shared" si="186"/>
        <v>0.1732776617954071</v>
      </c>
      <c r="AS508">
        <f t="shared" ref="AS508:AS516" si="201">SUM(K508,O508,S508,AA508)/100</f>
        <v>0.39599999999999996</v>
      </c>
      <c r="AT508">
        <f t="shared" ref="AT508:AT516" si="202">ROUND(AS508*AP508,0)</f>
        <v>524</v>
      </c>
      <c r="AU508">
        <f t="shared" ref="AU508:AU516" si="203">ROUND((AJ508/100)*AP508,0)</f>
        <v>110</v>
      </c>
      <c r="AV508">
        <f t="shared" si="164"/>
        <v>356</v>
      </c>
      <c r="AW508">
        <f t="shared" si="165"/>
        <v>133</v>
      </c>
      <c r="AX508" s="3">
        <f t="shared" si="166"/>
        <v>833.45681381957797</v>
      </c>
      <c r="AY508">
        <f t="shared" si="167"/>
        <v>262</v>
      </c>
      <c r="AZ508">
        <f t="shared" si="168"/>
        <v>146</v>
      </c>
      <c r="BA508" s="3">
        <f t="shared" si="169"/>
        <v>914.45681381957797</v>
      </c>
    </row>
    <row r="509" spans="1:53" x14ac:dyDescent="0.2">
      <c r="A509">
        <v>1998</v>
      </c>
      <c r="B509" t="s">
        <v>71</v>
      </c>
      <c r="C509" t="s">
        <v>58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0.9</v>
      </c>
      <c r="J509">
        <v>11</v>
      </c>
      <c r="K509">
        <f t="shared" si="196"/>
        <v>11.9</v>
      </c>
      <c r="L509">
        <v>0</v>
      </c>
      <c r="M509">
        <v>0</v>
      </c>
      <c r="N509">
        <v>4.9000000000000004</v>
      </c>
      <c r="O509">
        <f t="shared" si="197"/>
        <v>4.9000000000000004</v>
      </c>
      <c r="P509">
        <v>0</v>
      </c>
      <c r="Q509">
        <v>0</v>
      </c>
      <c r="R509">
        <v>0</v>
      </c>
      <c r="S509">
        <f t="shared" si="198"/>
        <v>0</v>
      </c>
      <c r="T509">
        <v>1</v>
      </c>
      <c r="U509">
        <v>1.5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f t="shared" si="199"/>
        <v>2.5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1.8</v>
      </c>
      <c r="AI509">
        <v>20.2</v>
      </c>
      <c r="AJ509">
        <f t="shared" si="200"/>
        <v>22</v>
      </c>
      <c r="AK509">
        <v>0.9</v>
      </c>
      <c r="AL509">
        <v>0.57700000000000007</v>
      </c>
      <c r="AM509">
        <f t="shared" si="163"/>
        <v>0.41299999999999998</v>
      </c>
      <c r="AN509">
        <v>491</v>
      </c>
      <c r="AO509" t="s">
        <v>13</v>
      </c>
      <c r="AP509" s="3">
        <f t="shared" si="195"/>
        <v>836.45655877342426</v>
      </c>
      <c r="AQ509" t="s">
        <v>13</v>
      </c>
      <c r="AR509">
        <f t="shared" si="186"/>
        <v>0.53268765133171914</v>
      </c>
      <c r="AS509">
        <f t="shared" si="201"/>
        <v>0.193</v>
      </c>
      <c r="AT509">
        <f t="shared" si="202"/>
        <v>161</v>
      </c>
      <c r="AU509">
        <f t="shared" si="203"/>
        <v>184</v>
      </c>
      <c r="AV509">
        <f t="shared" si="164"/>
        <v>112</v>
      </c>
      <c r="AW509">
        <f t="shared" si="165"/>
        <v>197</v>
      </c>
      <c r="AX509" s="3">
        <f t="shared" si="166"/>
        <v>527.45655877342426</v>
      </c>
      <c r="AY509">
        <f t="shared" si="167"/>
        <v>81</v>
      </c>
      <c r="AZ509">
        <f t="shared" si="168"/>
        <v>206</v>
      </c>
      <c r="BA509" s="3">
        <f t="shared" si="169"/>
        <v>549.45655877342426</v>
      </c>
    </row>
    <row r="510" spans="1:53" x14ac:dyDescent="0.2">
      <c r="A510">
        <v>1999</v>
      </c>
      <c r="B510" t="s">
        <v>71</v>
      </c>
      <c r="C510" t="s">
        <v>58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2.1</v>
      </c>
      <c r="J510">
        <v>9.4</v>
      </c>
      <c r="K510">
        <f t="shared" si="196"/>
        <v>11.5</v>
      </c>
      <c r="L510">
        <v>0</v>
      </c>
      <c r="M510">
        <v>0</v>
      </c>
      <c r="N510">
        <v>0</v>
      </c>
      <c r="O510">
        <f t="shared" si="197"/>
        <v>0</v>
      </c>
      <c r="P510">
        <v>0</v>
      </c>
      <c r="Q510">
        <v>0</v>
      </c>
      <c r="R510">
        <v>0</v>
      </c>
      <c r="S510">
        <f t="shared" si="198"/>
        <v>0</v>
      </c>
      <c r="T510">
        <v>4.5999999999999996</v>
      </c>
      <c r="U510">
        <v>1.6</v>
      </c>
      <c r="V510">
        <v>2.9</v>
      </c>
      <c r="W510">
        <v>1.8</v>
      </c>
      <c r="X510">
        <v>0</v>
      </c>
      <c r="Y510">
        <v>0</v>
      </c>
      <c r="Z510">
        <v>0</v>
      </c>
      <c r="AA510">
        <f t="shared" si="199"/>
        <v>10.9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3.3</v>
      </c>
      <c r="AI510">
        <v>6.2</v>
      </c>
      <c r="AJ510">
        <f t="shared" si="200"/>
        <v>9.5</v>
      </c>
      <c r="AK510">
        <v>0</v>
      </c>
      <c r="AL510">
        <v>0.68099999999999994</v>
      </c>
      <c r="AM510">
        <f t="shared" si="163"/>
        <v>0.31900000000000001</v>
      </c>
      <c r="AN510">
        <v>299</v>
      </c>
      <c r="AO510" t="s">
        <v>13</v>
      </c>
      <c r="AP510" s="3">
        <f t="shared" si="195"/>
        <v>439.06020558002933</v>
      </c>
      <c r="AQ510" t="s">
        <v>13</v>
      </c>
      <c r="AR510">
        <f t="shared" si="186"/>
        <v>0.29780564263322884</v>
      </c>
      <c r="AS510">
        <f t="shared" si="201"/>
        <v>0.22399999999999998</v>
      </c>
      <c r="AT510">
        <f t="shared" si="202"/>
        <v>98</v>
      </c>
      <c r="AU510">
        <f t="shared" si="203"/>
        <v>42</v>
      </c>
      <c r="AV510">
        <f t="shared" si="164"/>
        <v>73</v>
      </c>
      <c r="AW510">
        <f t="shared" si="165"/>
        <v>45</v>
      </c>
      <c r="AX510" s="3">
        <f t="shared" si="166"/>
        <v>321.06020558002933</v>
      </c>
      <c r="AY510">
        <f t="shared" si="167"/>
        <v>49</v>
      </c>
      <c r="AZ510">
        <f t="shared" si="168"/>
        <v>48</v>
      </c>
      <c r="BA510" s="3">
        <f t="shared" si="169"/>
        <v>342.06020558002933</v>
      </c>
    </row>
    <row r="511" spans="1:53" x14ac:dyDescent="0.2">
      <c r="A511">
        <v>2000</v>
      </c>
      <c r="B511" t="s">
        <v>71</v>
      </c>
      <c r="C511" t="s">
        <v>58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16.600000000000001</v>
      </c>
      <c r="J511">
        <v>12.9</v>
      </c>
      <c r="K511">
        <f t="shared" si="196"/>
        <v>29.5</v>
      </c>
      <c r="L511">
        <v>0</v>
      </c>
      <c r="M511">
        <v>0</v>
      </c>
      <c r="N511">
        <v>0</v>
      </c>
      <c r="O511">
        <f t="shared" si="197"/>
        <v>0</v>
      </c>
      <c r="P511">
        <v>0</v>
      </c>
      <c r="Q511">
        <v>0</v>
      </c>
      <c r="R511">
        <v>1.9</v>
      </c>
      <c r="S511">
        <f t="shared" si="198"/>
        <v>1.9</v>
      </c>
      <c r="T511">
        <v>2.2999999999999998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3.7</v>
      </c>
      <c r="AA511">
        <f t="shared" si="199"/>
        <v>6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2.2000000000000002</v>
      </c>
      <c r="AI511">
        <v>3</v>
      </c>
      <c r="AJ511">
        <f t="shared" si="200"/>
        <v>5.2</v>
      </c>
      <c r="AK511">
        <v>0</v>
      </c>
      <c r="AL511">
        <v>0.57499999999999996</v>
      </c>
      <c r="AM511">
        <f t="shared" si="163"/>
        <v>0.42599999999999999</v>
      </c>
      <c r="AN511">
        <v>290</v>
      </c>
      <c r="AO511" t="s">
        <v>13</v>
      </c>
      <c r="AP511" s="3">
        <f t="shared" si="195"/>
        <v>505.22648083623687</v>
      </c>
      <c r="AQ511" t="s">
        <v>13</v>
      </c>
      <c r="AR511">
        <f t="shared" si="186"/>
        <v>0.12206572769953053</v>
      </c>
      <c r="AS511">
        <f t="shared" si="201"/>
        <v>0.374</v>
      </c>
      <c r="AT511">
        <f t="shared" si="202"/>
        <v>189</v>
      </c>
      <c r="AU511">
        <f t="shared" si="203"/>
        <v>26</v>
      </c>
      <c r="AV511">
        <f t="shared" si="164"/>
        <v>114</v>
      </c>
      <c r="AW511">
        <f t="shared" si="165"/>
        <v>32</v>
      </c>
      <c r="AX511" s="3">
        <f t="shared" si="166"/>
        <v>359.22648083623687</v>
      </c>
      <c r="AY511">
        <f t="shared" si="167"/>
        <v>94</v>
      </c>
      <c r="AZ511">
        <f t="shared" si="168"/>
        <v>34</v>
      </c>
      <c r="BA511" s="3">
        <f t="shared" si="169"/>
        <v>377.22648083623687</v>
      </c>
    </row>
    <row r="512" spans="1:53" x14ac:dyDescent="0.2">
      <c r="A512">
        <v>2001</v>
      </c>
      <c r="B512" t="s">
        <v>71</v>
      </c>
      <c r="C512" t="s">
        <v>58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8.9</v>
      </c>
      <c r="J512">
        <v>2.4</v>
      </c>
      <c r="K512">
        <f t="shared" si="196"/>
        <v>11.3</v>
      </c>
      <c r="L512">
        <v>0</v>
      </c>
      <c r="M512">
        <v>0</v>
      </c>
      <c r="N512">
        <v>0</v>
      </c>
      <c r="O512">
        <f t="shared" si="197"/>
        <v>0</v>
      </c>
      <c r="P512">
        <v>0</v>
      </c>
      <c r="Q512">
        <v>0</v>
      </c>
      <c r="R512">
        <v>0.3</v>
      </c>
      <c r="S512">
        <f t="shared" si="198"/>
        <v>0.3</v>
      </c>
      <c r="T512">
        <v>7.9</v>
      </c>
      <c r="U512">
        <v>2.8</v>
      </c>
      <c r="V512">
        <v>12.4</v>
      </c>
      <c r="W512">
        <v>0.7</v>
      </c>
      <c r="X512">
        <v>0</v>
      </c>
      <c r="Y512">
        <v>0.1</v>
      </c>
      <c r="Z512">
        <v>1</v>
      </c>
      <c r="AA512">
        <f t="shared" si="199"/>
        <v>24.900000000000002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1.2</v>
      </c>
      <c r="AI512">
        <v>4.3</v>
      </c>
      <c r="AJ512">
        <f t="shared" si="200"/>
        <v>5.5</v>
      </c>
      <c r="AK512">
        <v>0.9</v>
      </c>
      <c r="AL512">
        <v>0.57100000000000006</v>
      </c>
      <c r="AM512">
        <f t="shared" si="163"/>
        <v>0.42</v>
      </c>
      <c r="AN512">
        <v>802</v>
      </c>
      <c r="AO512" t="s">
        <v>13</v>
      </c>
      <c r="AP512" s="3">
        <f t="shared" si="195"/>
        <v>1382.7586206896549</v>
      </c>
      <c r="AQ512" t="s">
        <v>13</v>
      </c>
      <c r="AR512">
        <f t="shared" si="186"/>
        <v>0.13095238095238096</v>
      </c>
      <c r="AS512">
        <f t="shared" si="201"/>
        <v>0.36499999999999999</v>
      </c>
      <c r="AT512">
        <f t="shared" si="202"/>
        <v>505</v>
      </c>
      <c r="AU512">
        <f t="shared" si="203"/>
        <v>76</v>
      </c>
      <c r="AV512">
        <f t="shared" si="164"/>
        <v>427</v>
      </c>
      <c r="AW512">
        <f t="shared" si="165"/>
        <v>83</v>
      </c>
      <c r="AX512" s="3">
        <f t="shared" si="166"/>
        <v>872.75862068965489</v>
      </c>
      <c r="AY512">
        <f t="shared" si="167"/>
        <v>252</v>
      </c>
      <c r="AZ512">
        <f t="shared" si="168"/>
        <v>98</v>
      </c>
      <c r="BA512" s="3">
        <f t="shared" si="169"/>
        <v>1032.7586206896549</v>
      </c>
    </row>
    <row r="513" spans="1:53" x14ac:dyDescent="0.2">
      <c r="A513">
        <v>2002</v>
      </c>
      <c r="B513" t="s">
        <v>71</v>
      </c>
      <c r="C513" t="s">
        <v>58</v>
      </c>
      <c r="D513">
        <v>0.4</v>
      </c>
      <c r="E513">
        <v>0</v>
      </c>
      <c r="F513">
        <v>0</v>
      </c>
      <c r="G513">
        <v>0</v>
      </c>
      <c r="H513">
        <v>0</v>
      </c>
      <c r="I513">
        <v>9</v>
      </c>
      <c r="J513">
        <v>3.2</v>
      </c>
      <c r="K513">
        <f t="shared" si="196"/>
        <v>12.600000000000001</v>
      </c>
      <c r="L513">
        <v>0</v>
      </c>
      <c r="M513">
        <v>0</v>
      </c>
      <c r="N513">
        <v>0</v>
      </c>
      <c r="O513">
        <f t="shared" si="197"/>
        <v>0</v>
      </c>
      <c r="P513">
        <v>0</v>
      </c>
      <c r="Q513">
        <v>0</v>
      </c>
      <c r="R513">
        <v>0</v>
      </c>
      <c r="S513">
        <f t="shared" si="198"/>
        <v>0</v>
      </c>
      <c r="T513">
        <v>17.5</v>
      </c>
      <c r="U513">
        <v>5.7</v>
      </c>
      <c r="V513">
        <v>3.5</v>
      </c>
      <c r="W513">
        <v>1.5</v>
      </c>
      <c r="X513">
        <v>0</v>
      </c>
      <c r="Y513">
        <v>0.1</v>
      </c>
      <c r="Z513">
        <v>0</v>
      </c>
      <c r="AA513">
        <f t="shared" si="199"/>
        <v>28.3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7</v>
      </c>
      <c r="AI513">
        <v>2.7</v>
      </c>
      <c r="AJ513">
        <f t="shared" si="200"/>
        <v>9.6999999999999993</v>
      </c>
      <c r="AK513">
        <v>0</v>
      </c>
      <c r="AL513">
        <v>0.495</v>
      </c>
      <c r="AM513">
        <f t="shared" si="163"/>
        <v>0.50600000000000001</v>
      </c>
      <c r="AN513">
        <v>877</v>
      </c>
      <c r="AO513" t="s">
        <v>13</v>
      </c>
      <c r="AP513" s="3">
        <f t="shared" si="195"/>
        <v>1775.3036437246965</v>
      </c>
      <c r="AQ513" t="s">
        <v>13</v>
      </c>
      <c r="AR513">
        <f t="shared" si="186"/>
        <v>0.19169960474308298</v>
      </c>
      <c r="AS513">
        <f t="shared" si="201"/>
        <v>0.40900000000000003</v>
      </c>
      <c r="AT513">
        <f t="shared" si="202"/>
        <v>726</v>
      </c>
      <c r="AU513">
        <f t="shared" si="203"/>
        <v>172</v>
      </c>
      <c r="AV513">
        <f t="shared" si="164"/>
        <v>614</v>
      </c>
      <c r="AW513">
        <f t="shared" si="165"/>
        <v>190</v>
      </c>
      <c r="AX513" s="3">
        <f t="shared" si="166"/>
        <v>971.30364372469649</v>
      </c>
      <c r="AY513">
        <f t="shared" si="167"/>
        <v>363</v>
      </c>
      <c r="AZ513">
        <f t="shared" si="168"/>
        <v>232</v>
      </c>
      <c r="BA513" s="3">
        <f t="shared" si="169"/>
        <v>1180.3036437246965</v>
      </c>
    </row>
    <row r="514" spans="1:53" x14ac:dyDescent="0.2">
      <c r="A514">
        <v>2003</v>
      </c>
      <c r="B514" t="s">
        <v>71</v>
      </c>
      <c r="C514" t="s">
        <v>58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13.1</v>
      </c>
      <c r="J514">
        <v>5.7</v>
      </c>
      <c r="K514">
        <f t="shared" si="196"/>
        <v>18.8</v>
      </c>
      <c r="L514">
        <v>0</v>
      </c>
      <c r="M514">
        <v>0</v>
      </c>
      <c r="N514">
        <v>0</v>
      </c>
      <c r="O514">
        <f t="shared" si="197"/>
        <v>0</v>
      </c>
      <c r="P514">
        <v>0</v>
      </c>
      <c r="Q514">
        <v>0</v>
      </c>
      <c r="R514">
        <v>0.4</v>
      </c>
      <c r="S514">
        <f t="shared" si="198"/>
        <v>0.4</v>
      </c>
      <c r="T514">
        <v>10.9</v>
      </c>
      <c r="U514">
        <v>6.4</v>
      </c>
      <c r="V514">
        <v>3.6</v>
      </c>
      <c r="W514">
        <v>0.2</v>
      </c>
      <c r="X514">
        <v>0</v>
      </c>
      <c r="Y514">
        <v>0</v>
      </c>
      <c r="Z514">
        <v>0.7</v>
      </c>
      <c r="AA514">
        <f t="shared" si="199"/>
        <v>21.8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5.8</v>
      </c>
      <c r="AI514">
        <v>1.9</v>
      </c>
      <c r="AJ514">
        <f t="shared" si="200"/>
        <v>7.6999999999999993</v>
      </c>
      <c r="AK514">
        <v>0</v>
      </c>
      <c r="AL514">
        <v>0.51200000000000001</v>
      </c>
      <c r="AM514">
        <f t="shared" si="163"/>
        <v>0.48700000000000004</v>
      </c>
      <c r="AN514">
        <v>1106</v>
      </c>
      <c r="AO514" t="s">
        <v>13</v>
      </c>
      <c r="AP514" s="3">
        <f t="shared" si="195"/>
        <v>2155.9454191033142</v>
      </c>
      <c r="AQ514" t="s">
        <v>13</v>
      </c>
      <c r="AR514">
        <f t="shared" si="186"/>
        <v>0.15811088295687883</v>
      </c>
      <c r="AS514">
        <f t="shared" si="201"/>
        <v>0.41</v>
      </c>
      <c r="AT514">
        <f t="shared" si="202"/>
        <v>884</v>
      </c>
      <c r="AU514">
        <f t="shared" si="203"/>
        <v>166</v>
      </c>
      <c r="AV514">
        <f t="shared" si="164"/>
        <v>681</v>
      </c>
      <c r="AW514">
        <f t="shared" si="165"/>
        <v>192</v>
      </c>
      <c r="AX514" s="3">
        <f t="shared" si="166"/>
        <v>1282.9454191033142</v>
      </c>
      <c r="AY514">
        <f t="shared" si="167"/>
        <v>442</v>
      </c>
      <c r="AZ514">
        <f t="shared" si="168"/>
        <v>224</v>
      </c>
      <c r="BA514" s="3">
        <f t="shared" si="169"/>
        <v>1489.9454191033142</v>
      </c>
    </row>
    <row r="515" spans="1:53" x14ac:dyDescent="0.2">
      <c r="A515">
        <v>2004</v>
      </c>
      <c r="B515" t="s">
        <v>71</v>
      </c>
      <c r="C515" t="s">
        <v>58</v>
      </c>
      <c r="D515">
        <v>0.5</v>
      </c>
      <c r="E515">
        <v>0</v>
      </c>
      <c r="F515">
        <v>0</v>
      </c>
      <c r="G515">
        <v>0.3</v>
      </c>
      <c r="H515">
        <v>0</v>
      </c>
      <c r="I515">
        <v>21.3</v>
      </c>
      <c r="J515">
        <v>8.9</v>
      </c>
      <c r="K515">
        <f t="shared" si="196"/>
        <v>31</v>
      </c>
      <c r="L515">
        <v>0</v>
      </c>
      <c r="M515">
        <v>0</v>
      </c>
      <c r="N515">
        <v>0</v>
      </c>
      <c r="O515">
        <f t="shared" si="197"/>
        <v>0</v>
      </c>
      <c r="P515">
        <v>0</v>
      </c>
      <c r="Q515">
        <v>0</v>
      </c>
      <c r="R515">
        <v>0.7</v>
      </c>
      <c r="S515">
        <f t="shared" si="198"/>
        <v>0.7</v>
      </c>
      <c r="T515">
        <v>4.5</v>
      </c>
      <c r="U515">
        <v>3.6</v>
      </c>
      <c r="V515">
        <v>3.9</v>
      </c>
      <c r="W515">
        <v>0.1</v>
      </c>
      <c r="X515">
        <v>0</v>
      </c>
      <c r="Y515">
        <v>0</v>
      </c>
      <c r="Z515">
        <v>0.1</v>
      </c>
      <c r="AA515">
        <f t="shared" si="199"/>
        <v>12.2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15.1</v>
      </c>
      <c r="AI515">
        <v>1.2</v>
      </c>
      <c r="AJ515">
        <f t="shared" si="200"/>
        <v>16.3</v>
      </c>
      <c r="AK515">
        <v>0</v>
      </c>
      <c r="AL515">
        <v>0.39700000000000002</v>
      </c>
      <c r="AM515">
        <f t="shared" ref="AM515:AM552" si="204">SUM(AB515:AI515,T515:Z515,P515:R515,L515:N515,D515:J515)/100</f>
        <v>0.60199999999999998</v>
      </c>
      <c r="AN515">
        <v>1503</v>
      </c>
      <c r="AO515" t="s">
        <v>13</v>
      </c>
      <c r="AP515" s="3">
        <f t="shared" si="195"/>
        <v>3776.3819095477384</v>
      </c>
      <c r="AQ515" t="s">
        <v>13</v>
      </c>
      <c r="AR515">
        <f t="shared" si="186"/>
        <v>0.2707641196013289</v>
      </c>
      <c r="AS515">
        <f t="shared" si="201"/>
        <v>0.439</v>
      </c>
      <c r="AT515">
        <f t="shared" si="202"/>
        <v>1658</v>
      </c>
      <c r="AU515">
        <f t="shared" si="203"/>
        <v>616</v>
      </c>
      <c r="AV515">
        <f t="shared" ref="AV515:AV577" si="205">ROUND((((K515*0.5)+O515+S515+AA515)/100)*AP515,0)</f>
        <v>1072</v>
      </c>
      <c r="AW515">
        <f t="shared" ref="AW515:AW577" si="206">ROUND((AU515/(AP515-AT515))*(AP515-AV515),0)</f>
        <v>786</v>
      </c>
      <c r="AX515" s="3">
        <f t="shared" ref="AX515:AX577" si="207">AP515-AV515-AW515</f>
        <v>1918.3819095477384</v>
      </c>
      <c r="AY515">
        <f t="shared" ref="AY515:AY577" si="208">ROUND((0.5*AS515)*AP515,0)</f>
        <v>829</v>
      </c>
      <c r="AZ515">
        <f t="shared" ref="AZ515:AZ577" si="209">ROUND((AU515/(AP515-AT515))*(AP515-AY515),0)</f>
        <v>857</v>
      </c>
      <c r="BA515" s="3">
        <f t="shared" ref="BA515:BA577" si="210">AP515-AZ515-AY515</f>
        <v>2090.3819095477384</v>
      </c>
    </row>
    <row r="516" spans="1:53" x14ac:dyDescent="0.2">
      <c r="A516">
        <v>2005</v>
      </c>
      <c r="B516" t="s">
        <v>71</v>
      </c>
      <c r="C516" t="s">
        <v>58</v>
      </c>
      <c r="D516">
        <v>0</v>
      </c>
      <c r="E516">
        <v>0</v>
      </c>
      <c r="F516">
        <v>0</v>
      </c>
      <c r="G516">
        <v>0.4</v>
      </c>
      <c r="H516">
        <v>0</v>
      </c>
      <c r="I516">
        <v>29.2</v>
      </c>
      <c r="J516">
        <v>7.9</v>
      </c>
      <c r="K516">
        <f t="shared" si="196"/>
        <v>37.5</v>
      </c>
      <c r="L516">
        <v>0</v>
      </c>
      <c r="M516">
        <v>0</v>
      </c>
      <c r="N516">
        <v>0</v>
      </c>
      <c r="O516">
        <f t="shared" si="197"/>
        <v>0</v>
      </c>
      <c r="P516">
        <v>0</v>
      </c>
      <c r="Q516">
        <v>0</v>
      </c>
      <c r="R516">
        <v>0</v>
      </c>
      <c r="S516">
        <f t="shared" si="198"/>
        <v>0</v>
      </c>
      <c r="T516">
        <v>5.3</v>
      </c>
      <c r="U516">
        <v>2.2999999999999998</v>
      </c>
      <c r="V516">
        <v>1.8</v>
      </c>
      <c r="W516">
        <v>0</v>
      </c>
      <c r="X516">
        <v>0</v>
      </c>
      <c r="Y516">
        <v>0</v>
      </c>
      <c r="Z516">
        <v>0</v>
      </c>
      <c r="AA516">
        <f t="shared" si="199"/>
        <v>9.4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14.9</v>
      </c>
      <c r="AI516">
        <v>0.2</v>
      </c>
      <c r="AJ516">
        <f t="shared" si="200"/>
        <v>15.1</v>
      </c>
      <c r="AK516">
        <v>0</v>
      </c>
      <c r="AL516">
        <v>0.38100000000000001</v>
      </c>
      <c r="AM516">
        <f t="shared" si="204"/>
        <v>0.61999999999999988</v>
      </c>
      <c r="AN516">
        <v>853</v>
      </c>
      <c r="AO516" t="s">
        <v>13</v>
      </c>
      <c r="AP516" s="3">
        <f t="shared" si="195"/>
        <v>2244.7368421052624</v>
      </c>
      <c r="AQ516" t="s">
        <v>13</v>
      </c>
      <c r="AR516">
        <f t="shared" si="186"/>
        <v>0.24354838709677423</v>
      </c>
      <c r="AS516">
        <f t="shared" si="201"/>
        <v>0.46899999999999997</v>
      </c>
      <c r="AT516">
        <f t="shared" si="202"/>
        <v>1053</v>
      </c>
      <c r="AU516">
        <f t="shared" si="203"/>
        <v>339</v>
      </c>
      <c r="AV516">
        <f t="shared" si="205"/>
        <v>632</v>
      </c>
      <c r="AW516">
        <f t="shared" si="206"/>
        <v>459</v>
      </c>
      <c r="AX516" s="3">
        <f t="shared" si="207"/>
        <v>1153.7368421052624</v>
      </c>
      <c r="AY516">
        <f t="shared" si="208"/>
        <v>526</v>
      </c>
      <c r="AZ516">
        <f t="shared" si="209"/>
        <v>489</v>
      </c>
      <c r="BA516" s="3">
        <f t="shared" si="210"/>
        <v>1229.7368421052624</v>
      </c>
    </row>
    <row r="517" spans="1:53" x14ac:dyDescent="0.2">
      <c r="A517">
        <v>2006</v>
      </c>
      <c r="B517" t="s">
        <v>71</v>
      </c>
      <c r="C517" t="s">
        <v>58</v>
      </c>
      <c r="D517" t="s">
        <v>13</v>
      </c>
      <c r="E517" t="s">
        <v>13</v>
      </c>
      <c r="F517" t="s">
        <v>13</v>
      </c>
      <c r="G517" t="s">
        <v>13</v>
      </c>
      <c r="H517" t="s">
        <v>13</v>
      </c>
      <c r="I517" t="s">
        <v>13</v>
      </c>
      <c r="J517" t="s">
        <v>13</v>
      </c>
      <c r="K517" t="s">
        <v>13</v>
      </c>
      <c r="L517" t="s">
        <v>13</v>
      </c>
      <c r="M517" t="s">
        <v>13</v>
      </c>
      <c r="N517" t="s">
        <v>13</v>
      </c>
      <c r="O517" t="s">
        <v>13</v>
      </c>
      <c r="P517" t="s">
        <v>13</v>
      </c>
      <c r="Q517" t="s">
        <v>13</v>
      </c>
      <c r="R517" t="s">
        <v>13</v>
      </c>
      <c r="S517" t="s">
        <v>13</v>
      </c>
      <c r="T517" t="s">
        <v>13</v>
      </c>
      <c r="U517" t="s">
        <v>13</v>
      </c>
      <c r="V517" t="s">
        <v>13</v>
      </c>
      <c r="W517" t="s">
        <v>13</v>
      </c>
      <c r="X517" t="s">
        <v>13</v>
      </c>
      <c r="Y517" t="s">
        <v>13</v>
      </c>
      <c r="Z517" t="s">
        <v>13</v>
      </c>
      <c r="AA517" t="s">
        <v>13</v>
      </c>
      <c r="AB517" t="s">
        <v>13</v>
      </c>
      <c r="AC517" t="s">
        <v>13</v>
      </c>
      <c r="AD517" t="s">
        <v>13</v>
      </c>
      <c r="AE517" t="s">
        <v>13</v>
      </c>
      <c r="AF517" t="s">
        <v>13</v>
      </c>
      <c r="AG517" t="s">
        <v>13</v>
      </c>
      <c r="AH517" t="s">
        <v>13</v>
      </c>
      <c r="AI517" t="s">
        <v>13</v>
      </c>
      <c r="AJ517" t="s">
        <v>13</v>
      </c>
      <c r="AK517" t="s">
        <v>13</v>
      </c>
      <c r="AL517" t="s">
        <v>13</v>
      </c>
      <c r="AM517" t="s">
        <v>13</v>
      </c>
      <c r="AN517">
        <v>566</v>
      </c>
      <c r="AO517" t="s">
        <v>13</v>
      </c>
      <c r="AP517" t="s">
        <v>13</v>
      </c>
      <c r="AQ517" t="s">
        <v>13</v>
      </c>
      <c r="AR517" t="s">
        <v>13</v>
      </c>
      <c r="AS517" t="s">
        <v>13</v>
      </c>
      <c r="AT517" t="s">
        <v>13</v>
      </c>
      <c r="AU517" t="s">
        <v>13</v>
      </c>
      <c r="AV517" t="s">
        <v>13</v>
      </c>
      <c r="AW517" t="s">
        <v>13</v>
      </c>
      <c r="AX517" t="s">
        <v>13</v>
      </c>
      <c r="AY517" t="s">
        <v>13</v>
      </c>
      <c r="AZ517" t="s">
        <v>13</v>
      </c>
      <c r="BA517" t="s">
        <v>13</v>
      </c>
    </row>
    <row r="518" spans="1:53" x14ac:dyDescent="0.2">
      <c r="A518">
        <v>2007</v>
      </c>
      <c r="B518" t="s">
        <v>71</v>
      </c>
      <c r="C518" t="s">
        <v>58</v>
      </c>
      <c r="D518">
        <v>0</v>
      </c>
      <c r="E518">
        <v>0.9</v>
      </c>
      <c r="F518">
        <v>0</v>
      </c>
      <c r="G518">
        <v>0</v>
      </c>
      <c r="H518">
        <v>0</v>
      </c>
      <c r="I518">
        <v>14.3</v>
      </c>
      <c r="J518">
        <v>0</v>
      </c>
      <c r="K518">
        <f t="shared" ref="K518:K581" si="211">SUM(D518:J518)</f>
        <v>15.200000000000001</v>
      </c>
      <c r="L518">
        <v>0</v>
      </c>
      <c r="M518">
        <v>0</v>
      </c>
      <c r="N518">
        <v>0</v>
      </c>
      <c r="O518">
        <f t="shared" ref="O518:O533" si="212">SUM(L518:N518)</f>
        <v>0</v>
      </c>
      <c r="P518">
        <v>0</v>
      </c>
      <c r="Q518">
        <v>0</v>
      </c>
      <c r="R518">
        <v>0</v>
      </c>
      <c r="S518">
        <f t="shared" ref="S518:S533" si="213">SUM(P518:R518)</f>
        <v>0</v>
      </c>
      <c r="T518">
        <v>6.5</v>
      </c>
      <c r="U518">
        <v>2.5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f t="shared" ref="AA518:AA533" si="214">SUM(T518:Z518)</f>
        <v>9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4.0999999999999996</v>
      </c>
      <c r="AI518">
        <v>2.6</v>
      </c>
      <c r="AJ518">
        <f t="shared" ref="AJ518:AJ533" si="215">SUM(AB518:AI518)</f>
        <v>6.6999999999999993</v>
      </c>
      <c r="AK518">
        <v>0</v>
      </c>
      <c r="AL518">
        <v>0.69</v>
      </c>
      <c r="AM518">
        <f t="shared" si="204"/>
        <v>0.309</v>
      </c>
      <c r="AN518">
        <v>251</v>
      </c>
      <c r="AO518" t="s">
        <v>13</v>
      </c>
      <c r="AP518" s="3">
        <f t="shared" si="195"/>
        <v>363.24167872648331</v>
      </c>
      <c r="AQ518" t="s">
        <v>13</v>
      </c>
      <c r="AR518">
        <f t="shared" si="186"/>
        <v>0.21682847896440127</v>
      </c>
      <c r="AS518">
        <f t="shared" ref="AS518:AS533" si="216">SUM(K518,O518,S518,AA518)/100</f>
        <v>0.24200000000000002</v>
      </c>
      <c r="AT518">
        <f t="shared" ref="AT518:AT533" si="217">ROUND(AS518*AP518,0)</f>
        <v>88</v>
      </c>
      <c r="AU518">
        <f t="shared" ref="AU518:AU533" si="218">ROUND((AJ518/100)*AP518,0)</f>
        <v>24</v>
      </c>
      <c r="AV518">
        <f t="shared" si="205"/>
        <v>60</v>
      </c>
      <c r="AW518">
        <f t="shared" si="206"/>
        <v>26</v>
      </c>
      <c r="AX518" s="3">
        <f t="shared" si="207"/>
        <v>277.24167872648331</v>
      </c>
      <c r="AY518">
        <f t="shared" si="208"/>
        <v>44</v>
      </c>
      <c r="AZ518">
        <f t="shared" si="209"/>
        <v>28</v>
      </c>
      <c r="BA518" s="3">
        <f t="shared" si="210"/>
        <v>291.24167872648331</v>
      </c>
    </row>
    <row r="519" spans="1:53" x14ac:dyDescent="0.2">
      <c r="A519">
        <v>2008</v>
      </c>
      <c r="B519" t="s">
        <v>71</v>
      </c>
      <c r="C519" t="s">
        <v>58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11.5</v>
      </c>
      <c r="J519">
        <v>8.3000000000000007</v>
      </c>
      <c r="K519">
        <f t="shared" si="211"/>
        <v>19.8</v>
      </c>
      <c r="L519">
        <v>0</v>
      </c>
      <c r="M519">
        <v>0</v>
      </c>
      <c r="N519">
        <v>0</v>
      </c>
      <c r="O519">
        <f t="shared" si="212"/>
        <v>0</v>
      </c>
      <c r="P519">
        <v>0</v>
      </c>
      <c r="Q519">
        <v>0</v>
      </c>
      <c r="R519">
        <v>1.9</v>
      </c>
      <c r="S519">
        <f t="shared" si="213"/>
        <v>1.9</v>
      </c>
      <c r="T519">
        <v>4.7</v>
      </c>
      <c r="U519">
        <v>7.1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f t="shared" si="214"/>
        <v>11.8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22.1</v>
      </c>
      <c r="AI519">
        <v>3.3</v>
      </c>
      <c r="AJ519">
        <f t="shared" si="215"/>
        <v>25.400000000000002</v>
      </c>
      <c r="AK519">
        <v>0</v>
      </c>
      <c r="AL519">
        <v>0.40899999999999997</v>
      </c>
      <c r="AM519">
        <f t="shared" si="204"/>
        <v>0.58900000000000008</v>
      </c>
      <c r="AN519">
        <v>424</v>
      </c>
      <c r="AO519" t="s">
        <v>13</v>
      </c>
      <c r="AP519" s="3">
        <f t="shared" si="195"/>
        <v>1031.6301703163019</v>
      </c>
      <c r="AQ519" t="s">
        <v>13</v>
      </c>
      <c r="AR519">
        <f t="shared" si="186"/>
        <v>0.43123938879456702</v>
      </c>
      <c r="AS519">
        <f t="shared" si="216"/>
        <v>0.33500000000000002</v>
      </c>
      <c r="AT519">
        <f t="shared" si="217"/>
        <v>346</v>
      </c>
      <c r="AU519">
        <f t="shared" si="218"/>
        <v>262</v>
      </c>
      <c r="AV519">
        <f t="shared" si="205"/>
        <v>243</v>
      </c>
      <c r="AW519">
        <f t="shared" si="206"/>
        <v>301</v>
      </c>
      <c r="AX519" s="3">
        <f t="shared" si="207"/>
        <v>487.63017031630193</v>
      </c>
      <c r="AY519">
        <f t="shared" si="208"/>
        <v>173</v>
      </c>
      <c r="AZ519">
        <f t="shared" si="209"/>
        <v>328</v>
      </c>
      <c r="BA519" s="3">
        <f t="shared" si="210"/>
        <v>530.63017031630193</v>
      </c>
    </row>
    <row r="520" spans="1:53" x14ac:dyDescent="0.2">
      <c r="A520">
        <v>2009</v>
      </c>
      <c r="B520" t="s">
        <v>71</v>
      </c>
      <c r="C520" t="s">
        <v>58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4.0999999999999996</v>
      </c>
      <c r="J520">
        <v>8.1999999999999993</v>
      </c>
      <c r="K520">
        <f t="shared" si="211"/>
        <v>12.299999999999999</v>
      </c>
      <c r="L520">
        <v>0</v>
      </c>
      <c r="M520">
        <v>0</v>
      </c>
      <c r="N520">
        <v>0</v>
      </c>
      <c r="O520">
        <f t="shared" si="212"/>
        <v>0</v>
      </c>
      <c r="P520">
        <v>0</v>
      </c>
      <c r="Q520">
        <v>0</v>
      </c>
      <c r="R520">
        <v>4.5999999999999996</v>
      </c>
      <c r="S520">
        <f t="shared" si="213"/>
        <v>4.5999999999999996</v>
      </c>
      <c r="T520">
        <v>4</v>
      </c>
      <c r="U520">
        <v>4.9000000000000004</v>
      </c>
      <c r="V520">
        <v>0</v>
      </c>
      <c r="W520">
        <v>0</v>
      </c>
      <c r="X520">
        <v>0</v>
      </c>
      <c r="Y520">
        <v>0</v>
      </c>
      <c r="Z520">
        <v>4</v>
      </c>
      <c r="AA520">
        <f t="shared" si="214"/>
        <v>12.9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27</v>
      </c>
      <c r="AI520">
        <v>2.8</v>
      </c>
      <c r="AJ520">
        <f t="shared" si="215"/>
        <v>29.8</v>
      </c>
      <c r="AK520">
        <v>0</v>
      </c>
      <c r="AL520">
        <v>0.40500000000000003</v>
      </c>
      <c r="AM520">
        <f t="shared" si="204"/>
        <v>0.59599999999999997</v>
      </c>
      <c r="AN520">
        <v>783</v>
      </c>
      <c r="AO520" t="s">
        <v>13</v>
      </c>
      <c r="AP520" s="3">
        <f t="shared" si="195"/>
        <v>1938.1188118811881</v>
      </c>
      <c r="AQ520" t="s">
        <v>13</v>
      </c>
      <c r="AR520">
        <f t="shared" si="186"/>
        <v>0.5</v>
      </c>
      <c r="AS520">
        <f t="shared" si="216"/>
        <v>0.29799999999999999</v>
      </c>
      <c r="AT520">
        <f t="shared" si="217"/>
        <v>578</v>
      </c>
      <c r="AU520">
        <f t="shared" si="218"/>
        <v>578</v>
      </c>
      <c r="AV520">
        <f t="shared" si="205"/>
        <v>458</v>
      </c>
      <c r="AW520">
        <f t="shared" si="206"/>
        <v>629</v>
      </c>
      <c r="AX520" s="3">
        <f t="shared" si="207"/>
        <v>851.11881188118809</v>
      </c>
      <c r="AY520">
        <f t="shared" si="208"/>
        <v>289</v>
      </c>
      <c r="AZ520">
        <f t="shared" si="209"/>
        <v>701</v>
      </c>
      <c r="BA520" s="3">
        <f t="shared" si="210"/>
        <v>948.11881188118809</v>
      </c>
    </row>
    <row r="521" spans="1:53" x14ac:dyDescent="0.2">
      <c r="A521">
        <v>2010</v>
      </c>
      <c r="B521" t="s">
        <v>71</v>
      </c>
      <c r="C521" t="s">
        <v>58</v>
      </c>
      <c r="D521">
        <v>0.3</v>
      </c>
      <c r="E521">
        <v>0</v>
      </c>
      <c r="F521">
        <v>0</v>
      </c>
      <c r="G521">
        <v>0.2</v>
      </c>
      <c r="H521">
        <v>0</v>
      </c>
      <c r="I521">
        <v>6.6</v>
      </c>
      <c r="J521">
        <v>6.6</v>
      </c>
      <c r="K521">
        <f t="shared" si="211"/>
        <v>13.7</v>
      </c>
      <c r="L521">
        <v>0</v>
      </c>
      <c r="M521">
        <v>0</v>
      </c>
      <c r="N521">
        <v>0</v>
      </c>
      <c r="O521">
        <f t="shared" si="212"/>
        <v>0</v>
      </c>
      <c r="P521">
        <v>0</v>
      </c>
      <c r="Q521">
        <v>0</v>
      </c>
      <c r="R521">
        <v>3.2</v>
      </c>
      <c r="S521">
        <f t="shared" si="213"/>
        <v>3.2</v>
      </c>
      <c r="T521">
        <v>14.8</v>
      </c>
      <c r="U521">
        <v>5</v>
      </c>
      <c r="V521">
        <v>3.7</v>
      </c>
      <c r="W521">
        <v>0</v>
      </c>
      <c r="X521">
        <v>0.2</v>
      </c>
      <c r="Y521">
        <v>0</v>
      </c>
      <c r="Z521">
        <v>0.2</v>
      </c>
      <c r="AA521">
        <f t="shared" si="214"/>
        <v>23.9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26.7</v>
      </c>
      <c r="AI521">
        <v>3.2</v>
      </c>
      <c r="AJ521">
        <f t="shared" si="215"/>
        <v>29.9</v>
      </c>
      <c r="AK521">
        <v>0</v>
      </c>
      <c r="AL521">
        <v>0.29199999999999998</v>
      </c>
      <c r="AM521">
        <f t="shared" si="204"/>
        <v>0.70700000000000007</v>
      </c>
      <c r="AN521">
        <v>584</v>
      </c>
      <c r="AO521">
        <v>413</v>
      </c>
      <c r="AP521" s="3">
        <f t="shared" si="195"/>
        <v>1993.1740614334476</v>
      </c>
      <c r="AQ521" s="3">
        <f t="shared" ref="AQ521:AQ533" si="219">AO521/(1-AM521)</f>
        <v>1409.5563139931744</v>
      </c>
      <c r="AR521">
        <f t="shared" si="186"/>
        <v>0.42291371994342286</v>
      </c>
      <c r="AS521">
        <f t="shared" si="216"/>
        <v>0.40799999999999997</v>
      </c>
      <c r="AT521">
        <f t="shared" si="217"/>
        <v>813</v>
      </c>
      <c r="AU521">
        <f t="shared" si="218"/>
        <v>596</v>
      </c>
      <c r="AV521">
        <f t="shared" si="205"/>
        <v>677</v>
      </c>
      <c r="AW521">
        <f t="shared" si="206"/>
        <v>665</v>
      </c>
      <c r="AX521" s="3">
        <f t="shared" si="207"/>
        <v>651.1740614334476</v>
      </c>
      <c r="AY521">
        <f t="shared" si="208"/>
        <v>407</v>
      </c>
      <c r="AZ521">
        <f t="shared" si="209"/>
        <v>801</v>
      </c>
      <c r="BA521" s="3">
        <f t="shared" si="210"/>
        <v>785.1740614334476</v>
      </c>
    </row>
    <row r="522" spans="1:53" x14ac:dyDescent="0.2">
      <c r="A522">
        <v>2011</v>
      </c>
      <c r="B522" t="s">
        <v>71</v>
      </c>
      <c r="C522" t="s">
        <v>58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9.4</v>
      </c>
      <c r="J522">
        <v>6.8</v>
      </c>
      <c r="K522">
        <f t="shared" si="211"/>
        <v>16.2</v>
      </c>
      <c r="L522">
        <v>0</v>
      </c>
      <c r="M522">
        <v>0</v>
      </c>
      <c r="N522">
        <v>1.4</v>
      </c>
      <c r="O522">
        <f t="shared" si="212"/>
        <v>1.4</v>
      </c>
      <c r="P522">
        <v>0</v>
      </c>
      <c r="Q522">
        <v>0</v>
      </c>
      <c r="R522">
        <v>0.6</v>
      </c>
      <c r="S522">
        <f t="shared" si="213"/>
        <v>0.6</v>
      </c>
      <c r="T522">
        <v>4.8</v>
      </c>
      <c r="U522">
        <v>7.2</v>
      </c>
      <c r="V522">
        <v>2.2999999999999998</v>
      </c>
      <c r="W522">
        <v>0.4</v>
      </c>
      <c r="X522">
        <v>2.2999999999999998</v>
      </c>
      <c r="Y522">
        <v>0</v>
      </c>
      <c r="Z522">
        <v>1.1000000000000001</v>
      </c>
      <c r="AA522">
        <f t="shared" si="214"/>
        <v>18.100000000000001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17.7</v>
      </c>
      <c r="AI522">
        <v>3.2</v>
      </c>
      <c r="AJ522">
        <f t="shared" si="215"/>
        <v>20.9</v>
      </c>
      <c r="AK522">
        <v>0</v>
      </c>
      <c r="AL522">
        <v>0.43</v>
      </c>
      <c r="AM522">
        <f t="shared" si="204"/>
        <v>0.57199999999999984</v>
      </c>
      <c r="AN522">
        <v>707</v>
      </c>
      <c r="AO522">
        <v>622</v>
      </c>
      <c r="AP522" s="3">
        <f t="shared" si="195"/>
        <v>1651.8691588785041</v>
      </c>
      <c r="AQ522" s="3">
        <f t="shared" si="219"/>
        <v>1453.2710280373826</v>
      </c>
      <c r="AR522">
        <f t="shared" si="186"/>
        <v>0.36538461538461547</v>
      </c>
      <c r="AS522">
        <f t="shared" si="216"/>
        <v>0.36299999999999999</v>
      </c>
      <c r="AT522">
        <f t="shared" si="217"/>
        <v>600</v>
      </c>
      <c r="AU522">
        <f t="shared" si="218"/>
        <v>345</v>
      </c>
      <c r="AV522">
        <f t="shared" si="205"/>
        <v>466</v>
      </c>
      <c r="AW522">
        <f t="shared" si="206"/>
        <v>389</v>
      </c>
      <c r="AX522" s="3">
        <f t="shared" si="207"/>
        <v>796.86915887850409</v>
      </c>
      <c r="AY522">
        <f t="shared" si="208"/>
        <v>300</v>
      </c>
      <c r="AZ522">
        <f t="shared" si="209"/>
        <v>443</v>
      </c>
      <c r="BA522" s="3">
        <f t="shared" si="210"/>
        <v>908.86915887850409</v>
      </c>
    </row>
    <row r="523" spans="1:53" x14ac:dyDescent="0.2">
      <c r="A523">
        <v>2012</v>
      </c>
      <c r="B523" t="s">
        <v>71</v>
      </c>
      <c r="C523" t="s">
        <v>58</v>
      </c>
      <c r="D523">
        <v>0</v>
      </c>
      <c r="E523">
        <v>0</v>
      </c>
      <c r="F523">
        <v>0</v>
      </c>
      <c r="G523">
        <v>0.5</v>
      </c>
      <c r="H523">
        <v>0</v>
      </c>
      <c r="I523">
        <v>3</v>
      </c>
      <c r="J523">
        <v>8.9</v>
      </c>
      <c r="K523">
        <f t="shared" si="211"/>
        <v>12.4</v>
      </c>
      <c r="L523">
        <v>0</v>
      </c>
      <c r="M523">
        <v>0</v>
      </c>
      <c r="N523">
        <v>0</v>
      </c>
      <c r="O523">
        <f t="shared" si="212"/>
        <v>0</v>
      </c>
      <c r="P523">
        <v>0</v>
      </c>
      <c r="Q523">
        <v>0</v>
      </c>
      <c r="R523">
        <v>1.4</v>
      </c>
      <c r="S523">
        <f t="shared" si="213"/>
        <v>1.4</v>
      </c>
      <c r="T523">
        <v>9.4</v>
      </c>
      <c r="U523">
        <v>9.6</v>
      </c>
      <c r="V523">
        <v>6.9</v>
      </c>
      <c r="W523">
        <v>1.6</v>
      </c>
      <c r="X523">
        <v>0.3</v>
      </c>
      <c r="Y523">
        <v>0</v>
      </c>
      <c r="Z523">
        <v>1.1000000000000001</v>
      </c>
      <c r="AA523">
        <f t="shared" si="214"/>
        <v>28.900000000000002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16.3</v>
      </c>
      <c r="AI523">
        <v>2.9</v>
      </c>
      <c r="AJ523">
        <f t="shared" si="215"/>
        <v>19.2</v>
      </c>
      <c r="AK523">
        <v>0</v>
      </c>
      <c r="AL523">
        <v>0.38200000000000001</v>
      </c>
      <c r="AM523">
        <f t="shared" si="204"/>
        <v>0.61899999999999999</v>
      </c>
      <c r="AN523">
        <v>526</v>
      </c>
      <c r="AO523">
        <v>463</v>
      </c>
      <c r="AP523" s="3">
        <f t="shared" si="195"/>
        <v>1380.5774278215222</v>
      </c>
      <c r="AQ523" s="3">
        <f t="shared" si="219"/>
        <v>1215.2230971128608</v>
      </c>
      <c r="AR523">
        <f t="shared" si="186"/>
        <v>0.31017770597738287</v>
      </c>
      <c r="AS523">
        <f t="shared" si="216"/>
        <v>0.42700000000000005</v>
      </c>
      <c r="AT523">
        <f t="shared" si="217"/>
        <v>590</v>
      </c>
      <c r="AU523">
        <f t="shared" si="218"/>
        <v>265</v>
      </c>
      <c r="AV523">
        <f t="shared" si="205"/>
        <v>504</v>
      </c>
      <c r="AW523">
        <f t="shared" si="206"/>
        <v>294</v>
      </c>
      <c r="AX523" s="3">
        <f t="shared" si="207"/>
        <v>582.57742782152218</v>
      </c>
      <c r="AY523">
        <f t="shared" si="208"/>
        <v>295</v>
      </c>
      <c r="AZ523">
        <f t="shared" si="209"/>
        <v>364</v>
      </c>
      <c r="BA523" s="3">
        <f t="shared" si="210"/>
        <v>721.57742782152218</v>
      </c>
    </row>
    <row r="524" spans="1:53" x14ac:dyDescent="0.2">
      <c r="A524">
        <v>2013</v>
      </c>
      <c r="B524" t="s">
        <v>71</v>
      </c>
      <c r="C524" t="s">
        <v>58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2.4</v>
      </c>
      <c r="J524">
        <v>3.6</v>
      </c>
      <c r="K524">
        <f t="shared" si="211"/>
        <v>6</v>
      </c>
      <c r="L524">
        <v>0</v>
      </c>
      <c r="M524">
        <v>0</v>
      </c>
      <c r="N524">
        <v>0.6</v>
      </c>
      <c r="O524">
        <f t="shared" si="212"/>
        <v>0.6</v>
      </c>
      <c r="P524">
        <v>0</v>
      </c>
      <c r="Q524">
        <v>0</v>
      </c>
      <c r="R524">
        <v>3.6</v>
      </c>
      <c r="S524">
        <f t="shared" si="213"/>
        <v>3.6</v>
      </c>
      <c r="T524">
        <v>6.9</v>
      </c>
      <c r="U524">
        <v>5</v>
      </c>
      <c r="V524">
        <v>2.2000000000000002</v>
      </c>
      <c r="W524">
        <v>0</v>
      </c>
      <c r="X524">
        <v>0</v>
      </c>
      <c r="Y524">
        <v>0</v>
      </c>
      <c r="Z524">
        <v>7.8</v>
      </c>
      <c r="AA524">
        <f t="shared" si="214"/>
        <v>21.900000000000002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16.2</v>
      </c>
      <c r="AI524">
        <v>2.6</v>
      </c>
      <c r="AJ524">
        <f t="shared" si="215"/>
        <v>18.8</v>
      </c>
      <c r="AK524">
        <v>0</v>
      </c>
      <c r="AL524">
        <v>0.49200000000000005</v>
      </c>
      <c r="AM524">
        <f t="shared" si="204"/>
        <v>0.50900000000000001</v>
      </c>
      <c r="AN524">
        <v>2322</v>
      </c>
      <c r="AO524">
        <v>1568</v>
      </c>
      <c r="AP524" s="3">
        <f t="shared" si="195"/>
        <v>4729.1242362525463</v>
      </c>
      <c r="AQ524" s="3">
        <f t="shared" si="219"/>
        <v>3193.4826883910387</v>
      </c>
      <c r="AR524">
        <f t="shared" si="186"/>
        <v>0.36935166994106089</v>
      </c>
      <c r="AS524">
        <f t="shared" si="216"/>
        <v>0.32100000000000001</v>
      </c>
      <c r="AT524">
        <f t="shared" si="217"/>
        <v>1518</v>
      </c>
      <c r="AU524">
        <f t="shared" si="218"/>
        <v>889</v>
      </c>
      <c r="AV524">
        <f t="shared" si="205"/>
        <v>1376</v>
      </c>
      <c r="AW524">
        <f t="shared" si="206"/>
        <v>928</v>
      </c>
      <c r="AX524" s="3">
        <f t="shared" si="207"/>
        <v>2425.1242362525463</v>
      </c>
      <c r="AY524">
        <f t="shared" si="208"/>
        <v>759</v>
      </c>
      <c r="AZ524">
        <f t="shared" si="209"/>
        <v>1099</v>
      </c>
      <c r="BA524" s="3">
        <f t="shared" si="210"/>
        <v>2871.1242362525463</v>
      </c>
    </row>
    <row r="525" spans="1:53" x14ac:dyDescent="0.2">
      <c r="A525">
        <v>2014</v>
      </c>
      <c r="B525" t="s">
        <v>71</v>
      </c>
      <c r="C525" t="s">
        <v>58</v>
      </c>
      <c r="D525">
        <v>0</v>
      </c>
      <c r="E525">
        <v>0.1</v>
      </c>
      <c r="F525">
        <v>0.1</v>
      </c>
      <c r="G525">
        <v>0</v>
      </c>
      <c r="H525">
        <v>0</v>
      </c>
      <c r="I525">
        <v>6.2</v>
      </c>
      <c r="J525">
        <v>2.8</v>
      </c>
      <c r="K525">
        <f t="shared" si="211"/>
        <v>9.1999999999999993</v>
      </c>
      <c r="L525">
        <v>0</v>
      </c>
      <c r="M525">
        <v>0</v>
      </c>
      <c r="N525">
        <v>0</v>
      </c>
      <c r="O525">
        <f t="shared" si="212"/>
        <v>0</v>
      </c>
      <c r="P525">
        <v>0.1</v>
      </c>
      <c r="Q525">
        <v>0</v>
      </c>
      <c r="R525">
        <v>3</v>
      </c>
      <c r="S525">
        <f t="shared" si="213"/>
        <v>3.1</v>
      </c>
      <c r="T525">
        <v>15.8</v>
      </c>
      <c r="U525">
        <v>12.2</v>
      </c>
      <c r="V525">
        <v>8.1</v>
      </c>
      <c r="W525">
        <v>1</v>
      </c>
      <c r="X525">
        <v>0.4</v>
      </c>
      <c r="Y525">
        <v>0</v>
      </c>
      <c r="Z525">
        <v>0.5</v>
      </c>
      <c r="AA525">
        <f t="shared" si="214"/>
        <v>38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15.8</v>
      </c>
      <c r="AI525">
        <v>2.8</v>
      </c>
      <c r="AJ525">
        <f t="shared" si="215"/>
        <v>18.600000000000001</v>
      </c>
      <c r="AK525">
        <v>0</v>
      </c>
      <c r="AL525">
        <v>0.31</v>
      </c>
      <c r="AM525">
        <f t="shared" si="204"/>
        <v>0.68900000000000006</v>
      </c>
      <c r="AN525">
        <v>830</v>
      </c>
      <c r="AO525">
        <v>794</v>
      </c>
      <c r="AP525" s="3">
        <f t="shared" si="195"/>
        <v>2668.8102893890682</v>
      </c>
      <c r="AQ525" s="3">
        <f t="shared" si="219"/>
        <v>2553.0546623794216</v>
      </c>
      <c r="AR525">
        <f t="shared" si="186"/>
        <v>0.26995645863570394</v>
      </c>
      <c r="AS525">
        <f t="shared" si="216"/>
        <v>0.503</v>
      </c>
      <c r="AT525">
        <f t="shared" si="217"/>
        <v>1342</v>
      </c>
      <c r="AU525">
        <f t="shared" si="218"/>
        <v>496</v>
      </c>
      <c r="AV525">
        <f t="shared" si="205"/>
        <v>1220</v>
      </c>
      <c r="AW525">
        <f t="shared" si="206"/>
        <v>542</v>
      </c>
      <c r="AX525" s="3">
        <f t="shared" si="207"/>
        <v>906.8102893890682</v>
      </c>
      <c r="AY525">
        <f t="shared" si="208"/>
        <v>671</v>
      </c>
      <c r="AZ525">
        <f t="shared" si="209"/>
        <v>747</v>
      </c>
      <c r="BA525" s="3">
        <f t="shared" si="210"/>
        <v>1250.8102893890682</v>
      </c>
    </row>
    <row r="526" spans="1:53" x14ac:dyDescent="0.2">
      <c r="A526">
        <v>2015</v>
      </c>
      <c r="B526" t="s">
        <v>71</v>
      </c>
      <c r="C526" t="s">
        <v>58</v>
      </c>
      <c r="D526">
        <v>0.4</v>
      </c>
      <c r="E526">
        <v>0</v>
      </c>
      <c r="F526">
        <v>0</v>
      </c>
      <c r="G526">
        <v>0.2</v>
      </c>
      <c r="H526">
        <v>0.6</v>
      </c>
      <c r="I526">
        <v>5.2</v>
      </c>
      <c r="J526">
        <v>2.1</v>
      </c>
      <c r="K526">
        <f t="shared" si="211"/>
        <v>8.5</v>
      </c>
      <c r="L526">
        <v>0</v>
      </c>
      <c r="M526">
        <v>0</v>
      </c>
      <c r="N526">
        <v>0</v>
      </c>
      <c r="O526">
        <f t="shared" si="212"/>
        <v>0</v>
      </c>
      <c r="P526">
        <v>0</v>
      </c>
      <c r="Q526">
        <v>0</v>
      </c>
      <c r="R526">
        <v>2.4</v>
      </c>
      <c r="S526">
        <f t="shared" si="213"/>
        <v>2.4</v>
      </c>
      <c r="T526">
        <v>17.2</v>
      </c>
      <c r="U526">
        <v>8.9</v>
      </c>
      <c r="V526">
        <v>5.7</v>
      </c>
      <c r="W526">
        <v>0.2</v>
      </c>
      <c r="X526">
        <v>0</v>
      </c>
      <c r="Y526">
        <v>0</v>
      </c>
      <c r="Z526">
        <v>1.2</v>
      </c>
      <c r="AA526">
        <f t="shared" si="214"/>
        <v>33.200000000000003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11.6</v>
      </c>
      <c r="AI526">
        <v>2</v>
      </c>
      <c r="AJ526">
        <f t="shared" si="215"/>
        <v>13.6</v>
      </c>
      <c r="AK526">
        <v>0</v>
      </c>
      <c r="AL526">
        <v>0.42299999999999999</v>
      </c>
      <c r="AM526">
        <f t="shared" si="204"/>
        <v>0.57700000000000007</v>
      </c>
      <c r="AN526">
        <v>1391</v>
      </c>
      <c r="AO526">
        <v>1359</v>
      </c>
      <c r="AP526" s="3">
        <f t="shared" si="195"/>
        <v>3288.4160756501187</v>
      </c>
      <c r="AQ526" s="3">
        <f t="shared" si="219"/>
        <v>3212.7659574468089</v>
      </c>
      <c r="AR526">
        <f t="shared" si="186"/>
        <v>0.23570190641247832</v>
      </c>
      <c r="AS526">
        <f t="shared" si="216"/>
        <v>0.441</v>
      </c>
      <c r="AT526">
        <f t="shared" si="217"/>
        <v>1450</v>
      </c>
      <c r="AU526">
        <f t="shared" si="218"/>
        <v>447</v>
      </c>
      <c r="AV526">
        <f t="shared" si="205"/>
        <v>1310</v>
      </c>
      <c r="AW526">
        <f t="shared" si="206"/>
        <v>481</v>
      </c>
      <c r="AX526" s="3">
        <f t="shared" si="207"/>
        <v>1497.4160756501187</v>
      </c>
      <c r="AY526">
        <f t="shared" si="208"/>
        <v>725</v>
      </c>
      <c r="AZ526">
        <f t="shared" si="209"/>
        <v>623</v>
      </c>
      <c r="BA526" s="3">
        <f t="shared" si="210"/>
        <v>1940.4160756501187</v>
      </c>
    </row>
    <row r="527" spans="1:53" x14ac:dyDescent="0.2">
      <c r="A527">
        <v>2016</v>
      </c>
      <c r="B527" t="s">
        <v>71</v>
      </c>
      <c r="C527" t="s">
        <v>58</v>
      </c>
      <c r="D527">
        <v>0.8</v>
      </c>
      <c r="E527">
        <v>0</v>
      </c>
      <c r="F527">
        <v>0</v>
      </c>
      <c r="G527">
        <v>0</v>
      </c>
      <c r="H527">
        <v>0</v>
      </c>
      <c r="I527">
        <v>8.6999999999999993</v>
      </c>
      <c r="J527">
        <v>12</v>
      </c>
      <c r="K527">
        <f t="shared" si="211"/>
        <v>21.5</v>
      </c>
      <c r="L527">
        <v>0</v>
      </c>
      <c r="M527">
        <v>0</v>
      </c>
      <c r="N527">
        <v>0</v>
      </c>
      <c r="O527">
        <f t="shared" si="212"/>
        <v>0</v>
      </c>
      <c r="P527">
        <v>0</v>
      </c>
      <c r="Q527">
        <v>0</v>
      </c>
      <c r="R527">
        <v>0.6</v>
      </c>
      <c r="S527">
        <f t="shared" si="213"/>
        <v>0.6</v>
      </c>
      <c r="T527">
        <v>5.2</v>
      </c>
      <c r="U527">
        <v>6.7</v>
      </c>
      <c r="V527">
        <v>1.5</v>
      </c>
      <c r="W527">
        <v>0</v>
      </c>
      <c r="X527">
        <v>0</v>
      </c>
      <c r="Y527">
        <v>0</v>
      </c>
      <c r="Z527">
        <v>0.6</v>
      </c>
      <c r="AA527">
        <f t="shared" si="214"/>
        <v>14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13.9</v>
      </c>
      <c r="AI527">
        <v>6.5</v>
      </c>
      <c r="AJ527">
        <f t="shared" si="215"/>
        <v>20.399999999999999</v>
      </c>
      <c r="AK527">
        <v>0</v>
      </c>
      <c r="AL527">
        <v>0.435</v>
      </c>
      <c r="AM527">
        <f t="shared" si="204"/>
        <v>0.56499999999999995</v>
      </c>
      <c r="AN527">
        <v>439</v>
      </c>
      <c r="AO527">
        <v>411</v>
      </c>
      <c r="AP527" s="3">
        <f t="shared" si="195"/>
        <v>1009.1954022988505</v>
      </c>
      <c r="AQ527" s="3">
        <f t="shared" si="219"/>
        <v>944.8275862068964</v>
      </c>
      <c r="AR527">
        <f t="shared" si="186"/>
        <v>0.36106194690265486</v>
      </c>
      <c r="AS527">
        <f t="shared" si="216"/>
        <v>0.36099999999999999</v>
      </c>
      <c r="AT527">
        <f t="shared" si="217"/>
        <v>364</v>
      </c>
      <c r="AU527">
        <f t="shared" si="218"/>
        <v>206</v>
      </c>
      <c r="AV527">
        <f t="shared" si="205"/>
        <v>256</v>
      </c>
      <c r="AW527">
        <f t="shared" si="206"/>
        <v>240</v>
      </c>
      <c r="AX527" s="3">
        <f t="shared" si="207"/>
        <v>513.19540229885047</v>
      </c>
      <c r="AY527">
        <f t="shared" si="208"/>
        <v>182</v>
      </c>
      <c r="AZ527">
        <f t="shared" si="209"/>
        <v>264</v>
      </c>
      <c r="BA527" s="3">
        <f t="shared" si="210"/>
        <v>563.19540229885047</v>
      </c>
    </row>
    <row r="528" spans="1:53" x14ac:dyDescent="0.2">
      <c r="A528">
        <v>2017</v>
      </c>
      <c r="B528" t="s">
        <v>71</v>
      </c>
      <c r="C528" t="s">
        <v>58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8.6999999999999993</v>
      </c>
      <c r="J528">
        <v>10.9</v>
      </c>
      <c r="K528">
        <f t="shared" si="211"/>
        <v>19.600000000000001</v>
      </c>
      <c r="L528">
        <v>0</v>
      </c>
      <c r="M528">
        <v>0</v>
      </c>
      <c r="N528">
        <v>0</v>
      </c>
      <c r="O528">
        <f t="shared" si="212"/>
        <v>0</v>
      </c>
      <c r="P528">
        <v>0</v>
      </c>
      <c r="Q528">
        <v>0</v>
      </c>
      <c r="R528">
        <v>1.6</v>
      </c>
      <c r="S528">
        <f t="shared" si="213"/>
        <v>1.6</v>
      </c>
      <c r="T528">
        <v>22.2</v>
      </c>
      <c r="U528">
        <v>10.9</v>
      </c>
      <c r="V528">
        <v>2.1</v>
      </c>
      <c r="W528">
        <v>0.5</v>
      </c>
      <c r="X528">
        <v>0</v>
      </c>
      <c r="Y528">
        <v>0</v>
      </c>
      <c r="Z528">
        <v>0</v>
      </c>
      <c r="AA528">
        <f t="shared" si="214"/>
        <v>35.700000000000003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9.3000000000000007</v>
      </c>
      <c r="AI528">
        <v>5.8</v>
      </c>
      <c r="AJ528">
        <f t="shared" si="215"/>
        <v>15.100000000000001</v>
      </c>
      <c r="AK528">
        <v>0</v>
      </c>
      <c r="AL528">
        <v>0.28000000000000003</v>
      </c>
      <c r="AM528">
        <f t="shared" si="204"/>
        <v>0.72</v>
      </c>
      <c r="AN528">
        <v>841</v>
      </c>
      <c r="AO528">
        <v>721</v>
      </c>
      <c r="AP528" s="3">
        <f t="shared" si="195"/>
        <v>3003.5714285714284</v>
      </c>
      <c r="AQ528" s="3">
        <f t="shared" si="219"/>
        <v>2574.9999999999995</v>
      </c>
      <c r="AR528">
        <f t="shared" si="186"/>
        <v>0.20972222222222225</v>
      </c>
      <c r="AS528">
        <f t="shared" si="216"/>
        <v>0.56900000000000006</v>
      </c>
      <c r="AT528">
        <f t="shared" si="217"/>
        <v>1709</v>
      </c>
      <c r="AU528">
        <f t="shared" si="218"/>
        <v>454</v>
      </c>
      <c r="AV528">
        <f t="shared" si="205"/>
        <v>1415</v>
      </c>
      <c r="AW528">
        <f t="shared" si="206"/>
        <v>557</v>
      </c>
      <c r="AX528" s="3">
        <f t="shared" si="207"/>
        <v>1031.5714285714284</v>
      </c>
      <c r="AY528">
        <f t="shared" si="208"/>
        <v>855</v>
      </c>
      <c r="AZ528">
        <f t="shared" si="209"/>
        <v>753</v>
      </c>
      <c r="BA528" s="3">
        <f t="shared" si="210"/>
        <v>1395.5714285714284</v>
      </c>
    </row>
    <row r="529" spans="1:53" x14ac:dyDescent="0.2">
      <c r="A529">
        <v>2018</v>
      </c>
      <c r="B529" t="s">
        <v>71</v>
      </c>
      <c r="C529" t="s">
        <v>58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6.6</v>
      </c>
      <c r="J529">
        <v>5.5</v>
      </c>
      <c r="K529">
        <f t="shared" si="211"/>
        <v>12.1</v>
      </c>
      <c r="L529">
        <v>0</v>
      </c>
      <c r="M529">
        <v>0</v>
      </c>
      <c r="N529">
        <v>0</v>
      </c>
      <c r="O529">
        <f t="shared" si="212"/>
        <v>0</v>
      </c>
      <c r="P529">
        <v>0</v>
      </c>
      <c r="Q529">
        <v>0</v>
      </c>
      <c r="R529">
        <v>5.6</v>
      </c>
      <c r="S529">
        <f t="shared" si="213"/>
        <v>5.6</v>
      </c>
      <c r="T529">
        <v>18.100000000000001</v>
      </c>
      <c r="U529">
        <v>7.2</v>
      </c>
      <c r="V529">
        <v>6.9</v>
      </c>
      <c r="W529">
        <v>0.7</v>
      </c>
      <c r="X529">
        <v>0</v>
      </c>
      <c r="Y529">
        <v>0.3</v>
      </c>
      <c r="Z529">
        <v>1.1000000000000001</v>
      </c>
      <c r="AA529">
        <f t="shared" si="214"/>
        <v>34.300000000000004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9.6999999999999993</v>
      </c>
      <c r="AI529">
        <v>8.6</v>
      </c>
      <c r="AJ529">
        <f t="shared" si="215"/>
        <v>18.299999999999997</v>
      </c>
      <c r="AK529">
        <v>0.2</v>
      </c>
      <c r="AL529">
        <v>0.29299999999999998</v>
      </c>
      <c r="AM529">
        <f t="shared" si="204"/>
        <v>0.70299999999999996</v>
      </c>
      <c r="AN529">
        <v>244</v>
      </c>
      <c r="AO529">
        <v>216</v>
      </c>
      <c r="AP529" s="3">
        <f t="shared" si="195"/>
        <v>821.54882154882148</v>
      </c>
      <c r="AQ529" s="3">
        <f t="shared" si="219"/>
        <v>727.27272727272714</v>
      </c>
      <c r="AR529">
        <f t="shared" si="186"/>
        <v>0.26031294452347081</v>
      </c>
      <c r="AS529">
        <f t="shared" si="216"/>
        <v>0.52</v>
      </c>
      <c r="AT529">
        <f t="shared" si="217"/>
        <v>427</v>
      </c>
      <c r="AU529">
        <f t="shared" si="218"/>
        <v>150</v>
      </c>
      <c r="AV529">
        <f t="shared" si="205"/>
        <v>378</v>
      </c>
      <c r="AW529">
        <f t="shared" si="206"/>
        <v>169</v>
      </c>
      <c r="AX529" s="3">
        <f t="shared" si="207"/>
        <v>274.54882154882148</v>
      </c>
      <c r="AY529">
        <f t="shared" si="208"/>
        <v>214</v>
      </c>
      <c r="AZ529">
        <f t="shared" si="209"/>
        <v>231</v>
      </c>
      <c r="BA529" s="3">
        <f t="shared" si="210"/>
        <v>376.54882154882148</v>
      </c>
    </row>
    <row r="530" spans="1:53" x14ac:dyDescent="0.2">
      <c r="A530">
        <v>2019</v>
      </c>
      <c r="B530" t="s">
        <v>71</v>
      </c>
      <c r="C530" t="s">
        <v>58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2.6</v>
      </c>
      <c r="J530">
        <v>10.199999999999999</v>
      </c>
      <c r="K530">
        <f t="shared" si="211"/>
        <v>12.799999999999999</v>
      </c>
      <c r="L530">
        <v>0</v>
      </c>
      <c r="M530">
        <v>0</v>
      </c>
      <c r="N530">
        <v>0</v>
      </c>
      <c r="O530">
        <f t="shared" si="212"/>
        <v>0</v>
      </c>
      <c r="P530">
        <v>0</v>
      </c>
      <c r="Q530">
        <v>0</v>
      </c>
      <c r="R530">
        <v>5.5</v>
      </c>
      <c r="S530">
        <f t="shared" si="213"/>
        <v>5.5</v>
      </c>
      <c r="T530">
        <v>6.9</v>
      </c>
      <c r="U530">
        <v>5.5</v>
      </c>
      <c r="V530">
        <v>3.8</v>
      </c>
      <c r="W530">
        <v>1.6</v>
      </c>
      <c r="X530">
        <v>0</v>
      </c>
      <c r="Y530">
        <v>0</v>
      </c>
      <c r="Z530">
        <v>2.7</v>
      </c>
      <c r="AA530">
        <f t="shared" si="214"/>
        <v>20.5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15.5</v>
      </c>
      <c r="AI530">
        <v>6.4</v>
      </c>
      <c r="AJ530">
        <f t="shared" si="215"/>
        <v>21.9</v>
      </c>
      <c r="AK530">
        <v>0</v>
      </c>
      <c r="AL530">
        <v>0.39200000000000002</v>
      </c>
      <c r="AM530">
        <f t="shared" si="204"/>
        <v>0.60699999999999998</v>
      </c>
      <c r="AN530">
        <v>366</v>
      </c>
      <c r="AO530">
        <v>287</v>
      </c>
      <c r="AP530" s="3">
        <f t="shared" si="195"/>
        <v>931.29770992366412</v>
      </c>
      <c r="AQ530" s="3">
        <f t="shared" si="219"/>
        <v>730.27989821882943</v>
      </c>
      <c r="AR530">
        <f t="shared" si="186"/>
        <v>0.36079077429983519</v>
      </c>
      <c r="AS530">
        <f t="shared" si="216"/>
        <v>0.38799999999999996</v>
      </c>
      <c r="AT530">
        <f t="shared" si="217"/>
        <v>361</v>
      </c>
      <c r="AU530">
        <f t="shared" si="218"/>
        <v>204</v>
      </c>
      <c r="AV530">
        <f t="shared" si="205"/>
        <v>302</v>
      </c>
      <c r="AW530">
        <f t="shared" si="206"/>
        <v>225</v>
      </c>
      <c r="AX530" s="3">
        <f t="shared" si="207"/>
        <v>404.29770992366412</v>
      </c>
      <c r="AY530">
        <f t="shared" si="208"/>
        <v>181</v>
      </c>
      <c r="AZ530">
        <f t="shared" si="209"/>
        <v>268</v>
      </c>
      <c r="BA530" s="3">
        <f t="shared" si="210"/>
        <v>482.29770992366412</v>
      </c>
    </row>
    <row r="531" spans="1:53" x14ac:dyDescent="0.2">
      <c r="A531">
        <v>2020</v>
      </c>
      <c r="B531" t="s">
        <v>71</v>
      </c>
      <c r="C531" t="s">
        <v>58</v>
      </c>
      <c r="D531">
        <v>0.4</v>
      </c>
      <c r="E531">
        <v>0.4</v>
      </c>
      <c r="F531">
        <v>0</v>
      </c>
      <c r="G531">
        <v>0</v>
      </c>
      <c r="H531">
        <v>0</v>
      </c>
      <c r="I531">
        <v>1.4</v>
      </c>
      <c r="J531">
        <v>1.3</v>
      </c>
      <c r="K531">
        <f t="shared" si="211"/>
        <v>3.5</v>
      </c>
      <c r="L531">
        <v>0</v>
      </c>
      <c r="M531">
        <v>0</v>
      </c>
      <c r="N531">
        <v>0</v>
      </c>
      <c r="O531">
        <f t="shared" si="212"/>
        <v>0</v>
      </c>
      <c r="P531">
        <v>0</v>
      </c>
      <c r="Q531">
        <v>0</v>
      </c>
      <c r="R531">
        <v>0</v>
      </c>
      <c r="S531">
        <f t="shared" si="213"/>
        <v>0</v>
      </c>
      <c r="T531">
        <v>3.8</v>
      </c>
      <c r="U531">
        <v>3.7</v>
      </c>
      <c r="V531">
        <v>0.5</v>
      </c>
      <c r="W531">
        <v>1.7</v>
      </c>
      <c r="X531">
        <v>0</v>
      </c>
      <c r="Y531">
        <v>0</v>
      </c>
      <c r="Z531">
        <v>6.6</v>
      </c>
      <c r="AA531">
        <f t="shared" si="214"/>
        <v>16.299999999999997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16.5</v>
      </c>
      <c r="AI531">
        <v>5</v>
      </c>
      <c r="AJ531">
        <f t="shared" si="215"/>
        <v>21.5</v>
      </c>
      <c r="AK531">
        <v>0</v>
      </c>
      <c r="AL531">
        <v>0.58599999999999997</v>
      </c>
      <c r="AM531">
        <f t="shared" si="204"/>
        <v>0.41299999999999992</v>
      </c>
      <c r="AN531">
        <v>807</v>
      </c>
      <c r="AO531">
        <v>744</v>
      </c>
      <c r="AP531" s="3">
        <f t="shared" si="195"/>
        <v>1374.7870528109027</v>
      </c>
      <c r="AQ531" s="3">
        <f t="shared" si="219"/>
        <v>1267.4616695059624</v>
      </c>
      <c r="AR531">
        <f t="shared" si="186"/>
        <v>0.52058111380145289</v>
      </c>
      <c r="AS531">
        <f t="shared" si="216"/>
        <v>0.19799999999999998</v>
      </c>
      <c r="AT531">
        <f t="shared" si="217"/>
        <v>272</v>
      </c>
      <c r="AU531">
        <f t="shared" si="218"/>
        <v>296</v>
      </c>
      <c r="AV531">
        <f t="shared" si="205"/>
        <v>248</v>
      </c>
      <c r="AW531">
        <f t="shared" si="206"/>
        <v>302</v>
      </c>
      <c r="AX531" s="3">
        <f t="shared" si="207"/>
        <v>824.78705281090265</v>
      </c>
      <c r="AY531">
        <f t="shared" si="208"/>
        <v>136</v>
      </c>
      <c r="AZ531">
        <f t="shared" si="209"/>
        <v>333</v>
      </c>
      <c r="BA531" s="3">
        <f t="shared" si="210"/>
        <v>905.78705281090265</v>
      </c>
    </row>
    <row r="532" spans="1:53" x14ac:dyDescent="0.2">
      <c r="A532">
        <v>2021</v>
      </c>
      <c r="B532" t="s">
        <v>71</v>
      </c>
      <c r="C532" t="s">
        <v>58</v>
      </c>
      <c r="D532">
        <v>0.4</v>
      </c>
      <c r="E532">
        <v>0.4</v>
      </c>
      <c r="F532">
        <v>0.6</v>
      </c>
      <c r="G532">
        <v>0.2</v>
      </c>
      <c r="H532">
        <v>0.6</v>
      </c>
      <c r="I532">
        <v>3.1</v>
      </c>
      <c r="J532">
        <v>2</v>
      </c>
      <c r="K532">
        <f t="shared" si="211"/>
        <v>7.3</v>
      </c>
      <c r="L532">
        <v>0</v>
      </c>
      <c r="M532">
        <v>0</v>
      </c>
      <c r="N532">
        <v>0.4</v>
      </c>
      <c r="O532">
        <f t="shared" si="212"/>
        <v>0.4</v>
      </c>
      <c r="P532">
        <v>0</v>
      </c>
      <c r="Q532">
        <v>0</v>
      </c>
      <c r="R532">
        <v>1.5</v>
      </c>
      <c r="S532">
        <f t="shared" si="213"/>
        <v>1.5</v>
      </c>
      <c r="T532">
        <v>9.8000000000000007</v>
      </c>
      <c r="U532">
        <v>4</v>
      </c>
      <c r="V532">
        <v>4.0999999999999996</v>
      </c>
      <c r="W532">
        <v>1.2</v>
      </c>
      <c r="X532">
        <v>0</v>
      </c>
      <c r="Y532">
        <v>0</v>
      </c>
      <c r="Z532">
        <v>1</v>
      </c>
      <c r="AA532">
        <f t="shared" si="214"/>
        <v>20.099999999999998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9</v>
      </c>
      <c r="AI532">
        <v>6.4</v>
      </c>
      <c r="AJ532">
        <f t="shared" si="215"/>
        <v>15.4</v>
      </c>
      <c r="AK532">
        <v>0</v>
      </c>
      <c r="AL532">
        <v>0.55399999999999994</v>
      </c>
      <c r="AM532">
        <f t="shared" si="204"/>
        <v>0.44700000000000012</v>
      </c>
      <c r="AN532">
        <v>669</v>
      </c>
      <c r="AO532">
        <v>607</v>
      </c>
      <c r="AP532" s="3">
        <f t="shared" si="195"/>
        <v>1209.7649186256783</v>
      </c>
      <c r="AQ532" s="3">
        <f t="shared" si="219"/>
        <v>1097.6491862567814</v>
      </c>
      <c r="AR532">
        <f t="shared" si="186"/>
        <v>0.34451901565995519</v>
      </c>
      <c r="AS532">
        <f t="shared" si="216"/>
        <v>0.29299999999999998</v>
      </c>
      <c r="AT532">
        <f t="shared" si="217"/>
        <v>354</v>
      </c>
      <c r="AU532">
        <f t="shared" si="218"/>
        <v>186</v>
      </c>
      <c r="AV532">
        <f t="shared" si="205"/>
        <v>310</v>
      </c>
      <c r="AW532">
        <f t="shared" si="206"/>
        <v>196</v>
      </c>
      <c r="AX532" s="3">
        <f t="shared" si="207"/>
        <v>703.76491862567832</v>
      </c>
      <c r="AY532">
        <f t="shared" si="208"/>
        <v>177</v>
      </c>
      <c r="AZ532">
        <f t="shared" si="209"/>
        <v>224</v>
      </c>
      <c r="BA532" s="3">
        <f t="shared" si="210"/>
        <v>808.76491862567832</v>
      </c>
    </row>
    <row r="533" spans="1:53" x14ac:dyDescent="0.2">
      <c r="A533">
        <v>2022</v>
      </c>
      <c r="B533" t="s">
        <v>71</v>
      </c>
      <c r="C533" t="s">
        <v>58</v>
      </c>
      <c r="D533">
        <v>1.2</v>
      </c>
      <c r="E533">
        <v>0</v>
      </c>
      <c r="F533">
        <v>0</v>
      </c>
      <c r="G533">
        <v>0</v>
      </c>
      <c r="H533">
        <v>0</v>
      </c>
      <c r="I533">
        <v>4.5999999999999996</v>
      </c>
      <c r="J533">
        <v>2.6</v>
      </c>
      <c r="K533">
        <f t="shared" si="211"/>
        <v>8.4</v>
      </c>
      <c r="L533">
        <v>0</v>
      </c>
      <c r="M533">
        <v>0</v>
      </c>
      <c r="N533">
        <v>0.1</v>
      </c>
      <c r="O533">
        <f t="shared" si="212"/>
        <v>0.1</v>
      </c>
      <c r="P533">
        <v>0</v>
      </c>
      <c r="Q533">
        <v>0</v>
      </c>
      <c r="R533">
        <v>2</v>
      </c>
      <c r="S533">
        <f t="shared" si="213"/>
        <v>2</v>
      </c>
      <c r="T533">
        <v>6.1</v>
      </c>
      <c r="U533">
        <v>4.7</v>
      </c>
      <c r="V533">
        <v>3.2</v>
      </c>
      <c r="W533">
        <v>0.7</v>
      </c>
      <c r="X533">
        <v>0</v>
      </c>
      <c r="Y533">
        <v>0</v>
      </c>
      <c r="Z533">
        <v>0.6</v>
      </c>
      <c r="AA533">
        <f t="shared" si="214"/>
        <v>15.299999999999999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12</v>
      </c>
      <c r="AI533">
        <v>1.6</v>
      </c>
      <c r="AJ533">
        <f t="shared" si="215"/>
        <v>13.6</v>
      </c>
      <c r="AK533">
        <v>0</v>
      </c>
      <c r="AL533">
        <v>0.60699999999999998</v>
      </c>
      <c r="AM533">
        <f t="shared" si="204"/>
        <v>0.39400000000000007</v>
      </c>
      <c r="AN533">
        <v>440</v>
      </c>
      <c r="AO533">
        <v>403</v>
      </c>
      <c r="AP533" s="3">
        <f t="shared" si="195"/>
        <v>726.07260726072627</v>
      </c>
      <c r="AQ533" s="3">
        <f t="shared" si="219"/>
        <v>665.0165016501652</v>
      </c>
      <c r="AR533">
        <f t="shared" si="186"/>
        <v>0.34517766497461927</v>
      </c>
      <c r="AS533">
        <f t="shared" si="216"/>
        <v>0.25799999999999995</v>
      </c>
      <c r="AT533">
        <f t="shared" si="217"/>
        <v>187</v>
      </c>
      <c r="AU533">
        <f t="shared" si="218"/>
        <v>99</v>
      </c>
      <c r="AV533">
        <f t="shared" si="205"/>
        <v>157</v>
      </c>
      <c r="AW533">
        <f t="shared" si="206"/>
        <v>105</v>
      </c>
      <c r="AX533" s="3">
        <f t="shared" si="207"/>
        <v>464.07260726072627</v>
      </c>
      <c r="AY533">
        <f t="shared" si="208"/>
        <v>94</v>
      </c>
      <c r="AZ533">
        <f t="shared" si="209"/>
        <v>116</v>
      </c>
      <c r="BA533" s="3">
        <f t="shared" si="210"/>
        <v>516.07260726072627</v>
      </c>
    </row>
    <row r="534" spans="1:53" x14ac:dyDescent="0.2">
      <c r="A534">
        <v>2023</v>
      </c>
      <c r="B534" t="s">
        <v>71</v>
      </c>
      <c r="C534" t="s">
        <v>58</v>
      </c>
      <c r="D534" t="s">
        <v>13</v>
      </c>
      <c r="E534" t="s">
        <v>13</v>
      </c>
      <c r="F534" t="s">
        <v>13</v>
      </c>
      <c r="G534" t="s">
        <v>13</v>
      </c>
      <c r="H534" t="s">
        <v>13</v>
      </c>
      <c r="I534" t="s">
        <v>13</v>
      </c>
      <c r="J534" t="s">
        <v>13</v>
      </c>
      <c r="K534" t="s">
        <v>13</v>
      </c>
      <c r="L534" t="s">
        <v>13</v>
      </c>
      <c r="M534" t="s">
        <v>13</v>
      </c>
      <c r="N534" t="s">
        <v>13</v>
      </c>
      <c r="O534" t="s">
        <v>13</v>
      </c>
      <c r="P534" t="s">
        <v>13</v>
      </c>
      <c r="Q534" t="s">
        <v>13</v>
      </c>
      <c r="R534" t="s">
        <v>13</v>
      </c>
      <c r="S534" t="s">
        <v>13</v>
      </c>
      <c r="T534" t="s">
        <v>13</v>
      </c>
      <c r="U534" t="s">
        <v>13</v>
      </c>
      <c r="V534" t="s">
        <v>13</v>
      </c>
      <c r="W534" t="s">
        <v>13</v>
      </c>
      <c r="X534" t="s">
        <v>13</v>
      </c>
      <c r="Y534" t="s">
        <v>13</v>
      </c>
      <c r="Z534" t="s">
        <v>13</v>
      </c>
      <c r="AA534" t="s">
        <v>13</v>
      </c>
      <c r="AB534" t="s">
        <v>13</v>
      </c>
      <c r="AC534" t="s">
        <v>13</v>
      </c>
      <c r="AD534" t="s">
        <v>13</v>
      </c>
      <c r="AE534" t="s">
        <v>13</v>
      </c>
      <c r="AF534" t="s">
        <v>13</v>
      </c>
      <c r="AG534" t="s">
        <v>13</v>
      </c>
      <c r="AH534" t="s">
        <v>13</v>
      </c>
      <c r="AI534" t="s">
        <v>13</v>
      </c>
      <c r="AJ534" t="s">
        <v>13</v>
      </c>
      <c r="AK534" t="s">
        <v>13</v>
      </c>
      <c r="AL534" t="s">
        <v>13</v>
      </c>
      <c r="AM534" t="s">
        <v>13</v>
      </c>
      <c r="AN534">
        <v>501</v>
      </c>
      <c r="AO534">
        <v>465</v>
      </c>
      <c r="AP534" t="s">
        <v>13</v>
      </c>
      <c r="AQ534" t="s">
        <v>13</v>
      </c>
      <c r="AR534" t="s">
        <v>13</v>
      </c>
      <c r="AS534" t="s">
        <v>13</v>
      </c>
      <c r="AT534" t="s">
        <v>13</v>
      </c>
      <c r="AU534" t="s">
        <v>13</v>
      </c>
      <c r="AV534" t="s">
        <v>13</v>
      </c>
      <c r="AW534" t="s">
        <v>13</v>
      </c>
      <c r="AX534" t="s">
        <v>13</v>
      </c>
      <c r="AY534" t="s">
        <v>13</v>
      </c>
      <c r="AZ534" t="s">
        <v>13</v>
      </c>
      <c r="BA534" t="s">
        <v>13</v>
      </c>
    </row>
    <row r="535" spans="1:53" x14ac:dyDescent="0.2">
      <c r="A535">
        <v>1980</v>
      </c>
      <c r="B535" t="s">
        <v>72</v>
      </c>
      <c r="C535" t="s">
        <v>58</v>
      </c>
      <c r="D535" t="s">
        <v>13</v>
      </c>
      <c r="E535" t="s">
        <v>13</v>
      </c>
      <c r="F535" t="s">
        <v>13</v>
      </c>
      <c r="G535" t="s">
        <v>13</v>
      </c>
      <c r="H535" t="s">
        <v>13</v>
      </c>
      <c r="I535" t="s">
        <v>13</v>
      </c>
      <c r="J535" t="s">
        <v>13</v>
      </c>
      <c r="K535" t="s">
        <v>13</v>
      </c>
      <c r="L535" t="s">
        <v>13</v>
      </c>
      <c r="M535" t="s">
        <v>13</v>
      </c>
      <c r="N535" t="s">
        <v>13</v>
      </c>
      <c r="O535" t="s">
        <v>13</v>
      </c>
      <c r="P535" t="s">
        <v>13</v>
      </c>
      <c r="Q535" t="s">
        <v>13</v>
      </c>
      <c r="R535" t="s">
        <v>13</v>
      </c>
      <c r="S535" t="s">
        <v>13</v>
      </c>
      <c r="T535" t="s">
        <v>13</v>
      </c>
      <c r="U535" t="s">
        <v>13</v>
      </c>
      <c r="V535" t="s">
        <v>13</v>
      </c>
      <c r="W535" t="s">
        <v>13</v>
      </c>
      <c r="X535" t="s">
        <v>13</v>
      </c>
      <c r="Y535" t="s">
        <v>13</v>
      </c>
      <c r="Z535" t="s">
        <v>13</v>
      </c>
      <c r="AA535" t="s">
        <v>13</v>
      </c>
      <c r="AB535" t="s">
        <v>13</v>
      </c>
      <c r="AC535" t="s">
        <v>13</v>
      </c>
      <c r="AD535" t="s">
        <v>13</v>
      </c>
      <c r="AE535" t="s">
        <v>13</v>
      </c>
      <c r="AF535" t="s">
        <v>13</v>
      </c>
      <c r="AG535" t="s">
        <v>13</v>
      </c>
      <c r="AH535" t="s">
        <v>13</v>
      </c>
      <c r="AI535" t="s">
        <v>13</v>
      </c>
      <c r="AJ535" t="s">
        <v>13</v>
      </c>
      <c r="AK535" t="s">
        <v>13</v>
      </c>
      <c r="AL535" t="s">
        <v>13</v>
      </c>
      <c r="AM535" t="s">
        <v>13</v>
      </c>
      <c r="AN535">
        <v>16394</v>
      </c>
      <c r="AO535">
        <v>16394</v>
      </c>
      <c r="AP535" t="s">
        <v>13</v>
      </c>
      <c r="AQ535" t="s">
        <v>13</v>
      </c>
      <c r="AR535" t="s">
        <v>13</v>
      </c>
      <c r="AS535" t="s">
        <v>13</v>
      </c>
      <c r="AT535" t="s">
        <v>13</v>
      </c>
      <c r="AU535" t="s">
        <v>13</v>
      </c>
      <c r="AV535" t="s">
        <v>13</v>
      </c>
      <c r="AW535" t="s">
        <v>13</v>
      </c>
      <c r="AX535" t="s">
        <v>13</v>
      </c>
      <c r="AY535" t="s">
        <v>13</v>
      </c>
      <c r="AZ535" t="s">
        <v>13</v>
      </c>
      <c r="BA535" t="s">
        <v>13</v>
      </c>
    </row>
    <row r="536" spans="1:53" x14ac:dyDescent="0.2">
      <c r="A536">
        <v>1981</v>
      </c>
      <c r="B536" t="s">
        <v>72</v>
      </c>
      <c r="C536" t="s">
        <v>58</v>
      </c>
      <c r="D536">
        <v>7.3</v>
      </c>
      <c r="E536">
        <v>0</v>
      </c>
      <c r="F536">
        <v>0</v>
      </c>
      <c r="G536">
        <v>3.6</v>
      </c>
      <c r="H536">
        <v>0</v>
      </c>
      <c r="I536">
        <v>6.7</v>
      </c>
      <c r="J536">
        <v>0</v>
      </c>
      <c r="K536">
        <f t="shared" si="211"/>
        <v>17.600000000000001</v>
      </c>
      <c r="L536">
        <v>1.5</v>
      </c>
      <c r="M536">
        <v>0.1</v>
      </c>
      <c r="N536">
        <v>0</v>
      </c>
      <c r="O536">
        <f t="shared" ref="O536:O594" si="220">SUM(L536:N536)</f>
        <v>1.6</v>
      </c>
      <c r="P536">
        <v>0</v>
      </c>
      <c r="Q536">
        <v>0.5</v>
      </c>
      <c r="R536">
        <v>2.2999999999999998</v>
      </c>
      <c r="S536">
        <f t="shared" ref="S536:S594" si="221">SUM(P536:R536)</f>
        <v>2.8</v>
      </c>
      <c r="T536">
        <v>1.6</v>
      </c>
      <c r="U536">
        <v>2.6</v>
      </c>
      <c r="V536">
        <v>0.6</v>
      </c>
      <c r="W536">
        <v>0.1</v>
      </c>
      <c r="X536">
        <v>0</v>
      </c>
      <c r="Y536">
        <v>0.1</v>
      </c>
      <c r="Z536">
        <v>0.2</v>
      </c>
      <c r="AA536">
        <f t="shared" ref="AA536:AA594" si="222">SUM(T536:Z536)</f>
        <v>5.1999999999999993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4.0999999999999996</v>
      </c>
      <c r="AI536">
        <v>13.5</v>
      </c>
      <c r="AJ536">
        <f t="shared" ref="AJ536:AJ594" si="223">SUM(AB536:AI536)</f>
        <v>17.600000000000001</v>
      </c>
      <c r="AK536">
        <v>2.8</v>
      </c>
      <c r="AL536">
        <v>0.52400000000000002</v>
      </c>
      <c r="AM536">
        <f t="shared" si="204"/>
        <v>0.44800000000000012</v>
      </c>
      <c r="AN536">
        <v>19297</v>
      </c>
      <c r="AO536">
        <v>19297</v>
      </c>
      <c r="AP536" s="3">
        <f t="shared" ref="AP536" si="224">AN536/(1-AM536)</f>
        <v>34958.333333333343</v>
      </c>
      <c r="AQ536" s="3">
        <f t="shared" ref="AQ536" si="225">AO536/(1-AM536)</f>
        <v>34958.333333333343</v>
      </c>
      <c r="AR536">
        <f t="shared" si="186"/>
        <v>0.39285714285714279</v>
      </c>
      <c r="AS536">
        <f>SUM(K536,O536,S536,AA536)/100</f>
        <v>0.27200000000000002</v>
      </c>
      <c r="AT536">
        <f>ROUND(AS536*AP536,0)</f>
        <v>9509</v>
      </c>
      <c r="AU536">
        <f>ROUND((AJ536/100)*AP536,0)</f>
        <v>6153</v>
      </c>
      <c r="AV536">
        <f t="shared" si="205"/>
        <v>6432</v>
      </c>
      <c r="AW536">
        <f t="shared" si="206"/>
        <v>6897</v>
      </c>
      <c r="AX536" s="3">
        <f t="shared" si="207"/>
        <v>21629.333333333343</v>
      </c>
      <c r="AY536">
        <f t="shared" si="208"/>
        <v>4754</v>
      </c>
      <c r="AZ536">
        <f t="shared" si="209"/>
        <v>7303</v>
      </c>
      <c r="BA536" s="3">
        <f t="shared" si="210"/>
        <v>22901.333333333343</v>
      </c>
    </row>
    <row r="537" spans="1:53" x14ac:dyDescent="0.2">
      <c r="A537">
        <v>1982</v>
      </c>
      <c r="B537" t="s">
        <v>72</v>
      </c>
      <c r="C537" t="s">
        <v>58</v>
      </c>
      <c r="D537">
        <v>7.6</v>
      </c>
      <c r="E537">
        <v>0.9</v>
      </c>
      <c r="F537">
        <v>0.1</v>
      </c>
      <c r="G537">
        <v>3.1</v>
      </c>
      <c r="H537">
        <v>0</v>
      </c>
      <c r="I537">
        <v>10.1</v>
      </c>
      <c r="J537">
        <v>0</v>
      </c>
      <c r="K537">
        <f t="shared" si="211"/>
        <v>21.799999999999997</v>
      </c>
      <c r="L537">
        <v>1.6</v>
      </c>
      <c r="M537">
        <v>0.8</v>
      </c>
      <c r="N537">
        <v>0</v>
      </c>
      <c r="O537">
        <f t="shared" si="220"/>
        <v>2.4000000000000004</v>
      </c>
      <c r="P537">
        <v>0.5</v>
      </c>
      <c r="Q537">
        <v>0.7</v>
      </c>
      <c r="R537">
        <v>0</v>
      </c>
      <c r="S537">
        <f t="shared" si="221"/>
        <v>1.2</v>
      </c>
      <c r="T537">
        <v>3</v>
      </c>
      <c r="U537">
        <v>6.8</v>
      </c>
      <c r="V537">
        <v>0.9</v>
      </c>
      <c r="W537">
        <v>0</v>
      </c>
      <c r="X537">
        <v>0.9</v>
      </c>
      <c r="Y537">
        <v>0.5</v>
      </c>
      <c r="Z537">
        <v>0.7</v>
      </c>
      <c r="AA537">
        <f t="shared" si="222"/>
        <v>12.8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4.8</v>
      </c>
      <c r="AI537">
        <v>16.3</v>
      </c>
      <c r="AJ537">
        <f t="shared" si="223"/>
        <v>21.1</v>
      </c>
      <c r="AK537">
        <v>1.3</v>
      </c>
      <c r="AL537">
        <v>0.39600000000000002</v>
      </c>
      <c r="AM537">
        <f t="shared" si="204"/>
        <v>0.59300000000000008</v>
      </c>
      <c r="AN537">
        <v>8370</v>
      </c>
      <c r="AO537">
        <v>8370</v>
      </c>
      <c r="AP537" s="3">
        <f t="shared" ref="AP537:AP577" si="226">AN537/(1-AM537)</f>
        <v>20565.110565110568</v>
      </c>
      <c r="AQ537" s="3">
        <f t="shared" ref="AQ537:AQ577" si="227">AO537/(1-AM537)</f>
        <v>20565.110565110568</v>
      </c>
      <c r="AR537">
        <f t="shared" si="186"/>
        <v>0.35581787521079256</v>
      </c>
      <c r="AS537">
        <f>SUM(K537,O537,S537,AA537)/100</f>
        <v>0.38199999999999995</v>
      </c>
      <c r="AT537">
        <f>ROUND(AS537*AP537,0)</f>
        <v>7856</v>
      </c>
      <c r="AU537">
        <f>ROUND((AJ537/100)*AP537,0)</f>
        <v>4339</v>
      </c>
      <c r="AV537">
        <f t="shared" si="205"/>
        <v>5614</v>
      </c>
      <c r="AW537">
        <f t="shared" si="206"/>
        <v>5104</v>
      </c>
      <c r="AX537" s="3">
        <f t="shared" si="207"/>
        <v>9847.1105651105681</v>
      </c>
      <c r="AY537">
        <f t="shared" si="208"/>
        <v>3928</v>
      </c>
      <c r="AZ537">
        <f t="shared" si="209"/>
        <v>5680</v>
      </c>
      <c r="BA537" s="3">
        <f t="shared" si="210"/>
        <v>10957.110565110568</v>
      </c>
    </row>
    <row r="538" spans="1:53" x14ac:dyDescent="0.2">
      <c r="A538">
        <v>1983</v>
      </c>
      <c r="B538" t="s">
        <v>72</v>
      </c>
      <c r="C538" t="s">
        <v>58</v>
      </c>
      <c r="D538" t="s">
        <v>13</v>
      </c>
      <c r="E538" t="s">
        <v>13</v>
      </c>
      <c r="F538" t="s">
        <v>13</v>
      </c>
      <c r="G538" t="s">
        <v>13</v>
      </c>
      <c r="H538" t="s">
        <v>13</v>
      </c>
      <c r="I538" t="s">
        <v>13</v>
      </c>
      <c r="J538" t="s">
        <v>13</v>
      </c>
      <c r="K538" t="s">
        <v>13</v>
      </c>
      <c r="L538" t="s">
        <v>13</v>
      </c>
      <c r="M538" t="s">
        <v>13</v>
      </c>
      <c r="N538" t="s">
        <v>13</v>
      </c>
      <c r="O538" t="s">
        <v>13</v>
      </c>
      <c r="P538" t="s">
        <v>13</v>
      </c>
      <c r="Q538" t="s">
        <v>13</v>
      </c>
      <c r="R538" t="s">
        <v>13</v>
      </c>
      <c r="S538" t="s">
        <v>13</v>
      </c>
      <c r="T538" t="s">
        <v>13</v>
      </c>
      <c r="U538" t="s">
        <v>13</v>
      </c>
      <c r="V538" t="s">
        <v>13</v>
      </c>
      <c r="W538" t="s">
        <v>13</v>
      </c>
      <c r="X538" t="s">
        <v>13</v>
      </c>
      <c r="Y538" t="s">
        <v>13</v>
      </c>
      <c r="Z538" t="s">
        <v>13</v>
      </c>
      <c r="AA538" t="s">
        <v>13</v>
      </c>
      <c r="AB538" t="s">
        <v>13</v>
      </c>
      <c r="AC538" t="s">
        <v>13</v>
      </c>
      <c r="AD538" t="s">
        <v>13</v>
      </c>
      <c r="AE538" t="s">
        <v>13</v>
      </c>
      <c r="AF538" t="s">
        <v>13</v>
      </c>
      <c r="AG538" t="s">
        <v>13</v>
      </c>
      <c r="AH538" t="s">
        <v>13</v>
      </c>
      <c r="AI538" t="s">
        <v>13</v>
      </c>
      <c r="AJ538" t="s">
        <v>13</v>
      </c>
      <c r="AK538" t="s">
        <v>13</v>
      </c>
      <c r="AL538" t="s">
        <v>13</v>
      </c>
      <c r="AM538" t="s">
        <v>13</v>
      </c>
      <c r="AN538">
        <v>13540</v>
      </c>
      <c r="AO538">
        <v>13540</v>
      </c>
      <c r="AP538" t="s">
        <v>13</v>
      </c>
      <c r="AQ538" t="s">
        <v>13</v>
      </c>
      <c r="AR538" t="s">
        <v>13</v>
      </c>
      <c r="AS538" t="s">
        <v>13</v>
      </c>
      <c r="AT538" t="s">
        <v>13</v>
      </c>
      <c r="AU538" t="s">
        <v>13</v>
      </c>
      <c r="AV538" t="s">
        <v>13</v>
      </c>
      <c r="AW538" t="s">
        <v>13</v>
      </c>
      <c r="AX538" t="s">
        <v>13</v>
      </c>
      <c r="AY538" t="s">
        <v>13</v>
      </c>
      <c r="AZ538" t="s">
        <v>13</v>
      </c>
      <c r="BA538" t="s">
        <v>13</v>
      </c>
    </row>
    <row r="539" spans="1:53" x14ac:dyDescent="0.2">
      <c r="A539">
        <v>1984</v>
      </c>
      <c r="B539" t="s">
        <v>72</v>
      </c>
      <c r="C539" t="s">
        <v>58</v>
      </c>
      <c r="D539" t="s">
        <v>13</v>
      </c>
      <c r="E539" t="s">
        <v>13</v>
      </c>
      <c r="F539" t="s">
        <v>13</v>
      </c>
      <c r="G539" t="s">
        <v>13</v>
      </c>
      <c r="H539" t="s">
        <v>13</v>
      </c>
      <c r="I539" t="s">
        <v>13</v>
      </c>
      <c r="J539" t="s">
        <v>13</v>
      </c>
      <c r="K539" t="s">
        <v>13</v>
      </c>
      <c r="L539" t="s">
        <v>13</v>
      </c>
      <c r="M539" t="s">
        <v>13</v>
      </c>
      <c r="N539" t="s">
        <v>13</v>
      </c>
      <c r="O539" t="s">
        <v>13</v>
      </c>
      <c r="P539" t="s">
        <v>13</v>
      </c>
      <c r="Q539" t="s">
        <v>13</v>
      </c>
      <c r="R539" t="s">
        <v>13</v>
      </c>
      <c r="S539" t="s">
        <v>13</v>
      </c>
      <c r="T539" t="s">
        <v>13</v>
      </c>
      <c r="U539" t="s">
        <v>13</v>
      </c>
      <c r="V539" t="s">
        <v>13</v>
      </c>
      <c r="W539" t="s">
        <v>13</v>
      </c>
      <c r="X539" t="s">
        <v>13</v>
      </c>
      <c r="Y539" t="s">
        <v>13</v>
      </c>
      <c r="Z539" t="s">
        <v>13</v>
      </c>
      <c r="AA539" t="s">
        <v>13</v>
      </c>
      <c r="AB539" t="s">
        <v>13</v>
      </c>
      <c r="AC539" t="s">
        <v>13</v>
      </c>
      <c r="AD539" t="s">
        <v>13</v>
      </c>
      <c r="AE539" t="s">
        <v>13</v>
      </c>
      <c r="AF539" t="s">
        <v>13</v>
      </c>
      <c r="AG539" t="s">
        <v>13</v>
      </c>
      <c r="AH539" t="s">
        <v>13</v>
      </c>
      <c r="AI539" t="s">
        <v>13</v>
      </c>
      <c r="AJ539" t="s">
        <v>13</v>
      </c>
      <c r="AK539" t="s">
        <v>13</v>
      </c>
      <c r="AL539" t="s">
        <v>13</v>
      </c>
      <c r="AM539" t="s">
        <v>13</v>
      </c>
      <c r="AN539">
        <v>7132</v>
      </c>
      <c r="AO539">
        <v>7132</v>
      </c>
      <c r="AP539" t="s">
        <v>13</v>
      </c>
      <c r="AQ539" t="s">
        <v>13</v>
      </c>
      <c r="AR539" t="s">
        <v>13</v>
      </c>
      <c r="AS539" t="s">
        <v>13</v>
      </c>
      <c r="AT539" t="s">
        <v>13</v>
      </c>
      <c r="AU539" t="s">
        <v>13</v>
      </c>
      <c r="AV539" t="s">
        <v>13</v>
      </c>
      <c r="AW539" t="s">
        <v>13</v>
      </c>
      <c r="AX539" t="s">
        <v>13</v>
      </c>
      <c r="AY539" t="s">
        <v>13</v>
      </c>
      <c r="AZ539" t="s">
        <v>13</v>
      </c>
      <c r="BA539" t="s">
        <v>13</v>
      </c>
    </row>
    <row r="540" spans="1:53" x14ac:dyDescent="0.2">
      <c r="A540">
        <v>1985</v>
      </c>
      <c r="B540" t="s">
        <v>72</v>
      </c>
      <c r="C540" t="s">
        <v>58</v>
      </c>
      <c r="D540" t="s">
        <v>13</v>
      </c>
      <c r="E540" t="s">
        <v>13</v>
      </c>
      <c r="F540" t="s">
        <v>13</v>
      </c>
      <c r="G540" t="s">
        <v>13</v>
      </c>
      <c r="H540" t="s">
        <v>13</v>
      </c>
      <c r="I540" t="s">
        <v>13</v>
      </c>
      <c r="J540" t="s">
        <v>13</v>
      </c>
      <c r="K540" t="s">
        <v>13</v>
      </c>
      <c r="L540" t="s">
        <v>13</v>
      </c>
      <c r="M540" t="s">
        <v>13</v>
      </c>
      <c r="N540" t="s">
        <v>13</v>
      </c>
      <c r="O540" t="s">
        <v>13</v>
      </c>
      <c r="P540" t="s">
        <v>13</v>
      </c>
      <c r="Q540" t="s">
        <v>13</v>
      </c>
      <c r="R540" t="s">
        <v>13</v>
      </c>
      <c r="S540" t="s">
        <v>13</v>
      </c>
      <c r="T540" t="s">
        <v>13</v>
      </c>
      <c r="U540" t="s">
        <v>13</v>
      </c>
      <c r="V540" t="s">
        <v>13</v>
      </c>
      <c r="W540" t="s">
        <v>13</v>
      </c>
      <c r="X540" t="s">
        <v>13</v>
      </c>
      <c r="Y540" t="s">
        <v>13</v>
      </c>
      <c r="Z540" t="s">
        <v>13</v>
      </c>
      <c r="AA540" t="s">
        <v>13</v>
      </c>
      <c r="AB540" t="s">
        <v>13</v>
      </c>
      <c r="AC540" t="s">
        <v>13</v>
      </c>
      <c r="AD540" t="s">
        <v>13</v>
      </c>
      <c r="AE540" t="s">
        <v>13</v>
      </c>
      <c r="AF540" t="s">
        <v>13</v>
      </c>
      <c r="AG540" t="s">
        <v>13</v>
      </c>
      <c r="AH540" t="s">
        <v>13</v>
      </c>
      <c r="AI540" t="s">
        <v>13</v>
      </c>
      <c r="AJ540" t="s">
        <v>13</v>
      </c>
      <c r="AK540" t="s">
        <v>13</v>
      </c>
      <c r="AL540" t="s">
        <v>13</v>
      </c>
      <c r="AM540" t="s">
        <v>13</v>
      </c>
      <c r="AN540">
        <v>7491</v>
      </c>
      <c r="AO540">
        <v>7491</v>
      </c>
      <c r="AP540" t="s">
        <v>13</v>
      </c>
      <c r="AQ540" t="s">
        <v>13</v>
      </c>
      <c r="AR540" t="s">
        <v>13</v>
      </c>
      <c r="AS540" t="s">
        <v>13</v>
      </c>
      <c r="AT540" t="s">
        <v>13</v>
      </c>
      <c r="AU540" t="s">
        <v>13</v>
      </c>
      <c r="AV540" t="s">
        <v>13</v>
      </c>
      <c r="AW540" t="s">
        <v>13</v>
      </c>
      <c r="AX540" t="s">
        <v>13</v>
      </c>
      <c r="AY540" t="s">
        <v>13</v>
      </c>
      <c r="AZ540" t="s">
        <v>13</v>
      </c>
      <c r="BA540" t="s">
        <v>13</v>
      </c>
    </row>
    <row r="541" spans="1:53" x14ac:dyDescent="0.2">
      <c r="A541">
        <v>1986</v>
      </c>
      <c r="B541" t="s">
        <v>72</v>
      </c>
      <c r="C541" t="s">
        <v>58</v>
      </c>
      <c r="D541">
        <v>6.1</v>
      </c>
      <c r="E541">
        <v>0</v>
      </c>
      <c r="F541">
        <v>0</v>
      </c>
      <c r="G541">
        <v>2.1</v>
      </c>
      <c r="H541">
        <v>0</v>
      </c>
      <c r="I541">
        <v>7.1</v>
      </c>
      <c r="J541">
        <v>2.2000000000000002</v>
      </c>
      <c r="K541">
        <f t="shared" si="211"/>
        <v>17.5</v>
      </c>
      <c r="L541">
        <v>2.2000000000000002</v>
      </c>
      <c r="M541">
        <v>0.9</v>
      </c>
      <c r="N541">
        <v>0</v>
      </c>
      <c r="O541">
        <f t="shared" si="220"/>
        <v>3.1</v>
      </c>
      <c r="P541">
        <v>0</v>
      </c>
      <c r="Q541">
        <v>0</v>
      </c>
      <c r="R541">
        <v>0</v>
      </c>
      <c r="S541">
        <f t="shared" si="221"/>
        <v>0</v>
      </c>
      <c r="T541">
        <v>1.4</v>
      </c>
      <c r="U541">
        <v>0.5</v>
      </c>
      <c r="V541">
        <v>1.6</v>
      </c>
      <c r="W541">
        <v>0</v>
      </c>
      <c r="X541">
        <v>0</v>
      </c>
      <c r="Y541">
        <v>0</v>
      </c>
      <c r="Z541">
        <v>0</v>
      </c>
      <c r="AA541">
        <f t="shared" si="222"/>
        <v>3.5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26.6</v>
      </c>
      <c r="AI541">
        <v>11.7</v>
      </c>
      <c r="AJ541">
        <f t="shared" si="223"/>
        <v>38.299999999999997</v>
      </c>
      <c r="AK541">
        <v>0.9</v>
      </c>
      <c r="AL541">
        <v>0.36499999999999999</v>
      </c>
      <c r="AM541">
        <f t="shared" si="204"/>
        <v>0.62400000000000011</v>
      </c>
      <c r="AN541">
        <v>11983</v>
      </c>
      <c r="AO541">
        <v>11983</v>
      </c>
      <c r="AP541" s="3">
        <f t="shared" si="226"/>
        <v>31869.68085106384</v>
      </c>
      <c r="AQ541" s="3">
        <f t="shared" si="227"/>
        <v>31869.68085106384</v>
      </c>
      <c r="AR541">
        <f t="shared" si="186"/>
        <v>0.6137820512820511</v>
      </c>
      <c r="AS541">
        <f t="shared" ref="AS541:AS552" si="228">SUM(K541,O541,S541,AA541)/100</f>
        <v>0.24100000000000002</v>
      </c>
      <c r="AT541">
        <f t="shared" ref="AT541:AT552" si="229">ROUND(AS541*AP541,0)</f>
        <v>7681</v>
      </c>
      <c r="AU541">
        <f t="shared" ref="AU541:AU552" si="230">ROUND((AJ541/100)*AP541,0)</f>
        <v>12206</v>
      </c>
      <c r="AV541">
        <f t="shared" si="205"/>
        <v>4892</v>
      </c>
      <c r="AW541">
        <f t="shared" si="206"/>
        <v>13613</v>
      </c>
      <c r="AX541" s="3">
        <f t="shared" si="207"/>
        <v>13364.68085106384</v>
      </c>
      <c r="AY541">
        <f t="shared" si="208"/>
        <v>3840</v>
      </c>
      <c r="AZ541">
        <f t="shared" si="209"/>
        <v>14144</v>
      </c>
      <c r="BA541" s="3">
        <f t="shared" si="210"/>
        <v>13885.68085106384</v>
      </c>
    </row>
    <row r="542" spans="1:53" x14ac:dyDescent="0.2">
      <c r="A542">
        <v>1987</v>
      </c>
      <c r="B542" t="s">
        <v>72</v>
      </c>
      <c r="C542" t="s">
        <v>58</v>
      </c>
      <c r="D542">
        <v>5.7</v>
      </c>
      <c r="E542">
        <v>0</v>
      </c>
      <c r="F542">
        <v>0</v>
      </c>
      <c r="G542">
        <v>5.4</v>
      </c>
      <c r="H542">
        <v>0</v>
      </c>
      <c r="I542">
        <v>9.6999999999999993</v>
      </c>
      <c r="J542">
        <v>1</v>
      </c>
      <c r="K542">
        <f t="shared" si="211"/>
        <v>21.8</v>
      </c>
      <c r="L542">
        <v>1.5</v>
      </c>
      <c r="M542">
        <v>0</v>
      </c>
      <c r="N542">
        <v>0</v>
      </c>
      <c r="O542">
        <f t="shared" si="220"/>
        <v>1.5</v>
      </c>
      <c r="P542">
        <v>0</v>
      </c>
      <c r="Q542">
        <v>0</v>
      </c>
      <c r="R542">
        <v>0</v>
      </c>
      <c r="S542">
        <f t="shared" si="221"/>
        <v>0</v>
      </c>
      <c r="T542">
        <v>1.1000000000000001</v>
      </c>
      <c r="U542">
        <v>0.9</v>
      </c>
      <c r="V542">
        <v>1.8</v>
      </c>
      <c r="W542">
        <v>0</v>
      </c>
      <c r="X542">
        <v>0.3</v>
      </c>
      <c r="Y542">
        <v>0</v>
      </c>
      <c r="Z542">
        <v>0.3</v>
      </c>
      <c r="AA542">
        <f t="shared" si="222"/>
        <v>4.3999999999999995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23.9</v>
      </c>
      <c r="AI542">
        <v>5</v>
      </c>
      <c r="AJ542">
        <f t="shared" si="223"/>
        <v>28.9</v>
      </c>
      <c r="AK542">
        <v>2.2999999999999998</v>
      </c>
      <c r="AL542">
        <v>0.41100000000000003</v>
      </c>
      <c r="AM542">
        <f t="shared" si="204"/>
        <v>0.56599999999999995</v>
      </c>
      <c r="AN542">
        <v>12935</v>
      </c>
      <c r="AO542">
        <v>12935</v>
      </c>
      <c r="AP542" s="3">
        <f t="shared" si="226"/>
        <v>29804.147465437785</v>
      </c>
      <c r="AQ542" s="3">
        <f t="shared" si="227"/>
        <v>29804.147465437785</v>
      </c>
      <c r="AR542">
        <f t="shared" si="186"/>
        <v>0.51060070671378088</v>
      </c>
      <c r="AS542">
        <f t="shared" si="228"/>
        <v>0.27699999999999997</v>
      </c>
      <c r="AT542">
        <f t="shared" si="229"/>
        <v>8256</v>
      </c>
      <c r="AU542">
        <f t="shared" si="230"/>
        <v>8613</v>
      </c>
      <c r="AV542">
        <f t="shared" si="205"/>
        <v>5007</v>
      </c>
      <c r="AW542">
        <f t="shared" si="206"/>
        <v>9912</v>
      </c>
      <c r="AX542" s="3">
        <f t="shared" si="207"/>
        <v>14885.147465437785</v>
      </c>
      <c r="AY542">
        <f t="shared" si="208"/>
        <v>4128</v>
      </c>
      <c r="AZ542">
        <f t="shared" si="209"/>
        <v>10263</v>
      </c>
      <c r="BA542" s="3">
        <f t="shared" si="210"/>
        <v>15413.147465437785</v>
      </c>
    </row>
    <row r="543" spans="1:53" x14ac:dyDescent="0.2">
      <c r="A543">
        <v>1988</v>
      </c>
      <c r="B543" t="s">
        <v>72</v>
      </c>
      <c r="C543" t="s">
        <v>58</v>
      </c>
      <c r="D543">
        <v>5.2</v>
      </c>
      <c r="E543">
        <v>0</v>
      </c>
      <c r="F543">
        <v>0</v>
      </c>
      <c r="G543">
        <v>3.5</v>
      </c>
      <c r="H543">
        <v>0</v>
      </c>
      <c r="I543">
        <v>10.9</v>
      </c>
      <c r="J543">
        <v>0</v>
      </c>
      <c r="K543">
        <f t="shared" si="211"/>
        <v>19.600000000000001</v>
      </c>
      <c r="L543">
        <v>0</v>
      </c>
      <c r="M543">
        <v>0.5</v>
      </c>
      <c r="N543">
        <v>0</v>
      </c>
      <c r="O543">
        <f t="shared" si="220"/>
        <v>0.5</v>
      </c>
      <c r="P543">
        <v>0</v>
      </c>
      <c r="Q543">
        <v>0.1</v>
      </c>
      <c r="R543">
        <v>0</v>
      </c>
      <c r="S543">
        <f t="shared" si="221"/>
        <v>0.1</v>
      </c>
      <c r="T543">
        <v>4</v>
      </c>
      <c r="U543">
        <v>0.6</v>
      </c>
      <c r="V543">
        <v>1</v>
      </c>
      <c r="W543">
        <v>0.5</v>
      </c>
      <c r="X543">
        <v>0</v>
      </c>
      <c r="Y543">
        <v>0</v>
      </c>
      <c r="Z543">
        <v>1.5</v>
      </c>
      <c r="AA543">
        <f t="shared" si="222"/>
        <v>7.6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21.6</v>
      </c>
      <c r="AI543">
        <v>14.1</v>
      </c>
      <c r="AJ543">
        <f t="shared" si="223"/>
        <v>35.700000000000003</v>
      </c>
      <c r="AK543">
        <v>1.9</v>
      </c>
      <c r="AL543">
        <v>0.34499999999999997</v>
      </c>
      <c r="AM543">
        <f t="shared" si="204"/>
        <v>0.63500000000000012</v>
      </c>
      <c r="AN543">
        <v>12059</v>
      </c>
      <c r="AO543">
        <v>12059</v>
      </c>
      <c r="AP543" s="3">
        <f t="shared" si="226"/>
        <v>33038.356164383571</v>
      </c>
      <c r="AQ543" s="3">
        <f t="shared" si="227"/>
        <v>33038.356164383571</v>
      </c>
      <c r="AR543">
        <f t="shared" si="186"/>
        <v>0.5622047244094488</v>
      </c>
      <c r="AS543">
        <f t="shared" si="228"/>
        <v>0.27800000000000002</v>
      </c>
      <c r="AT543">
        <f t="shared" si="229"/>
        <v>9185</v>
      </c>
      <c r="AU543">
        <f t="shared" si="230"/>
        <v>11795</v>
      </c>
      <c r="AV543">
        <f t="shared" si="205"/>
        <v>5947</v>
      </c>
      <c r="AW543">
        <f t="shared" si="206"/>
        <v>13396</v>
      </c>
      <c r="AX543" s="3">
        <f t="shared" si="207"/>
        <v>13695.356164383571</v>
      </c>
      <c r="AY543">
        <f t="shared" si="208"/>
        <v>4592</v>
      </c>
      <c r="AZ543">
        <f t="shared" si="209"/>
        <v>14066</v>
      </c>
      <c r="BA543" s="3">
        <f t="shared" si="210"/>
        <v>14380.356164383571</v>
      </c>
    </row>
    <row r="544" spans="1:53" x14ac:dyDescent="0.2">
      <c r="A544">
        <v>1989</v>
      </c>
      <c r="B544" t="s">
        <v>72</v>
      </c>
      <c r="C544" t="s">
        <v>58</v>
      </c>
      <c r="D544">
        <v>2.4</v>
      </c>
      <c r="E544">
        <v>0.7</v>
      </c>
      <c r="F544">
        <v>0.3</v>
      </c>
      <c r="G544">
        <v>5.0999999999999996</v>
      </c>
      <c r="H544">
        <v>0.5</v>
      </c>
      <c r="I544">
        <v>5.9</v>
      </c>
      <c r="J544">
        <v>0</v>
      </c>
      <c r="K544">
        <f t="shared" si="211"/>
        <v>14.9</v>
      </c>
      <c r="L544">
        <v>0.2</v>
      </c>
      <c r="M544">
        <v>0.7</v>
      </c>
      <c r="N544">
        <v>0</v>
      </c>
      <c r="O544">
        <f t="shared" si="220"/>
        <v>0.89999999999999991</v>
      </c>
      <c r="P544">
        <v>0</v>
      </c>
      <c r="Q544">
        <v>0.8</v>
      </c>
      <c r="R544">
        <v>0.5</v>
      </c>
      <c r="S544">
        <f t="shared" si="221"/>
        <v>1.3</v>
      </c>
      <c r="T544">
        <v>3</v>
      </c>
      <c r="U544">
        <v>0.7</v>
      </c>
      <c r="V544">
        <v>2.2999999999999998</v>
      </c>
      <c r="W544">
        <v>0</v>
      </c>
      <c r="X544">
        <v>0.2</v>
      </c>
      <c r="Y544">
        <v>0</v>
      </c>
      <c r="Z544">
        <v>0</v>
      </c>
      <c r="AA544">
        <f t="shared" si="222"/>
        <v>6.2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8.8000000000000007</v>
      </c>
      <c r="AI544">
        <v>6.6</v>
      </c>
      <c r="AJ544">
        <f t="shared" si="223"/>
        <v>15.4</v>
      </c>
      <c r="AK544">
        <v>4.5</v>
      </c>
      <c r="AL544">
        <v>0.56799999999999995</v>
      </c>
      <c r="AM544">
        <f t="shared" si="204"/>
        <v>0.38699999999999996</v>
      </c>
      <c r="AN544">
        <v>21199</v>
      </c>
      <c r="AO544">
        <v>21199</v>
      </c>
      <c r="AP544" s="3">
        <f t="shared" si="226"/>
        <v>34582.38172920065</v>
      </c>
      <c r="AQ544" s="3">
        <f t="shared" si="227"/>
        <v>34582.38172920065</v>
      </c>
      <c r="AR544">
        <f t="shared" si="186"/>
        <v>0.39793281653746776</v>
      </c>
      <c r="AS544">
        <f t="shared" si="228"/>
        <v>0.23300000000000001</v>
      </c>
      <c r="AT544">
        <f t="shared" si="229"/>
        <v>8058</v>
      </c>
      <c r="AU544">
        <f t="shared" si="230"/>
        <v>5326</v>
      </c>
      <c r="AV544">
        <f t="shared" si="205"/>
        <v>5481</v>
      </c>
      <c r="AW544">
        <f t="shared" si="206"/>
        <v>5843</v>
      </c>
      <c r="AX544" s="3">
        <f t="shared" si="207"/>
        <v>23258.38172920065</v>
      </c>
      <c r="AY544">
        <f t="shared" si="208"/>
        <v>4029</v>
      </c>
      <c r="AZ544">
        <f t="shared" si="209"/>
        <v>6135</v>
      </c>
      <c r="BA544" s="3">
        <f t="shared" si="210"/>
        <v>24418.38172920065</v>
      </c>
    </row>
    <row r="545" spans="1:53" x14ac:dyDescent="0.2">
      <c r="A545">
        <v>1990</v>
      </c>
      <c r="B545" t="s">
        <v>72</v>
      </c>
      <c r="C545" t="s">
        <v>58</v>
      </c>
      <c r="D545">
        <v>7.4</v>
      </c>
      <c r="E545">
        <v>0</v>
      </c>
      <c r="F545">
        <v>0</v>
      </c>
      <c r="G545">
        <v>1.9</v>
      </c>
      <c r="H545">
        <v>0</v>
      </c>
      <c r="I545">
        <v>13.4</v>
      </c>
      <c r="J545">
        <v>0</v>
      </c>
      <c r="K545">
        <f t="shared" si="211"/>
        <v>22.700000000000003</v>
      </c>
      <c r="L545">
        <v>0.5</v>
      </c>
      <c r="M545">
        <v>0.7</v>
      </c>
      <c r="N545">
        <v>0.6</v>
      </c>
      <c r="O545">
        <f t="shared" si="220"/>
        <v>1.7999999999999998</v>
      </c>
      <c r="P545">
        <v>0</v>
      </c>
      <c r="Q545">
        <v>0</v>
      </c>
      <c r="R545">
        <v>0.9</v>
      </c>
      <c r="S545">
        <f t="shared" si="221"/>
        <v>0.9</v>
      </c>
      <c r="T545">
        <v>2.7</v>
      </c>
      <c r="U545">
        <v>1.9</v>
      </c>
      <c r="V545">
        <v>1.4</v>
      </c>
      <c r="W545">
        <v>0</v>
      </c>
      <c r="X545">
        <v>0</v>
      </c>
      <c r="Y545">
        <v>0</v>
      </c>
      <c r="Z545">
        <v>1.3</v>
      </c>
      <c r="AA545">
        <f t="shared" si="222"/>
        <v>7.3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3.1</v>
      </c>
      <c r="AI545">
        <v>2.1</v>
      </c>
      <c r="AJ545">
        <f t="shared" si="223"/>
        <v>5.2</v>
      </c>
      <c r="AK545">
        <v>1.7</v>
      </c>
      <c r="AL545">
        <v>0.60399999999999998</v>
      </c>
      <c r="AM545">
        <f t="shared" si="204"/>
        <v>0.379</v>
      </c>
      <c r="AN545">
        <v>17506</v>
      </c>
      <c r="AO545">
        <v>17506</v>
      </c>
      <c r="AP545" s="3">
        <f t="shared" si="226"/>
        <v>28190.016103059581</v>
      </c>
      <c r="AQ545" s="3">
        <f t="shared" si="227"/>
        <v>28190.016103059581</v>
      </c>
      <c r="AR545">
        <f t="shared" si="186"/>
        <v>0.13720316622691295</v>
      </c>
      <c r="AS545">
        <f t="shared" si="228"/>
        <v>0.32700000000000001</v>
      </c>
      <c r="AT545">
        <f t="shared" si="229"/>
        <v>9218</v>
      </c>
      <c r="AU545">
        <f t="shared" si="230"/>
        <v>1466</v>
      </c>
      <c r="AV545">
        <f t="shared" si="205"/>
        <v>6019</v>
      </c>
      <c r="AW545">
        <f t="shared" si="206"/>
        <v>1713</v>
      </c>
      <c r="AX545" s="3">
        <f t="shared" si="207"/>
        <v>20458.016103059581</v>
      </c>
      <c r="AY545">
        <f t="shared" si="208"/>
        <v>4609</v>
      </c>
      <c r="AZ545">
        <f t="shared" si="209"/>
        <v>1822</v>
      </c>
      <c r="BA545" s="3">
        <f t="shared" si="210"/>
        <v>21759.016103059581</v>
      </c>
    </row>
    <row r="546" spans="1:53" x14ac:dyDescent="0.2">
      <c r="A546">
        <v>1991</v>
      </c>
      <c r="B546" t="s">
        <v>72</v>
      </c>
      <c r="C546" t="s">
        <v>58</v>
      </c>
      <c r="D546">
        <v>7.1</v>
      </c>
      <c r="E546">
        <v>0.2</v>
      </c>
      <c r="F546">
        <v>0</v>
      </c>
      <c r="G546">
        <v>4.2</v>
      </c>
      <c r="H546">
        <v>1.2</v>
      </c>
      <c r="I546">
        <v>6.4</v>
      </c>
      <c r="J546">
        <v>0</v>
      </c>
      <c r="K546">
        <f t="shared" si="211"/>
        <v>19.100000000000001</v>
      </c>
      <c r="L546">
        <v>0.5</v>
      </c>
      <c r="M546">
        <v>0</v>
      </c>
      <c r="N546">
        <v>0</v>
      </c>
      <c r="O546">
        <f t="shared" si="220"/>
        <v>0.5</v>
      </c>
      <c r="P546">
        <v>0</v>
      </c>
      <c r="Q546">
        <v>0.7</v>
      </c>
      <c r="R546">
        <v>0</v>
      </c>
      <c r="S546">
        <f t="shared" si="221"/>
        <v>0.7</v>
      </c>
      <c r="T546">
        <v>1.4</v>
      </c>
      <c r="U546">
        <v>0.6</v>
      </c>
      <c r="V546">
        <v>1.1000000000000001</v>
      </c>
      <c r="W546">
        <v>0.6</v>
      </c>
      <c r="X546">
        <v>0</v>
      </c>
      <c r="Y546">
        <v>0</v>
      </c>
      <c r="Z546">
        <v>0</v>
      </c>
      <c r="AA546">
        <f t="shared" si="222"/>
        <v>3.7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15.3</v>
      </c>
      <c r="AI546">
        <v>6</v>
      </c>
      <c r="AJ546">
        <f t="shared" si="223"/>
        <v>21.3</v>
      </c>
      <c r="AK546">
        <v>1.3</v>
      </c>
      <c r="AL546">
        <v>0.53400000000000003</v>
      </c>
      <c r="AM546">
        <f t="shared" si="204"/>
        <v>0.45300000000000012</v>
      </c>
      <c r="AN546">
        <v>9066</v>
      </c>
      <c r="AO546">
        <v>9066</v>
      </c>
      <c r="AP546" s="3">
        <f t="shared" si="226"/>
        <v>16574.040219378428</v>
      </c>
      <c r="AQ546" s="3">
        <f t="shared" si="227"/>
        <v>16574.040219378428</v>
      </c>
      <c r="AR546">
        <f t="shared" si="186"/>
        <v>0.47019867549668859</v>
      </c>
      <c r="AS546">
        <f t="shared" si="228"/>
        <v>0.24</v>
      </c>
      <c r="AT546">
        <f t="shared" si="229"/>
        <v>3978</v>
      </c>
      <c r="AU546">
        <f t="shared" si="230"/>
        <v>3530</v>
      </c>
      <c r="AV546">
        <f t="shared" si="205"/>
        <v>2395</v>
      </c>
      <c r="AW546">
        <f t="shared" si="206"/>
        <v>3974</v>
      </c>
      <c r="AX546" s="3">
        <f t="shared" si="207"/>
        <v>10205.040219378428</v>
      </c>
      <c r="AY546">
        <f t="shared" si="208"/>
        <v>1989</v>
      </c>
      <c r="AZ546">
        <f t="shared" si="209"/>
        <v>4087</v>
      </c>
      <c r="BA546" s="3">
        <f t="shared" si="210"/>
        <v>10498.040219378428</v>
      </c>
    </row>
    <row r="547" spans="1:53" x14ac:dyDescent="0.2">
      <c r="A547">
        <v>1992</v>
      </c>
      <c r="B547" t="s">
        <v>72</v>
      </c>
      <c r="C547" t="s">
        <v>58</v>
      </c>
      <c r="D547">
        <v>1.8</v>
      </c>
      <c r="E547">
        <v>0</v>
      </c>
      <c r="F547">
        <v>0</v>
      </c>
      <c r="G547">
        <v>4.3</v>
      </c>
      <c r="H547">
        <v>0</v>
      </c>
      <c r="I547">
        <v>6.8</v>
      </c>
      <c r="J547">
        <v>0</v>
      </c>
      <c r="K547">
        <f t="shared" si="211"/>
        <v>12.899999999999999</v>
      </c>
      <c r="L547">
        <v>2</v>
      </c>
      <c r="M547">
        <v>0</v>
      </c>
      <c r="N547">
        <v>0</v>
      </c>
      <c r="O547">
        <f t="shared" si="220"/>
        <v>2</v>
      </c>
      <c r="P547">
        <v>0</v>
      </c>
      <c r="Q547">
        <v>0</v>
      </c>
      <c r="R547">
        <v>0.8</v>
      </c>
      <c r="S547">
        <f t="shared" si="221"/>
        <v>0.8</v>
      </c>
      <c r="T547">
        <v>1.3</v>
      </c>
      <c r="U547">
        <v>0.4</v>
      </c>
      <c r="V547">
        <v>1.8</v>
      </c>
      <c r="W547">
        <v>0.4</v>
      </c>
      <c r="X547">
        <v>0</v>
      </c>
      <c r="Y547">
        <v>0</v>
      </c>
      <c r="Z547">
        <v>1.1000000000000001</v>
      </c>
      <c r="AA547">
        <f t="shared" si="222"/>
        <v>5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4.4000000000000004</v>
      </c>
      <c r="AI547">
        <v>21.9</v>
      </c>
      <c r="AJ547">
        <f t="shared" si="223"/>
        <v>26.299999999999997</v>
      </c>
      <c r="AK547">
        <v>2.2999999999999998</v>
      </c>
      <c r="AL547">
        <v>0.50900000000000001</v>
      </c>
      <c r="AM547">
        <f t="shared" si="204"/>
        <v>0.46999999999999986</v>
      </c>
      <c r="AN547">
        <v>6307</v>
      </c>
      <c r="AO547">
        <v>6307</v>
      </c>
      <c r="AP547" s="3">
        <f t="shared" si="226"/>
        <v>11899.999999999996</v>
      </c>
      <c r="AQ547" s="3">
        <f t="shared" si="227"/>
        <v>11899.999999999996</v>
      </c>
      <c r="AR547">
        <f t="shared" si="186"/>
        <v>0.55957446808510647</v>
      </c>
      <c r="AS547">
        <f t="shared" si="228"/>
        <v>0.20699999999999999</v>
      </c>
      <c r="AT547">
        <f t="shared" si="229"/>
        <v>2463</v>
      </c>
      <c r="AU547">
        <f t="shared" si="230"/>
        <v>3130</v>
      </c>
      <c r="AV547">
        <f t="shared" si="205"/>
        <v>1696</v>
      </c>
      <c r="AW547">
        <f t="shared" si="206"/>
        <v>3384</v>
      </c>
      <c r="AX547" s="3">
        <f t="shared" si="207"/>
        <v>6819.9999999999964</v>
      </c>
      <c r="AY547">
        <f t="shared" si="208"/>
        <v>1232</v>
      </c>
      <c r="AZ547">
        <f t="shared" si="209"/>
        <v>3538</v>
      </c>
      <c r="BA547" s="3">
        <f t="shared" si="210"/>
        <v>7129.9999999999964</v>
      </c>
    </row>
    <row r="548" spans="1:53" x14ac:dyDescent="0.2">
      <c r="A548">
        <v>1993</v>
      </c>
      <c r="B548" t="s">
        <v>72</v>
      </c>
      <c r="C548" t="s">
        <v>58</v>
      </c>
      <c r="D548">
        <v>4.4000000000000004</v>
      </c>
      <c r="E548">
        <v>0</v>
      </c>
      <c r="F548">
        <v>1.2</v>
      </c>
      <c r="G548">
        <v>5.7</v>
      </c>
      <c r="H548">
        <v>0</v>
      </c>
      <c r="I548">
        <v>8.5</v>
      </c>
      <c r="J548">
        <v>0</v>
      </c>
      <c r="K548">
        <f t="shared" si="211"/>
        <v>19.8</v>
      </c>
      <c r="L548">
        <v>0</v>
      </c>
      <c r="M548">
        <v>0.3</v>
      </c>
      <c r="N548">
        <v>0</v>
      </c>
      <c r="O548">
        <f t="shared" si="220"/>
        <v>0.3</v>
      </c>
      <c r="P548">
        <v>0</v>
      </c>
      <c r="Q548">
        <v>1.5</v>
      </c>
      <c r="R548">
        <v>0</v>
      </c>
      <c r="S548">
        <f t="shared" si="221"/>
        <v>1.5</v>
      </c>
      <c r="T548">
        <v>1.5</v>
      </c>
      <c r="U548">
        <v>0.4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f t="shared" si="222"/>
        <v>1.9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6.4</v>
      </c>
      <c r="AI548">
        <v>8.6999999999999993</v>
      </c>
      <c r="AJ548">
        <f t="shared" si="223"/>
        <v>15.1</v>
      </c>
      <c r="AK548">
        <v>5.7</v>
      </c>
      <c r="AL548">
        <v>0.55600000000000005</v>
      </c>
      <c r="AM548">
        <f t="shared" si="204"/>
        <v>0.38600000000000001</v>
      </c>
      <c r="AN548">
        <v>7025</v>
      </c>
      <c r="AO548">
        <v>7025</v>
      </c>
      <c r="AP548" s="3">
        <f t="shared" si="226"/>
        <v>11441.368078175896</v>
      </c>
      <c r="AQ548" s="3">
        <f t="shared" si="227"/>
        <v>11441.368078175896</v>
      </c>
      <c r="AR548">
        <f t="shared" ref="AR548:AR611" si="231">(AJ548/100)/AM548</f>
        <v>0.39119170984455959</v>
      </c>
      <c r="AS548">
        <f t="shared" si="228"/>
        <v>0.23499999999999999</v>
      </c>
      <c r="AT548">
        <f t="shared" si="229"/>
        <v>2689</v>
      </c>
      <c r="AU548">
        <f t="shared" si="230"/>
        <v>1728</v>
      </c>
      <c r="AV548">
        <f t="shared" si="205"/>
        <v>1556</v>
      </c>
      <c r="AW548">
        <f t="shared" si="206"/>
        <v>1952</v>
      </c>
      <c r="AX548" s="3">
        <f t="shared" si="207"/>
        <v>7933.3680781758958</v>
      </c>
      <c r="AY548">
        <f t="shared" si="208"/>
        <v>1344</v>
      </c>
      <c r="AZ548">
        <f t="shared" si="209"/>
        <v>1994</v>
      </c>
      <c r="BA548" s="3">
        <f t="shared" si="210"/>
        <v>8103.3680781758958</v>
      </c>
    </row>
    <row r="549" spans="1:53" x14ac:dyDescent="0.2">
      <c r="A549">
        <v>1994</v>
      </c>
      <c r="B549" t="s">
        <v>72</v>
      </c>
      <c r="C549" t="s">
        <v>58</v>
      </c>
      <c r="D549">
        <v>8.9</v>
      </c>
      <c r="E549">
        <v>0</v>
      </c>
      <c r="F549">
        <v>0</v>
      </c>
      <c r="G549">
        <v>5</v>
      </c>
      <c r="H549">
        <v>0</v>
      </c>
      <c r="I549">
        <v>3.6</v>
      </c>
      <c r="J549">
        <v>0</v>
      </c>
      <c r="K549">
        <f t="shared" si="211"/>
        <v>17.5</v>
      </c>
      <c r="L549">
        <v>0</v>
      </c>
      <c r="M549">
        <v>0</v>
      </c>
      <c r="N549">
        <v>0</v>
      </c>
      <c r="O549">
        <f t="shared" si="220"/>
        <v>0</v>
      </c>
      <c r="P549">
        <v>0</v>
      </c>
      <c r="Q549">
        <v>1.6</v>
      </c>
      <c r="R549">
        <v>0</v>
      </c>
      <c r="S549">
        <f t="shared" si="221"/>
        <v>1.6</v>
      </c>
      <c r="T549">
        <v>0.7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f t="shared" si="222"/>
        <v>0.7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1.5</v>
      </c>
      <c r="AI549">
        <v>0</v>
      </c>
      <c r="AJ549">
        <f t="shared" si="223"/>
        <v>1.5</v>
      </c>
      <c r="AK549">
        <v>3.8</v>
      </c>
      <c r="AL549">
        <v>0.74900000000000011</v>
      </c>
      <c r="AM549">
        <f t="shared" si="204"/>
        <v>0.21300000000000005</v>
      </c>
      <c r="AN549">
        <v>9939</v>
      </c>
      <c r="AO549">
        <v>9939</v>
      </c>
      <c r="AP549" s="3">
        <f t="shared" si="226"/>
        <v>12628.9707750953</v>
      </c>
      <c r="AQ549" s="3">
        <f t="shared" si="227"/>
        <v>12628.9707750953</v>
      </c>
      <c r="AR549">
        <f t="shared" si="231"/>
        <v>7.0422535211267581E-2</v>
      </c>
      <c r="AS549">
        <f t="shared" si="228"/>
        <v>0.19800000000000001</v>
      </c>
      <c r="AT549">
        <f t="shared" si="229"/>
        <v>2501</v>
      </c>
      <c r="AU549">
        <f t="shared" si="230"/>
        <v>189</v>
      </c>
      <c r="AV549">
        <f t="shared" si="205"/>
        <v>1396</v>
      </c>
      <c r="AW549">
        <f t="shared" si="206"/>
        <v>210</v>
      </c>
      <c r="AX549" s="3">
        <f t="shared" si="207"/>
        <v>11022.9707750953</v>
      </c>
      <c r="AY549">
        <f t="shared" si="208"/>
        <v>1250</v>
      </c>
      <c r="AZ549">
        <f t="shared" si="209"/>
        <v>212</v>
      </c>
      <c r="BA549" s="3">
        <f t="shared" si="210"/>
        <v>11166.9707750953</v>
      </c>
    </row>
    <row r="550" spans="1:53" x14ac:dyDescent="0.2">
      <c r="A550">
        <v>1995</v>
      </c>
      <c r="B550" t="s">
        <v>72</v>
      </c>
      <c r="C550" t="s">
        <v>58</v>
      </c>
      <c r="D550">
        <v>7.9</v>
      </c>
      <c r="E550">
        <v>0</v>
      </c>
      <c r="F550">
        <v>2.2999999999999998</v>
      </c>
      <c r="G550">
        <v>3.9</v>
      </c>
      <c r="H550">
        <v>0</v>
      </c>
      <c r="I550">
        <v>6.4</v>
      </c>
      <c r="J550">
        <v>0</v>
      </c>
      <c r="K550">
        <f t="shared" si="211"/>
        <v>20.5</v>
      </c>
      <c r="L550">
        <v>0</v>
      </c>
      <c r="M550">
        <v>0.5</v>
      </c>
      <c r="N550">
        <v>0</v>
      </c>
      <c r="O550">
        <f t="shared" si="220"/>
        <v>0.5</v>
      </c>
      <c r="P550">
        <v>0</v>
      </c>
      <c r="Q550">
        <v>0.1</v>
      </c>
      <c r="R550">
        <v>0</v>
      </c>
      <c r="S550">
        <f t="shared" si="221"/>
        <v>0.1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f t="shared" si="222"/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24.3</v>
      </c>
      <c r="AJ550">
        <f t="shared" si="223"/>
        <v>24.3</v>
      </c>
      <c r="AK550">
        <v>2.2999999999999998</v>
      </c>
      <c r="AL550">
        <v>0.52400000000000002</v>
      </c>
      <c r="AM550">
        <f t="shared" si="204"/>
        <v>0.45399999999999996</v>
      </c>
      <c r="AN550">
        <v>9718</v>
      </c>
      <c r="AO550">
        <v>9718</v>
      </c>
      <c r="AP550" s="3">
        <f t="shared" si="226"/>
        <v>17798.534798534798</v>
      </c>
      <c r="AQ550" s="3">
        <f t="shared" si="227"/>
        <v>17798.534798534798</v>
      </c>
      <c r="AR550">
        <f t="shared" si="231"/>
        <v>0.53524229074889873</v>
      </c>
      <c r="AS550">
        <f t="shared" si="228"/>
        <v>0.21100000000000002</v>
      </c>
      <c r="AT550">
        <f t="shared" si="229"/>
        <v>3755</v>
      </c>
      <c r="AU550">
        <f t="shared" si="230"/>
        <v>4325</v>
      </c>
      <c r="AV550">
        <f t="shared" si="205"/>
        <v>1931</v>
      </c>
      <c r="AW550">
        <f t="shared" si="206"/>
        <v>4887</v>
      </c>
      <c r="AX550" s="3">
        <f t="shared" si="207"/>
        <v>10980.534798534798</v>
      </c>
      <c r="AY550">
        <f t="shared" si="208"/>
        <v>1878</v>
      </c>
      <c r="AZ550">
        <f t="shared" si="209"/>
        <v>4903</v>
      </c>
      <c r="BA550" s="3">
        <f t="shared" si="210"/>
        <v>11017.534798534798</v>
      </c>
    </row>
    <row r="551" spans="1:53" x14ac:dyDescent="0.2">
      <c r="A551">
        <v>1996</v>
      </c>
      <c r="B551" t="s">
        <v>72</v>
      </c>
      <c r="C551" t="s">
        <v>58</v>
      </c>
      <c r="D551">
        <v>9.3000000000000007</v>
      </c>
      <c r="E551">
        <v>0</v>
      </c>
      <c r="F551">
        <v>0</v>
      </c>
      <c r="G551">
        <v>0.2</v>
      </c>
      <c r="H551">
        <v>0</v>
      </c>
      <c r="I551">
        <v>0.4</v>
      </c>
      <c r="J551">
        <v>0</v>
      </c>
      <c r="K551">
        <f t="shared" si="211"/>
        <v>9.9</v>
      </c>
      <c r="L551">
        <v>0</v>
      </c>
      <c r="M551">
        <v>0</v>
      </c>
      <c r="N551">
        <v>0</v>
      </c>
      <c r="O551">
        <f t="shared" si="220"/>
        <v>0</v>
      </c>
      <c r="P551">
        <v>0</v>
      </c>
      <c r="Q551">
        <v>0</v>
      </c>
      <c r="R551">
        <v>0</v>
      </c>
      <c r="S551">
        <f t="shared" si="221"/>
        <v>0</v>
      </c>
      <c r="T551">
        <v>0.6</v>
      </c>
      <c r="U551">
        <v>0</v>
      </c>
      <c r="V551">
        <v>2.2000000000000002</v>
      </c>
      <c r="W551">
        <v>0</v>
      </c>
      <c r="X551">
        <v>0</v>
      </c>
      <c r="Y551">
        <v>0</v>
      </c>
      <c r="Z551">
        <v>0</v>
      </c>
      <c r="AA551">
        <f t="shared" si="222"/>
        <v>2.8000000000000003</v>
      </c>
      <c r="AB551">
        <v>0</v>
      </c>
      <c r="AC551">
        <v>0</v>
      </c>
      <c r="AD551">
        <v>0</v>
      </c>
      <c r="AE551">
        <v>0</v>
      </c>
      <c r="AF551">
        <v>0.2</v>
      </c>
      <c r="AG551">
        <v>0</v>
      </c>
      <c r="AH551">
        <v>0.9</v>
      </c>
      <c r="AI551">
        <v>4.7</v>
      </c>
      <c r="AJ551">
        <f t="shared" si="223"/>
        <v>5.8000000000000007</v>
      </c>
      <c r="AK551">
        <v>0.3</v>
      </c>
      <c r="AL551">
        <v>0.81200000000000006</v>
      </c>
      <c r="AM551">
        <f t="shared" si="204"/>
        <v>0.185</v>
      </c>
      <c r="AN551">
        <v>13971</v>
      </c>
      <c r="AO551">
        <v>13971</v>
      </c>
      <c r="AP551" s="3">
        <f t="shared" si="226"/>
        <v>17142.331288343561</v>
      </c>
      <c r="AQ551" s="3">
        <f t="shared" si="227"/>
        <v>17142.331288343561</v>
      </c>
      <c r="AR551">
        <f t="shared" si="231"/>
        <v>0.31351351351351359</v>
      </c>
      <c r="AS551">
        <f t="shared" si="228"/>
        <v>0.127</v>
      </c>
      <c r="AT551">
        <f t="shared" si="229"/>
        <v>2177</v>
      </c>
      <c r="AU551">
        <f t="shared" si="230"/>
        <v>994</v>
      </c>
      <c r="AV551">
        <f t="shared" si="205"/>
        <v>1329</v>
      </c>
      <c r="AW551">
        <f t="shared" si="206"/>
        <v>1050</v>
      </c>
      <c r="AX551" s="3">
        <f t="shared" si="207"/>
        <v>14763.331288343561</v>
      </c>
      <c r="AY551">
        <f t="shared" si="208"/>
        <v>1089</v>
      </c>
      <c r="AZ551">
        <f t="shared" si="209"/>
        <v>1066</v>
      </c>
      <c r="BA551" s="3">
        <f t="shared" si="210"/>
        <v>14987.331288343561</v>
      </c>
    </row>
    <row r="552" spans="1:53" x14ac:dyDescent="0.2">
      <c r="A552">
        <v>1997</v>
      </c>
      <c r="B552" t="s">
        <v>72</v>
      </c>
      <c r="C552" t="s">
        <v>58</v>
      </c>
      <c r="D552">
        <v>14.1</v>
      </c>
      <c r="E552">
        <v>0</v>
      </c>
      <c r="F552">
        <v>0</v>
      </c>
      <c r="G552">
        <v>4.8</v>
      </c>
      <c r="H552">
        <v>0</v>
      </c>
      <c r="I552">
        <v>0</v>
      </c>
      <c r="J552">
        <v>0</v>
      </c>
      <c r="K552">
        <f t="shared" si="211"/>
        <v>18.899999999999999</v>
      </c>
      <c r="L552">
        <v>0</v>
      </c>
      <c r="M552">
        <v>0</v>
      </c>
      <c r="N552">
        <v>0</v>
      </c>
      <c r="O552">
        <f t="shared" si="220"/>
        <v>0</v>
      </c>
      <c r="P552">
        <v>0</v>
      </c>
      <c r="Q552">
        <v>0.1</v>
      </c>
      <c r="R552">
        <v>0</v>
      </c>
      <c r="S552">
        <f t="shared" si="221"/>
        <v>0.1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f t="shared" si="222"/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3.2</v>
      </c>
      <c r="AJ552">
        <f t="shared" si="223"/>
        <v>3.2</v>
      </c>
      <c r="AK552">
        <v>0</v>
      </c>
      <c r="AL552">
        <v>0.77800000000000002</v>
      </c>
      <c r="AM552">
        <f t="shared" si="204"/>
        <v>0.222</v>
      </c>
      <c r="AN552">
        <v>8670</v>
      </c>
      <c r="AO552">
        <v>8670</v>
      </c>
      <c r="AP552" s="3">
        <f t="shared" si="226"/>
        <v>11143.958868894601</v>
      </c>
      <c r="AQ552" s="3">
        <f t="shared" si="227"/>
        <v>11143.958868894601</v>
      </c>
      <c r="AR552">
        <f t="shared" si="231"/>
        <v>0.14414414414414414</v>
      </c>
      <c r="AS552">
        <f t="shared" si="228"/>
        <v>0.19</v>
      </c>
      <c r="AT552">
        <f t="shared" si="229"/>
        <v>2117</v>
      </c>
      <c r="AU552">
        <f t="shared" si="230"/>
        <v>357</v>
      </c>
      <c r="AV552">
        <f t="shared" si="205"/>
        <v>1064</v>
      </c>
      <c r="AW552">
        <f t="shared" si="206"/>
        <v>399</v>
      </c>
      <c r="AX552" s="3">
        <f t="shared" si="207"/>
        <v>9680.9588688946005</v>
      </c>
      <c r="AY552">
        <f t="shared" si="208"/>
        <v>1059</v>
      </c>
      <c r="AZ552">
        <f t="shared" si="209"/>
        <v>399</v>
      </c>
      <c r="BA552" s="3">
        <f t="shared" si="210"/>
        <v>9685.9588688946005</v>
      </c>
    </row>
    <row r="553" spans="1:53" x14ac:dyDescent="0.2">
      <c r="A553">
        <v>1998</v>
      </c>
      <c r="B553" t="s">
        <v>72</v>
      </c>
      <c r="C553" t="s">
        <v>58</v>
      </c>
      <c r="D553" t="s">
        <v>13</v>
      </c>
      <c r="E553" t="s">
        <v>13</v>
      </c>
      <c r="F553" t="s">
        <v>13</v>
      </c>
      <c r="G553" t="s">
        <v>13</v>
      </c>
      <c r="H553" t="s">
        <v>13</v>
      </c>
      <c r="I553" t="s">
        <v>13</v>
      </c>
      <c r="J553" t="s">
        <v>13</v>
      </c>
      <c r="K553" t="s">
        <v>13</v>
      </c>
      <c r="L553" t="s">
        <v>13</v>
      </c>
      <c r="M553" t="s">
        <v>13</v>
      </c>
      <c r="N553" t="s">
        <v>13</v>
      </c>
      <c r="O553" t="s">
        <v>13</v>
      </c>
      <c r="P553" t="s">
        <v>13</v>
      </c>
      <c r="Q553" t="s">
        <v>13</v>
      </c>
      <c r="R553" t="s">
        <v>13</v>
      </c>
      <c r="S553" t="s">
        <v>13</v>
      </c>
      <c r="T553" t="s">
        <v>13</v>
      </c>
      <c r="U553" t="s">
        <v>13</v>
      </c>
      <c r="V553" t="s">
        <v>13</v>
      </c>
      <c r="W553" t="s">
        <v>13</v>
      </c>
      <c r="X553" t="s">
        <v>13</v>
      </c>
      <c r="Y553" t="s">
        <v>13</v>
      </c>
      <c r="Z553" t="s">
        <v>13</v>
      </c>
      <c r="AA553" t="s">
        <v>13</v>
      </c>
      <c r="AB553" t="s">
        <v>13</v>
      </c>
      <c r="AC553" t="s">
        <v>13</v>
      </c>
      <c r="AD553" t="s">
        <v>13</v>
      </c>
      <c r="AE553" t="s">
        <v>13</v>
      </c>
      <c r="AF553" t="s">
        <v>13</v>
      </c>
      <c r="AG553" t="s">
        <v>13</v>
      </c>
      <c r="AH553" t="s">
        <v>13</v>
      </c>
      <c r="AI553" t="s">
        <v>13</v>
      </c>
      <c r="AJ553" t="s">
        <v>13</v>
      </c>
      <c r="AK553" t="s">
        <v>13</v>
      </c>
      <c r="AL553" t="s">
        <v>13</v>
      </c>
      <c r="AM553" t="s">
        <v>13</v>
      </c>
      <c r="AN553">
        <v>5929</v>
      </c>
      <c r="AO553">
        <v>5929</v>
      </c>
      <c r="AP553" t="s">
        <v>13</v>
      </c>
      <c r="AQ553" t="s">
        <v>13</v>
      </c>
      <c r="AR553" t="s">
        <v>13</v>
      </c>
      <c r="AS553" t="s">
        <v>13</v>
      </c>
      <c r="AT553" t="s">
        <v>13</v>
      </c>
      <c r="AU553" t="s">
        <v>13</v>
      </c>
      <c r="AV553" t="s">
        <v>13</v>
      </c>
      <c r="AW553" t="s">
        <v>13</v>
      </c>
      <c r="AX553" t="s">
        <v>13</v>
      </c>
      <c r="AY553" t="s">
        <v>13</v>
      </c>
      <c r="AZ553" t="s">
        <v>13</v>
      </c>
      <c r="BA553" t="s">
        <v>13</v>
      </c>
    </row>
    <row r="554" spans="1:53" x14ac:dyDescent="0.2">
      <c r="A554">
        <v>1999</v>
      </c>
      <c r="B554" t="s">
        <v>72</v>
      </c>
      <c r="C554" t="s">
        <v>58</v>
      </c>
      <c r="D554" t="s">
        <v>13</v>
      </c>
      <c r="E554" t="s">
        <v>13</v>
      </c>
      <c r="F554" t="s">
        <v>13</v>
      </c>
      <c r="G554" t="s">
        <v>13</v>
      </c>
      <c r="H554" t="s">
        <v>13</v>
      </c>
      <c r="I554" t="s">
        <v>13</v>
      </c>
      <c r="J554" t="s">
        <v>13</v>
      </c>
      <c r="K554" t="s">
        <v>13</v>
      </c>
      <c r="L554" t="s">
        <v>13</v>
      </c>
      <c r="M554" t="s">
        <v>13</v>
      </c>
      <c r="N554" t="s">
        <v>13</v>
      </c>
      <c r="O554" t="s">
        <v>13</v>
      </c>
      <c r="P554" t="s">
        <v>13</v>
      </c>
      <c r="Q554" t="s">
        <v>13</v>
      </c>
      <c r="R554" t="s">
        <v>13</v>
      </c>
      <c r="S554" t="s">
        <v>13</v>
      </c>
      <c r="T554" t="s">
        <v>13</v>
      </c>
      <c r="U554" t="s">
        <v>13</v>
      </c>
      <c r="V554" t="s">
        <v>13</v>
      </c>
      <c r="W554" t="s">
        <v>13</v>
      </c>
      <c r="X554" t="s">
        <v>13</v>
      </c>
      <c r="Y554" t="s">
        <v>13</v>
      </c>
      <c r="Z554" t="s">
        <v>13</v>
      </c>
      <c r="AA554" t="s">
        <v>13</v>
      </c>
      <c r="AB554" t="s">
        <v>13</v>
      </c>
      <c r="AC554" t="s">
        <v>13</v>
      </c>
      <c r="AD554" t="s">
        <v>13</v>
      </c>
      <c r="AE554" t="s">
        <v>13</v>
      </c>
      <c r="AF554" t="s">
        <v>13</v>
      </c>
      <c r="AG554" t="s">
        <v>13</v>
      </c>
      <c r="AH554" t="s">
        <v>13</v>
      </c>
      <c r="AI554" t="s">
        <v>13</v>
      </c>
      <c r="AJ554" t="s">
        <v>13</v>
      </c>
      <c r="AK554" t="s">
        <v>13</v>
      </c>
      <c r="AL554" t="s">
        <v>13</v>
      </c>
      <c r="AM554" t="s">
        <v>13</v>
      </c>
      <c r="AN554">
        <v>3184</v>
      </c>
      <c r="AO554">
        <v>3184</v>
      </c>
      <c r="AP554" t="s">
        <v>13</v>
      </c>
      <c r="AQ554" t="s">
        <v>13</v>
      </c>
      <c r="AR554" t="s">
        <v>13</v>
      </c>
      <c r="AS554" t="s">
        <v>13</v>
      </c>
      <c r="AT554" t="s">
        <v>13</v>
      </c>
      <c r="AU554" t="s">
        <v>13</v>
      </c>
      <c r="AV554" t="s">
        <v>13</v>
      </c>
      <c r="AW554" t="s">
        <v>13</v>
      </c>
      <c r="AX554" t="s">
        <v>13</v>
      </c>
      <c r="AY554" t="s">
        <v>13</v>
      </c>
      <c r="AZ554" t="s">
        <v>13</v>
      </c>
      <c r="BA554" t="s">
        <v>13</v>
      </c>
    </row>
    <row r="555" spans="1:53" x14ac:dyDescent="0.2">
      <c r="A555">
        <v>2000</v>
      </c>
      <c r="B555" t="s">
        <v>72</v>
      </c>
      <c r="C555" t="s">
        <v>58</v>
      </c>
      <c r="D555" t="s">
        <v>13</v>
      </c>
      <c r="E555" t="s">
        <v>13</v>
      </c>
      <c r="F555" t="s">
        <v>13</v>
      </c>
      <c r="G555" t="s">
        <v>13</v>
      </c>
      <c r="H555" t="s">
        <v>13</v>
      </c>
      <c r="I555" t="s">
        <v>13</v>
      </c>
      <c r="J555" t="s">
        <v>13</v>
      </c>
      <c r="K555" t="s">
        <v>13</v>
      </c>
      <c r="L555" t="s">
        <v>13</v>
      </c>
      <c r="M555" t="s">
        <v>13</v>
      </c>
      <c r="N555" t="s">
        <v>13</v>
      </c>
      <c r="O555" t="s">
        <v>13</v>
      </c>
      <c r="P555" t="s">
        <v>13</v>
      </c>
      <c r="Q555" t="s">
        <v>13</v>
      </c>
      <c r="R555" t="s">
        <v>13</v>
      </c>
      <c r="S555" t="s">
        <v>13</v>
      </c>
      <c r="T555" t="s">
        <v>13</v>
      </c>
      <c r="U555" t="s">
        <v>13</v>
      </c>
      <c r="V555" t="s">
        <v>13</v>
      </c>
      <c r="W555" t="s">
        <v>13</v>
      </c>
      <c r="X555" t="s">
        <v>13</v>
      </c>
      <c r="Y555" t="s">
        <v>13</v>
      </c>
      <c r="Z555" t="s">
        <v>13</v>
      </c>
      <c r="AA555" t="s">
        <v>13</v>
      </c>
      <c r="AB555" t="s">
        <v>13</v>
      </c>
      <c r="AC555" t="s">
        <v>13</v>
      </c>
      <c r="AD555" t="s">
        <v>13</v>
      </c>
      <c r="AE555" t="s">
        <v>13</v>
      </c>
      <c r="AF555" t="s">
        <v>13</v>
      </c>
      <c r="AG555" t="s">
        <v>13</v>
      </c>
      <c r="AH555" t="s">
        <v>13</v>
      </c>
      <c r="AI555" t="s">
        <v>13</v>
      </c>
      <c r="AJ555" t="s">
        <v>13</v>
      </c>
      <c r="AK555" t="s">
        <v>13</v>
      </c>
      <c r="AL555" t="s">
        <v>13</v>
      </c>
      <c r="AM555" t="s">
        <v>13</v>
      </c>
      <c r="AN555">
        <v>9820</v>
      </c>
      <c r="AO555">
        <v>9820</v>
      </c>
      <c r="AP555" t="s">
        <v>13</v>
      </c>
      <c r="AQ555" t="s">
        <v>13</v>
      </c>
      <c r="AR555" t="s">
        <v>13</v>
      </c>
      <c r="AS555" t="s">
        <v>13</v>
      </c>
      <c r="AT555" t="s">
        <v>13</v>
      </c>
      <c r="AU555" t="s">
        <v>13</v>
      </c>
      <c r="AV555" t="s">
        <v>13</v>
      </c>
      <c r="AW555" t="s">
        <v>13</v>
      </c>
      <c r="AX555" t="s">
        <v>13</v>
      </c>
      <c r="AY555" t="s">
        <v>13</v>
      </c>
      <c r="AZ555" t="s">
        <v>13</v>
      </c>
      <c r="BA555" t="s">
        <v>13</v>
      </c>
    </row>
    <row r="556" spans="1:53" x14ac:dyDescent="0.2">
      <c r="A556">
        <v>2001</v>
      </c>
      <c r="B556" t="s">
        <v>72</v>
      </c>
      <c r="C556" t="s">
        <v>58</v>
      </c>
      <c r="D556">
        <v>5.8</v>
      </c>
      <c r="E556">
        <v>0</v>
      </c>
      <c r="F556">
        <v>2.4</v>
      </c>
      <c r="G556">
        <v>0</v>
      </c>
      <c r="H556">
        <v>0</v>
      </c>
      <c r="I556">
        <v>9.1</v>
      </c>
      <c r="J556">
        <v>3.8</v>
      </c>
      <c r="K556">
        <f t="shared" si="211"/>
        <v>21.099999999999998</v>
      </c>
      <c r="L556">
        <v>0</v>
      </c>
      <c r="M556">
        <v>0</v>
      </c>
      <c r="N556">
        <v>0</v>
      </c>
      <c r="O556">
        <f t="shared" si="220"/>
        <v>0</v>
      </c>
      <c r="P556">
        <v>0</v>
      </c>
      <c r="Q556">
        <v>0</v>
      </c>
      <c r="R556">
        <v>0</v>
      </c>
      <c r="S556">
        <f t="shared" si="221"/>
        <v>0</v>
      </c>
      <c r="T556">
        <v>5</v>
      </c>
      <c r="U556">
        <v>2.2000000000000002</v>
      </c>
      <c r="V556">
        <v>1.3</v>
      </c>
      <c r="W556">
        <v>0.7</v>
      </c>
      <c r="X556">
        <v>0</v>
      </c>
      <c r="Y556">
        <v>0</v>
      </c>
      <c r="Z556">
        <v>0</v>
      </c>
      <c r="AA556">
        <f t="shared" si="222"/>
        <v>9.1999999999999993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2.1</v>
      </c>
      <c r="AI556">
        <v>3</v>
      </c>
      <c r="AJ556">
        <f t="shared" si="223"/>
        <v>5.0999999999999996</v>
      </c>
      <c r="AK556">
        <v>2.9</v>
      </c>
      <c r="AL556">
        <v>0.61699999999999999</v>
      </c>
      <c r="AM556">
        <f t="shared" ref="AM556:AM619" si="232">SUM(AB556:AI556,T556:Z556,P556:R556,L556:N556,D556:J556)/100</f>
        <v>0.35399999999999998</v>
      </c>
      <c r="AN556">
        <v>13886</v>
      </c>
      <c r="AO556">
        <v>13886</v>
      </c>
      <c r="AP556" s="3">
        <f t="shared" si="226"/>
        <v>21495.356037151701</v>
      </c>
      <c r="AQ556" s="3">
        <f t="shared" si="227"/>
        <v>21495.356037151701</v>
      </c>
      <c r="AR556">
        <f t="shared" si="231"/>
        <v>0.1440677966101695</v>
      </c>
      <c r="AS556">
        <f t="shared" ref="AS556:AS570" si="233">SUM(K556,O556,S556,AA556)/100</f>
        <v>0.30299999999999999</v>
      </c>
      <c r="AT556">
        <f t="shared" ref="AT556:AT570" si="234">ROUND(AS556*AP556,0)</f>
        <v>6513</v>
      </c>
      <c r="AU556">
        <f t="shared" ref="AU556:AU570" si="235">ROUND((AJ556/100)*AP556,0)</f>
        <v>1096</v>
      </c>
      <c r="AV556">
        <f t="shared" si="205"/>
        <v>4245</v>
      </c>
      <c r="AW556">
        <f t="shared" si="206"/>
        <v>1262</v>
      </c>
      <c r="AX556" s="3">
        <f t="shared" si="207"/>
        <v>15988.356037151701</v>
      </c>
      <c r="AY556">
        <f t="shared" si="208"/>
        <v>3257</v>
      </c>
      <c r="AZ556">
        <f t="shared" si="209"/>
        <v>1334</v>
      </c>
      <c r="BA556" s="3">
        <f t="shared" si="210"/>
        <v>16904.356037151701</v>
      </c>
    </row>
    <row r="557" spans="1:53" x14ac:dyDescent="0.2">
      <c r="A557">
        <v>2002</v>
      </c>
      <c r="B557" t="s">
        <v>72</v>
      </c>
      <c r="C557" t="s">
        <v>58</v>
      </c>
      <c r="D557">
        <v>14.7</v>
      </c>
      <c r="E557">
        <v>0</v>
      </c>
      <c r="F557">
        <v>1.9</v>
      </c>
      <c r="G557">
        <v>0</v>
      </c>
      <c r="H557">
        <v>0</v>
      </c>
      <c r="I557">
        <v>5.5</v>
      </c>
      <c r="J557">
        <v>5.7</v>
      </c>
      <c r="K557">
        <f t="shared" si="211"/>
        <v>27.799999999999997</v>
      </c>
      <c r="L557">
        <v>0</v>
      </c>
      <c r="M557">
        <v>0</v>
      </c>
      <c r="N557">
        <v>0</v>
      </c>
      <c r="O557">
        <f t="shared" si="220"/>
        <v>0</v>
      </c>
      <c r="P557">
        <v>0</v>
      </c>
      <c r="Q557">
        <v>0</v>
      </c>
      <c r="R557">
        <v>0</v>
      </c>
      <c r="S557">
        <f t="shared" si="221"/>
        <v>0</v>
      </c>
      <c r="T557">
        <v>2.8</v>
      </c>
      <c r="U557">
        <v>2.4</v>
      </c>
      <c r="V557">
        <v>3.6</v>
      </c>
      <c r="W557">
        <v>0</v>
      </c>
      <c r="X557">
        <v>0</v>
      </c>
      <c r="Y557">
        <v>0</v>
      </c>
      <c r="Z557">
        <v>0</v>
      </c>
      <c r="AA557">
        <f t="shared" si="222"/>
        <v>8.7999999999999989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4.4000000000000004</v>
      </c>
      <c r="AI557">
        <v>2.4</v>
      </c>
      <c r="AJ557">
        <f t="shared" si="223"/>
        <v>6.8000000000000007</v>
      </c>
      <c r="AK557">
        <v>3.9</v>
      </c>
      <c r="AL557">
        <v>0.52800000000000002</v>
      </c>
      <c r="AM557">
        <f t="shared" si="232"/>
        <v>0.43400000000000005</v>
      </c>
      <c r="AN557">
        <v>16380</v>
      </c>
      <c r="AO557">
        <v>16380</v>
      </c>
      <c r="AP557" s="3">
        <f t="shared" si="226"/>
        <v>28939.929328621911</v>
      </c>
      <c r="AQ557" s="3">
        <f t="shared" si="227"/>
        <v>28939.929328621911</v>
      </c>
      <c r="AR557">
        <f t="shared" si="231"/>
        <v>0.15668202764976957</v>
      </c>
      <c r="AS557">
        <f t="shared" si="233"/>
        <v>0.36599999999999994</v>
      </c>
      <c r="AT557">
        <f t="shared" si="234"/>
        <v>10592</v>
      </c>
      <c r="AU557">
        <f t="shared" si="235"/>
        <v>1968</v>
      </c>
      <c r="AV557">
        <f t="shared" si="205"/>
        <v>6569</v>
      </c>
      <c r="AW557">
        <f t="shared" si="206"/>
        <v>2400</v>
      </c>
      <c r="AX557" s="3">
        <f t="shared" si="207"/>
        <v>19970.929328621911</v>
      </c>
      <c r="AY557">
        <f t="shared" si="208"/>
        <v>5296</v>
      </c>
      <c r="AZ557">
        <f t="shared" si="209"/>
        <v>2536</v>
      </c>
      <c r="BA557" s="3">
        <f t="shared" si="210"/>
        <v>21107.929328621911</v>
      </c>
    </row>
    <row r="558" spans="1:53" x14ac:dyDescent="0.2">
      <c r="A558">
        <v>2003</v>
      </c>
      <c r="B558" t="s">
        <v>72</v>
      </c>
      <c r="C558" t="s">
        <v>58</v>
      </c>
      <c r="D558">
        <v>10.8</v>
      </c>
      <c r="E558">
        <v>0</v>
      </c>
      <c r="F558">
        <v>0</v>
      </c>
      <c r="G558">
        <v>1.7</v>
      </c>
      <c r="H558">
        <v>1.2</v>
      </c>
      <c r="I558">
        <v>4.9000000000000004</v>
      </c>
      <c r="J558">
        <v>1.2</v>
      </c>
      <c r="K558">
        <f t="shared" si="211"/>
        <v>19.8</v>
      </c>
      <c r="L558">
        <v>0</v>
      </c>
      <c r="M558">
        <v>0</v>
      </c>
      <c r="N558">
        <v>0</v>
      </c>
      <c r="O558">
        <f t="shared" si="220"/>
        <v>0</v>
      </c>
      <c r="P558">
        <v>0</v>
      </c>
      <c r="Q558">
        <v>0</v>
      </c>
      <c r="R558">
        <v>0</v>
      </c>
      <c r="S558">
        <f t="shared" si="221"/>
        <v>0</v>
      </c>
      <c r="T558">
        <v>6.2</v>
      </c>
      <c r="U558">
        <v>1.1000000000000001</v>
      </c>
      <c r="V558">
        <v>4</v>
      </c>
      <c r="W558">
        <v>0</v>
      </c>
      <c r="X558">
        <v>0</v>
      </c>
      <c r="Y558">
        <v>0</v>
      </c>
      <c r="Z558">
        <v>0</v>
      </c>
      <c r="AA558">
        <f t="shared" si="222"/>
        <v>11.3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6.5</v>
      </c>
      <c r="AI558">
        <v>5.9</v>
      </c>
      <c r="AJ558">
        <f t="shared" si="223"/>
        <v>12.4</v>
      </c>
      <c r="AK558">
        <v>1.3</v>
      </c>
      <c r="AL558">
        <v>0.55299999999999994</v>
      </c>
      <c r="AM558">
        <f t="shared" si="232"/>
        <v>0.43500000000000005</v>
      </c>
      <c r="AN558">
        <v>18505</v>
      </c>
      <c r="AO558">
        <v>18505</v>
      </c>
      <c r="AP558" s="3">
        <f t="shared" si="226"/>
        <v>32752.212389380533</v>
      </c>
      <c r="AQ558" s="3">
        <f t="shared" si="227"/>
        <v>32752.212389380533</v>
      </c>
      <c r="AR558">
        <f t="shared" si="231"/>
        <v>0.28505747126436776</v>
      </c>
      <c r="AS558">
        <f t="shared" si="233"/>
        <v>0.311</v>
      </c>
      <c r="AT558">
        <f t="shared" si="234"/>
        <v>10186</v>
      </c>
      <c r="AU558">
        <f t="shared" si="235"/>
        <v>4061</v>
      </c>
      <c r="AV558">
        <f t="shared" si="205"/>
        <v>6943</v>
      </c>
      <c r="AW558">
        <f t="shared" si="206"/>
        <v>4645</v>
      </c>
      <c r="AX558" s="3">
        <f t="shared" si="207"/>
        <v>21164.212389380533</v>
      </c>
      <c r="AY558">
        <f t="shared" si="208"/>
        <v>5093</v>
      </c>
      <c r="AZ558">
        <f t="shared" si="209"/>
        <v>4978</v>
      </c>
      <c r="BA558" s="3">
        <f t="shared" si="210"/>
        <v>22681.212389380533</v>
      </c>
    </row>
    <row r="559" spans="1:53" x14ac:dyDescent="0.2">
      <c r="A559">
        <v>2004</v>
      </c>
      <c r="B559" t="s">
        <v>72</v>
      </c>
      <c r="C559" t="s">
        <v>58</v>
      </c>
      <c r="D559">
        <v>6.7</v>
      </c>
      <c r="E559">
        <v>0</v>
      </c>
      <c r="F559">
        <v>0.3</v>
      </c>
      <c r="G559">
        <v>3.3</v>
      </c>
      <c r="H559">
        <v>0.5</v>
      </c>
      <c r="I559">
        <v>2.1</v>
      </c>
      <c r="J559">
        <v>0</v>
      </c>
      <c r="K559">
        <f t="shared" si="211"/>
        <v>12.9</v>
      </c>
      <c r="L559">
        <v>0</v>
      </c>
      <c r="M559">
        <v>0</v>
      </c>
      <c r="N559">
        <v>0</v>
      </c>
      <c r="O559">
        <f t="shared" si="220"/>
        <v>0</v>
      </c>
      <c r="P559">
        <v>0</v>
      </c>
      <c r="Q559">
        <v>0</v>
      </c>
      <c r="R559">
        <v>0.3</v>
      </c>
      <c r="S559">
        <f t="shared" si="221"/>
        <v>0.3</v>
      </c>
      <c r="T559">
        <v>0.7</v>
      </c>
      <c r="U559">
        <v>0</v>
      </c>
      <c r="V559">
        <v>0.1</v>
      </c>
      <c r="W559">
        <v>0.1</v>
      </c>
      <c r="X559">
        <v>0</v>
      </c>
      <c r="Y559">
        <v>0</v>
      </c>
      <c r="Z559">
        <v>0</v>
      </c>
      <c r="AA559">
        <f t="shared" si="222"/>
        <v>0.89999999999999991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2.5</v>
      </c>
      <c r="AI559">
        <v>1.9</v>
      </c>
      <c r="AJ559">
        <f t="shared" si="223"/>
        <v>4.4000000000000004</v>
      </c>
      <c r="AK559">
        <v>0.4</v>
      </c>
      <c r="AL559">
        <v>0.81099999999999994</v>
      </c>
      <c r="AM559">
        <f t="shared" si="232"/>
        <v>0.18500000000000003</v>
      </c>
      <c r="AN559">
        <v>15342</v>
      </c>
      <c r="AO559">
        <v>15342</v>
      </c>
      <c r="AP559" s="3">
        <f t="shared" si="226"/>
        <v>18824.539877300616</v>
      </c>
      <c r="AQ559" s="3">
        <f t="shared" si="227"/>
        <v>18824.539877300616</v>
      </c>
      <c r="AR559">
        <f t="shared" si="231"/>
        <v>0.23783783783783782</v>
      </c>
      <c r="AS559">
        <f t="shared" si="233"/>
        <v>0.14100000000000001</v>
      </c>
      <c r="AT559">
        <f t="shared" si="234"/>
        <v>2654</v>
      </c>
      <c r="AU559">
        <f t="shared" si="235"/>
        <v>828</v>
      </c>
      <c r="AV559">
        <f t="shared" si="205"/>
        <v>1440</v>
      </c>
      <c r="AW559">
        <f t="shared" si="206"/>
        <v>890</v>
      </c>
      <c r="AX559" s="3">
        <f t="shared" si="207"/>
        <v>16494.539877300616</v>
      </c>
      <c r="AY559">
        <f t="shared" si="208"/>
        <v>1327</v>
      </c>
      <c r="AZ559">
        <f t="shared" si="209"/>
        <v>896</v>
      </c>
      <c r="BA559" s="3">
        <f t="shared" si="210"/>
        <v>16601.539877300616</v>
      </c>
    </row>
    <row r="560" spans="1:53" x14ac:dyDescent="0.2">
      <c r="A560">
        <v>2005</v>
      </c>
      <c r="B560" t="s">
        <v>72</v>
      </c>
      <c r="C560" t="s">
        <v>58</v>
      </c>
      <c r="D560">
        <v>4.2</v>
      </c>
      <c r="E560">
        <v>0</v>
      </c>
      <c r="F560">
        <v>0</v>
      </c>
      <c r="G560">
        <v>13.2</v>
      </c>
      <c r="H560">
        <v>6.8</v>
      </c>
      <c r="I560">
        <v>4.3</v>
      </c>
      <c r="J560">
        <v>0</v>
      </c>
      <c r="K560">
        <f t="shared" si="211"/>
        <v>28.5</v>
      </c>
      <c r="L560">
        <v>0</v>
      </c>
      <c r="M560">
        <v>0</v>
      </c>
      <c r="N560">
        <v>0</v>
      </c>
      <c r="O560">
        <f t="shared" si="220"/>
        <v>0</v>
      </c>
      <c r="P560">
        <v>0</v>
      </c>
      <c r="Q560">
        <v>0</v>
      </c>
      <c r="R560">
        <v>0</v>
      </c>
      <c r="S560">
        <f t="shared" si="221"/>
        <v>0</v>
      </c>
      <c r="T560">
        <v>1.8</v>
      </c>
      <c r="U560">
        <v>0.7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f t="shared" si="222"/>
        <v>2.5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11.6</v>
      </c>
      <c r="AI560">
        <v>8.8000000000000007</v>
      </c>
      <c r="AJ560">
        <f t="shared" si="223"/>
        <v>20.399999999999999</v>
      </c>
      <c r="AK560">
        <v>0.3</v>
      </c>
      <c r="AL560">
        <v>0.48299999999999998</v>
      </c>
      <c r="AM560">
        <f t="shared" si="232"/>
        <v>0.5139999999999999</v>
      </c>
      <c r="AN560">
        <v>11348</v>
      </c>
      <c r="AO560">
        <v>11348</v>
      </c>
      <c r="AP560" s="3">
        <f t="shared" si="226"/>
        <v>23349.794238683124</v>
      </c>
      <c r="AQ560" s="3">
        <f t="shared" si="227"/>
        <v>23349.794238683124</v>
      </c>
      <c r="AR560">
        <f t="shared" si="231"/>
        <v>0.39688715953307396</v>
      </c>
      <c r="AS560">
        <f t="shared" si="233"/>
        <v>0.31</v>
      </c>
      <c r="AT560">
        <f t="shared" si="234"/>
        <v>7238</v>
      </c>
      <c r="AU560">
        <f t="shared" si="235"/>
        <v>4763</v>
      </c>
      <c r="AV560">
        <f t="shared" si="205"/>
        <v>3911</v>
      </c>
      <c r="AW560">
        <f t="shared" si="206"/>
        <v>5747</v>
      </c>
      <c r="AX560" s="3">
        <f t="shared" si="207"/>
        <v>13691.794238683124</v>
      </c>
      <c r="AY560">
        <f t="shared" si="208"/>
        <v>3619</v>
      </c>
      <c r="AZ560">
        <f t="shared" si="209"/>
        <v>5833</v>
      </c>
      <c r="BA560" s="3">
        <f t="shared" si="210"/>
        <v>13897.794238683124</v>
      </c>
    </row>
    <row r="561" spans="1:53" x14ac:dyDescent="0.2">
      <c r="A561">
        <v>2006</v>
      </c>
      <c r="B561" t="s">
        <v>72</v>
      </c>
      <c r="C561" t="s">
        <v>58</v>
      </c>
      <c r="D561">
        <v>14.5</v>
      </c>
      <c r="E561">
        <v>0</v>
      </c>
      <c r="F561">
        <v>1.2</v>
      </c>
      <c r="G561">
        <v>6.5</v>
      </c>
      <c r="H561">
        <v>1.7</v>
      </c>
      <c r="I561">
        <v>8.4</v>
      </c>
      <c r="J561">
        <v>1</v>
      </c>
      <c r="K561">
        <f t="shared" si="211"/>
        <v>33.299999999999997</v>
      </c>
      <c r="L561">
        <v>0</v>
      </c>
      <c r="M561">
        <v>0</v>
      </c>
      <c r="N561">
        <v>0</v>
      </c>
      <c r="O561">
        <f t="shared" si="220"/>
        <v>0</v>
      </c>
      <c r="P561">
        <v>0</v>
      </c>
      <c r="Q561">
        <v>0</v>
      </c>
      <c r="R561">
        <v>1.9</v>
      </c>
      <c r="S561">
        <f t="shared" si="221"/>
        <v>1.9</v>
      </c>
      <c r="T561">
        <v>1.2</v>
      </c>
      <c r="U561">
        <v>0.5</v>
      </c>
      <c r="V561">
        <v>0.3</v>
      </c>
      <c r="W561">
        <v>0</v>
      </c>
      <c r="X561">
        <v>0</v>
      </c>
      <c r="Y561">
        <v>0</v>
      </c>
      <c r="Z561">
        <v>0</v>
      </c>
      <c r="AA561">
        <f t="shared" si="222"/>
        <v>2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5.5</v>
      </c>
      <c r="AI561">
        <v>18.899999999999999</v>
      </c>
      <c r="AJ561">
        <f t="shared" si="223"/>
        <v>24.4</v>
      </c>
      <c r="AK561">
        <v>1.3</v>
      </c>
      <c r="AL561">
        <v>0.36899999999999999</v>
      </c>
      <c r="AM561">
        <f t="shared" si="232"/>
        <v>0.61599999999999999</v>
      </c>
      <c r="AN561">
        <v>10522</v>
      </c>
      <c r="AO561">
        <v>10522</v>
      </c>
      <c r="AP561" s="3">
        <f t="shared" si="226"/>
        <v>27401.041666666668</v>
      </c>
      <c r="AQ561" s="3">
        <f t="shared" si="227"/>
        <v>27401.041666666668</v>
      </c>
      <c r="AR561">
        <f t="shared" si="231"/>
        <v>0.39610389610389612</v>
      </c>
      <c r="AS561">
        <f t="shared" si="233"/>
        <v>0.37199999999999994</v>
      </c>
      <c r="AT561">
        <f t="shared" si="234"/>
        <v>10193</v>
      </c>
      <c r="AU561">
        <f t="shared" si="235"/>
        <v>6686</v>
      </c>
      <c r="AV561">
        <f t="shared" si="205"/>
        <v>5631</v>
      </c>
      <c r="AW561">
        <f t="shared" si="206"/>
        <v>8459</v>
      </c>
      <c r="AX561" s="3">
        <f t="shared" si="207"/>
        <v>13311.041666666668</v>
      </c>
      <c r="AY561">
        <f t="shared" si="208"/>
        <v>5097</v>
      </c>
      <c r="AZ561">
        <f t="shared" si="209"/>
        <v>8666</v>
      </c>
      <c r="BA561" s="3">
        <f t="shared" si="210"/>
        <v>13638.041666666668</v>
      </c>
    </row>
    <row r="562" spans="1:53" x14ac:dyDescent="0.2">
      <c r="A562">
        <v>2007</v>
      </c>
      <c r="B562" t="s">
        <v>72</v>
      </c>
      <c r="C562" t="s">
        <v>58</v>
      </c>
      <c r="D562">
        <v>36.6</v>
      </c>
      <c r="E562">
        <v>0</v>
      </c>
      <c r="F562">
        <v>1.7</v>
      </c>
      <c r="G562">
        <v>6.5</v>
      </c>
      <c r="H562">
        <v>0</v>
      </c>
      <c r="I562">
        <v>2</v>
      </c>
      <c r="J562">
        <v>0</v>
      </c>
      <c r="K562">
        <f t="shared" si="211"/>
        <v>46.800000000000004</v>
      </c>
      <c r="L562">
        <v>0</v>
      </c>
      <c r="M562">
        <v>0</v>
      </c>
      <c r="N562">
        <v>0</v>
      </c>
      <c r="O562">
        <f t="shared" si="220"/>
        <v>0</v>
      </c>
      <c r="P562">
        <v>0</v>
      </c>
      <c r="Q562">
        <v>0</v>
      </c>
      <c r="R562">
        <v>0</v>
      </c>
      <c r="S562">
        <f t="shared" si="221"/>
        <v>0</v>
      </c>
      <c r="T562">
        <v>1.1000000000000001</v>
      </c>
      <c r="U562">
        <v>3</v>
      </c>
      <c r="V562">
        <v>6</v>
      </c>
      <c r="W562">
        <v>0</v>
      </c>
      <c r="X562">
        <v>0</v>
      </c>
      <c r="Y562">
        <v>0</v>
      </c>
      <c r="Z562">
        <v>0</v>
      </c>
      <c r="AA562">
        <f t="shared" si="222"/>
        <v>10.1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2.9</v>
      </c>
      <c r="AI562">
        <v>0</v>
      </c>
      <c r="AJ562">
        <f t="shared" si="223"/>
        <v>2.9</v>
      </c>
      <c r="AK562">
        <v>1.4</v>
      </c>
      <c r="AL562">
        <v>0.38799999999999996</v>
      </c>
      <c r="AM562">
        <f t="shared" si="232"/>
        <v>0.59800000000000009</v>
      </c>
      <c r="AN562">
        <v>3468</v>
      </c>
      <c r="AO562">
        <v>3468</v>
      </c>
      <c r="AP562" s="3">
        <f t="shared" si="226"/>
        <v>8626.8656716417936</v>
      </c>
      <c r="AQ562" s="3">
        <f t="shared" si="227"/>
        <v>8626.8656716417936</v>
      </c>
      <c r="AR562">
        <f t="shared" si="231"/>
        <v>4.8494983277591962E-2</v>
      </c>
      <c r="AS562">
        <f t="shared" si="233"/>
        <v>0.56900000000000006</v>
      </c>
      <c r="AT562">
        <f t="shared" si="234"/>
        <v>4909</v>
      </c>
      <c r="AU562">
        <f t="shared" si="235"/>
        <v>250</v>
      </c>
      <c r="AV562">
        <f t="shared" si="205"/>
        <v>2890</v>
      </c>
      <c r="AW562">
        <f t="shared" si="206"/>
        <v>386</v>
      </c>
      <c r="AX562" s="3">
        <f t="shared" si="207"/>
        <v>5350.8656716417936</v>
      </c>
      <c r="AY562">
        <f t="shared" si="208"/>
        <v>2454</v>
      </c>
      <c r="AZ562">
        <f t="shared" si="209"/>
        <v>415</v>
      </c>
      <c r="BA562" s="3">
        <f t="shared" si="210"/>
        <v>5757.8656716417936</v>
      </c>
    </row>
    <row r="563" spans="1:53" x14ac:dyDescent="0.2">
      <c r="A563">
        <v>2008</v>
      </c>
      <c r="B563" t="s">
        <v>72</v>
      </c>
      <c r="C563" t="s">
        <v>58</v>
      </c>
      <c r="D563">
        <v>9.1</v>
      </c>
      <c r="E563">
        <v>0</v>
      </c>
      <c r="F563">
        <v>0</v>
      </c>
      <c r="G563">
        <v>0</v>
      </c>
      <c r="H563">
        <v>0</v>
      </c>
      <c r="I563">
        <v>13.1</v>
      </c>
      <c r="J563">
        <v>0</v>
      </c>
      <c r="K563">
        <f t="shared" si="211"/>
        <v>22.2</v>
      </c>
      <c r="L563">
        <v>0</v>
      </c>
      <c r="M563">
        <v>0</v>
      </c>
      <c r="N563">
        <v>3.4</v>
      </c>
      <c r="O563">
        <f t="shared" si="220"/>
        <v>3.4</v>
      </c>
      <c r="P563">
        <v>0</v>
      </c>
      <c r="Q563">
        <v>0</v>
      </c>
      <c r="R563">
        <v>0</v>
      </c>
      <c r="S563">
        <f t="shared" si="221"/>
        <v>0</v>
      </c>
      <c r="T563">
        <v>6</v>
      </c>
      <c r="U563">
        <v>0.6</v>
      </c>
      <c r="V563">
        <v>0</v>
      </c>
      <c r="W563">
        <v>0</v>
      </c>
      <c r="X563">
        <v>0</v>
      </c>
      <c r="Y563">
        <v>0</v>
      </c>
      <c r="Z563">
        <v>1.9</v>
      </c>
      <c r="AA563">
        <f t="shared" si="222"/>
        <v>8.5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0.7</v>
      </c>
      <c r="AI563">
        <v>4.5</v>
      </c>
      <c r="AJ563">
        <f t="shared" si="223"/>
        <v>5.2</v>
      </c>
      <c r="AK563">
        <v>0</v>
      </c>
      <c r="AL563">
        <v>0.60599999999999998</v>
      </c>
      <c r="AM563">
        <f t="shared" si="232"/>
        <v>0.39299999999999996</v>
      </c>
      <c r="AN563">
        <v>5200</v>
      </c>
      <c r="AO563">
        <v>5200</v>
      </c>
      <c r="AP563" s="3">
        <f t="shared" si="226"/>
        <v>8566.7215815485997</v>
      </c>
      <c r="AQ563" s="3">
        <f t="shared" si="227"/>
        <v>8566.7215815485997</v>
      </c>
      <c r="AR563">
        <f t="shared" si="231"/>
        <v>0.13231552162849874</v>
      </c>
      <c r="AS563">
        <f t="shared" si="233"/>
        <v>0.34099999999999997</v>
      </c>
      <c r="AT563">
        <f t="shared" si="234"/>
        <v>2921</v>
      </c>
      <c r="AU563">
        <f t="shared" si="235"/>
        <v>445</v>
      </c>
      <c r="AV563">
        <f t="shared" si="205"/>
        <v>1970</v>
      </c>
      <c r="AW563">
        <f t="shared" si="206"/>
        <v>520</v>
      </c>
      <c r="AX563" s="3">
        <f t="shared" si="207"/>
        <v>6076.7215815485997</v>
      </c>
      <c r="AY563">
        <f t="shared" si="208"/>
        <v>1461</v>
      </c>
      <c r="AZ563">
        <f t="shared" si="209"/>
        <v>560</v>
      </c>
      <c r="BA563" s="3">
        <f t="shared" si="210"/>
        <v>6545.7215815485997</v>
      </c>
    </row>
    <row r="564" spans="1:53" x14ac:dyDescent="0.2">
      <c r="A564">
        <v>2009</v>
      </c>
      <c r="B564" t="s">
        <v>72</v>
      </c>
      <c r="C564" t="s">
        <v>58</v>
      </c>
      <c r="D564">
        <v>19.7</v>
      </c>
      <c r="E564">
        <v>0</v>
      </c>
      <c r="F564">
        <v>0</v>
      </c>
      <c r="G564">
        <v>3.5</v>
      </c>
      <c r="H564">
        <v>3.2</v>
      </c>
      <c r="I564">
        <v>6.1</v>
      </c>
      <c r="J564">
        <v>19.3</v>
      </c>
      <c r="K564">
        <f t="shared" si="211"/>
        <v>51.8</v>
      </c>
      <c r="L564">
        <v>0</v>
      </c>
      <c r="M564">
        <v>0</v>
      </c>
      <c r="N564">
        <v>0</v>
      </c>
      <c r="O564">
        <f t="shared" si="220"/>
        <v>0</v>
      </c>
      <c r="P564">
        <v>0</v>
      </c>
      <c r="Q564">
        <v>0</v>
      </c>
      <c r="R564">
        <v>1.5</v>
      </c>
      <c r="S564">
        <f t="shared" si="221"/>
        <v>1.5</v>
      </c>
      <c r="T564">
        <v>0</v>
      </c>
      <c r="U564">
        <v>1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f t="shared" si="222"/>
        <v>1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0.6</v>
      </c>
      <c r="AI564">
        <v>3.4</v>
      </c>
      <c r="AJ564">
        <f t="shared" si="223"/>
        <v>4</v>
      </c>
      <c r="AK564">
        <v>0</v>
      </c>
      <c r="AL564">
        <v>0.41700000000000004</v>
      </c>
      <c r="AM564">
        <f t="shared" si="232"/>
        <v>0.58299999999999996</v>
      </c>
      <c r="AN564">
        <v>5410</v>
      </c>
      <c r="AO564">
        <v>5410</v>
      </c>
      <c r="AP564" s="3">
        <f t="shared" si="226"/>
        <v>12973.621103117504</v>
      </c>
      <c r="AQ564" s="3">
        <f t="shared" si="227"/>
        <v>12973.621103117504</v>
      </c>
      <c r="AR564">
        <f t="shared" si="231"/>
        <v>6.86106346483705E-2</v>
      </c>
      <c r="AS564">
        <f t="shared" si="233"/>
        <v>0.54299999999999993</v>
      </c>
      <c r="AT564">
        <f t="shared" si="234"/>
        <v>7045</v>
      </c>
      <c r="AU564">
        <f t="shared" si="235"/>
        <v>519</v>
      </c>
      <c r="AV564">
        <f t="shared" si="205"/>
        <v>3685</v>
      </c>
      <c r="AW564">
        <f t="shared" si="206"/>
        <v>813</v>
      </c>
      <c r="AX564" s="3">
        <f t="shared" si="207"/>
        <v>8475.6211031175044</v>
      </c>
      <c r="AY564">
        <f t="shared" si="208"/>
        <v>3522</v>
      </c>
      <c r="AZ564">
        <f t="shared" si="209"/>
        <v>827</v>
      </c>
      <c r="BA564" s="3">
        <f t="shared" si="210"/>
        <v>8624.6211031175044</v>
      </c>
    </row>
    <row r="565" spans="1:53" x14ac:dyDescent="0.2">
      <c r="A565">
        <v>2010</v>
      </c>
      <c r="B565" t="s">
        <v>72</v>
      </c>
      <c r="C565" t="s">
        <v>58</v>
      </c>
      <c r="D565">
        <v>6.9</v>
      </c>
      <c r="E565">
        <v>0</v>
      </c>
      <c r="F565">
        <v>0</v>
      </c>
      <c r="G565">
        <v>4.9000000000000004</v>
      </c>
      <c r="H565">
        <v>2.5</v>
      </c>
      <c r="I565">
        <v>1.5</v>
      </c>
      <c r="J565">
        <v>1.9</v>
      </c>
      <c r="K565">
        <f t="shared" si="211"/>
        <v>17.7</v>
      </c>
      <c r="L565">
        <v>0</v>
      </c>
      <c r="M565">
        <v>0</v>
      </c>
      <c r="N565">
        <v>0</v>
      </c>
      <c r="O565">
        <f t="shared" si="220"/>
        <v>0</v>
      </c>
      <c r="P565">
        <v>0</v>
      </c>
      <c r="Q565">
        <v>0</v>
      </c>
      <c r="R565">
        <v>0</v>
      </c>
      <c r="S565">
        <f t="shared" si="221"/>
        <v>0</v>
      </c>
      <c r="T565">
        <v>4.4000000000000004</v>
      </c>
      <c r="U565">
        <v>4.2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f t="shared" si="222"/>
        <v>8.6000000000000014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7.8</v>
      </c>
      <c r="AJ565">
        <f t="shared" si="223"/>
        <v>7.8</v>
      </c>
      <c r="AK565">
        <v>0</v>
      </c>
      <c r="AL565">
        <v>0.65900000000000003</v>
      </c>
      <c r="AM565">
        <f t="shared" si="232"/>
        <v>0.34099999999999997</v>
      </c>
      <c r="AN565">
        <v>8701</v>
      </c>
      <c r="AO565">
        <v>8701</v>
      </c>
      <c r="AP565" s="3">
        <f t="shared" si="226"/>
        <v>13203.338391502275</v>
      </c>
      <c r="AQ565" s="3">
        <f t="shared" si="227"/>
        <v>13203.338391502275</v>
      </c>
      <c r="AR565">
        <f t="shared" si="231"/>
        <v>0.22873900293255134</v>
      </c>
      <c r="AS565">
        <f t="shared" si="233"/>
        <v>0.26300000000000001</v>
      </c>
      <c r="AT565">
        <f t="shared" si="234"/>
        <v>3472</v>
      </c>
      <c r="AU565">
        <f t="shared" si="235"/>
        <v>1030</v>
      </c>
      <c r="AV565">
        <f t="shared" si="205"/>
        <v>2304</v>
      </c>
      <c r="AW565">
        <f t="shared" si="206"/>
        <v>1154</v>
      </c>
      <c r="AX565" s="3">
        <f t="shared" si="207"/>
        <v>9745.338391502275</v>
      </c>
      <c r="AY565">
        <f t="shared" si="208"/>
        <v>1736</v>
      </c>
      <c r="AZ565">
        <f t="shared" si="209"/>
        <v>1214</v>
      </c>
      <c r="BA565" s="3">
        <f t="shared" si="210"/>
        <v>10253.338391502275</v>
      </c>
    </row>
    <row r="566" spans="1:53" x14ac:dyDescent="0.2">
      <c r="A566">
        <v>2011</v>
      </c>
      <c r="B566" t="s">
        <v>72</v>
      </c>
      <c r="C566" t="s">
        <v>58</v>
      </c>
      <c r="D566">
        <v>12.2</v>
      </c>
      <c r="E566">
        <v>0</v>
      </c>
      <c r="F566">
        <v>2.2999999999999998</v>
      </c>
      <c r="G566">
        <v>12.1</v>
      </c>
      <c r="H566">
        <v>1.1000000000000001</v>
      </c>
      <c r="I566">
        <v>4.7</v>
      </c>
      <c r="J566">
        <v>4.4000000000000004</v>
      </c>
      <c r="K566">
        <f t="shared" si="211"/>
        <v>36.800000000000004</v>
      </c>
      <c r="L566">
        <v>0</v>
      </c>
      <c r="M566">
        <v>0</v>
      </c>
      <c r="N566">
        <v>0</v>
      </c>
      <c r="O566">
        <f t="shared" si="220"/>
        <v>0</v>
      </c>
      <c r="P566">
        <v>0</v>
      </c>
      <c r="Q566">
        <v>0</v>
      </c>
      <c r="R566">
        <v>0</v>
      </c>
      <c r="S566">
        <f t="shared" si="221"/>
        <v>0</v>
      </c>
      <c r="T566">
        <v>0.9</v>
      </c>
      <c r="U566">
        <v>5.9</v>
      </c>
      <c r="V566">
        <v>2.2999999999999998</v>
      </c>
      <c r="W566">
        <v>0</v>
      </c>
      <c r="X566">
        <v>0</v>
      </c>
      <c r="Y566">
        <v>0</v>
      </c>
      <c r="Z566">
        <v>0</v>
      </c>
      <c r="AA566">
        <f t="shared" si="222"/>
        <v>9.1000000000000014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1.8</v>
      </c>
      <c r="AI566">
        <v>20.399999999999999</v>
      </c>
      <c r="AJ566">
        <f t="shared" si="223"/>
        <v>22.2</v>
      </c>
      <c r="AK566">
        <v>1.7</v>
      </c>
      <c r="AL566">
        <v>0.30299999999999999</v>
      </c>
      <c r="AM566">
        <f t="shared" si="232"/>
        <v>0.68100000000000005</v>
      </c>
      <c r="AN566">
        <v>8009</v>
      </c>
      <c r="AO566">
        <v>8009</v>
      </c>
      <c r="AP566" s="3">
        <f t="shared" si="226"/>
        <v>25106.583072100319</v>
      </c>
      <c r="AQ566" s="3">
        <f t="shared" si="227"/>
        <v>25106.583072100319</v>
      </c>
      <c r="AR566">
        <f t="shared" si="231"/>
        <v>0.32599118942731276</v>
      </c>
      <c r="AS566">
        <f t="shared" si="233"/>
        <v>0.45900000000000007</v>
      </c>
      <c r="AT566">
        <f t="shared" si="234"/>
        <v>11524</v>
      </c>
      <c r="AU566">
        <f t="shared" si="235"/>
        <v>5574</v>
      </c>
      <c r="AV566">
        <f t="shared" si="205"/>
        <v>6904</v>
      </c>
      <c r="AW566">
        <f t="shared" si="206"/>
        <v>7470</v>
      </c>
      <c r="AX566" s="3">
        <f t="shared" si="207"/>
        <v>10732.583072100319</v>
      </c>
      <c r="AY566">
        <f t="shared" si="208"/>
        <v>5762</v>
      </c>
      <c r="AZ566">
        <f t="shared" si="209"/>
        <v>7939</v>
      </c>
      <c r="BA566" s="3">
        <f t="shared" si="210"/>
        <v>11405.583072100319</v>
      </c>
    </row>
    <row r="567" spans="1:53" x14ac:dyDescent="0.2">
      <c r="A567">
        <v>2012</v>
      </c>
      <c r="B567" t="s">
        <v>72</v>
      </c>
      <c r="C567" t="s">
        <v>58</v>
      </c>
      <c r="D567">
        <v>12.6</v>
      </c>
      <c r="E567">
        <v>2.1</v>
      </c>
      <c r="F567">
        <v>1</v>
      </c>
      <c r="G567">
        <v>3.5</v>
      </c>
      <c r="H567">
        <v>4.0999999999999996</v>
      </c>
      <c r="I567">
        <v>6.6</v>
      </c>
      <c r="J567">
        <v>0</v>
      </c>
      <c r="K567">
        <f t="shared" si="211"/>
        <v>29.9</v>
      </c>
      <c r="L567">
        <v>0</v>
      </c>
      <c r="M567">
        <v>0</v>
      </c>
      <c r="N567">
        <v>0</v>
      </c>
      <c r="O567">
        <f t="shared" si="220"/>
        <v>0</v>
      </c>
      <c r="P567">
        <v>0</v>
      </c>
      <c r="Q567">
        <v>0</v>
      </c>
      <c r="R567">
        <v>0</v>
      </c>
      <c r="S567">
        <f t="shared" si="221"/>
        <v>0</v>
      </c>
      <c r="T567">
        <v>3.2</v>
      </c>
      <c r="U567">
        <v>1.5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f t="shared" si="222"/>
        <v>4.7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5.0999999999999996</v>
      </c>
      <c r="AI567">
        <v>16.399999999999999</v>
      </c>
      <c r="AJ567">
        <f t="shared" si="223"/>
        <v>21.5</v>
      </c>
      <c r="AK567">
        <v>1.1000000000000001</v>
      </c>
      <c r="AL567">
        <v>0.42899999999999999</v>
      </c>
      <c r="AM567">
        <f t="shared" si="232"/>
        <v>0.56100000000000005</v>
      </c>
      <c r="AN567">
        <v>8143</v>
      </c>
      <c r="AO567">
        <v>8143</v>
      </c>
      <c r="AP567" s="3">
        <f t="shared" si="226"/>
        <v>18548.974943052395</v>
      </c>
      <c r="AQ567" s="3">
        <f t="shared" si="227"/>
        <v>18548.974943052395</v>
      </c>
      <c r="AR567">
        <f t="shared" si="231"/>
        <v>0.38324420677361848</v>
      </c>
      <c r="AS567">
        <f t="shared" si="233"/>
        <v>0.34600000000000003</v>
      </c>
      <c r="AT567">
        <f t="shared" si="234"/>
        <v>6418</v>
      </c>
      <c r="AU567">
        <f t="shared" si="235"/>
        <v>3988</v>
      </c>
      <c r="AV567">
        <f t="shared" si="205"/>
        <v>3645</v>
      </c>
      <c r="AW567">
        <f t="shared" si="206"/>
        <v>4900</v>
      </c>
      <c r="AX567" s="3">
        <f t="shared" si="207"/>
        <v>10003.974943052395</v>
      </c>
      <c r="AY567">
        <f t="shared" si="208"/>
        <v>3209</v>
      </c>
      <c r="AZ567">
        <f t="shared" si="209"/>
        <v>5043</v>
      </c>
      <c r="BA567" s="3">
        <f t="shared" si="210"/>
        <v>10296.974943052395</v>
      </c>
    </row>
    <row r="568" spans="1:53" x14ac:dyDescent="0.2">
      <c r="A568">
        <v>2013</v>
      </c>
      <c r="B568" t="s">
        <v>72</v>
      </c>
      <c r="C568" t="s">
        <v>58</v>
      </c>
      <c r="D568">
        <v>1.4</v>
      </c>
      <c r="E568">
        <v>0</v>
      </c>
      <c r="F568">
        <v>2.1</v>
      </c>
      <c r="G568">
        <v>2.8</v>
      </c>
      <c r="H568">
        <v>1.8</v>
      </c>
      <c r="I568">
        <v>3.6</v>
      </c>
      <c r="J568">
        <v>1.1000000000000001</v>
      </c>
      <c r="K568">
        <f t="shared" si="211"/>
        <v>12.799999999999999</v>
      </c>
      <c r="L568">
        <v>0</v>
      </c>
      <c r="M568">
        <v>0</v>
      </c>
      <c r="N568">
        <v>0</v>
      </c>
      <c r="O568">
        <f t="shared" si="220"/>
        <v>0</v>
      </c>
      <c r="P568">
        <v>0</v>
      </c>
      <c r="Q568">
        <v>0</v>
      </c>
      <c r="R568">
        <v>0</v>
      </c>
      <c r="S568">
        <f t="shared" si="221"/>
        <v>0</v>
      </c>
      <c r="T568">
        <v>1.6</v>
      </c>
      <c r="U568">
        <v>1.3</v>
      </c>
      <c r="V568">
        <v>2.6</v>
      </c>
      <c r="W568">
        <v>0</v>
      </c>
      <c r="X568">
        <v>0</v>
      </c>
      <c r="Y568">
        <v>0</v>
      </c>
      <c r="Z568">
        <v>0</v>
      </c>
      <c r="AA568">
        <f t="shared" si="222"/>
        <v>5.5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2</v>
      </c>
      <c r="AI568">
        <v>34.700000000000003</v>
      </c>
      <c r="AJ568">
        <f t="shared" si="223"/>
        <v>36.700000000000003</v>
      </c>
      <c r="AK568">
        <v>1.3</v>
      </c>
      <c r="AL568">
        <v>0.436</v>
      </c>
      <c r="AM568">
        <f t="shared" si="232"/>
        <v>0.55000000000000004</v>
      </c>
      <c r="AN568">
        <v>15197</v>
      </c>
      <c r="AO568">
        <v>15197</v>
      </c>
      <c r="AP568" s="3">
        <f t="shared" si="226"/>
        <v>33771.111111111117</v>
      </c>
      <c r="AQ568" s="3">
        <f t="shared" si="227"/>
        <v>33771.111111111117</v>
      </c>
      <c r="AR568">
        <f t="shared" si="231"/>
        <v>0.66727272727272735</v>
      </c>
      <c r="AS568">
        <f t="shared" si="233"/>
        <v>0.18299999999999997</v>
      </c>
      <c r="AT568">
        <f t="shared" si="234"/>
        <v>6180</v>
      </c>
      <c r="AU568">
        <f t="shared" si="235"/>
        <v>12394</v>
      </c>
      <c r="AV568">
        <f t="shared" si="205"/>
        <v>4019</v>
      </c>
      <c r="AW568">
        <f t="shared" si="206"/>
        <v>13365</v>
      </c>
      <c r="AX568" s="3">
        <f t="shared" si="207"/>
        <v>16387.111111111117</v>
      </c>
      <c r="AY568">
        <f t="shared" si="208"/>
        <v>3090</v>
      </c>
      <c r="AZ568">
        <f t="shared" si="209"/>
        <v>13782</v>
      </c>
      <c r="BA568" s="3">
        <f t="shared" si="210"/>
        <v>16899.111111111117</v>
      </c>
    </row>
    <row r="569" spans="1:53" x14ac:dyDescent="0.2">
      <c r="A569">
        <v>2014</v>
      </c>
      <c r="B569" t="s">
        <v>72</v>
      </c>
      <c r="C569" t="s">
        <v>58</v>
      </c>
      <c r="D569">
        <v>8.3000000000000007</v>
      </c>
      <c r="E569">
        <v>0.4</v>
      </c>
      <c r="F569">
        <v>0</v>
      </c>
      <c r="G569">
        <v>6.8</v>
      </c>
      <c r="H569">
        <v>0</v>
      </c>
      <c r="I569">
        <v>4.3</v>
      </c>
      <c r="J569">
        <v>0</v>
      </c>
      <c r="K569">
        <f t="shared" si="211"/>
        <v>19.8</v>
      </c>
      <c r="L569">
        <v>0</v>
      </c>
      <c r="M569">
        <v>0</v>
      </c>
      <c r="N569">
        <v>0</v>
      </c>
      <c r="O569">
        <f t="shared" si="220"/>
        <v>0</v>
      </c>
      <c r="P569">
        <v>0</v>
      </c>
      <c r="Q569">
        <v>0</v>
      </c>
      <c r="R569">
        <v>2.4</v>
      </c>
      <c r="S569">
        <f t="shared" si="221"/>
        <v>2.4</v>
      </c>
      <c r="T569">
        <v>7.7</v>
      </c>
      <c r="U569">
        <v>1.3</v>
      </c>
      <c r="V569">
        <v>8.4</v>
      </c>
      <c r="W569">
        <v>0</v>
      </c>
      <c r="X569">
        <v>0</v>
      </c>
      <c r="Y569">
        <v>0</v>
      </c>
      <c r="Z569">
        <v>0</v>
      </c>
      <c r="AA569">
        <f t="shared" si="222"/>
        <v>17.399999999999999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3.2</v>
      </c>
      <c r="AI569">
        <v>0</v>
      </c>
      <c r="AJ569">
        <f t="shared" si="223"/>
        <v>3.2</v>
      </c>
      <c r="AK569">
        <v>0.4</v>
      </c>
      <c r="AL569">
        <v>0.56799999999999995</v>
      </c>
      <c r="AM569">
        <f t="shared" si="232"/>
        <v>0.42799999999999999</v>
      </c>
      <c r="AN569">
        <v>20808</v>
      </c>
      <c r="AO569">
        <v>20808</v>
      </c>
      <c r="AP569" s="3">
        <f t="shared" si="226"/>
        <v>36377.622377622371</v>
      </c>
      <c r="AQ569" s="3">
        <f t="shared" si="227"/>
        <v>36377.622377622371</v>
      </c>
      <c r="AR569">
        <f t="shared" si="231"/>
        <v>7.4766355140186924E-2</v>
      </c>
      <c r="AS569">
        <f t="shared" si="233"/>
        <v>0.39599999999999996</v>
      </c>
      <c r="AT569">
        <f t="shared" si="234"/>
        <v>14406</v>
      </c>
      <c r="AU569">
        <f t="shared" si="235"/>
        <v>1164</v>
      </c>
      <c r="AV569">
        <f t="shared" si="205"/>
        <v>10804</v>
      </c>
      <c r="AW569">
        <f t="shared" si="206"/>
        <v>1355</v>
      </c>
      <c r="AX569" s="3">
        <f t="shared" si="207"/>
        <v>24218.622377622371</v>
      </c>
      <c r="AY569">
        <f t="shared" si="208"/>
        <v>7203</v>
      </c>
      <c r="AZ569">
        <f t="shared" si="209"/>
        <v>1546</v>
      </c>
      <c r="BA569" s="3">
        <f t="shared" si="210"/>
        <v>27628.622377622371</v>
      </c>
    </row>
    <row r="570" spans="1:53" x14ac:dyDescent="0.2">
      <c r="A570">
        <v>2015</v>
      </c>
      <c r="B570" t="s">
        <v>72</v>
      </c>
      <c r="C570" t="s">
        <v>58</v>
      </c>
      <c r="D570">
        <v>6.5</v>
      </c>
      <c r="E570">
        <v>0</v>
      </c>
      <c r="F570">
        <v>1.4</v>
      </c>
      <c r="G570">
        <v>5.6</v>
      </c>
      <c r="H570">
        <v>4.2</v>
      </c>
      <c r="I570">
        <v>0.5</v>
      </c>
      <c r="J570">
        <v>0</v>
      </c>
      <c r="K570">
        <f t="shared" si="211"/>
        <v>18.2</v>
      </c>
      <c r="L570">
        <v>0</v>
      </c>
      <c r="M570">
        <v>0</v>
      </c>
      <c r="N570">
        <v>0</v>
      </c>
      <c r="O570">
        <f t="shared" si="220"/>
        <v>0</v>
      </c>
      <c r="P570">
        <v>0</v>
      </c>
      <c r="Q570">
        <v>0</v>
      </c>
      <c r="R570">
        <v>0</v>
      </c>
      <c r="S570">
        <f t="shared" si="221"/>
        <v>0</v>
      </c>
      <c r="T570">
        <v>0.8</v>
      </c>
      <c r="U570">
        <v>1.1000000000000001</v>
      </c>
      <c r="V570">
        <v>0.8</v>
      </c>
      <c r="W570">
        <v>0</v>
      </c>
      <c r="X570">
        <v>0</v>
      </c>
      <c r="Y570">
        <v>0</v>
      </c>
      <c r="Z570">
        <v>0</v>
      </c>
      <c r="AA570">
        <f t="shared" si="222"/>
        <v>2.7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9.6</v>
      </c>
      <c r="AI570">
        <v>2.6</v>
      </c>
      <c r="AJ570">
        <f t="shared" si="223"/>
        <v>12.2</v>
      </c>
      <c r="AK570">
        <v>0</v>
      </c>
      <c r="AL570">
        <v>0.67</v>
      </c>
      <c r="AM570">
        <f t="shared" si="232"/>
        <v>0.33100000000000002</v>
      </c>
      <c r="AN570">
        <v>23631</v>
      </c>
      <c r="AO570">
        <v>23631</v>
      </c>
      <c r="AP570" s="3">
        <f t="shared" si="226"/>
        <v>35322.869955156952</v>
      </c>
      <c r="AQ570" s="3">
        <f t="shared" si="227"/>
        <v>35322.869955156952</v>
      </c>
      <c r="AR570">
        <f t="shared" si="231"/>
        <v>0.36858006042296071</v>
      </c>
      <c r="AS570">
        <f t="shared" si="233"/>
        <v>0.20899999999999999</v>
      </c>
      <c r="AT570">
        <f t="shared" si="234"/>
        <v>7382</v>
      </c>
      <c r="AU570">
        <f t="shared" si="235"/>
        <v>4309</v>
      </c>
      <c r="AV570">
        <f t="shared" si="205"/>
        <v>4168</v>
      </c>
      <c r="AW570">
        <f t="shared" si="206"/>
        <v>4805</v>
      </c>
      <c r="AX570" s="3">
        <f t="shared" si="207"/>
        <v>26349.869955156952</v>
      </c>
      <c r="AY570">
        <f t="shared" si="208"/>
        <v>3691</v>
      </c>
      <c r="AZ570">
        <f t="shared" si="209"/>
        <v>4878</v>
      </c>
      <c r="BA570" s="3">
        <f t="shared" si="210"/>
        <v>26753.869955156952</v>
      </c>
    </row>
    <row r="571" spans="1:53" x14ac:dyDescent="0.2">
      <c r="A571">
        <v>2016</v>
      </c>
      <c r="B571" t="s">
        <v>72</v>
      </c>
      <c r="C571" t="s">
        <v>58</v>
      </c>
      <c r="D571" t="s">
        <v>13</v>
      </c>
      <c r="E571" t="s">
        <v>13</v>
      </c>
      <c r="F571" t="s">
        <v>13</v>
      </c>
      <c r="G571" t="s">
        <v>13</v>
      </c>
      <c r="H571" t="s">
        <v>13</v>
      </c>
      <c r="I571" t="s">
        <v>13</v>
      </c>
      <c r="J571" t="s">
        <v>13</v>
      </c>
      <c r="K571" t="s">
        <v>13</v>
      </c>
      <c r="L571" t="s">
        <v>13</v>
      </c>
      <c r="M571" t="s">
        <v>13</v>
      </c>
      <c r="N571" t="s">
        <v>13</v>
      </c>
      <c r="O571" t="s">
        <v>13</v>
      </c>
      <c r="P571" t="s">
        <v>13</v>
      </c>
      <c r="Q571" t="s">
        <v>13</v>
      </c>
      <c r="R571" t="s">
        <v>13</v>
      </c>
      <c r="S571" t="s">
        <v>13</v>
      </c>
      <c r="T571" t="s">
        <v>13</v>
      </c>
      <c r="U571" t="s">
        <v>13</v>
      </c>
      <c r="V571" t="s">
        <v>13</v>
      </c>
      <c r="W571" t="s">
        <v>13</v>
      </c>
      <c r="X571" t="s">
        <v>13</v>
      </c>
      <c r="Y571" t="s">
        <v>13</v>
      </c>
      <c r="Z571" t="s">
        <v>13</v>
      </c>
      <c r="AA571" t="s">
        <v>13</v>
      </c>
      <c r="AB571" t="s">
        <v>13</v>
      </c>
      <c r="AC571" t="s">
        <v>13</v>
      </c>
      <c r="AD571" t="s">
        <v>13</v>
      </c>
      <c r="AE571" t="s">
        <v>13</v>
      </c>
      <c r="AF571" t="s">
        <v>13</v>
      </c>
      <c r="AG571" t="s">
        <v>13</v>
      </c>
      <c r="AH571" t="s">
        <v>13</v>
      </c>
      <c r="AI571" t="s">
        <v>13</v>
      </c>
      <c r="AJ571" t="s">
        <v>13</v>
      </c>
      <c r="AK571" t="s">
        <v>13</v>
      </c>
      <c r="AL571" t="s">
        <v>13</v>
      </c>
      <c r="AM571" t="s">
        <v>13</v>
      </c>
      <c r="AN571">
        <v>8957</v>
      </c>
      <c r="AO571">
        <v>8957</v>
      </c>
      <c r="AP571" t="s">
        <v>13</v>
      </c>
      <c r="AQ571" t="s">
        <v>13</v>
      </c>
      <c r="AR571" t="s">
        <v>13</v>
      </c>
      <c r="AS571" t="s">
        <v>13</v>
      </c>
      <c r="AT571" t="s">
        <v>13</v>
      </c>
      <c r="AU571" t="s">
        <v>13</v>
      </c>
      <c r="AV571" t="s">
        <v>13</v>
      </c>
      <c r="AW571" t="s">
        <v>13</v>
      </c>
      <c r="AX571" t="s">
        <v>13</v>
      </c>
      <c r="AY571" t="s">
        <v>13</v>
      </c>
      <c r="AZ571" t="s">
        <v>13</v>
      </c>
      <c r="BA571" t="s">
        <v>13</v>
      </c>
    </row>
    <row r="572" spans="1:53" x14ac:dyDescent="0.2">
      <c r="A572">
        <v>2017</v>
      </c>
      <c r="B572" t="s">
        <v>72</v>
      </c>
      <c r="C572" t="s">
        <v>58</v>
      </c>
      <c r="D572" t="s">
        <v>13</v>
      </c>
      <c r="E572" t="s">
        <v>13</v>
      </c>
      <c r="F572" t="s">
        <v>13</v>
      </c>
      <c r="G572" t="s">
        <v>13</v>
      </c>
      <c r="H572" t="s">
        <v>13</v>
      </c>
      <c r="I572" t="s">
        <v>13</v>
      </c>
      <c r="J572" t="s">
        <v>13</v>
      </c>
      <c r="K572" t="s">
        <v>13</v>
      </c>
      <c r="L572" t="s">
        <v>13</v>
      </c>
      <c r="M572" t="s">
        <v>13</v>
      </c>
      <c r="N572" t="s">
        <v>13</v>
      </c>
      <c r="O572" t="s">
        <v>13</v>
      </c>
      <c r="P572" t="s">
        <v>13</v>
      </c>
      <c r="Q572" t="s">
        <v>13</v>
      </c>
      <c r="R572" t="s">
        <v>13</v>
      </c>
      <c r="S572" t="s">
        <v>13</v>
      </c>
      <c r="T572" t="s">
        <v>13</v>
      </c>
      <c r="U572" t="s">
        <v>13</v>
      </c>
      <c r="V572" t="s">
        <v>13</v>
      </c>
      <c r="W572" t="s">
        <v>13</v>
      </c>
      <c r="X572" t="s">
        <v>13</v>
      </c>
      <c r="Y572" t="s">
        <v>13</v>
      </c>
      <c r="Z572" t="s">
        <v>13</v>
      </c>
      <c r="AA572" t="s">
        <v>13</v>
      </c>
      <c r="AB572" t="s">
        <v>13</v>
      </c>
      <c r="AC572" t="s">
        <v>13</v>
      </c>
      <c r="AD572" t="s">
        <v>13</v>
      </c>
      <c r="AE572" t="s">
        <v>13</v>
      </c>
      <c r="AF572" t="s">
        <v>13</v>
      </c>
      <c r="AG572" t="s">
        <v>13</v>
      </c>
      <c r="AH572" t="s">
        <v>13</v>
      </c>
      <c r="AI572" t="s">
        <v>13</v>
      </c>
      <c r="AJ572" t="s">
        <v>13</v>
      </c>
      <c r="AK572" t="s">
        <v>13</v>
      </c>
      <c r="AL572" t="s">
        <v>13</v>
      </c>
      <c r="AM572" t="s">
        <v>13</v>
      </c>
      <c r="AN572">
        <v>6058</v>
      </c>
      <c r="AO572">
        <v>6058</v>
      </c>
      <c r="AP572" t="s">
        <v>13</v>
      </c>
      <c r="AQ572" t="s">
        <v>13</v>
      </c>
      <c r="AR572" t="s">
        <v>13</v>
      </c>
      <c r="AS572" t="s">
        <v>13</v>
      </c>
      <c r="AT572" t="s">
        <v>13</v>
      </c>
      <c r="AU572" t="s">
        <v>13</v>
      </c>
      <c r="AV572" t="s">
        <v>13</v>
      </c>
      <c r="AW572" t="s">
        <v>13</v>
      </c>
      <c r="AX572" t="s">
        <v>13</v>
      </c>
      <c r="AY572" t="s">
        <v>13</v>
      </c>
      <c r="AZ572" t="s">
        <v>13</v>
      </c>
      <c r="BA572" t="s">
        <v>13</v>
      </c>
    </row>
    <row r="573" spans="1:53" x14ac:dyDescent="0.2">
      <c r="A573">
        <v>2018</v>
      </c>
      <c r="B573" t="s">
        <v>72</v>
      </c>
      <c r="C573" t="s">
        <v>58</v>
      </c>
      <c r="D573">
        <v>3.6</v>
      </c>
      <c r="E573">
        <v>0</v>
      </c>
      <c r="F573">
        <v>0</v>
      </c>
      <c r="G573">
        <v>6.4</v>
      </c>
      <c r="H573">
        <v>0</v>
      </c>
      <c r="I573">
        <v>0</v>
      </c>
      <c r="J573">
        <v>9.6</v>
      </c>
      <c r="K573">
        <f t="shared" si="211"/>
        <v>19.600000000000001</v>
      </c>
      <c r="L573">
        <v>0</v>
      </c>
      <c r="M573">
        <v>0</v>
      </c>
      <c r="N573">
        <v>0</v>
      </c>
      <c r="O573">
        <f t="shared" si="220"/>
        <v>0</v>
      </c>
      <c r="P573">
        <v>0</v>
      </c>
      <c r="Q573">
        <v>0</v>
      </c>
      <c r="R573">
        <v>0</v>
      </c>
      <c r="S573">
        <f t="shared" si="221"/>
        <v>0</v>
      </c>
      <c r="T573">
        <v>3.1</v>
      </c>
      <c r="U573">
        <v>1.4</v>
      </c>
      <c r="V573">
        <v>2.6</v>
      </c>
      <c r="W573">
        <v>0</v>
      </c>
      <c r="X573">
        <v>0</v>
      </c>
      <c r="Y573">
        <v>0</v>
      </c>
      <c r="Z573">
        <v>0</v>
      </c>
      <c r="AA573">
        <f t="shared" si="222"/>
        <v>7.1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37.4</v>
      </c>
      <c r="AJ573">
        <f t="shared" si="223"/>
        <v>37.4</v>
      </c>
      <c r="AK573">
        <v>0</v>
      </c>
      <c r="AL573">
        <v>0.35899999999999999</v>
      </c>
      <c r="AM573">
        <f t="shared" si="232"/>
        <v>0.6409999999999999</v>
      </c>
      <c r="AN573">
        <v>5499</v>
      </c>
      <c r="AO573">
        <v>5499</v>
      </c>
      <c r="AP573" s="3">
        <f t="shared" si="226"/>
        <v>15317.548746518101</v>
      </c>
      <c r="AQ573" s="3">
        <f t="shared" si="227"/>
        <v>15317.548746518101</v>
      </c>
      <c r="AR573">
        <f t="shared" si="231"/>
        <v>0.58346333853354138</v>
      </c>
      <c r="AS573">
        <f>SUM(K573,O573,S573,AA573)/100</f>
        <v>0.26700000000000002</v>
      </c>
      <c r="AT573">
        <f>ROUND(AS573*AP573,0)</f>
        <v>4090</v>
      </c>
      <c r="AU573">
        <f>ROUND((AJ573/100)*AP573,0)</f>
        <v>5729</v>
      </c>
      <c r="AV573">
        <f t="shared" si="205"/>
        <v>2589</v>
      </c>
      <c r="AW573">
        <f t="shared" si="206"/>
        <v>6495</v>
      </c>
      <c r="AX573" s="3">
        <f t="shared" si="207"/>
        <v>6233.5487465181013</v>
      </c>
      <c r="AY573">
        <f t="shared" si="208"/>
        <v>2045</v>
      </c>
      <c r="AZ573">
        <f t="shared" si="209"/>
        <v>6772</v>
      </c>
      <c r="BA573" s="3">
        <f t="shared" si="210"/>
        <v>6500.5487465181013</v>
      </c>
    </row>
    <row r="574" spans="1:53" x14ac:dyDescent="0.2">
      <c r="A574">
        <v>2019</v>
      </c>
      <c r="B574" t="s">
        <v>72</v>
      </c>
      <c r="C574" t="s">
        <v>58</v>
      </c>
      <c r="D574">
        <v>2.5</v>
      </c>
      <c r="E574">
        <v>42.1</v>
      </c>
      <c r="F574">
        <v>0</v>
      </c>
      <c r="G574">
        <v>6.3</v>
      </c>
      <c r="H574">
        <v>0</v>
      </c>
      <c r="I574">
        <v>2.2000000000000002</v>
      </c>
      <c r="J574">
        <v>0</v>
      </c>
      <c r="K574">
        <f t="shared" si="211"/>
        <v>53.1</v>
      </c>
      <c r="L574">
        <v>0</v>
      </c>
      <c r="M574">
        <v>0</v>
      </c>
      <c r="N574">
        <v>0</v>
      </c>
      <c r="O574">
        <f t="shared" si="220"/>
        <v>0</v>
      </c>
      <c r="P574">
        <v>0</v>
      </c>
      <c r="Q574">
        <v>0</v>
      </c>
      <c r="R574">
        <v>0</v>
      </c>
      <c r="S574">
        <f t="shared" si="221"/>
        <v>0</v>
      </c>
      <c r="T574">
        <v>1.5</v>
      </c>
      <c r="U574">
        <v>0</v>
      </c>
      <c r="V574">
        <v>1.6</v>
      </c>
      <c r="W574">
        <v>0</v>
      </c>
      <c r="X574">
        <v>0</v>
      </c>
      <c r="Y574">
        <v>0</v>
      </c>
      <c r="Z574">
        <v>0</v>
      </c>
      <c r="AA574">
        <f t="shared" si="222"/>
        <v>3.1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f t="shared" si="223"/>
        <v>0</v>
      </c>
      <c r="AK574">
        <v>0</v>
      </c>
      <c r="AL574">
        <v>0.439</v>
      </c>
      <c r="AM574">
        <f t="shared" si="232"/>
        <v>0.56200000000000006</v>
      </c>
      <c r="AN574">
        <v>14307</v>
      </c>
      <c r="AO574">
        <v>14307</v>
      </c>
      <c r="AP574" s="3">
        <f t="shared" si="226"/>
        <v>32664.383561643841</v>
      </c>
      <c r="AQ574" s="3">
        <f t="shared" si="227"/>
        <v>32664.383561643841</v>
      </c>
      <c r="AR574">
        <f t="shared" si="231"/>
        <v>0</v>
      </c>
      <c r="AS574">
        <f>SUM(K574,O574,S574,AA574)/100</f>
        <v>0.56200000000000006</v>
      </c>
      <c r="AT574">
        <f>ROUND(AS574*AP574,0)</f>
        <v>18357</v>
      </c>
      <c r="AU574">
        <f>ROUND((AJ574/100)*AP574,0)</f>
        <v>0</v>
      </c>
      <c r="AV574">
        <f t="shared" si="205"/>
        <v>9685</v>
      </c>
      <c r="AW574">
        <f t="shared" si="206"/>
        <v>0</v>
      </c>
      <c r="AX574" s="3">
        <f t="shared" si="207"/>
        <v>22979.383561643841</v>
      </c>
      <c r="AY574">
        <f t="shared" si="208"/>
        <v>9179</v>
      </c>
      <c r="AZ574">
        <f t="shared" si="209"/>
        <v>0</v>
      </c>
      <c r="BA574" s="3">
        <f t="shared" si="210"/>
        <v>23485.383561643841</v>
      </c>
    </row>
    <row r="575" spans="1:53" x14ac:dyDescent="0.2">
      <c r="A575">
        <v>2020</v>
      </c>
      <c r="B575" t="s">
        <v>72</v>
      </c>
      <c r="C575" t="s">
        <v>58</v>
      </c>
      <c r="D575">
        <v>14.3</v>
      </c>
      <c r="E575">
        <v>0</v>
      </c>
      <c r="F575">
        <v>1.1000000000000001</v>
      </c>
      <c r="G575">
        <v>4.9000000000000004</v>
      </c>
      <c r="H575">
        <v>0</v>
      </c>
      <c r="I575">
        <v>1</v>
      </c>
      <c r="J575">
        <v>0</v>
      </c>
      <c r="K575">
        <f t="shared" si="211"/>
        <v>21.3</v>
      </c>
      <c r="L575">
        <v>0</v>
      </c>
      <c r="M575">
        <v>0</v>
      </c>
      <c r="N575">
        <v>0</v>
      </c>
      <c r="O575">
        <f t="shared" si="220"/>
        <v>0</v>
      </c>
      <c r="P575">
        <v>0</v>
      </c>
      <c r="Q575">
        <v>0</v>
      </c>
      <c r="R575">
        <v>0</v>
      </c>
      <c r="S575">
        <f t="shared" si="221"/>
        <v>0</v>
      </c>
      <c r="T575">
        <v>2</v>
      </c>
      <c r="U575">
        <v>1.6</v>
      </c>
      <c r="V575">
        <v>0.3</v>
      </c>
      <c r="W575">
        <v>0</v>
      </c>
      <c r="X575">
        <v>0</v>
      </c>
      <c r="Y575">
        <v>0</v>
      </c>
      <c r="Z575">
        <v>0</v>
      </c>
      <c r="AA575">
        <f t="shared" si="222"/>
        <v>3.9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2</v>
      </c>
      <c r="AI575">
        <v>2.7</v>
      </c>
      <c r="AJ575">
        <f t="shared" si="223"/>
        <v>4.7</v>
      </c>
      <c r="AK575">
        <v>2</v>
      </c>
      <c r="AL575">
        <v>0.68099999999999994</v>
      </c>
      <c r="AM575">
        <f t="shared" si="232"/>
        <v>0.29900000000000004</v>
      </c>
      <c r="AN575">
        <v>26792</v>
      </c>
      <c r="AO575">
        <v>26792</v>
      </c>
      <c r="AP575" s="3">
        <f t="shared" si="226"/>
        <v>38219.686162624821</v>
      </c>
      <c r="AQ575" s="3">
        <f t="shared" si="227"/>
        <v>38219.686162624821</v>
      </c>
      <c r="AR575">
        <f t="shared" si="231"/>
        <v>0.157190635451505</v>
      </c>
      <c r="AS575">
        <f>SUM(K575,O575,S575,AA575)/100</f>
        <v>0.252</v>
      </c>
      <c r="AT575">
        <f>ROUND(AS575*AP575,0)</f>
        <v>9631</v>
      </c>
      <c r="AU575">
        <f>ROUND((AJ575/100)*AP575,0)</f>
        <v>1796</v>
      </c>
      <c r="AV575">
        <f t="shared" si="205"/>
        <v>5561</v>
      </c>
      <c r="AW575">
        <f t="shared" si="206"/>
        <v>2052</v>
      </c>
      <c r="AX575" s="3">
        <f t="shared" si="207"/>
        <v>30606.686162624821</v>
      </c>
      <c r="AY575">
        <f t="shared" si="208"/>
        <v>4816</v>
      </c>
      <c r="AZ575">
        <f t="shared" si="209"/>
        <v>2098</v>
      </c>
      <c r="BA575" s="3">
        <f t="shared" si="210"/>
        <v>31305.686162624821</v>
      </c>
    </row>
    <row r="576" spans="1:53" x14ac:dyDescent="0.2">
      <c r="A576">
        <v>2021</v>
      </c>
      <c r="B576" t="s">
        <v>72</v>
      </c>
      <c r="C576" t="s">
        <v>58</v>
      </c>
      <c r="D576">
        <v>14.9</v>
      </c>
      <c r="E576">
        <v>10</v>
      </c>
      <c r="F576">
        <v>0</v>
      </c>
      <c r="G576">
        <v>16.399999999999999</v>
      </c>
      <c r="H576">
        <v>0</v>
      </c>
      <c r="I576">
        <v>0.7</v>
      </c>
      <c r="J576">
        <v>0</v>
      </c>
      <c r="K576">
        <f t="shared" si="211"/>
        <v>42</v>
      </c>
      <c r="L576">
        <v>0</v>
      </c>
      <c r="M576">
        <v>0</v>
      </c>
      <c r="N576">
        <v>0</v>
      </c>
      <c r="O576">
        <f t="shared" si="220"/>
        <v>0</v>
      </c>
      <c r="P576">
        <v>0</v>
      </c>
      <c r="Q576">
        <v>0</v>
      </c>
      <c r="R576">
        <v>0</v>
      </c>
      <c r="S576">
        <f t="shared" si="221"/>
        <v>0</v>
      </c>
      <c r="T576">
        <v>2.6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f t="shared" si="222"/>
        <v>2.6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4.7</v>
      </c>
      <c r="AJ576">
        <f t="shared" si="223"/>
        <v>4.7</v>
      </c>
      <c r="AK576">
        <v>2.6</v>
      </c>
      <c r="AL576">
        <v>0.48100000000000004</v>
      </c>
      <c r="AM576">
        <f t="shared" si="232"/>
        <v>0.49300000000000005</v>
      </c>
      <c r="AN576">
        <v>12430</v>
      </c>
      <c r="AO576">
        <v>12430</v>
      </c>
      <c r="AP576" s="3">
        <f t="shared" si="226"/>
        <v>24516.765285996062</v>
      </c>
      <c r="AQ576" s="3">
        <f t="shared" si="227"/>
        <v>24516.765285996062</v>
      </c>
      <c r="AR576">
        <f t="shared" si="231"/>
        <v>9.5334685598377267E-2</v>
      </c>
      <c r="AS576">
        <f>SUM(K576,O576,S576,AA576)/100</f>
        <v>0.44600000000000001</v>
      </c>
      <c r="AT576">
        <f>ROUND(AS576*AP576,0)</f>
        <v>10934</v>
      </c>
      <c r="AU576">
        <f>ROUND((AJ576/100)*AP576,0)</f>
        <v>1152</v>
      </c>
      <c r="AV576">
        <f t="shared" si="205"/>
        <v>5786</v>
      </c>
      <c r="AW576">
        <f t="shared" si="206"/>
        <v>1589</v>
      </c>
      <c r="AX576" s="3">
        <f t="shared" si="207"/>
        <v>17141.765285996062</v>
      </c>
      <c r="AY576">
        <f t="shared" si="208"/>
        <v>5467</v>
      </c>
      <c r="AZ576">
        <f t="shared" si="209"/>
        <v>1616</v>
      </c>
      <c r="BA576" s="3">
        <f t="shared" si="210"/>
        <v>17433.765285996062</v>
      </c>
    </row>
    <row r="577" spans="1:53" x14ac:dyDescent="0.2">
      <c r="A577">
        <v>2022</v>
      </c>
      <c r="B577" t="s">
        <v>72</v>
      </c>
      <c r="C577" t="s">
        <v>58</v>
      </c>
      <c r="D577">
        <v>21</v>
      </c>
      <c r="E577">
        <v>2.2999999999999998</v>
      </c>
      <c r="F577">
        <v>0</v>
      </c>
      <c r="G577">
        <v>7.4</v>
      </c>
      <c r="H577">
        <v>9.6</v>
      </c>
      <c r="I577">
        <v>1.5</v>
      </c>
      <c r="J577">
        <v>0</v>
      </c>
      <c r="K577">
        <f t="shared" si="211"/>
        <v>41.800000000000004</v>
      </c>
      <c r="L577">
        <v>0</v>
      </c>
      <c r="M577">
        <v>0</v>
      </c>
      <c r="N577">
        <v>0</v>
      </c>
      <c r="O577">
        <f t="shared" si="220"/>
        <v>0</v>
      </c>
      <c r="P577">
        <v>0</v>
      </c>
      <c r="Q577">
        <v>0</v>
      </c>
      <c r="R577">
        <v>0</v>
      </c>
      <c r="S577">
        <f t="shared" si="221"/>
        <v>0</v>
      </c>
      <c r="T577">
        <v>10.199999999999999</v>
      </c>
      <c r="U577">
        <v>0</v>
      </c>
      <c r="V577">
        <v>2.8</v>
      </c>
      <c r="W577">
        <v>0</v>
      </c>
      <c r="X577">
        <v>0</v>
      </c>
      <c r="Y577">
        <v>0</v>
      </c>
      <c r="Z577">
        <v>0</v>
      </c>
      <c r="AA577">
        <f t="shared" si="222"/>
        <v>13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1.8</v>
      </c>
      <c r="AI577">
        <v>4.5999999999999996</v>
      </c>
      <c r="AJ577">
        <f t="shared" si="223"/>
        <v>6.3999999999999995</v>
      </c>
      <c r="AK577">
        <v>0</v>
      </c>
      <c r="AL577">
        <v>0.38900000000000001</v>
      </c>
      <c r="AM577">
        <f t="shared" si="232"/>
        <v>0.61199999999999999</v>
      </c>
      <c r="AN577">
        <v>11504</v>
      </c>
      <c r="AO577">
        <v>11504</v>
      </c>
      <c r="AP577" s="3">
        <f t="shared" si="226"/>
        <v>29649.484536082473</v>
      </c>
      <c r="AQ577" s="3">
        <f t="shared" si="227"/>
        <v>29649.484536082473</v>
      </c>
      <c r="AR577">
        <f t="shared" si="231"/>
        <v>0.10457516339869281</v>
      </c>
      <c r="AS577">
        <f>SUM(K577,O577,S577,AA577)/100</f>
        <v>0.54800000000000004</v>
      </c>
      <c r="AT577">
        <f>ROUND(AS577*AP577,0)</f>
        <v>16248</v>
      </c>
      <c r="AU577">
        <f>ROUND((AJ577/100)*AP577,0)</f>
        <v>1898</v>
      </c>
      <c r="AV577">
        <f t="shared" si="205"/>
        <v>10051</v>
      </c>
      <c r="AW577">
        <f t="shared" si="206"/>
        <v>2776</v>
      </c>
      <c r="AX577" s="3">
        <f t="shared" si="207"/>
        <v>16822.484536082473</v>
      </c>
      <c r="AY577">
        <f t="shared" si="208"/>
        <v>8124</v>
      </c>
      <c r="AZ577">
        <f t="shared" si="209"/>
        <v>3049</v>
      </c>
      <c r="BA577" s="3">
        <f t="shared" si="210"/>
        <v>18476.484536082473</v>
      </c>
    </row>
    <row r="578" spans="1:53" x14ac:dyDescent="0.2">
      <c r="A578">
        <v>2023</v>
      </c>
      <c r="B578" t="s">
        <v>72</v>
      </c>
      <c r="C578" t="s">
        <v>58</v>
      </c>
      <c r="D578" t="s">
        <v>13</v>
      </c>
      <c r="E578" t="s">
        <v>13</v>
      </c>
      <c r="F578" t="s">
        <v>13</v>
      </c>
      <c r="G578" t="s">
        <v>13</v>
      </c>
      <c r="H578" t="s">
        <v>13</v>
      </c>
      <c r="I578" t="s">
        <v>13</v>
      </c>
      <c r="J578" t="s">
        <v>13</v>
      </c>
      <c r="K578" t="s">
        <v>13</v>
      </c>
      <c r="L578" t="s">
        <v>13</v>
      </c>
      <c r="M578" t="s">
        <v>13</v>
      </c>
      <c r="N578" t="s">
        <v>13</v>
      </c>
      <c r="O578" t="s">
        <v>13</v>
      </c>
      <c r="P578" t="s">
        <v>13</v>
      </c>
      <c r="Q578" t="s">
        <v>13</v>
      </c>
      <c r="R578" t="s">
        <v>13</v>
      </c>
      <c r="S578" t="s">
        <v>13</v>
      </c>
      <c r="T578" t="s">
        <v>13</v>
      </c>
      <c r="U578" t="s">
        <v>13</v>
      </c>
      <c r="V578" t="s">
        <v>13</v>
      </c>
      <c r="W578" t="s">
        <v>13</v>
      </c>
      <c r="X578" t="s">
        <v>13</v>
      </c>
      <c r="Y578" t="s">
        <v>13</v>
      </c>
      <c r="Z578" t="s">
        <v>13</v>
      </c>
      <c r="AA578" t="s">
        <v>13</v>
      </c>
      <c r="AB578" t="s">
        <v>13</v>
      </c>
      <c r="AC578" t="s">
        <v>13</v>
      </c>
      <c r="AD578" t="s">
        <v>13</v>
      </c>
      <c r="AE578" t="s">
        <v>13</v>
      </c>
      <c r="AF578" t="s">
        <v>13</v>
      </c>
      <c r="AG578" t="s">
        <v>13</v>
      </c>
      <c r="AH578" t="s">
        <v>13</v>
      </c>
      <c r="AI578" t="s">
        <v>13</v>
      </c>
      <c r="AJ578" t="s">
        <v>13</v>
      </c>
      <c r="AK578" t="s">
        <v>13</v>
      </c>
      <c r="AL578" t="s">
        <v>13</v>
      </c>
      <c r="AM578" t="s">
        <v>13</v>
      </c>
      <c r="AN578">
        <v>7616</v>
      </c>
      <c r="AO578">
        <v>7616</v>
      </c>
      <c r="AP578" t="s">
        <v>13</v>
      </c>
      <c r="AQ578" t="s">
        <v>13</v>
      </c>
      <c r="AR578" t="s">
        <v>13</v>
      </c>
      <c r="AS578" t="s">
        <v>13</v>
      </c>
      <c r="AT578" t="s">
        <v>13</v>
      </c>
      <c r="AU578" t="s">
        <v>13</v>
      </c>
      <c r="AV578" t="s">
        <v>13</v>
      </c>
      <c r="AW578" t="s">
        <v>13</v>
      </c>
      <c r="AX578" t="s">
        <v>13</v>
      </c>
      <c r="AY578" t="s">
        <v>13</v>
      </c>
      <c r="AZ578" t="s">
        <v>13</v>
      </c>
      <c r="BA578" t="s">
        <v>13</v>
      </c>
    </row>
    <row r="579" spans="1:53" x14ac:dyDescent="0.2">
      <c r="A579">
        <v>1989</v>
      </c>
      <c r="B579" t="s">
        <v>75</v>
      </c>
      <c r="C579" t="s">
        <v>57</v>
      </c>
      <c r="D579">
        <v>4.4000000000000004</v>
      </c>
      <c r="E579">
        <v>1.6</v>
      </c>
      <c r="F579">
        <v>0.1</v>
      </c>
      <c r="G579">
        <v>5.7</v>
      </c>
      <c r="H579">
        <v>1.8</v>
      </c>
      <c r="I579">
        <v>1.1000000000000001</v>
      </c>
      <c r="J579">
        <v>0</v>
      </c>
      <c r="K579">
        <f t="shared" si="211"/>
        <v>14.700000000000001</v>
      </c>
      <c r="L579" s="1">
        <v>0.8</v>
      </c>
      <c r="M579" s="1">
        <v>0</v>
      </c>
      <c r="N579" s="1">
        <v>0</v>
      </c>
      <c r="O579">
        <f t="shared" si="220"/>
        <v>0.8</v>
      </c>
      <c r="P579">
        <v>0.8</v>
      </c>
      <c r="Q579">
        <v>2.6</v>
      </c>
      <c r="R579">
        <v>3.7</v>
      </c>
      <c r="S579">
        <f t="shared" si="221"/>
        <v>7.1000000000000005</v>
      </c>
      <c r="T579" s="1">
        <v>0</v>
      </c>
      <c r="U579" s="1">
        <v>0</v>
      </c>
      <c r="V579">
        <v>0</v>
      </c>
      <c r="W579">
        <v>0</v>
      </c>
      <c r="X579">
        <v>0</v>
      </c>
      <c r="Y579">
        <v>3.1</v>
      </c>
      <c r="Z579">
        <v>0.5</v>
      </c>
      <c r="AA579">
        <f t="shared" si="222"/>
        <v>3.6</v>
      </c>
      <c r="AB579">
        <v>0</v>
      </c>
      <c r="AC579">
        <v>0</v>
      </c>
      <c r="AD579">
        <v>0</v>
      </c>
      <c r="AE579">
        <v>0</v>
      </c>
      <c r="AF579">
        <v>1.1000000000000001</v>
      </c>
      <c r="AG579">
        <v>0</v>
      </c>
      <c r="AH579">
        <v>0</v>
      </c>
      <c r="AI579">
        <v>0</v>
      </c>
      <c r="AJ579">
        <f t="shared" si="223"/>
        <v>1.1000000000000001</v>
      </c>
      <c r="AK579" s="1">
        <v>0</v>
      </c>
      <c r="AL579">
        <v>0.72599999999999998</v>
      </c>
      <c r="AM579">
        <f t="shared" si="232"/>
        <v>0.27300000000000002</v>
      </c>
      <c r="AN579" t="s">
        <v>13</v>
      </c>
      <c r="AO579" t="s">
        <v>13</v>
      </c>
      <c r="AP579" t="s">
        <v>13</v>
      </c>
      <c r="AQ579" t="s">
        <v>13</v>
      </c>
      <c r="AR579">
        <f t="shared" si="231"/>
        <v>4.0293040293040296E-2</v>
      </c>
      <c r="AS579">
        <f t="shared" ref="AS579:AS594" si="236">SUM(K579,O579,S579,AA579)/100</f>
        <v>0.26200000000000001</v>
      </c>
      <c r="AT579" t="s">
        <v>13</v>
      </c>
      <c r="AU579" t="s">
        <v>13</v>
      </c>
      <c r="AV579" t="s">
        <v>13</v>
      </c>
      <c r="AW579" t="s">
        <v>13</v>
      </c>
      <c r="AX579" t="s">
        <v>13</v>
      </c>
      <c r="AY579" t="s">
        <v>13</v>
      </c>
      <c r="AZ579" t="s">
        <v>13</v>
      </c>
      <c r="BA579" t="s">
        <v>13</v>
      </c>
    </row>
    <row r="580" spans="1:53" x14ac:dyDescent="0.2">
      <c r="A580">
        <v>1990</v>
      </c>
      <c r="B580" t="s">
        <v>75</v>
      </c>
      <c r="C580" t="s">
        <v>57</v>
      </c>
      <c r="D580">
        <v>2.5</v>
      </c>
      <c r="E580">
        <v>0</v>
      </c>
      <c r="F580">
        <v>2.2000000000000002</v>
      </c>
      <c r="G580">
        <v>11.3</v>
      </c>
      <c r="H580">
        <v>1.9</v>
      </c>
      <c r="I580">
        <v>9.8000000000000007</v>
      </c>
      <c r="J580">
        <v>0</v>
      </c>
      <c r="K580">
        <f t="shared" si="211"/>
        <v>27.7</v>
      </c>
      <c r="L580" s="1">
        <v>1</v>
      </c>
      <c r="M580" s="1">
        <v>0</v>
      </c>
      <c r="N580" s="1">
        <v>0</v>
      </c>
      <c r="O580">
        <f t="shared" si="220"/>
        <v>1</v>
      </c>
      <c r="P580">
        <v>0</v>
      </c>
      <c r="Q580">
        <v>1</v>
      </c>
      <c r="R580">
        <v>4.0999999999999996</v>
      </c>
      <c r="S580">
        <f t="shared" si="221"/>
        <v>5.0999999999999996</v>
      </c>
      <c r="T580" s="1">
        <v>0</v>
      </c>
      <c r="U580" s="1">
        <v>0</v>
      </c>
      <c r="V580">
        <v>0</v>
      </c>
      <c r="W580">
        <v>0</v>
      </c>
      <c r="X580">
        <v>0</v>
      </c>
      <c r="Y580">
        <v>0</v>
      </c>
      <c r="Z580">
        <v>0.9</v>
      </c>
      <c r="AA580">
        <f t="shared" si="222"/>
        <v>0.9</v>
      </c>
      <c r="AB580">
        <v>0</v>
      </c>
      <c r="AC580">
        <v>0</v>
      </c>
      <c r="AD580">
        <v>0</v>
      </c>
      <c r="AE580">
        <v>3.1</v>
      </c>
      <c r="AF580">
        <v>1.5</v>
      </c>
      <c r="AG580">
        <v>0</v>
      </c>
      <c r="AH580">
        <v>0</v>
      </c>
      <c r="AI580">
        <v>0</v>
      </c>
      <c r="AJ580">
        <f t="shared" si="223"/>
        <v>4.5999999999999996</v>
      </c>
      <c r="AK580" s="1">
        <v>0</v>
      </c>
      <c r="AL580">
        <v>0.60699999999999998</v>
      </c>
      <c r="AM580">
        <f t="shared" si="232"/>
        <v>0.39299999999999996</v>
      </c>
      <c r="AN580" t="s">
        <v>13</v>
      </c>
      <c r="AO580" t="s">
        <v>13</v>
      </c>
      <c r="AP580" t="s">
        <v>13</v>
      </c>
      <c r="AQ580" t="s">
        <v>13</v>
      </c>
      <c r="AR580">
        <f t="shared" si="231"/>
        <v>0.11704834605597965</v>
      </c>
      <c r="AS580">
        <f t="shared" si="236"/>
        <v>0.34699999999999998</v>
      </c>
      <c r="AT580" t="s">
        <v>13</v>
      </c>
      <c r="AU580" t="s">
        <v>13</v>
      </c>
      <c r="AV580" t="s">
        <v>13</v>
      </c>
      <c r="AW580" t="s">
        <v>13</v>
      </c>
      <c r="AX580" t="s">
        <v>13</v>
      </c>
      <c r="AY580" t="s">
        <v>13</v>
      </c>
      <c r="AZ580" t="s">
        <v>13</v>
      </c>
      <c r="BA580" t="s">
        <v>13</v>
      </c>
    </row>
    <row r="581" spans="1:53" x14ac:dyDescent="0.2">
      <c r="A581">
        <v>1991</v>
      </c>
      <c r="B581" t="s">
        <v>75</v>
      </c>
      <c r="C581" t="s">
        <v>57</v>
      </c>
      <c r="D581">
        <v>6.1</v>
      </c>
      <c r="E581">
        <v>0</v>
      </c>
      <c r="F581">
        <v>0</v>
      </c>
      <c r="G581">
        <v>3.3</v>
      </c>
      <c r="H581">
        <v>0.5</v>
      </c>
      <c r="I581">
        <v>2.8</v>
      </c>
      <c r="J581">
        <v>0</v>
      </c>
      <c r="K581">
        <f t="shared" si="211"/>
        <v>12.7</v>
      </c>
      <c r="L581" s="1">
        <v>2</v>
      </c>
      <c r="M581" s="1">
        <v>0</v>
      </c>
      <c r="N581" s="1">
        <v>0.6</v>
      </c>
      <c r="O581">
        <f t="shared" si="220"/>
        <v>2.6</v>
      </c>
      <c r="P581">
        <v>1.6</v>
      </c>
      <c r="Q581">
        <v>0</v>
      </c>
      <c r="R581">
        <v>4.2</v>
      </c>
      <c r="S581">
        <f t="shared" si="221"/>
        <v>5.8000000000000007</v>
      </c>
      <c r="T581" s="1">
        <v>0</v>
      </c>
      <c r="U581" s="1">
        <v>0</v>
      </c>
      <c r="V581">
        <v>0</v>
      </c>
      <c r="W581">
        <v>0</v>
      </c>
      <c r="X581">
        <v>0</v>
      </c>
      <c r="Y581">
        <v>0</v>
      </c>
      <c r="Z581">
        <v>1.1000000000000001</v>
      </c>
      <c r="AA581">
        <f t="shared" si="222"/>
        <v>1.1000000000000001</v>
      </c>
      <c r="AB581">
        <v>0</v>
      </c>
      <c r="AC581">
        <v>0</v>
      </c>
      <c r="AD581">
        <v>0</v>
      </c>
      <c r="AE581">
        <v>12.4</v>
      </c>
      <c r="AF581">
        <v>11.8</v>
      </c>
      <c r="AG581">
        <v>0</v>
      </c>
      <c r="AH581">
        <v>0</v>
      </c>
      <c r="AI581">
        <v>0</v>
      </c>
      <c r="AJ581">
        <f t="shared" si="223"/>
        <v>24.200000000000003</v>
      </c>
      <c r="AK581" s="1">
        <v>0</v>
      </c>
      <c r="AL581">
        <v>0.53500000000000003</v>
      </c>
      <c r="AM581">
        <f t="shared" si="232"/>
        <v>0.46400000000000008</v>
      </c>
      <c r="AN581" t="s">
        <v>13</v>
      </c>
      <c r="AO581" t="s">
        <v>13</v>
      </c>
      <c r="AP581" t="s">
        <v>13</v>
      </c>
      <c r="AQ581" t="s">
        <v>13</v>
      </c>
      <c r="AR581">
        <f t="shared" si="231"/>
        <v>0.52155172413793094</v>
      </c>
      <c r="AS581">
        <f t="shared" si="236"/>
        <v>0.22200000000000003</v>
      </c>
      <c r="AT581" t="s">
        <v>13</v>
      </c>
      <c r="AU581" t="s">
        <v>13</v>
      </c>
      <c r="AV581" t="s">
        <v>13</v>
      </c>
      <c r="AW581" t="s">
        <v>13</v>
      </c>
      <c r="AX581" t="s">
        <v>13</v>
      </c>
      <c r="AY581" t="s">
        <v>13</v>
      </c>
      <c r="AZ581" t="s">
        <v>13</v>
      </c>
      <c r="BA581" t="s">
        <v>13</v>
      </c>
    </row>
    <row r="582" spans="1:53" x14ac:dyDescent="0.2">
      <c r="A582">
        <v>1992</v>
      </c>
      <c r="B582" t="s">
        <v>75</v>
      </c>
      <c r="C582" t="s">
        <v>57</v>
      </c>
      <c r="D582">
        <v>10</v>
      </c>
      <c r="E582">
        <v>0</v>
      </c>
      <c r="F582">
        <v>0</v>
      </c>
      <c r="G582">
        <v>8.4</v>
      </c>
      <c r="H582">
        <v>2.1</v>
      </c>
      <c r="I582">
        <v>4</v>
      </c>
      <c r="J582">
        <v>0</v>
      </c>
      <c r="K582">
        <f t="shared" ref="K582:K645" si="237">SUM(D582:J582)</f>
        <v>24.5</v>
      </c>
      <c r="L582" s="1">
        <v>7</v>
      </c>
      <c r="M582" s="1">
        <v>0.2</v>
      </c>
      <c r="N582" s="1">
        <v>0.6</v>
      </c>
      <c r="O582">
        <f t="shared" si="220"/>
        <v>7.8</v>
      </c>
      <c r="P582">
        <v>0</v>
      </c>
      <c r="Q582">
        <v>1.3</v>
      </c>
      <c r="R582">
        <v>3.1</v>
      </c>
      <c r="S582">
        <f t="shared" si="221"/>
        <v>4.4000000000000004</v>
      </c>
      <c r="T582" s="1">
        <v>0</v>
      </c>
      <c r="U582" s="1">
        <v>0</v>
      </c>
      <c r="V582">
        <v>0</v>
      </c>
      <c r="W582">
        <v>0</v>
      </c>
      <c r="X582">
        <v>0</v>
      </c>
      <c r="Y582">
        <v>0</v>
      </c>
      <c r="Z582">
        <v>2.2000000000000002</v>
      </c>
      <c r="AA582">
        <f t="shared" si="222"/>
        <v>2.2000000000000002</v>
      </c>
      <c r="AB582">
        <v>0</v>
      </c>
      <c r="AC582">
        <v>0</v>
      </c>
      <c r="AD582">
        <v>0</v>
      </c>
      <c r="AE582">
        <v>2.7</v>
      </c>
      <c r="AF582">
        <v>9.3000000000000007</v>
      </c>
      <c r="AG582">
        <v>0</v>
      </c>
      <c r="AH582">
        <v>0</v>
      </c>
      <c r="AI582">
        <v>0</v>
      </c>
      <c r="AJ582">
        <f t="shared" si="223"/>
        <v>12</v>
      </c>
      <c r="AK582" s="1">
        <v>0</v>
      </c>
      <c r="AL582">
        <v>0.48899999999999999</v>
      </c>
      <c r="AM582">
        <f t="shared" si="232"/>
        <v>0.50900000000000001</v>
      </c>
      <c r="AN582" t="s">
        <v>13</v>
      </c>
      <c r="AO582" t="s">
        <v>13</v>
      </c>
      <c r="AP582" t="s">
        <v>13</v>
      </c>
      <c r="AQ582" t="s">
        <v>13</v>
      </c>
      <c r="AR582">
        <f t="shared" si="231"/>
        <v>0.23575638506876226</v>
      </c>
      <c r="AS582">
        <f t="shared" si="236"/>
        <v>0.38900000000000001</v>
      </c>
      <c r="AT582" t="s">
        <v>13</v>
      </c>
      <c r="AU582" t="s">
        <v>13</v>
      </c>
      <c r="AV582" t="s">
        <v>13</v>
      </c>
      <c r="AW582" t="s">
        <v>13</v>
      </c>
      <c r="AX582" t="s">
        <v>13</v>
      </c>
      <c r="AY582" t="s">
        <v>13</v>
      </c>
      <c r="AZ582" t="s">
        <v>13</v>
      </c>
      <c r="BA582" t="s">
        <v>13</v>
      </c>
    </row>
    <row r="583" spans="1:53" x14ac:dyDescent="0.2">
      <c r="A583">
        <v>1993</v>
      </c>
      <c r="B583" t="s">
        <v>75</v>
      </c>
      <c r="C583" t="s">
        <v>57</v>
      </c>
      <c r="D583">
        <v>6.7</v>
      </c>
      <c r="E583">
        <v>0</v>
      </c>
      <c r="F583">
        <v>0</v>
      </c>
      <c r="G583">
        <v>23.5</v>
      </c>
      <c r="H583">
        <v>0</v>
      </c>
      <c r="I583">
        <v>10.4</v>
      </c>
      <c r="J583">
        <v>1.9</v>
      </c>
      <c r="K583">
        <f t="shared" si="237"/>
        <v>42.5</v>
      </c>
      <c r="L583" s="1">
        <v>3.1</v>
      </c>
      <c r="M583" s="1">
        <v>0.3</v>
      </c>
      <c r="N583" s="1">
        <v>0</v>
      </c>
      <c r="O583">
        <f t="shared" si="220"/>
        <v>3.4</v>
      </c>
      <c r="P583">
        <v>1.5</v>
      </c>
      <c r="Q583">
        <v>1.6</v>
      </c>
      <c r="R583">
        <v>10.9</v>
      </c>
      <c r="S583">
        <f t="shared" si="221"/>
        <v>14</v>
      </c>
      <c r="T583" s="1">
        <v>1.1000000000000001</v>
      </c>
      <c r="U583" s="1">
        <v>0</v>
      </c>
      <c r="V583">
        <v>0</v>
      </c>
      <c r="W583">
        <v>0</v>
      </c>
      <c r="X583">
        <v>0</v>
      </c>
      <c r="Y583">
        <v>0</v>
      </c>
      <c r="Z583">
        <v>4.0999999999999996</v>
      </c>
      <c r="AA583">
        <f t="shared" si="222"/>
        <v>5.1999999999999993</v>
      </c>
      <c r="AB583">
        <v>0</v>
      </c>
      <c r="AC583">
        <v>0</v>
      </c>
      <c r="AD583">
        <v>0</v>
      </c>
      <c r="AE583">
        <v>6.8</v>
      </c>
      <c r="AF583">
        <v>7.3</v>
      </c>
      <c r="AG583">
        <v>0</v>
      </c>
      <c r="AH583">
        <v>0</v>
      </c>
      <c r="AI583">
        <v>0</v>
      </c>
      <c r="AJ583">
        <f t="shared" si="223"/>
        <v>14.1</v>
      </c>
      <c r="AK583" s="1">
        <v>0</v>
      </c>
      <c r="AL583">
        <v>0.20699999999999999</v>
      </c>
      <c r="AM583">
        <f t="shared" si="232"/>
        <v>0.79200000000000015</v>
      </c>
      <c r="AN583" t="s">
        <v>13</v>
      </c>
      <c r="AO583" t="s">
        <v>13</v>
      </c>
      <c r="AP583" t="s">
        <v>13</v>
      </c>
      <c r="AQ583" t="s">
        <v>13</v>
      </c>
      <c r="AR583">
        <f t="shared" si="231"/>
        <v>0.17803030303030298</v>
      </c>
      <c r="AS583">
        <f t="shared" si="236"/>
        <v>0.65099999999999991</v>
      </c>
      <c r="AT583" t="s">
        <v>13</v>
      </c>
      <c r="AU583" t="s">
        <v>13</v>
      </c>
      <c r="AV583" t="s">
        <v>13</v>
      </c>
      <c r="AW583" t="s">
        <v>13</v>
      </c>
      <c r="AX583" t="s">
        <v>13</v>
      </c>
      <c r="AY583" t="s">
        <v>13</v>
      </c>
      <c r="AZ583" t="s">
        <v>13</v>
      </c>
      <c r="BA583" t="s">
        <v>13</v>
      </c>
    </row>
    <row r="584" spans="1:53" x14ac:dyDescent="0.2">
      <c r="A584">
        <v>1994</v>
      </c>
      <c r="B584" t="s">
        <v>75</v>
      </c>
      <c r="C584" t="s">
        <v>57</v>
      </c>
      <c r="D584">
        <v>4.8</v>
      </c>
      <c r="E584">
        <v>0</v>
      </c>
      <c r="F584">
        <v>2.1</v>
      </c>
      <c r="G584">
        <v>5.6</v>
      </c>
      <c r="H584">
        <v>2.4</v>
      </c>
      <c r="I584">
        <v>4.3</v>
      </c>
      <c r="J584">
        <v>0</v>
      </c>
      <c r="K584">
        <f t="shared" si="237"/>
        <v>19.2</v>
      </c>
      <c r="L584" s="1">
        <v>5.0999999999999996</v>
      </c>
      <c r="M584" s="1">
        <v>0</v>
      </c>
      <c r="N584" s="1">
        <v>0</v>
      </c>
      <c r="O584">
        <f t="shared" si="220"/>
        <v>5.0999999999999996</v>
      </c>
      <c r="P584">
        <v>0.5</v>
      </c>
      <c r="Q584">
        <v>0</v>
      </c>
      <c r="R584">
        <v>6.1</v>
      </c>
      <c r="S584">
        <f t="shared" si="221"/>
        <v>6.6</v>
      </c>
      <c r="T584" s="1">
        <v>0</v>
      </c>
      <c r="U584" s="1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f t="shared" si="222"/>
        <v>0</v>
      </c>
      <c r="AB584">
        <v>0</v>
      </c>
      <c r="AC584">
        <v>0</v>
      </c>
      <c r="AD584">
        <v>0</v>
      </c>
      <c r="AE584">
        <v>4.3</v>
      </c>
      <c r="AF584">
        <v>5.2</v>
      </c>
      <c r="AG584">
        <v>0</v>
      </c>
      <c r="AH584">
        <v>0</v>
      </c>
      <c r="AI584">
        <v>0</v>
      </c>
      <c r="AJ584">
        <f t="shared" si="223"/>
        <v>9.5</v>
      </c>
      <c r="AK584" s="1">
        <v>0</v>
      </c>
      <c r="AL584">
        <v>0.59499999999999997</v>
      </c>
      <c r="AM584">
        <f t="shared" si="232"/>
        <v>0.40399999999999997</v>
      </c>
      <c r="AN584" t="s">
        <v>13</v>
      </c>
      <c r="AO584" t="s">
        <v>13</v>
      </c>
      <c r="AP584" t="s">
        <v>13</v>
      </c>
      <c r="AQ584" t="s">
        <v>13</v>
      </c>
      <c r="AR584">
        <f t="shared" si="231"/>
        <v>0.23514851485148516</v>
      </c>
      <c r="AS584">
        <f t="shared" si="236"/>
        <v>0.309</v>
      </c>
      <c r="AT584" t="s">
        <v>13</v>
      </c>
      <c r="AU584" t="s">
        <v>13</v>
      </c>
      <c r="AV584" t="s">
        <v>13</v>
      </c>
      <c r="AW584" t="s">
        <v>13</v>
      </c>
      <c r="AX584" t="s">
        <v>13</v>
      </c>
      <c r="AY584" t="s">
        <v>13</v>
      </c>
      <c r="AZ584" t="s">
        <v>13</v>
      </c>
      <c r="BA584" t="s">
        <v>13</v>
      </c>
    </row>
    <row r="585" spans="1:53" x14ac:dyDescent="0.2">
      <c r="A585">
        <v>1995</v>
      </c>
      <c r="B585" t="s">
        <v>75</v>
      </c>
      <c r="C585" t="s">
        <v>57</v>
      </c>
      <c r="D585">
        <v>4.7</v>
      </c>
      <c r="E585">
        <v>0.7</v>
      </c>
      <c r="F585">
        <v>0</v>
      </c>
      <c r="G585">
        <v>6.5</v>
      </c>
      <c r="H585">
        <v>5.0999999999999996</v>
      </c>
      <c r="I585">
        <v>8.5</v>
      </c>
      <c r="J585">
        <v>0</v>
      </c>
      <c r="K585">
        <f t="shared" si="237"/>
        <v>25.5</v>
      </c>
      <c r="L585" s="1">
        <v>0.5</v>
      </c>
      <c r="M585" s="1">
        <v>0.9</v>
      </c>
      <c r="N585" s="1">
        <v>0</v>
      </c>
      <c r="O585">
        <f t="shared" si="220"/>
        <v>1.4</v>
      </c>
      <c r="P585">
        <v>0</v>
      </c>
      <c r="Q585">
        <v>3.2</v>
      </c>
      <c r="R585">
        <v>5.4</v>
      </c>
      <c r="S585">
        <f t="shared" si="221"/>
        <v>8.6000000000000014</v>
      </c>
      <c r="T585" s="1">
        <v>0</v>
      </c>
      <c r="U585" s="1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f t="shared" si="222"/>
        <v>0</v>
      </c>
      <c r="AB585">
        <v>0</v>
      </c>
      <c r="AC585">
        <v>0</v>
      </c>
      <c r="AD585">
        <v>0</v>
      </c>
      <c r="AE585">
        <v>10.6</v>
      </c>
      <c r="AF585">
        <v>9.9</v>
      </c>
      <c r="AG585">
        <v>0</v>
      </c>
      <c r="AH585">
        <v>0</v>
      </c>
      <c r="AI585">
        <v>0</v>
      </c>
      <c r="AJ585">
        <f t="shared" si="223"/>
        <v>20.5</v>
      </c>
      <c r="AK585" s="1">
        <v>0</v>
      </c>
      <c r="AL585">
        <v>0.44</v>
      </c>
      <c r="AM585">
        <f t="shared" si="232"/>
        <v>0.56000000000000005</v>
      </c>
      <c r="AN585" t="s">
        <v>13</v>
      </c>
      <c r="AO585" t="s">
        <v>13</v>
      </c>
      <c r="AP585" t="s">
        <v>13</v>
      </c>
      <c r="AQ585" t="s">
        <v>13</v>
      </c>
      <c r="AR585">
        <f t="shared" si="231"/>
        <v>0.36607142857142849</v>
      </c>
      <c r="AS585">
        <f t="shared" si="236"/>
        <v>0.35499999999999998</v>
      </c>
      <c r="AT585" t="s">
        <v>13</v>
      </c>
      <c r="AU585" t="s">
        <v>13</v>
      </c>
      <c r="AV585" t="s">
        <v>13</v>
      </c>
      <c r="AW585" t="s">
        <v>13</v>
      </c>
      <c r="AX585" t="s">
        <v>13</v>
      </c>
      <c r="AY585" t="s">
        <v>13</v>
      </c>
      <c r="AZ585" t="s">
        <v>13</v>
      </c>
      <c r="BA585" t="s">
        <v>13</v>
      </c>
    </row>
    <row r="586" spans="1:53" x14ac:dyDescent="0.2">
      <c r="A586">
        <v>1996</v>
      </c>
      <c r="B586" t="s">
        <v>75</v>
      </c>
      <c r="C586" t="s">
        <v>57</v>
      </c>
      <c r="D586">
        <v>5.5</v>
      </c>
      <c r="E586">
        <v>0</v>
      </c>
      <c r="F586">
        <v>0</v>
      </c>
      <c r="G586">
        <v>0.6</v>
      </c>
      <c r="H586">
        <v>0</v>
      </c>
      <c r="I586">
        <v>0.4</v>
      </c>
      <c r="J586">
        <v>0.5</v>
      </c>
      <c r="K586">
        <f t="shared" si="237"/>
        <v>7</v>
      </c>
      <c r="L586" s="1">
        <v>0</v>
      </c>
      <c r="M586" s="1">
        <v>0.3</v>
      </c>
      <c r="N586" s="1">
        <v>0.8</v>
      </c>
      <c r="O586">
        <f t="shared" si="220"/>
        <v>1.1000000000000001</v>
      </c>
      <c r="P586">
        <v>0</v>
      </c>
      <c r="Q586">
        <v>0.6</v>
      </c>
      <c r="R586">
        <v>4.8</v>
      </c>
      <c r="S586">
        <f t="shared" si="221"/>
        <v>5.3999999999999995</v>
      </c>
      <c r="T586" s="1">
        <v>0</v>
      </c>
      <c r="U586" s="1">
        <v>0</v>
      </c>
      <c r="V586">
        <v>0</v>
      </c>
      <c r="W586">
        <v>0</v>
      </c>
      <c r="X586">
        <v>0</v>
      </c>
      <c r="Y586">
        <v>0</v>
      </c>
      <c r="Z586">
        <v>0.6</v>
      </c>
      <c r="AA586">
        <f t="shared" si="222"/>
        <v>0.6</v>
      </c>
      <c r="AB586">
        <v>0</v>
      </c>
      <c r="AC586">
        <v>0</v>
      </c>
      <c r="AD586">
        <v>0</v>
      </c>
      <c r="AE586">
        <v>4.9000000000000004</v>
      </c>
      <c r="AF586">
        <v>10.7</v>
      </c>
      <c r="AG586">
        <v>0</v>
      </c>
      <c r="AH586">
        <v>0</v>
      </c>
      <c r="AI586">
        <v>0</v>
      </c>
      <c r="AJ586">
        <f t="shared" si="223"/>
        <v>15.6</v>
      </c>
      <c r="AK586" s="1">
        <v>0</v>
      </c>
      <c r="AL586">
        <v>0.70200000000000007</v>
      </c>
      <c r="AM586">
        <f t="shared" si="232"/>
        <v>0.29700000000000004</v>
      </c>
      <c r="AN586" t="s">
        <v>13</v>
      </c>
      <c r="AO586" t="s">
        <v>13</v>
      </c>
      <c r="AP586" t="s">
        <v>13</v>
      </c>
      <c r="AQ586" t="s">
        <v>13</v>
      </c>
      <c r="AR586">
        <f t="shared" si="231"/>
        <v>0.52525252525252519</v>
      </c>
      <c r="AS586">
        <f t="shared" si="236"/>
        <v>0.14099999999999999</v>
      </c>
      <c r="AT586" t="s">
        <v>13</v>
      </c>
      <c r="AU586" t="s">
        <v>13</v>
      </c>
      <c r="AV586" t="s">
        <v>13</v>
      </c>
      <c r="AW586" t="s">
        <v>13</v>
      </c>
      <c r="AX586" t="s">
        <v>13</v>
      </c>
      <c r="AY586" t="s">
        <v>13</v>
      </c>
      <c r="AZ586" t="s">
        <v>13</v>
      </c>
      <c r="BA586" t="s">
        <v>13</v>
      </c>
    </row>
    <row r="587" spans="1:53" x14ac:dyDescent="0.2">
      <c r="A587">
        <v>1997</v>
      </c>
      <c r="B587" t="s">
        <v>75</v>
      </c>
      <c r="C587" t="s">
        <v>57</v>
      </c>
      <c r="D587">
        <v>1.2</v>
      </c>
      <c r="E587">
        <v>0</v>
      </c>
      <c r="F587">
        <v>0</v>
      </c>
      <c r="G587">
        <v>1.9</v>
      </c>
      <c r="H587">
        <v>2.2999999999999998</v>
      </c>
      <c r="I587">
        <v>0</v>
      </c>
      <c r="J587">
        <v>0</v>
      </c>
      <c r="K587">
        <f t="shared" si="237"/>
        <v>5.3999999999999995</v>
      </c>
      <c r="L587" s="1">
        <v>0.4</v>
      </c>
      <c r="M587" s="1">
        <v>0</v>
      </c>
      <c r="N587" s="1">
        <v>0</v>
      </c>
      <c r="O587">
        <f t="shared" si="220"/>
        <v>0.4</v>
      </c>
      <c r="P587">
        <v>0.1</v>
      </c>
      <c r="Q587">
        <v>3</v>
      </c>
      <c r="R587">
        <v>2.5</v>
      </c>
      <c r="S587">
        <f t="shared" si="221"/>
        <v>5.6</v>
      </c>
      <c r="T587" s="1">
        <v>0.3</v>
      </c>
      <c r="U587" s="1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f t="shared" si="222"/>
        <v>0.3</v>
      </c>
      <c r="AB587">
        <v>0</v>
      </c>
      <c r="AC587">
        <v>0</v>
      </c>
      <c r="AD587">
        <v>0</v>
      </c>
      <c r="AE587">
        <v>3.1</v>
      </c>
      <c r="AF587">
        <v>4</v>
      </c>
      <c r="AG587">
        <v>0</v>
      </c>
      <c r="AH587">
        <v>0</v>
      </c>
      <c r="AI587">
        <v>0</v>
      </c>
      <c r="AJ587">
        <f t="shared" si="223"/>
        <v>7.1</v>
      </c>
      <c r="AK587" s="1">
        <v>0</v>
      </c>
      <c r="AL587">
        <v>0.81099999999999994</v>
      </c>
      <c r="AM587">
        <f t="shared" si="232"/>
        <v>0.188</v>
      </c>
      <c r="AN587" t="s">
        <v>13</v>
      </c>
      <c r="AO587" t="s">
        <v>13</v>
      </c>
      <c r="AP587" t="s">
        <v>13</v>
      </c>
      <c r="AQ587" t="s">
        <v>13</v>
      </c>
      <c r="AR587">
        <f t="shared" si="231"/>
        <v>0.37765957446808507</v>
      </c>
      <c r="AS587">
        <f t="shared" si="236"/>
        <v>0.11699999999999999</v>
      </c>
      <c r="AT587" t="s">
        <v>13</v>
      </c>
      <c r="AU587" t="s">
        <v>13</v>
      </c>
      <c r="AV587" t="s">
        <v>13</v>
      </c>
      <c r="AW587" t="s">
        <v>13</v>
      </c>
      <c r="AX587" t="s">
        <v>13</v>
      </c>
      <c r="AY587" t="s">
        <v>13</v>
      </c>
      <c r="AZ587" t="s">
        <v>13</v>
      </c>
      <c r="BA587" t="s">
        <v>13</v>
      </c>
    </row>
    <row r="588" spans="1:53" x14ac:dyDescent="0.2">
      <c r="A588">
        <v>1998</v>
      </c>
      <c r="B588" t="s">
        <v>75</v>
      </c>
      <c r="C588" t="s">
        <v>57</v>
      </c>
      <c r="D588">
        <v>2.1</v>
      </c>
      <c r="E588">
        <v>1.5</v>
      </c>
      <c r="F588">
        <v>0</v>
      </c>
      <c r="G588">
        <v>1.7</v>
      </c>
      <c r="H588">
        <v>0</v>
      </c>
      <c r="I588">
        <v>0</v>
      </c>
      <c r="J588">
        <v>0</v>
      </c>
      <c r="K588">
        <f t="shared" si="237"/>
        <v>5.3</v>
      </c>
      <c r="L588" s="1">
        <v>0</v>
      </c>
      <c r="M588" s="1">
        <v>0</v>
      </c>
      <c r="N588" s="1">
        <v>0.7</v>
      </c>
      <c r="O588">
        <f t="shared" si="220"/>
        <v>0.7</v>
      </c>
      <c r="P588">
        <v>0</v>
      </c>
      <c r="Q588">
        <v>0.6</v>
      </c>
      <c r="R588">
        <v>4.2</v>
      </c>
      <c r="S588">
        <f t="shared" si="221"/>
        <v>4.8</v>
      </c>
      <c r="T588" s="1">
        <v>0</v>
      </c>
      <c r="U588" s="1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f t="shared" si="222"/>
        <v>0</v>
      </c>
      <c r="AB588">
        <v>0</v>
      </c>
      <c r="AC588">
        <v>0</v>
      </c>
      <c r="AD588">
        <v>0</v>
      </c>
      <c r="AE588">
        <v>2.1</v>
      </c>
      <c r="AF588">
        <v>3</v>
      </c>
      <c r="AG588">
        <v>0</v>
      </c>
      <c r="AH588">
        <v>0</v>
      </c>
      <c r="AI588">
        <v>0</v>
      </c>
      <c r="AJ588">
        <f t="shared" si="223"/>
        <v>5.0999999999999996</v>
      </c>
      <c r="AK588" s="1">
        <v>0</v>
      </c>
      <c r="AL588">
        <v>0.84200000000000008</v>
      </c>
      <c r="AM588">
        <f t="shared" si="232"/>
        <v>0.15899999999999997</v>
      </c>
      <c r="AN588" t="s">
        <v>13</v>
      </c>
      <c r="AO588" t="s">
        <v>13</v>
      </c>
      <c r="AP588" t="s">
        <v>13</v>
      </c>
      <c r="AQ588" t="s">
        <v>13</v>
      </c>
      <c r="AR588">
        <f t="shared" si="231"/>
        <v>0.32075471698113212</v>
      </c>
      <c r="AS588">
        <f t="shared" si="236"/>
        <v>0.10800000000000001</v>
      </c>
      <c r="AT588" t="s">
        <v>13</v>
      </c>
      <c r="AU588" t="s">
        <v>13</v>
      </c>
      <c r="AV588" t="s">
        <v>13</v>
      </c>
      <c r="AW588" t="s">
        <v>13</v>
      </c>
      <c r="AX588" t="s">
        <v>13</v>
      </c>
      <c r="AY588" t="s">
        <v>13</v>
      </c>
      <c r="AZ588" t="s">
        <v>13</v>
      </c>
      <c r="BA588" t="s">
        <v>13</v>
      </c>
    </row>
    <row r="589" spans="1:53" x14ac:dyDescent="0.2">
      <c r="A589">
        <v>1999</v>
      </c>
      <c r="B589" t="s">
        <v>75</v>
      </c>
      <c r="C589" t="s">
        <v>57</v>
      </c>
      <c r="D589">
        <v>10.8</v>
      </c>
      <c r="E589">
        <v>0</v>
      </c>
      <c r="F589">
        <v>4.7</v>
      </c>
      <c r="G589">
        <v>0</v>
      </c>
      <c r="H589">
        <v>8.6</v>
      </c>
      <c r="I589">
        <v>0</v>
      </c>
      <c r="J589">
        <v>0.4</v>
      </c>
      <c r="K589">
        <f t="shared" si="237"/>
        <v>24.5</v>
      </c>
      <c r="L589" s="1">
        <v>0</v>
      </c>
      <c r="M589" s="1">
        <v>0</v>
      </c>
      <c r="N589" s="1">
        <v>0.7</v>
      </c>
      <c r="O589">
        <f t="shared" si="220"/>
        <v>0.7</v>
      </c>
      <c r="P589">
        <v>0</v>
      </c>
      <c r="Q589">
        <v>0</v>
      </c>
      <c r="R589">
        <v>6.5</v>
      </c>
      <c r="S589">
        <f t="shared" si="221"/>
        <v>6.5</v>
      </c>
      <c r="T589" s="1">
        <v>0.3</v>
      </c>
      <c r="U589" s="1">
        <v>0</v>
      </c>
      <c r="V589">
        <v>0</v>
      </c>
      <c r="W589">
        <v>0</v>
      </c>
      <c r="X589">
        <v>0</v>
      </c>
      <c r="Y589">
        <v>0</v>
      </c>
      <c r="Z589">
        <v>0.5</v>
      </c>
      <c r="AA589">
        <f t="shared" si="222"/>
        <v>0.8</v>
      </c>
      <c r="AB589">
        <v>0</v>
      </c>
      <c r="AC589">
        <v>0</v>
      </c>
      <c r="AD589">
        <v>0</v>
      </c>
      <c r="AE589">
        <v>2.6</v>
      </c>
      <c r="AF589">
        <v>3.5</v>
      </c>
      <c r="AG589">
        <v>0</v>
      </c>
      <c r="AH589">
        <v>0</v>
      </c>
      <c r="AI589">
        <v>0</v>
      </c>
      <c r="AJ589">
        <f t="shared" si="223"/>
        <v>6.1</v>
      </c>
      <c r="AK589" s="1">
        <v>0</v>
      </c>
      <c r="AL589">
        <v>0.61399999999999999</v>
      </c>
      <c r="AM589">
        <f t="shared" si="232"/>
        <v>0.38599999999999995</v>
      </c>
      <c r="AN589" t="s">
        <v>13</v>
      </c>
      <c r="AO589" t="s">
        <v>13</v>
      </c>
      <c r="AP589" t="s">
        <v>13</v>
      </c>
      <c r="AQ589" t="s">
        <v>13</v>
      </c>
      <c r="AR589">
        <f t="shared" si="231"/>
        <v>0.15803108808290156</v>
      </c>
      <c r="AS589">
        <f t="shared" si="236"/>
        <v>0.32500000000000001</v>
      </c>
      <c r="AT589" t="s">
        <v>13</v>
      </c>
      <c r="AU589" t="s">
        <v>13</v>
      </c>
      <c r="AV589" t="s">
        <v>13</v>
      </c>
      <c r="AW589" t="s">
        <v>13</v>
      </c>
      <c r="AX589" t="s">
        <v>13</v>
      </c>
      <c r="AY589" t="s">
        <v>13</v>
      </c>
      <c r="AZ589" t="s">
        <v>13</v>
      </c>
      <c r="BA589" t="s">
        <v>13</v>
      </c>
    </row>
    <row r="590" spans="1:53" x14ac:dyDescent="0.2">
      <c r="A590">
        <v>2000</v>
      </c>
      <c r="B590" t="s">
        <v>75</v>
      </c>
      <c r="C590" t="s">
        <v>57</v>
      </c>
      <c r="D590">
        <v>1.7</v>
      </c>
      <c r="E590">
        <v>0</v>
      </c>
      <c r="F590">
        <v>0.6</v>
      </c>
      <c r="G590">
        <v>0</v>
      </c>
      <c r="H590">
        <v>4.9000000000000004</v>
      </c>
      <c r="I590">
        <v>0</v>
      </c>
      <c r="J590">
        <v>0</v>
      </c>
      <c r="K590">
        <f t="shared" si="237"/>
        <v>7.2</v>
      </c>
      <c r="L590" s="1">
        <v>0</v>
      </c>
      <c r="M590" s="1">
        <v>0</v>
      </c>
      <c r="N590" s="1">
        <v>0</v>
      </c>
      <c r="O590">
        <f t="shared" si="220"/>
        <v>0</v>
      </c>
      <c r="P590">
        <v>0</v>
      </c>
      <c r="Q590">
        <v>0</v>
      </c>
      <c r="R590">
        <v>5.5</v>
      </c>
      <c r="S590">
        <f t="shared" si="221"/>
        <v>5.5</v>
      </c>
      <c r="T590" s="1">
        <v>0</v>
      </c>
      <c r="U590" s="1">
        <v>0</v>
      </c>
      <c r="V590">
        <v>0</v>
      </c>
      <c r="W590">
        <v>0</v>
      </c>
      <c r="X590">
        <v>0</v>
      </c>
      <c r="Y590">
        <v>0.2</v>
      </c>
      <c r="Z590">
        <v>0</v>
      </c>
      <c r="AA590">
        <f t="shared" si="222"/>
        <v>0.2</v>
      </c>
      <c r="AB590">
        <v>0</v>
      </c>
      <c r="AC590">
        <v>0</v>
      </c>
      <c r="AD590">
        <v>0</v>
      </c>
      <c r="AE590">
        <v>4</v>
      </c>
      <c r="AF590">
        <v>5.8</v>
      </c>
      <c r="AG590">
        <v>0</v>
      </c>
      <c r="AH590">
        <v>0</v>
      </c>
      <c r="AI590">
        <v>0</v>
      </c>
      <c r="AJ590">
        <f t="shared" si="223"/>
        <v>9.8000000000000007</v>
      </c>
      <c r="AK590" s="1">
        <v>0</v>
      </c>
      <c r="AL590">
        <v>0.77400000000000002</v>
      </c>
      <c r="AM590">
        <f t="shared" si="232"/>
        <v>0.22700000000000004</v>
      </c>
      <c r="AN590" t="s">
        <v>13</v>
      </c>
      <c r="AO590" t="s">
        <v>13</v>
      </c>
      <c r="AP590" t="s">
        <v>13</v>
      </c>
      <c r="AQ590" t="s">
        <v>13</v>
      </c>
      <c r="AR590">
        <f t="shared" si="231"/>
        <v>0.43171806167400878</v>
      </c>
      <c r="AS590">
        <f t="shared" si="236"/>
        <v>0.12899999999999998</v>
      </c>
      <c r="AT590" t="s">
        <v>13</v>
      </c>
      <c r="AU590" t="s">
        <v>13</v>
      </c>
      <c r="AV590" t="s">
        <v>13</v>
      </c>
      <c r="AW590" t="s">
        <v>13</v>
      </c>
      <c r="AX590" t="s">
        <v>13</v>
      </c>
      <c r="AY590" t="s">
        <v>13</v>
      </c>
      <c r="AZ590" t="s">
        <v>13</v>
      </c>
      <c r="BA590" t="s">
        <v>13</v>
      </c>
    </row>
    <row r="591" spans="1:53" x14ac:dyDescent="0.2">
      <c r="A591">
        <v>2001</v>
      </c>
      <c r="B591" t="s">
        <v>75</v>
      </c>
      <c r="C591" t="s">
        <v>57</v>
      </c>
      <c r="D591">
        <v>2.6</v>
      </c>
      <c r="E591">
        <v>0</v>
      </c>
      <c r="F591">
        <v>0</v>
      </c>
      <c r="G591">
        <v>0</v>
      </c>
      <c r="H591">
        <v>1</v>
      </c>
      <c r="I591">
        <v>0</v>
      </c>
      <c r="J591">
        <v>0.4</v>
      </c>
      <c r="K591">
        <f t="shared" si="237"/>
        <v>4</v>
      </c>
      <c r="L591" s="1">
        <v>0</v>
      </c>
      <c r="M591" s="1">
        <v>0</v>
      </c>
      <c r="N591" s="1">
        <v>0.4</v>
      </c>
      <c r="O591">
        <f t="shared" si="220"/>
        <v>0.4</v>
      </c>
      <c r="P591">
        <v>0</v>
      </c>
      <c r="Q591">
        <v>0</v>
      </c>
      <c r="R591">
        <v>7.2</v>
      </c>
      <c r="S591">
        <f t="shared" si="221"/>
        <v>7.2</v>
      </c>
      <c r="T591" s="1">
        <v>0</v>
      </c>
      <c r="U591" s="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f t="shared" si="222"/>
        <v>0</v>
      </c>
      <c r="AB591">
        <v>0</v>
      </c>
      <c r="AC591">
        <v>0</v>
      </c>
      <c r="AD591">
        <v>0</v>
      </c>
      <c r="AE591">
        <v>1.4</v>
      </c>
      <c r="AF591">
        <v>17</v>
      </c>
      <c r="AG591">
        <v>0</v>
      </c>
      <c r="AH591">
        <v>0</v>
      </c>
      <c r="AI591">
        <v>0</v>
      </c>
      <c r="AJ591">
        <f t="shared" si="223"/>
        <v>18.399999999999999</v>
      </c>
      <c r="AK591" s="1">
        <v>0</v>
      </c>
      <c r="AL591">
        <v>0.69900000000000007</v>
      </c>
      <c r="AM591">
        <f t="shared" si="232"/>
        <v>0.3</v>
      </c>
      <c r="AN591" t="s">
        <v>13</v>
      </c>
      <c r="AO591" t="s">
        <v>13</v>
      </c>
      <c r="AP591" t="s">
        <v>13</v>
      </c>
      <c r="AQ591" t="s">
        <v>13</v>
      </c>
      <c r="AR591">
        <f t="shared" si="231"/>
        <v>0.6133333333333334</v>
      </c>
      <c r="AS591">
        <f t="shared" si="236"/>
        <v>0.11600000000000002</v>
      </c>
      <c r="AT591" t="s">
        <v>13</v>
      </c>
      <c r="AU591" t="s">
        <v>13</v>
      </c>
      <c r="AV591" t="s">
        <v>13</v>
      </c>
      <c r="AW591" t="s">
        <v>13</v>
      </c>
      <c r="AX591" t="s">
        <v>13</v>
      </c>
      <c r="AY591" t="s">
        <v>13</v>
      </c>
      <c r="AZ591" t="s">
        <v>13</v>
      </c>
      <c r="BA591" t="s">
        <v>13</v>
      </c>
    </row>
    <row r="592" spans="1:53" x14ac:dyDescent="0.2">
      <c r="A592">
        <v>2002</v>
      </c>
      <c r="B592" t="s">
        <v>75</v>
      </c>
      <c r="C592" t="s">
        <v>57</v>
      </c>
      <c r="D592">
        <v>1.8</v>
      </c>
      <c r="E592">
        <v>0</v>
      </c>
      <c r="F592">
        <v>0.1</v>
      </c>
      <c r="G592">
        <v>7.8</v>
      </c>
      <c r="H592">
        <v>0.7</v>
      </c>
      <c r="I592">
        <v>1</v>
      </c>
      <c r="J592">
        <v>0</v>
      </c>
      <c r="K592">
        <f t="shared" si="237"/>
        <v>11.399999999999999</v>
      </c>
      <c r="L592" s="1">
        <v>0</v>
      </c>
      <c r="M592" s="1">
        <v>0</v>
      </c>
      <c r="N592" s="1">
        <v>0.7</v>
      </c>
      <c r="O592">
        <f t="shared" si="220"/>
        <v>0.7</v>
      </c>
      <c r="P592">
        <v>0.2</v>
      </c>
      <c r="Q592">
        <v>0</v>
      </c>
      <c r="R592">
        <v>2.8</v>
      </c>
      <c r="S592">
        <f t="shared" si="221"/>
        <v>3</v>
      </c>
      <c r="T592" s="1">
        <v>0.3</v>
      </c>
      <c r="U592" s="1">
        <v>0</v>
      </c>
      <c r="V592">
        <v>0</v>
      </c>
      <c r="W592">
        <v>0</v>
      </c>
      <c r="X592">
        <v>0</v>
      </c>
      <c r="Y592">
        <v>0.1</v>
      </c>
      <c r="Z592">
        <v>0.9</v>
      </c>
      <c r="AA592">
        <f t="shared" si="222"/>
        <v>1.3</v>
      </c>
      <c r="AB592">
        <v>0</v>
      </c>
      <c r="AC592">
        <v>0</v>
      </c>
      <c r="AD592">
        <v>0</v>
      </c>
      <c r="AE592">
        <v>2.7</v>
      </c>
      <c r="AF592">
        <v>5.7</v>
      </c>
      <c r="AG592">
        <v>0</v>
      </c>
      <c r="AH592">
        <v>0</v>
      </c>
      <c r="AI592">
        <v>0</v>
      </c>
      <c r="AJ592">
        <f t="shared" si="223"/>
        <v>8.4</v>
      </c>
      <c r="AK592" s="1">
        <v>0</v>
      </c>
      <c r="AL592">
        <v>0.75099999999999989</v>
      </c>
      <c r="AM592">
        <f t="shared" si="232"/>
        <v>0.24799999999999997</v>
      </c>
      <c r="AN592" t="s">
        <v>13</v>
      </c>
      <c r="AO592" t="s">
        <v>13</v>
      </c>
      <c r="AP592" t="s">
        <v>13</v>
      </c>
      <c r="AQ592" t="s">
        <v>13</v>
      </c>
      <c r="AR592">
        <f t="shared" si="231"/>
        <v>0.33870967741935493</v>
      </c>
      <c r="AS592">
        <f t="shared" si="236"/>
        <v>0.16399999999999998</v>
      </c>
      <c r="AT592" t="s">
        <v>13</v>
      </c>
      <c r="AU592" t="s">
        <v>13</v>
      </c>
      <c r="AV592" t="s">
        <v>13</v>
      </c>
      <c r="AW592" t="s">
        <v>13</v>
      </c>
      <c r="AX592" t="s">
        <v>13</v>
      </c>
      <c r="AY592" t="s">
        <v>13</v>
      </c>
      <c r="AZ592" t="s">
        <v>13</v>
      </c>
      <c r="BA592" t="s">
        <v>13</v>
      </c>
    </row>
    <row r="593" spans="1:53" x14ac:dyDescent="0.2">
      <c r="A593">
        <v>2003</v>
      </c>
      <c r="B593" t="s">
        <v>75</v>
      </c>
      <c r="C593" t="s">
        <v>57</v>
      </c>
      <c r="D593">
        <v>3</v>
      </c>
      <c r="E593">
        <v>0.2</v>
      </c>
      <c r="F593">
        <v>0.4</v>
      </c>
      <c r="G593">
        <v>5.8</v>
      </c>
      <c r="H593">
        <v>1.7</v>
      </c>
      <c r="I593">
        <v>0</v>
      </c>
      <c r="J593">
        <v>0</v>
      </c>
      <c r="K593">
        <f t="shared" si="237"/>
        <v>11.1</v>
      </c>
      <c r="L593" s="1">
        <v>0</v>
      </c>
      <c r="M593" s="1">
        <v>0</v>
      </c>
      <c r="N593" s="1">
        <v>0</v>
      </c>
      <c r="O593">
        <f t="shared" si="220"/>
        <v>0</v>
      </c>
      <c r="P593">
        <v>0</v>
      </c>
      <c r="Q593">
        <v>0.1</v>
      </c>
      <c r="R593">
        <v>8.3000000000000007</v>
      </c>
      <c r="S593">
        <f t="shared" si="221"/>
        <v>8.4</v>
      </c>
      <c r="T593" s="1">
        <v>0</v>
      </c>
      <c r="U593" s="1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f t="shared" si="222"/>
        <v>0</v>
      </c>
      <c r="AB593">
        <v>0</v>
      </c>
      <c r="AC593">
        <v>0</v>
      </c>
      <c r="AD593">
        <v>0</v>
      </c>
      <c r="AE593">
        <v>3</v>
      </c>
      <c r="AF593">
        <v>8.5</v>
      </c>
      <c r="AG593">
        <v>0</v>
      </c>
      <c r="AH593">
        <v>0</v>
      </c>
      <c r="AI593">
        <v>0</v>
      </c>
      <c r="AJ593">
        <f t="shared" si="223"/>
        <v>11.5</v>
      </c>
      <c r="AK593" s="1">
        <v>0</v>
      </c>
      <c r="AL593">
        <v>0.68900000000000006</v>
      </c>
      <c r="AM593">
        <f t="shared" si="232"/>
        <v>0.30999999999999994</v>
      </c>
      <c r="AN593" t="s">
        <v>13</v>
      </c>
      <c r="AO593" t="s">
        <v>13</v>
      </c>
      <c r="AP593" t="s">
        <v>13</v>
      </c>
      <c r="AQ593" t="s">
        <v>13</v>
      </c>
      <c r="AR593">
        <f t="shared" si="231"/>
        <v>0.37096774193548393</v>
      </c>
      <c r="AS593">
        <f t="shared" si="236"/>
        <v>0.19500000000000001</v>
      </c>
      <c r="AT593" t="s">
        <v>13</v>
      </c>
      <c r="AU593" t="s">
        <v>13</v>
      </c>
      <c r="AV593" t="s">
        <v>13</v>
      </c>
      <c r="AW593" t="s">
        <v>13</v>
      </c>
      <c r="AX593" t="s">
        <v>13</v>
      </c>
      <c r="AY593" t="s">
        <v>13</v>
      </c>
      <c r="AZ593" t="s">
        <v>13</v>
      </c>
      <c r="BA593" t="s">
        <v>13</v>
      </c>
    </row>
    <row r="594" spans="1:53" x14ac:dyDescent="0.2">
      <c r="A594">
        <v>2004</v>
      </c>
      <c r="B594" t="s">
        <v>75</v>
      </c>
      <c r="C594" t="s">
        <v>57</v>
      </c>
      <c r="D594">
        <v>4.9000000000000004</v>
      </c>
      <c r="E594">
        <v>0</v>
      </c>
      <c r="F594">
        <v>0.1</v>
      </c>
      <c r="G594">
        <v>6.3</v>
      </c>
      <c r="H594">
        <v>5.3</v>
      </c>
      <c r="I594">
        <v>1</v>
      </c>
      <c r="J594">
        <v>0</v>
      </c>
      <c r="K594">
        <f t="shared" si="237"/>
        <v>17.600000000000001</v>
      </c>
      <c r="L594" s="1">
        <v>0</v>
      </c>
      <c r="M594" s="1">
        <v>0</v>
      </c>
      <c r="N594" s="1">
        <v>1.5</v>
      </c>
      <c r="O594">
        <f t="shared" si="220"/>
        <v>1.5</v>
      </c>
      <c r="P594">
        <v>0</v>
      </c>
      <c r="Q594">
        <v>0</v>
      </c>
      <c r="R594">
        <v>9.1999999999999993</v>
      </c>
      <c r="S594">
        <f t="shared" si="221"/>
        <v>9.1999999999999993</v>
      </c>
      <c r="T594" s="1">
        <v>0</v>
      </c>
      <c r="U594" s="1">
        <v>0</v>
      </c>
      <c r="V594">
        <v>0</v>
      </c>
      <c r="W594">
        <v>0</v>
      </c>
      <c r="X594">
        <v>0</v>
      </c>
      <c r="Y594">
        <v>0.1</v>
      </c>
      <c r="Z594">
        <v>0.5</v>
      </c>
      <c r="AA594">
        <f t="shared" si="222"/>
        <v>0.6</v>
      </c>
      <c r="AB594">
        <v>0</v>
      </c>
      <c r="AC594">
        <v>0</v>
      </c>
      <c r="AD594">
        <v>0</v>
      </c>
      <c r="AE594">
        <v>10.199999999999999</v>
      </c>
      <c r="AF594">
        <v>5</v>
      </c>
      <c r="AG594">
        <v>0</v>
      </c>
      <c r="AH594">
        <v>0</v>
      </c>
      <c r="AI594">
        <v>0</v>
      </c>
      <c r="AJ594">
        <f t="shared" si="223"/>
        <v>15.2</v>
      </c>
      <c r="AK594" s="1">
        <v>0</v>
      </c>
      <c r="AL594">
        <v>0.56000000000000005</v>
      </c>
      <c r="AM594">
        <f t="shared" si="232"/>
        <v>0.44099999999999995</v>
      </c>
      <c r="AN594" t="s">
        <v>13</v>
      </c>
      <c r="AO594" t="s">
        <v>13</v>
      </c>
      <c r="AP594" t="s">
        <v>13</v>
      </c>
      <c r="AQ594" t="s">
        <v>13</v>
      </c>
      <c r="AR594">
        <f t="shared" si="231"/>
        <v>0.34467120181405897</v>
      </c>
      <c r="AS594">
        <f t="shared" si="236"/>
        <v>0.28900000000000003</v>
      </c>
      <c r="AT594" t="s">
        <v>13</v>
      </c>
      <c r="AU594" t="s">
        <v>13</v>
      </c>
      <c r="AV594" t="s">
        <v>13</v>
      </c>
      <c r="AW594" t="s">
        <v>13</v>
      </c>
      <c r="AX594" t="s">
        <v>13</v>
      </c>
      <c r="AY594" t="s">
        <v>13</v>
      </c>
      <c r="AZ594" t="s">
        <v>13</v>
      </c>
      <c r="BA594" t="s">
        <v>13</v>
      </c>
    </row>
    <row r="595" spans="1:53" x14ac:dyDescent="0.2">
      <c r="A595">
        <v>2005</v>
      </c>
      <c r="B595" t="s">
        <v>75</v>
      </c>
      <c r="C595" t="s">
        <v>57</v>
      </c>
      <c r="D595" t="s">
        <v>13</v>
      </c>
      <c r="E595" t="s">
        <v>13</v>
      </c>
      <c r="F595" t="s">
        <v>13</v>
      </c>
      <c r="G595" t="s">
        <v>13</v>
      </c>
      <c r="H595" t="s">
        <v>13</v>
      </c>
      <c r="I595" t="s">
        <v>13</v>
      </c>
      <c r="J595" t="s">
        <v>13</v>
      </c>
      <c r="K595" t="s">
        <v>13</v>
      </c>
      <c r="L595" t="s">
        <v>13</v>
      </c>
      <c r="M595" t="s">
        <v>13</v>
      </c>
      <c r="N595" t="s">
        <v>13</v>
      </c>
      <c r="O595" t="s">
        <v>13</v>
      </c>
      <c r="P595" t="s">
        <v>13</v>
      </c>
      <c r="Q595" t="s">
        <v>13</v>
      </c>
      <c r="R595" t="s">
        <v>13</v>
      </c>
      <c r="S595" t="s">
        <v>13</v>
      </c>
      <c r="T595" t="s">
        <v>13</v>
      </c>
      <c r="U595" t="s">
        <v>13</v>
      </c>
      <c r="V595" t="s">
        <v>13</v>
      </c>
      <c r="W595" t="s">
        <v>13</v>
      </c>
      <c r="X595" t="s">
        <v>13</v>
      </c>
      <c r="Y595" t="s">
        <v>13</v>
      </c>
      <c r="Z595" t="s">
        <v>13</v>
      </c>
      <c r="AA595" t="s">
        <v>13</v>
      </c>
      <c r="AB595" t="s">
        <v>13</v>
      </c>
      <c r="AC595" t="s">
        <v>13</v>
      </c>
      <c r="AD595" t="s">
        <v>13</v>
      </c>
      <c r="AE595" t="s">
        <v>13</v>
      </c>
      <c r="AF595" t="s">
        <v>13</v>
      </c>
      <c r="AG595" t="s">
        <v>13</v>
      </c>
      <c r="AH595" t="s">
        <v>13</v>
      </c>
      <c r="AI595" t="s">
        <v>13</v>
      </c>
      <c r="AJ595" t="s">
        <v>13</v>
      </c>
      <c r="AK595" t="s">
        <v>13</v>
      </c>
      <c r="AL595" t="s">
        <v>13</v>
      </c>
      <c r="AM595" t="s">
        <v>13</v>
      </c>
      <c r="AN595" t="s">
        <v>13</v>
      </c>
      <c r="AO595" t="s">
        <v>13</v>
      </c>
      <c r="AP595" t="s">
        <v>13</v>
      </c>
      <c r="AQ595" t="s">
        <v>13</v>
      </c>
      <c r="AR595" t="s">
        <v>13</v>
      </c>
      <c r="AS595" t="s">
        <v>13</v>
      </c>
      <c r="AT595" t="s">
        <v>13</v>
      </c>
      <c r="AU595" t="s">
        <v>13</v>
      </c>
      <c r="AV595" t="s">
        <v>13</v>
      </c>
      <c r="AW595" t="s">
        <v>13</v>
      </c>
      <c r="AX595" t="s">
        <v>13</v>
      </c>
      <c r="AY595" t="s">
        <v>13</v>
      </c>
      <c r="AZ595" t="s">
        <v>13</v>
      </c>
      <c r="BA595" t="s">
        <v>13</v>
      </c>
    </row>
    <row r="596" spans="1:53" x14ac:dyDescent="0.2">
      <c r="A596">
        <v>2006</v>
      </c>
      <c r="B596" t="s">
        <v>75</v>
      </c>
      <c r="C596" t="s">
        <v>57</v>
      </c>
      <c r="D596" t="s">
        <v>13</v>
      </c>
      <c r="E596" t="s">
        <v>13</v>
      </c>
      <c r="F596" t="s">
        <v>13</v>
      </c>
      <c r="G596" t="s">
        <v>13</v>
      </c>
      <c r="H596" t="s">
        <v>13</v>
      </c>
      <c r="I596" t="s">
        <v>13</v>
      </c>
      <c r="J596" t="s">
        <v>13</v>
      </c>
      <c r="K596" t="s">
        <v>13</v>
      </c>
      <c r="L596" t="s">
        <v>13</v>
      </c>
      <c r="M596" t="s">
        <v>13</v>
      </c>
      <c r="N596" t="s">
        <v>13</v>
      </c>
      <c r="O596" t="s">
        <v>13</v>
      </c>
      <c r="P596" t="s">
        <v>13</v>
      </c>
      <c r="Q596" t="s">
        <v>13</v>
      </c>
      <c r="R596" t="s">
        <v>13</v>
      </c>
      <c r="S596" t="s">
        <v>13</v>
      </c>
      <c r="T596" t="s">
        <v>13</v>
      </c>
      <c r="U596" t="s">
        <v>13</v>
      </c>
      <c r="V596" t="s">
        <v>13</v>
      </c>
      <c r="W596" t="s">
        <v>13</v>
      </c>
      <c r="X596" t="s">
        <v>13</v>
      </c>
      <c r="Y596" t="s">
        <v>13</v>
      </c>
      <c r="Z596" t="s">
        <v>13</v>
      </c>
      <c r="AA596" t="s">
        <v>13</v>
      </c>
      <c r="AB596" t="s">
        <v>13</v>
      </c>
      <c r="AC596" t="s">
        <v>13</v>
      </c>
      <c r="AD596" t="s">
        <v>13</v>
      </c>
      <c r="AE596" t="s">
        <v>13</v>
      </c>
      <c r="AF596" t="s">
        <v>13</v>
      </c>
      <c r="AG596" t="s">
        <v>13</v>
      </c>
      <c r="AH596" t="s">
        <v>13</v>
      </c>
      <c r="AI596" t="s">
        <v>13</v>
      </c>
      <c r="AJ596" t="s">
        <v>13</v>
      </c>
      <c r="AK596" t="s">
        <v>13</v>
      </c>
      <c r="AL596" t="s">
        <v>13</v>
      </c>
      <c r="AM596" t="s">
        <v>13</v>
      </c>
      <c r="AN596" t="s">
        <v>13</v>
      </c>
      <c r="AO596" t="s">
        <v>13</v>
      </c>
      <c r="AP596" t="s">
        <v>13</v>
      </c>
      <c r="AQ596" t="s">
        <v>13</v>
      </c>
      <c r="AR596" t="s">
        <v>13</v>
      </c>
      <c r="AS596" t="s">
        <v>13</v>
      </c>
      <c r="AT596" t="s">
        <v>13</v>
      </c>
      <c r="AU596" t="s">
        <v>13</v>
      </c>
      <c r="AV596" t="s">
        <v>13</v>
      </c>
      <c r="AW596" t="s">
        <v>13</v>
      </c>
      <c r="AX596" t="s">
        <v>13</v>
      </c>
      <c r="AY596" t="s">
        <v>13</v>
      </c>
      <c r="AZ596" t="s">
        <v>13</v>
      </c>
      <c r="BA596" t="s">
        <v>13</v>
      </c>
    </row>
    <row r="597" spans="1:53" x14ac:dyDescent="0.2">
      <c r="A597">
        <v>2007</v>
      </c>
      <c r="B597" t="s">
        <v>75</v>
      </c>
      <c r="C597" t="s">
        <v>57</v>
      </c>
      <c r="D597" t="s">
        <v>13</v>
      </c>
      <c r="E597" t="s">
        <v>13</v>
      </c>
      <c r="F597" t="s">
        <v>13</v>
      </c>
      <c r="G597" t="s">
        <v>13</v>
      </c>
      <c r="H597" t="s">
        <v>13</v>
      </c>
      <c r="I597" t="s">
        <v>13</v>
      </c>
      <c r="J597" t="s">
        <v>13</v>
      </c>
      <c r="K597" t="s">
        <v>13</v>
      </c>
      <c r="L597" t="s">
        <v>13</v>
      </c>
      <c r="M597" t="s">
        <v>13</v>
      </c>
      <c r="N597" t="s">
        <v>13</v>
      </c>
      <c r="O597" t="s">
        <v>13</v>
      </c>
      <c r="P597" t="s">
        <v>13</v>
      </c>
      <c r="Q597" t="s">
        <v>13</v>
      </c>
      <c r="R597" t="s">
        <v>13</v>
      </c>
      <c r="S597" t="s">
        <v>13</v>
      </c>
      <c r="T597" t="s">
        <v>13</v>
      </c>
      <c r="U597" t="s">
        <v>13</v>
      </c>
      <c r="V597" t="s">
        <v>13</v>
      </c>
      <c r="W597" t="s">
        <v>13</v>
      </c>
      <c r="X597" t="s">
        <v>13</v>
      </c>
      <c r="Y597" t="s">
        <v>13</v>
      </c>
      <c r="Z597" t="s">
        <v>13</v>
      </c>
      <c r="AA597" t="s">
        <v>13</v>
      </c>
      <c r="AB597" t="s">
        <v>13</v>
      </c>
      <c r="AC597" t="s">
        <v>13</v>
      </c>
      <c r="AD597" t="s">
        <v>13</v>
      </c>
      <c r="AE597" t="s">
        <v>13</v>
      </c>
      <c r="AF597" t="s">
        <v>13</v>
      </c>
      <c r="AG597" t="s">
        <v>13</v>
      </c>
      <c r="AH597" t="s">
        <v>13</v>
      </c>
      <c r="AI597" t="s">
        <v>13</v>
      </c>
      <c r="AJ597" t="s">
        <v>13</v>
      </c>
      <c r="AK597" t="s">
        <v>13</v>
      </c>
      <c r="AL597" t="s">
        <v>13</v>
      </c>
      <c r="AM597" t="s">
        <v>13</v>
      </c>
      <c r="AN597" t="s">
        <v>13</v>
      </c>
      <c r="AO597" t="s">
        <v>13</v>
      </c>
      <c r="AP597" t="s">
        <v>13</v>
      </c>
      <c r="AQ597" t="s">
        <v>13</v>
      </c>
      <c r="AR597" t="s">
        <v>13</v>
      </c>
      <c r="AS597" t="s">
        <v>13</v>
      </c>
      <c r="AT597" t="s">
        <v>13</v>
      </c>
      <c r="AU597" t="s">
        <v>13</v>
      </c>
      <c r="AV597" t="s">
        <v>13</v>
      </c>
      <c r="AW597" t="s">
        <v>13</v>
      </c>
      <c r="AX597" t="s">
        <v>13</v>
      </c>
      <c r="AY597" t="s">
        <v>13</v>
      </c>
      <c r="AZ597" t="s">
        <v>13</v>
      </c>
      <c r="BA597" t="s">
        <v>13</v>
      </c>
    </row>
    <row r="598" spans="1:53" x14ac:dyDescent="0.2">
      <c r="A598">
        <v>2008</v>
      </c>
      <c r="B598" t="s">
        <v>75</v>
      </c>
      <c r="C598" t="s">
        <v>57</v>
      </c>
      <c r="D598" t="s">
        <v>13</v>
      </c>
      <c r="E598" t="s">
        <v>13</v>
      </c>
      <c r="F598" t="s">
        <v>13</v>
      </c>
      <c r="G598" t="s">
        <v>13</v>
      </c>
      <c r="H598" t="s">
        <v>13</v>
      </c>
      <c r="I598" t="s">
        <v>13</v>
      </c>
      <c r="J598" t="s">
        <v>13</v>
      </c>
      <c r="K598" t="s">
        <v>13</v>
      </c>
      <c r="L598" t="s">
        <v>13</v>
      </c>
      <c r="M598" t="s">
        <v>13</v>
      </c>
      <c r="N598" t="s">
        <v>13</v>
      </c>
      <c r="O598" t="s">
        <v>13</v>
      </c>
      <c r="P598" t="s">
        <v>13</v>
      </c>
      <c r="Q598" t="s">
        <v>13</v>
      </c>
      <c r="R598" t="s">
        <v>13</v>
      </c>
      <c r="S598" t="s">
        <v>13</v>
      </c>
      <c r="T598" t="s">
        <v>13</v>
      </c>
      <c r="U598" t="s">
        <v>13</v>
      </c>
      <c r="V598" t="s">
        <v>13</v>
      </c>
      <c r="W598" t="s">
        <v>13</v>
      </c>
      <c r="X598" t="s">
        <v>13</v>
      </c>
      <c r="Y598" t="s">
        <v>13</v>
      </c>
      <c r="Z598" t="s">
        <v>13</v>
      </c>
      <c r="AA598" t="s">
        <v>13</v>
      </c>
      <c r="AB598" t="s">
        <v>13</v>
      </c>
      <c r="AC598" t="s">
        <v>13</v>
      </c>
      <c r="AD598" t="s">
        <v>13</v>
      </c>
      <c r="AE598" t="s">
        <v>13</v>
      </c>
      <c r="AF598" t="s">
        <v>13</v>
      </c>
      <c r="AG598" t="s">
        <v>13</v>
      </c>
      <c r="AH598" t="s">
        <v>13</v>
      </c>
      <c r="AI598" t="s">
        <v>13</v>
      </c>
      <c r="AJ598" t="s">
        <v>13</v>
      </c>
      <c r="AK598" t="s">
        <v>13</v>
      </c>
      <c r="AL598" t="s">
        <v>13</v>
      </c>
      <c r="AM598" t="s">
        <v>13</v>
      </c>
      <c r="AN598" t="s">
        <v>13</v>
      </c>
      <c r="AO598" t="s">
        <v>13</v>
      </c>
      <c r="AP598" t="s">
        <v>13</v>
      </c>
      <c r="AQ598" t="s">
        <v>13</v>
      </c>
      <c r="AR598" t="s">
        <v>13</v>
      </c>
      <c r="AS598" t="s">
        <v>13</v>
      </c>
      <c r="AT598" t="s">
        <v>13</v>
      </c>
      <c r="AU598" t="s">
        <v>13</v>
      </c>
      <c r="AV598" t="s">
        <v>13</v>
      </c>
      <c r="AW598" t="s">
        <v>13</v>
      </c>
      <c r="AX598" t="s">
        <v>13</v>
      </c>
      <c r="AY598" t="s">
        <v>13</v>
      </c>
      <c r="AZ598" t="s">
        <v>13</v>
      </c>
      <c r="BA598" t="s">
        <v>13</v>
      </c>
    </row>
    <row r="599" spans="1:53" x14ac:dyDescent="0.2">
      <c r="A599">
        <v>2009</v>
      </c>
      <c r="B599" t="s">
        <v>75</v>
      </c>
      <c r="C599" t="s">
        <v>57</v>
      </c>
      <c r="D599" t="s">
        <v>13</v>
      </c>
      <c r="E599" t="s">
        <v>13</v>
      </c>
      <c r="F599" t="s">
        <v>13</v>
      </c>
      <c r="G599" t="s">
        <v>13</v>
      </c>
      <c r="H599" t="s">
        <v>13</v>
      </c>
      <c r="I599" t="s">
        <v>13</v>
      </c>
      <c r="J599" t="s">
        <v>13</v>
      </c>
      <c r="K599" t="s">
        <v>13</v>
      </c>
      <c r="L599" t="s">
        <v>13</v>
      </c>
      <c r="M599" t="s">
        <v>13</v>
      </c>
      <c r="N599" t="s">
        <v>13</v>
      </c>
      <c r="O599" t="s">
        <v>13</v>
      </c>
      <c r="P599" t="s">
        <v>13</v>
      </c>
      <c r="Q599" t="s">
        <v>13</v>
      </c>
      <c r="R599" t="s">
        <v>13</v>
      </c>
      <c r="S599" t="s">
        <v>13</v>
      </c>
      <c r="T599" t="s">
        <v>13</v>
      </c>
      <c r="U599" t="s">
        <v>13</v>
      </c>
      <c r="V599" t="s">
        <v>13</v>
      </c>
      <c r="W599" t="s">
        <v>13</v>
      </c>
      <c r="X599" t="s">
        <v>13</v>
      </c>
      <c r="Y599" t="s">
        <v>13</v>
      </c>
      <c r="Z599" t="s">
        <v>13</v>
      </c>
      <c r="AA599" t="s">
        <v>13</v>
      </c>
      <c r="AB599" t="s">
        <v>13</v>
      </c>
      <c r="AC599" t="s">
        <v>13</v>
      </c>
      <c r="AD599" t="s">
        <v>13</v>
      </c>
      <c r="AE599" t="s">
        <v>13</v>
      </c>
      <c r="AF599" t="s">
        <v>13</v>
      </c>
      <c r="AG599" t="s">
        <v>13</v>
      </c>
      <c r="AH599" t="s">
        <v>13</v>
      </c>
      <c r="AI599" t="s">
        <v>13</v>
      </c>
      <c r="AJ599" t="s">
        <v>13</v>
      </c>
      <c r="AK599" t="s">
        <v>13</v>
      </c>
      <c r="AL599" t="s">
        <v>13</v>
      </c>
      <c r="AM599" t="s">
        <v>13</v>
      </c>
      <c r="AN599" t="s">
        <v>13</v>
      </c>
      <c r="AO599" t="s">
        <v>13</v>
      </c>
      <c r="AP599" t="s">
        <v>13</v>
      </c>
      <c r="AQ599" t="s">
        <v>13</v>
      </c>
      <c r="AR599" t="s">
        <v>13</v>
      </c>
      <c r="AS599" t="s">
        <v>13</v>
      </c>
      <c r="AT599" t="s">
        <v>13</v>
      </c>
      <c r="AU599" t="s">
        <v>13</v>
      </c>
      <c r="AV599" t="s">
        <v>13</v>
      </c>
      <c r="AW599" t="s">
        <v>13</v>
      </c>
      <c r="AX599" t="s">
        <v>13</v>
      </c>
      <c r="AY599" t="s">
        <v>13</v>
      </c>
      <c r="AZ599" t="s">
        <v>13</v>
      </c>
      <c r="BA599" t="s">
        <v>13</v>
      </c>
    </row>
    <row r="600" spans="1:53" x14ac:dyDescent="0.2">
      <c r="A600">
        <v>2010</v>
      </c>
      <c r="B600" t="s">
        <v>75</v>
      </c>
      <c r="C600" t="s">
        <v>57</v>
      </c>
      <c r="D600" t="s">
        <v>13</v>
      </c>
      <c r="E600" t="s">
        <v>13</v>
      </c>
      <c r="F600" t="s">
        <v>13</v>
      </c>
      <c r="G600" t="s">
        <v>13</v>
      </c>
      <c r="H600" t="s">
        <v>13</v>
      </c>
      <c r="I600" t="s">
        <v>13</v>
      </c>
      <c r="J600" t="s">
        <v>13</v>
      </c>
      <c r="K600" t="s">
        <v>13</v>
      </c>
      <c r="L600" t="s">
        <v>13</v>
      </c>
      <c r="M600" t="s">
        <v>13</v>
      </c>
      <c r="N600" t="s">
        <v>13</v>
      </c>
      <c r="O600" t="s">
        <v>13</v>
      </c>
      <c r="P600" t="s">
        <v>13</v>
      </c>
      <c r="Q600" t="s">
        <v>13</v>
      </c>
      <c r="R600" t="s">
        <v>13</v>
      </c>
      <c r="S600" t="s">
        <v>13</v>
      </c>
      <c r="T600" t="s">
        <v>13</v>
      </c>
      <c r="U600" t="s">
        <v>13</v>
      </c>
      <c r="V600" t="s">
        <v>13</v>
      </c>
      <c r="W600" t="s">
        <v>13</v>
      </c>
      <c r="X600" t="s">
        <v>13</v>
      </c>
      <c r="Y600" t="s">
        <v>13</v>
      </c>
      <c r="Z600" t="s">
        <v>13</v>
      </c>
      <c r="AA600" t="s">
        <v>13</v>
      </c>
      <c r="AB600" t="s">
        <v>13</v>
      </c>
      <c r="AC600" t="s">
        <v>13</v>
      </c>
      <c r="AD600" t="s">
        <v>13</v>
      </c>
      <c r="AE600" t="s">
        <v>13</v>
      </c>
      <c r="AF600" t="s">
        <v>13</v>
      </c>
      <c r="AG600" t="s">
        <v>13</v>
      </c>
      <c r="AH600" t="s">
        <v>13</v>
      </c>
      <c r="AI600" t="s">
        <v>13</v>
      </c>
      <c r="AJ600" t="s">
        <v>13</v>
      </c>
      <c r="AK600" t="s">
        <v>13</v>
      </c>
      <c r="AL600" t="s">
        <v>13</v>
      </c>
      <c r="AM600" t="s">
        <v>13</v>
      </c>
      <c r="AN600" t="s">
        <v>13</v>
      </c>
      <c r="AO600" t="s">
        <v>13</v>
      </c>
      <c r="AP600" t="s">
        <v>13</v>
      </c>
      <c r="AQ600" t="s">
        <v>13</v>
      </c>
      <c r="AR600" t="s">
        <v>13</v>
      </c>
      <c r="AS600" t="s">
        <v>13</v>
      </c>
      <c r="AT600" t="s">
        <v>13</v>
      </c>
      <c r="AU600" t="s">
        <v>13</v>
      </c>
      <c r="AV600" t="s">
        <v>13</v>
      </c>
      <c r="AW600" t="s">
        <v>13</v>
      </c>
      <c r="AX600" t="s">
        <v>13</v>
      </c>
      <c r="AY600" t="s">
        <v>13</v>
      </c>
      <c r="AZ600" t="s">
        <v>13</v>
      </c>
      <c r="BA600" t="s">
        <v>13</v>
      </c>
    </row>
    <row r="601" spans="1:53" x14ac:dyDescent="0.2">
      <c r="A601">
        <v>2011</v>
      </c>
      <c r="B601" t="s">
        <v>75</v>
      </c>
      <c r="C601" t="s">
        <v>57</v>
      </c>
      <c r="D601" t="s">
        <v>13</v>
      </c>
      <c r="E601" t="s">
        <v>13</v>
      </c>
      <c r="F601" t="s">
        <v>13</v>
      </c>
      <c r="G601" t="s">
        <v>13</v>
      </c>
      <c r="H601" t="s">
        <v>13</v>
      </c>
      <c r="I601" t="s">
        <v>13</v>
      </c>
      <c r="J601" t="s">
        <v>13</v>
      </c>
      <c r="K601" t="s">
        <v>13</v>
      </c>
      <c r="L601" t="s">
        <v>13</v>
      </c>
      <c r="M601" t="s">
        <v>13</v>
      </c>
      <c r="N601" t="s">
        <v>13</v>
      </c>
      <c r="O601" t="s">
        <v>13</v>
      </c>
      <c r="P601" t="s">
        <v>13</v>
      </c>
      <c r="Q601" t="s">
        <v>13</v>
      </c>
      <c r="R601" t="s">
        <v>13</v>
      </c>
      <c r="S601" t="s">
        <v>13</v>
      </c>
      <c r="T601" t="s">
        <v>13</v>
      </c>
      <c r="U601" t="s">
        <v>13</v>
      </c>
      <c r="V601" t="s">
        <v>13</v>
      </c>
      <c r="W601" t="s">
        <v>13</v>
      </c>
      <c r="X601" t="s">
        <v>13</v>
      </c>
      <c r="Y601" t="s">
        <v>13</v>
      </c>
      <c r="Z601" t="s">
        <v>13</v>
      </c>
      <c r="AA601" t="s">
        <v>13</v>
      </c>
      <c r="AB601" t="s">
        <v>13</v>
      </c>
      <c r="AC601" t="s">
        <v>13</v>
      </c>
      <c r="AD601" t="s">
        <v>13</v>
      </c>
      <c r="AE601" t="s">
        <v>13</v>
      </c>
      <c r="AF601" t="s">
        <v>13</v>
      </c>
      <c r="AG601" t="s">
        <v>13</v>
      </c>
      <c r="AH601" t="s">
        <v>13</v>
      </c>
      <c r="AI601" t="s">
        <v>13</v>
      </c>
      <c r="AJ601" t="s">
        <v>13</v>
      </c>
      <c r="AK601" t="s">
        <v>13</v>
      </c>
      <c r="AL601" t="s">
        <v>13</v>
      </c>
      <c r="AM601" t="s">
        <v>13</v>
      </c>
      <c r="AN601" t="s">
        <v>13</v>
      </c>
      <c r="AO601" t="s">
        <v>13</v>
      </c>
      <c r="AP601" t="s">
        <v>13</v>
      </c>
      <c r="AQ601" t="s">
        <v>13</v>
      </c>
      <c r="AR601" t="s">
        <v>13</v>
      </c>
      <c r="AS601" t="s">
        <v>13</v>
      </c>
      <c r="AT601" t="s">
        <v>13</v>
      </c>
      <c r="AU601" t="s">
        <v>13</v>
      </c>
      <c r="AV601" t="s">
        <v>13</v>
      </c>
      <c r="AW601" t="s">
        <v>13</v>
      </c>
      <c r="AX601" t="s">
        <v>13</v>
      </c>
      <c r="AY601" t="s">
        <v>13</v>
      </c>
      <c r="AZ601" t="s">
        <v>13</v>
      </c>
      <c r="BA601" t="s">
        <v>13</v>
      </c>
    </row>
    <row r="602" spans="1:53" x14ac:dyDescent="0.2">
      <c r="A602">
        <v>2012</v>
      </c>
      <c r="B602" t="s">
        <v>75</v>
      </c>
      <c r="C602" t="s">
        <v>57</v>
      </c>
      <c r="D602">
        <v>8.1</v>
      </c>
      <c r="E602">
        <v>0</v>
      </c>
      <c r="F602">
        <v>3.6</v>
      </c>
      <c r="G602">
        <v>10.3</v>
      </c>
      <c r="H602">
        <v>11</v>
      </c>
      <c r="I602">
        <v>1.8</v>
      </c>
      <c r="J602">
        <v>0</v>
      </c>
      <c r="K602">
        <f t="shared" si="237"/>
        <v>34.799999999999997</v>
      </c>
      <c r="L602" s="1">
        <v>0</v>
      </c>
      <c r="M602" s="1">
        <v>0</v>
      </c>
      <c r="N602" s="1">
        <v>0</v>
      </c>
      <c r="O602">
        <f t="shared" ref="O602:O649" si="238">SUM(L602:N602)</f>
        <v>0</v>
      </c>
      <c r="P602" s="1">
        <v>0</v>
      </c>
      <c r="Q602" s="1">
        <v>0.7</v>
      </c>
      <c r="R602" s="1">
        <v>14</v>
      </c>
      <c r="S602">
        <f t="shared" ref="S602:S649" si="239">SUM(P602:R602)</f>
        <v>14.7</v>
      </c>
      <c r="T602" s="1">
        <v>2</v>
      </c>
      <c r="U602" s="1">
        <v>0.4</v>
      </c>
      <c r="V602" s="1">
        <v>0</v>
      </c>
      <c r="W602" s="1">
        <v>0</v>
      </c>
      <c r="X602" s="1">
        <v>0</v>
      </c>
      <c r="Y602" s="1">
        <v>0</v>
      </c>
      <c r="Z602" s="1">
        <v>0</v>
      </c>
      <c r="AA602">
        <f t="shared" ref="AA602:AA649" si="240">SUM(T602:Z602)</f>
        <v>2.4</v>
      </c>
      <c r="AB602">
        <v>0</v>
      </c>
      <c r="AC602">
        <v>0</v>
      </c>
      <c r="AD602">
        <v>0</v>
      </c>
      <c r="AE602">
        <v>9.1999999999999993</v>
      </c>
      <c r="AF602">
        <v>2.8</v>
      </c>
      <c r="AG602">
        <v>0</v>
      </c>
      <c r="AH602">
        <v>0</v>
      </c>
      <c r="AI602">
        <v>0</v>
      </c>
      <c r="AJ602">
        <f t="shared" ref="AJ602:AJ649" si="241">SUM(AB602:AI602)</f>
        <v>12</v>
      </c>
      <c r="AK602">
        <v>1.3</v>
      </c>
      <c r="AL602">
        <v>0.34600000000000003</v>
      </c>
      <c r="AM602">
        <f t="shared" si="232"/>
        <v>0.63900000000000001</v>
      </c>
      <c r="AN602" t="s">
        <v>13</v>
      </c>
      <c r="AO602" t="s">
        <v>13</v>
      </c>
      <c r="AP602" t="s">
        <v>13</v>
      </c>
      <c r="AQ602" t="s">
        <v>13</v>
      </c>
      <c r="AR602">
        <f t="shared" si="231"/>
        <v>0.18779342723004694</v>
      </c>
      <c r="AS602">
        <f t="shared" ref="AS602:AS633" si="242">SUM(K602,O602,S602,AA602)/100</f>
        <v>0.51900000000000002</v>
      </c>
      <c r="AT602" t="s">
        <v>13</v>
      </c>
      <c r="AU602" t="s">
        <v>13</v>
      </c>
      <c r="AV602" t="s">
        <v>13</v>
      </c>
      <c r="AW602" t="s">
        <v>13</v>
      </c>
      <c r="AX602" t="s">
        <v>13</v>
      </c>
      <c r="AY602" t="s">
        <v>13</v>
      </c>
      <c r="AZ602" t="s">
        <v>13</v>
      </c>
      <c r="BA602" t="s">
        <v>13</v>
      </c>
    </row>
    <row r="603" spans="1:53" x14ac:dyDescent="0.2">
      <c r="A603">
        <v>2013</v>
      </c>
      <c r="B603" t="s">
        <v>75</v>
      </c>
      <c r="C603" t="s">
        <v>57</v>
      </c>
      <c r="D603">
        <v>2.4</v>
      </c>
      <c r="E603">
        <v>0</v>
      </c>
      <c r="F603">
        <v>1</v>
      </c>
      <c r="G603">
        <v>7.2</v>
      </c>
      <c r="H603">
        <v>4.5999999999999996</v>
      </c>
      <c r="I603">
        <v>0.3</v>
      </c>
      <c r="J603">
        <v>0.6</v>
      </c>
      <c r="K603">
        <f t="shared" si="237"/>
        <v>16.100000000000001</v>
      </c>
      <c r="L603" s="1">
        <v>0</v>
      </c>
      <c r="M603" s="1">
        <v>0</v>
      </c>
      <c r="N603" s="1">
        <v>0.1</v>
      </c>
      <c r="O603">
        <f t="shared" si="238"/>
        <v>0.1</v>
      </c>
      <c r="P603" s="1">
        <v>0</v>
      </c>
      <c r="Q603" s="1">
        <v>1</v>
      </c>
      <c r="R603" s="1">
        <v>14.3</v>
      </c>
      <c r="S603">
        <f t="shared" si="239"/>
        <v>15.3</v>
      </c>
      <c r="T603" s="1">
        <v>0.1</v>
      </c>
      <c r="U603" s="1">
        <v>0.2</v>
      </c>
      <c r="V603" s="1">
        <v>0</v>
      </c>
      <c r="W603" s="1">
        <v>0</v>
      </c>
      <c r="X603" s="1">
        <v>0</v>
      </c>
      <c r="Y603" s="1">
        <v>0</v>
      </c>
      <c r="Z603" s="1">
        <v>0</v>
      </c>
      <c r="AA603">
        <f t="shared" si="240"/>
        <v>0.30000000000000004</v>
      </c>
      <c r="AB603">
        <v>0</v>
      </c>
      <c r="AC603">
        <v>0</v>
      </c>
      <c r="AD603">
        <v>0</v>
      </c>
      <c r="AE603">
        <v>3.1</v>
      </c>
      <c r="AF603">
        <v>3.6</v>
      </c>
      <c r="AG603">
        <v>0</v>
      </c>
      <c r="AH603">
        <v>0</v>
      </c>
      <c r="AI603">
        <v>0</v>
      </c>
      <c r="AJ603">
        <f t="shared" si="241"/>
        <v>6.7</v>
      </c>
      <c r="AK603">
        <v>1.3</v>
      </c>
      <c r="AL603">
        <v>0.59299999999999997</v>
      </c>
      <c r="AM603">
        <f t="shared" si="232"/>
        <v>0.38500000000000001</v>
      </c>
      <c r="AN603" t="s">
        <v>13</v>
      </c>
      <c r="AO603" t="s">
        <v>13</v>
      </c>
      <c r="AP603" t="s">
        <v>13</v>
      </c>
      <c r="AQ603" t="s">
        <v>13</v>
      </c>
      <c r="AR603">
        <f t="shared" si="231"/>
        <v>0.17402597402597403</v>
      </c>
      <c r="AS603">
        <f t="shared" si="242"/>
        <v>0.31800000000000006</v>
      </c>
      <c r="AT603" t="s">
        <v>13</v>
      </c>
      <c r="AU603" t="s">
        <v>13</v>
      </c>
      <c r="AV603" t="s">
        <v>13</v>
      </c>
      <c r="AW603" t="s">
        <v>13</v>
      </c>
      <c r="AX603" t="s">
        <v>13</v>
      </c>
      <c r="AY603" t="s">
        <v>13</v>
      </c>
      <c r="AZ603" t="s">
        <v>13</v>
      </c>
      <c r="BA603" t="s">
        <v>13</v>
      </c>
    </row>
    <row r="604" spans="1:53" x14ac:dyDescent="0.2">
      <c r="A604">
        <v>2014</v>
      </c>
      <c r="B604" t="s">
        <v>75</v>
      </c>
      <c r="C604" t="s">
        <v>57</v>
      </c>
      <c r="D604">
        <v>9.1999999999999993</v>
      </c>
      <c r="E604">
        <v>0</v>
      </c>
      <c r="F604">
        <v>1.9</v>
      </c>
      <c r="G604">
        <v>6.7</v>
      </c>
      <c r="H604">
        <v>5.7</v>
      </c>
      <c r="I604">
        <v>3.1</v>
      </c>
      <c r="J604">
        <v>2.2000000000000002</v>
      </c>
      <c r="K604">
        <f t="shared" si="237"/>
        <v>28.8</v>
      </c>
      <c r="L604" s="1">
        <v>0</v>
      </c>
      <c r="M604" s="1">
        <v>0</v>
      </c>
      <c r="N604" s="1">
        <v>0.5</v>
      </c>
      <c r="O604">
        <f t="shared" si="238"/>
        <v>0.5</v>
      </c>
      <c r="P604" s="1">
        <v>0</v>
      </c>
      <c r="Q604" s="1">
        <v>1.4</v>
      </c>
      <c r="R604" s="1">
        <v>7.6</v>
      </c>
      <c r="S604">
        <f t="shared" si="239"/>
        <v>9</v>
      </c>
      <c r="T604" s="1">
        <v>0.8</v>
      </c>
      <c r="U604" s="1">
        <v>0.2</v>
      </c>
      <c r="V604" s="1">
        <v>0</v>
      </c>
      <c r="W604" s="1">
        <v>0</v>
      </c>
      <c r="X604" s="1">
        <v>0</v>
      </c>
      <c r="Y604" s="1">
        <v>0</v>
      </c>
      <c r="Z604" s="1">
        <v>0</v>
      </c>
      <c r="AA604">
        <f t="shared" si="240"/>
        <v>1</v>
      </c>
      <c r="AB604">
        <v>0</v>
      </c>
      <c r="AC604">
        <v>0</v>
      </c>
      <c r="AD604">
        <v>0</v>
      </c>
      <c r="AE604">
        <v>3.7</v>
      </c>
      <c r="AF604">
        <v>4.8</v>
      </c>
      <c r="AG604">
        <v>0</v>
      </c>
      <c r="AH604">
        <v>0</v>
      </c>
      <c r="AI604">
        <v>0</v>
      </c>
      <c r="AJ604">
        <f t="shared" si="241"/>
        <v>8.5</v>
      </c>
      <c r="AK604">
        <v>0.5</v>
      </c>
      <c r="AL604">
        <v>0.51500000000000001</v>
      </c>
      <c r="AM604">
        <f t="shared" si="232"/>
        <v>0.47800000000000004</v>
      </c>
      <c r="AN604" t="s">
        <v>13</v>
      </c>
      <c r="AO604" t="s">
        <v>13</v>
      </c>
      <c r="AP604" t="s">
        <v>13</v>
      </c>
      <c r="AQ604" t="s">
        <v>13</v>
      </c>
      <c r="AR604">
        <f t="shared" si="231"/>
        <v>0.17782426778242677</v>
      </c>
      <c r="AS604">
        <f t="shared" si="242"/>
        <v>0.39299999999999996</v>
      </c>
      <c r="AT604" t="s">
        <v>13</v>
      </c>
      <c r="AU604" t="s">
        <v>13</v>
      </c>
      <c r="AV604" t="s">
        <v>13</v>
      </c>
      <c r="AW604" t="s">
        <v>13</v>
      </c>
      <c r="AX604" t="s">
        <v>13</v>
      </c>
      <c r="AY604" t="s">
        <v>13</v>
      </c>
      <c r="AZ604" t="s">
        <v>13</v>
      </c>
      <c r="BA604" t="s">
        <v>13</v>
      </c>
    </row>
    <row r="605" spans="1:53" x14ac:dyDescent="0.2">
      <c r="A605">
        <v>2015</v>
      </c>
      <c r="B605" t="s">
        <v>75</v>
      </c>
      <c r="C605" t="s">
        <v>57</v>
      </c>
      <c r="D605">
        <v>4.2</v>
      </c>
      <c r="E605">
        <v>0</v>
      </c>
      <c r="F605">
        <v>0.7</v>
      </c>
      <c r="G605">
        <v>2.1</v>
      </c>
      <c r="H605">
        <v>1.7</v>
      </c>
      <c r="I605">
        <v>1.6</v>
      </c>
      <c r="J605">
        <v>1.1000000000000001</v>
      </c>
      <c r="K605">
        <f t="shared" si="237"/>
        <v>11.399999999999999</v>
      </c>
      <c r="L605" s="1">
        <v>0</v>
      </c>
      <c r="M605" s="1">
        <v>0</v>
      </c>
      <c r="N605" s="1">
        <v>0.3</v>
      </c>
      <c r="O605">
        <f t="shared" si="238"/>
        <v>0.3</v>
      </c>
      <c r="P605" s="1">
        <v>0</v>
      </c>
      <c r="Q605" s="1">
        <v>0.7</v>
      </c>
      <c r="R605" s="1">
        <v>15</v>
      </c>
      <c r="S605">
        <f t="shared" si="239"/>
        <v>15.7</v>
      </c>
      <c r="T605" s="1">
        <v>1.6</v>
      </c>
      <c r="U605" s="1">
        <v>0.1</v>
      </c>
      <c r="V605" s="1">
        <v>0</v>
      </c>
      <c r="W605" s="1">
        <v>0</v>
      </c>
      <c r="X605" s="1">
        <v>0</v>
      </c>
      <c r="Y605" s="1">
        <v>0.2</v>
      </c>
      <c r="Z605" s="1">
        <v>1.1000000000000001</v>
      </c>
      <c r="AA605">
        <f t="shared" si="240"/>
        <v>3</v>
      </c>
      <c r="AB605">
        <v>0</v>
      </c>
      <c r="AC605">
        <v>0</v>
      </c>
      <c r="AD605">
        <v>0</v>
      </c>
      <c r="AE605">
        <v>1.7</v>
      </c>
      <c r="AF605">
        <v>3.3</v>
      </c>
      <c r="AG605">
        <v>0</v>
      </c>
      <c r="AH605">
        <v>0</v>
      </c>
      <c r="AI605">
        <v>0</v>
      </c>
      <c r="AJ605">
        <f t="shared" si="241"/>
        <v>5</v>
      </c>
      <c r="AK605">
        <v>4.7</v>
      </c>
      <c r="AL605">
        <v>0.60199999999999998</v>
      </c>
      <c r="AM605">
        <f t="shared" si="232"/>
        <v>0.35400000000000004</v>
      </c>
      <c r="AN605" t="s">
        <v>13</v>
      </c>
      <c r="AO605" t="s">
        <v>13</v>
      </c>
      <c r="AP605" t="s">
        <v>13</v>
      </c>
      <c r="AQ605" t="s">
        <v>13</v>
      </c>
      <c r="AR605">
        <f t="shared" si="231"/>
        <v>0.14124293785310735</v>
      </c>
      <c r="AS605">
        <f t="shared" si="242"/>
        <v>0.30399999999999999</v>
      </c>
      <c r="AT605" t="s">
        <v>13</v>
      </c>
      <c r="AU605" t="s">
        <v>13</v>
      </c>
      <c r="AV605" t="s">
        <v>13</v>
      </c>
      <c r="AW605" t="s">
        <v>13</v>
      </c>
      <c r="AX605" t="s">
        <v>13</v>
      </c>
      <c r="AY605" t="s">
        <v>13</v>
      </c>
      <c r="AZ605" t="s">
        <v>13</v>
      </c>
      <c r="BA605" t="s">
        <v>13</v>
      </c>
    </row>
    <row r="606" spans="1:53" x14ac:dyDescent="0.2">
      <c r="A606">
        <v>2016</v>
      </c>
      <c r="B606" t="s">
        <v>75</v>
      </c>
      <c r="C606" t="s">
        <v>57</v>
      </c>
      <c r="D606">
        <v>4</v>
      </c>
      <c r="E606">
        <v>0</v>
      </c>
      <c r="F606">
        <v>1.1000000000000001</v>
      </c>
      <c r="G606">
        <v>5.8</v>
      </c>
      <c r="H606">
        <v>6.2</v>
      </c>
      <c r="I606">
        <v>0.8</v>
      </c>
      <c r="J606">
        <v>0</v>
      </c>
      <c r="K606">
        <f t="shared" si="237"/>
        <v>17.899999999999999</v>
      </c>
      <c r="L606" s="1">
        <v>0</v>
      </c>
      <c r="M606" s="1">
        <v>0</v>
      </c>
      <c r="N606" s="1">
        <v>2.9</v>
      </c>
      <c r="O606">
        <f t="shared" si="238"/>
        <v>2.9</v>
      </c>
      <c r="P606" s="1">
        <v>0</v>
      </c>
      <c r="Q606" s="1">
        <v>0.5</v>
      </c>
      <c r="R606" s="1">
        <v>13.5</v>
      </c>
      <c r="S606">
        <f t="shared" si="239"/>
        <v>14</v>
      </c>
      <c r="T606" s="1">
        <v>0.8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  <c r="Z606" s="1">
        <v>0</v>
      </c>
      <c r="AA606">
        <f t="shared" si="240"/>
        <v>0.8</v>
      </c>
      <c r="AB606">
        <v>0</v>
      </c>
      <c r="AC606">
        <v>0</v>
      </c>
      <c r="AD606">
        <v>0</v>
      </c>
      <c r="AE606">
        <v>11.3</v>
      </c>
      <c r="AF606">
        <v>0.7</v>
      </c>
      <c r="AG606">
        <v>0</v>
      </c>
      <c r="AH606">
        <v>0</v>
      </c>
      <c r="AI606">
        <v>0</v>
      </c>
      <c r="AJ606">
        <f t="shared" si="241"/>
        <v>12</v>
      </c>
      <c r="AK606">
        <v>4.5999999999999996</v>
      </c>
      <c r="AL606">
        <v>0.47600000000000003</v>
      </c>
      <c r="AM606">
        <f t="shared" si="232"/>
        <v>0.47600000000000003</v>
      </c>
      <c r="AN606" t="s">
        <v>13</v>
      </c>
      <c r="AO606" t="s">
        <v>13</v>
      </c>
      <c r="AP606" t="s">
        <v>13</v>
      </c>
      <c r="AQ606" t="s">
        <v>13</v>
      </c>
      <c r="AR606">
        <f t="shared" si="231"/>
        <v>0.25210084033613445</v>
      </c>
      <c r="AS606">
        <f t="shared" si="242"/>
        <v>0.35599999999999993</v>
      </c>
      <c r="AT606" t="s">
        <v>13</v>
      </c>
      <c r="AU606" t="s">
        <v>13</v>
      </c>
      <c r="AV606" t="s">
        <v>13</v>
      </c>
      <c r="AW606" t="s">
        <v>13</v>
      </c>
      <c r="AX606" t="s">
        <v>13</v>
      </c>
      <c r="AY606" t="s">
        <v>13</v>
      </c>
      <c r="AZ606" t="s">
        <v>13</v>
      </c>
      <c r="BA606" t="s">
        <v>13</v>
      </c>
    </row>
    <row r="607" spans="1:53" x14ac:dyDescent="0.2">
      <c r="A607">
        <v>2017</v>
      </c>
      <c r="B607" t="s">
        <v>75</v>
      </c>
      <c r="C607" t="s">
        <v>57</v>
      </c>
      <c r="D607">
        <v>7.2</v>
      </c>
      <c r="E607">
        <v>0</v>
      </c>
      <c r="F607">
        <v>3.7</v>
      </c>
      <c r="G607">
        <v>6.8</v>
      </c>
      <c r="H607">
        <v>1</v>
      </c>
      <c r="I607">
        <v>1.6</v>
      </c>
      <c r="J607">
        <v>0</v>
      </c>
      <c r="K607">
        <f t="shared" si="237"/>
        <v>20.3</v>
      </c>
      <c r="L607" s="1">
        <v>0</v>
      </c>
      <c r="M607" s="1">
        <v>0</v>
      </c>
      <c r="N607" s="1">
        <v>1.3</v>
      </c>
      <c r="O607">
        <f t="shared" si="238"/>
        <v>1.3</v>
      </c>
      <c r="P607" s="1">
        <v>0</v>
      </c>
      <c r="Q607" s="1">
        <v>0</v>
      </c>
      <c r="R607" s="1">
        <v>14.6</v>
      </c>
      <c r="S607">
        <f t="shared" si="239"/>
        <v>14.6</v>
      </c>
      <c r="T607" s="1">
        <v>0.4</v>
      </c>
      <c r="U607" s="1">
        <v>0</v>
      </c>
      <c r="V607" s="1">
        <v>0</v>
      </c>
      <c r="W607" s="1">
        <v>0</v>
      </c>
      <c r="X607" s="1">
        <v>0</v>
      </c>
      <c r="Y607" s="1">
        <v>0.5</v>
      </c>
      <c r="Z607" s="1">
        <v>0</v>
      </c>
      <c r="AA607">
        <f t="shared" si="240"/>
        <v>0.9</v>
      </c>
      <c r="AB607">
        <v>0</v>
      </c>
      <c r="AC607">
        <v>0</v>
      </c>
      <c r="AD607">
        <v>0</v>
      </c>
      <c r="AE607">
        <v>3.7</v>
      </c>
      <c r="AF607">
        <v>3.8</v>
      </c>
      <c r="AG607">
        <v>0</v>
      </c>
      <c r="AH607">
        <v>0</v>
      </c>
      <c r="AI607">
        <v>0</v>
      </c>
      <c r="AJ607">
        <f t="shared" si="241"/>
        <v>7.5</v>
      </c>
      <c r="AK607">
        <v>0.8</v>
      </c>
      <c r="AL607">
        <v>0.53600000000000003</v>
      </c>
      <c r="AM607">
        <f t="shared" si="232"/>
        <v>0.44600000000000001</v>
      </c>
      <c r="AN607" t="s">
        <v>13</v>
      </c>
      <c r="AO607" t="s">
        <v>13</v>
      </c>
      <c r="AP607" t="s">
        <v>13</v>
      </c>
      <c r="AQ607" t="s">
        <v>13</v>
      </c>
      <c r="AR607">
        <f t="shared" si="231"/>
        <v>0.16816143497757846</v>
      </c>
      <c r="AS607">
        <f t="shared" si="242"/>
        <v>0.371</v>
      </c>
      <c r="AT607" t="s">
        <v>13</v>
      </c>
      <c r="AU607" t="s">
        <v>13</v>
      </c>
      <c r="AV607" t="s">
        <v>13</v>
      </c>
      <c r="AW607" t="s">
        <v>13</v>
      </c>
      <c r="AX607" t="s">
        <v>13</v>
      </c>
      <c r="AY607" t="s">
        <v>13</v>
      </c>
      <c r="AZ607" t="s">
        <v>13</v>
      </c>
      <c r="BA607" t="s">
        <v>13</v>
      </c>
    </row>
    <row r="608" spans="1:53" x14ac:dyDescent="0.2">
      <c r="A608">
        <v>2018</v>
      </c>
      <c r="B608" t="s">
        <v>75</v>
      </c>
      <c r="C608" t="s">
        <v>57</v>
      </c>
      <c r="D608">
        <v>1</v>
      </c>
      <c r="E608">
        <v>0</v>
      </c>
      <c r="F608">
        <v>0.5</v>
      </c>
      <c r="G608">
        <v>1.6</v>
      </c>
      <c r="H608">
        <v>1.3</v>
      </c>
      <c r="I608">
        <v>1.4</v>
      </c>
      <c r="J608">
        <v>1.7</v>
      </c>
      <c r="K608">
        <f t="shared" si="237"/>
        <v>7.5000000000000009</v>
      </c>
      <c r="L608" s="1">
        <v>0</v>
      </c>
      <c r="M608" s="1">
        <v>0</v>
      </c>
      <c r="N608" s="1">
        <v>0</v>
      </c>
      <c r="O608">
        <f t="shared" si="238"/>
        <v>0</v>
      </c>
      <c r="P608" s="1">
        <v>0</v>
      </c>
      <c r="Q608" s="1">
        <v>1.1000000000000001</v>
      </c>
      <c r="R608" s="1">
        <v>16.3</v>
      </c>
      <c r="S608">
        <f t="shared" si="239"/>
        <v>17.400000000000002</v>
      </c>
      <c r="T608" s="1">
        <v>0.3</v>
      </c>
      <c r="U608" s="1">
        <v>0</v>
      </c>
      <c r="V608" s="1">
        <v>0</v>
      </c>
      <c r="W608" s="1">
        <v>0</v>
      </c>
      <c r="X608" s="1">
        <v>0</v>
      </c>
      <c r="Y608" s="1">
        <v>0.1</v>
      </c>
      <c r="Z608" s="1">
        <v>0</v>
      </c>
      <c r="AA608">
        <f t="shared" si="240"/>
        <v>0.4</v>
      </c>
      <c r="AB608">
        <v>0</v>
      </c>
      <c r="AC608">
        <v>0</v>
      </c>
      <c r="AD608">
        <v>0</v>
      </c>
      <c r="AE608">
        <v>6.6</v>
      </c>
      <c r="AF608">
        <v>1.8</v>
      </c>
      <c r="AG608">
        <v>0</v>
      </c>
      <c r="AH608">
        <v>0</v>
      </c>
      <c r="AI608">
        <v>0</v>
      </c>
      <c r="AJ608">
        <f t="shared" si="241"/>
        <v>8.4</v>
      </c>
      <c r="AK608">
        <v>0.8</v>
      </c>
      <c r="AL608">
        <v>0.65200000000000002</v>
      </c>
      <c r="AM608">
        <f t="shared" si="232"/>
        <v>0.33700000000000008</v>
      </c>
      <c r="AN608" t="s">
        <v>13</v>
      </c>
      <c r="AO608" t="s">
        <v>13</v>
      </c>
      <c r="AP608" t="s">
        <v>13</v>
      </c>
      <c r="AQ608" t="s">
        <v>13</v>
      </c>
      <c r="AR608">
        <f t="shared" si="231"/>
        <v>0.24925816023738867</v>
      </c>
      <c r="AS608">
        <f t="shared" si="242"/>
        <v>0.253</v>
      </c>
      <c r="AT608" t="s">
        <v>13</v>
      </c>
      <c r="AU608" t="s">
        <v>13</v>
      </c>
      <c r="AV608" t="s">
        <v>13</v>
      </c>
      <c r="AW608" t="s">
        <v>13</v>
      </c>
      <c r="AX608" t="s">
        <v>13</v>
      </c>
      <c r="AY608" t="s">
        <v>13</v>
      </c>
      <c r="AZ608" t="s">
        <v>13</v>
      </c>
      <c r="BA608" t="s">
        <v>13</v>
      </c>
    </row>
    <row r="609" spans="1:53" x14ac:dyDescent="0.2">
      <c r="A609">
        <v>2019</v>
      </c>
      <c r="B609" t="s">
        <v>75</v>
      </c>
      <c r="C609" t="s">
        <v>57</v>
      </c>
      <c r="D609">
        <v>0.5</v>
      </c>
      <c r="E609">
        <v>0</v>
      </c>
      <c r="F609">
        <v>0</v>
      </c>
      <c r="G609">
        <v>0</v>
      </c>
      <c r="H609">
        <v>0.8</v>
      </c>
      <c r="I609">
        <v>0</v>
      </c>
      <c r="J609">
        <v>0.6</v>
      </c>
      <c r="K609">
        <f t="shared" si="237"/>
        <v>1.9</v>
      </c>
      <c r="L609" s="1">
        <v>0</v>
      </c>
      <c r="M609" s="1">
        <v>0</v>
      </c>
      <c r="N609" s="1">
        <v>0.7</v>
      </c>
      <c r="O609">
        <f t="shared" si="238"/>
        <v>0.7</v>
      </c>
      <c r="P609" s="1">
        <v>0</v>
      </c>
      <c r="Q609" s="1">
        <v>0.5</v>
      </c>
      <c r="R609" s="1">
        <v>2.5</v>
      </c>
      <c r="S609">
        <f t="shared" si="239"/>
        <v>3</v>
      </c>
      <c r="T609" s="1">
        <v>0.2</v>
      </c>
      <c r="U609" s="1">
        <v>0</v>
      </c>
      <c r="V609" s="1">
        <v>0</v>
      </c>
      <c r="W609" s="1">
        <v>0</v>
      </c>
      <c r="X609" s="1">
        <v>0</v>
      </c>
      <c r="Y609" s="1">
        <v>0</v>
      </c>
      <c r="Z609" s="1">
        <v>0.6</v>
      </c>
      <c r="AA609">
        <f t="shared" si="240"/>
        <v>0.8</v>
      </c>
      <c r="AB609">
        <v>0</v>
      </c>
      <c r="AC609">
        <v>0</v>
      </c>
      <c r="AD609">
        <v>0</v>
      </c>
      <c r="AE609">
        <v>2.2999999999999998</v>
      </c>
      <c r="AF609">
        <v>3.7</v>
      </c>
      <c r="AG609">
        <v>0</v>
      </c>
      <c r="AH609">
        <v>0</v>
      </c>
      <c r="AI609">
        <v>0</v>
      </c>
      <c r="AJ609">
        <f t="shared" si="241"/>
        <v>6</v>
      </c>
      <c r="AK609">
        <v>5</v>
      </c>
      <c r="AL609">
        <v>0.82400000000000007</v>
      </c>
      <c r="AM609">
        <f t="shared" si="232"/>
        <v>0.124</v>
      </c>
      <c r="AN609" t="s">
        <v>13</v>
      </c>
      <c r="AO609" t="s">
        <v>13</v>
      </c>
      <c r="AP609" t="s">
        <v>13</v>
      </c>
      <c r="AQ609" t="s">
        <v>13</v>
      </c>
      <c r="AR609">
        <f t="shared" si="231"/>
        <v>0.48387096774193544</v>
      </c>
      <c r="AS609">
        <f t="shared" si="242"/>
        <v>6.4000000000000001E-2</v>
      </c>
      <c r="AT609" t="s">
        <v>13</v>
      </c>
      <c r="AU609" t="s">
        <v>13</v>
      </c>
      <c r="AV609" t="s">
        <v>13</v>
      </c>
      <c r="AW609" t="s">
        <v>13</v>
      </c>
      <c r="AX609" t="s">
        <v>13</v>
      </c>
      <c r="AY609" t="s">
        <v>13</v>
      </c>
      <c r="AZ609" t="s">
        <v>13</v>
      </c>
      <c r="BA609" t="s">
        <v>13</v>
      </c>
    </row>
    <row r="610" spans="1:53" x14ac:dyDescent="0.2">
      <c r="A610">
        <v>2020</v>
      </c>
      <c r="B610" t="s">
        <v>75</v>
      </c>
      <c r="C610" t="s">
        <v>57</v>
      </c>
      <c r="D610">
        <v>2.1</v>
      </c>
      <c r="E610">
        <v>0</v>
      </c>
      <c r="F610">
        <v>0.8</v>
      </c>
      <c r="G610">
        <v>0</v>
      </c>
      <c r="H610">
        <v>0</v>
      </c>
      <c r="I610">
        <v>0</v>
      </c>
      <c r="J610">
        <v>0</v>
      </c>
      <c r="K610">
        <f t="shared" si="237"/>
        <v>2.9000000000000004</v>
      </c>
      <c r="L610" s="1">
        <v>0</v>
      </c>
      <c r="M610" s="1">
        <v>0</v>
      </c>
      <c r="N610" s="1">
        <v>1.7</v>
      </c>
      <c r="O610">
        <f t="shared" si="238"/>
        <v>1.7</v>
      </c>
      <c r="P610" s="1">
        <v>0</v>
      </c>
      <c r="Q610" s="1">
        <v>1.3</v>
      </c>
      <c r="R610" s="1">
        <v>2.6</v>
      </c>
      <c r="S610">
        <f t="shared" si="239"/>
        <v>3.9000000000000004</v>
      </c>
      <c r="T610" s="1">
        <v>0</v>
      </c>
      <c r="U610" s="1">
        <v>0</v>
      </c>
      <c r="V610" s="1">
        <v>0</v>
      </c>
      <c r="W610" s="1">
        <v>0</v>
      </c>
      <c r="X610" s="1">
        <v>0</v>
      </c>
      <c r="Y610" s="1">
        <v>0</v>
      </c>
      <c r="Z610" s="1">
        <v>0</v>
      </c>
      <c r="AA610">
        <f t="shared" si="240"/>
        <v>0</v>
      </c>
      <c r="AB610">
        <v>0</v>
      </c>
      <c r="AC610">
        <v>0</v>
      </c>
      <c r="AD610">
        <v>0</v>
      </c>
      <c r="AE610">
        <v>11.2</v>
      </c>
      <c r="AF610">
        <v>9.5</v>
      </c>
      <c r="AG610">
        <v>0</v>
      </c>
      <c r="AH610">
        <v>0</v>
      </c>
      <c r="AI610">
        <v>0</v>
      </c>
      <c r="AJ610">
        <f t="shared" si="241"/>
        <v>20.7</v>
      </c>
      <c r="AK610">
        <v>1.8</v>
      </c>
      <c r="AL610">
        <v>0.68799999999999994</v>
      </c>
      <c r="AM610">
        <f t="shared" si="232"/>
        <v>0.29200000000000004</v>
      </c>
      <c r="AN610" t="s">
        <v>13</v>
      </c>
      <c r="AO610" t="s">
        <v>13</v>
      </c>
      <c r="AP610" t="s">
        <v>13</v>
      </c>
      <c r="AQ610" t="s">
        <v>13</v>
      </c>
      <c r="AR610">
        <f t="shared" si="231"/>
        <v>0.70890410958904093</v>
      </c>
      <c r="AS610">
        <f t="shared" si="242"/>
        <v>8.5000000000000006E-2</v>
      </c>
      <c r="AT610" t="s">
        <v>13</v>
      </c>
      <c r="AU610" t="s">
        <v>13</v>
      </c>
      <c r="AV610" t="s">
        <v>13</v>
      </c>
      <c r="AW610" t="s">
        <v>13</v>
      </c>
      <c r="AX610" t="s">
        <v>13</v>
      </c>
      <c r="AY610" t="s">
        <v>13</v>
      </c>
      <c r="AZ610" t="s">
        <v>13</v>
      </c>
      <c r="BA610" t="s">
        <v>13</v>
      </c>
    </row>
    <row r="611" spans="1:53" x14ac:dyDescent="0.2">
      <c r="A611">
        <v>2021</v>
      </c>
      <c r="B611" t="s">
        <v>75</v>
      </c>
      <c r="C611" t="s">
        <v>57</v>
      </c>
      <c r="D611">
        <v>1.7</v>
      </c>
      <c r="E611">
        <v>0</v>
      </c>
      <c r="F611">
        <v>2.6</v>
      </c>
      <c r="G611">
        <v>0</v>
      </c>
      <c r="H611">
        <v>0</v>
      </c>
      <c r="I611">
        <v>0</v>
      </c>
      <c r="J611">
        <v>0.1</v>
      </c>
      <c r="K611">
        <f t="shared" si="237"/>
        <v>4.3999999999999995</v>
      </c>
      <c r="L611" s="1">
        <v>0</v>
      </c>
      <c r="M611" s="1">
        <v>0</v>
      </c>
      <c r="N611" s="1">
        <v>1.6</v>
      </c>
      <c r="O611">
        <f t="shared" si="238"/>
        <v>1.6</v>
      </c>
      <c r="P611" s="1">
        <v>0</v>
      </c>
      <c r="Q611" s="1">
        <v>1.5</v>
      </c>
      <c r="R611" s="1">
        <v>0</v>
      </c>
      <c r="S611">
        <f t="shared" si="239"/>
        <v>1.5</v>
      </c>
      <c r="T611" s="1">
        <v>0</v>
      </c>
      <c r="U611" s="1">
        <v>0</v>
      </c>
      <c r="V611" s="1">
        <v>0</v>
      </c>
      <c r="W611" s="1">
        <v>0</v>
      </c>
      <c r="X611" s="1">
        <v>0</v>
      </c>
      <c r="Y611" s="1">
        <v>0</v>
      </c>
      <c r="Z611" s="1">
        <v>0</v>
      </c>
      <c r="AA611">
        <f t="shared" si="240"/>
        <v>0</v>
      </c>
      <c r="AB611">
        <v>0</v>
      </c>
      <c r="AC611">
        <v>0</v>
      </c>
      <c r="AD611">
        <v>0</v>
      </c>
      <c r="AE611">
        <v>5.4</v>
      </c>
      <c r="AF611">
        <v>8.1</v>
      </c>
      <c r="AG611">
        <v>0</v>
      </c>
      <c r="AH611">
        <v>0</v>
      </c>
      <c r="AI611">
        <v>0</v>
      </c>
      <c r="AJ611">
        <f t="shared" si="241"/>
        <v>13.5</v>
      </c>
      <c r="AK611">
        <v>1.3</v>
      </c>
      <c r="AL611">
        <v>0.77400000000000002</v>
      </c>
      <c r="AM611">
        <f t="shared" si="232"/>
        <v>0.21000000000000005</v>
      </c>
      <c r="AN611" t="s">
        <v>13</v>
      </c>
      <c r="AO611" t="s">
        <v>13</v>
      </c>
      <c r="AP611" t="s">
        <v>13</v>
      </c>
      <c r="AQ611" t="s">
        <v>13</v>
      </c>
      <c r="AR611">
        <f t="shared" si="231"/>
        <v>0.64285714285714279</v>
      </c>
      <c r="AS611">
        <f t="shared" si="242"/>
        <v>7.4999999999999997E-2</v>
      </c>
      <c r="AT611" t="s">
        <v>13</v>
      </c>
      <c r="AU611" t="s">
        <v>13</v>
      </c>
      <c r="AV611" t="s">
        <v>13</v>
      </c>
      <c r="AW611" t="s">
        <v>13</v>
      </c>
      <c r="AX611" t="s">
        <v>13</v>
      </c>
      <c r="AY611" t="s">
        <v>13</v>
      </c>
      <c r="AZ611" t="s">
        <v>13</v>
      </c>
      <c r="BA611" t="s">
        <v>13</v>
      </c>
    </row>
    <row r="612" spans="1:53" x14ac:dyDescent="0.2">
      <c r="A612">
        <v>2022</v>
      </c>
      <c r="B612" t="s">
        <v>75</v>
      </c>
      <c r="C612" t="s">
        <v>57</v>
      </c>
      <c r="D612">
        <v>4.8</v>
      </c>
      <c r="E612">
        <v>0</v>
      </c>
      <c r="F612">
        <v>4.0999999999999996</v>
      </c>
      <c r="G612">
        <v>0</v>
      </c>
      <c r="H612">
        <v>3.4</v>
      </c>
      <c r="I612">
        <v>0</v>
      </c>
      <c r="J612">
        <v>0</v>
      </c>
      <c r="K612">
        <f t="shared" si="237"/>
        <v>12.299999999999999</v>
      </c>
      <c r="L612" s="1">
        <v>0</v>
      </c>
      <c r="M612" s="1">
        <v>0</v>
      </c>
      <c r="N612" s="1">
        <v>0</v>
      </c>
      <c r="O612">
        <f t="shared" si="238"/>
        <v>0</v>
      </c>
      <c r="P612" s="1">
        <v>0</v>
      </c>
      <c r="Q612" s="1">
        <v>0.5</v>
      </c>
      <c r="R612" s="1">
        <v>0</v>
      </c>
      <c r="S612">
        <f t="shared" si="239"/>
        <v>0.5</v>
      </c>
      <c r="T612" s="1">
        <v>0</v>
      </c>
      <c r="U612" s="1">
        <v>0</v>
      </c>
      <c r="V612" s="1">
        <v>0</v>
      </c>
      <c r="W612" s="1">
        <v>0</v>
      </c>
      <c r="X612" s="1">
        <v>0</v>
      </c>
      <c r="Y612" s="1">
        <v>0</v>
      </c>
      <c r="Z612" s="1">
        <v>0</v>
      </c>
      <c r="AA612">
        <f t="shared" si="240"/>
        <v>0</v>
      </c>
      <c r="AB612">
        <v>0</v>
      </c>
      <c r="AC612">
        <v>0</v>
      </c>
      <c r="AD612">
        <v>0</v>
      </c>
      <c r="AE612">
        <v>0.8</v>
      </c>
      <c r="AF612">
        <v>5.2</v>
      </c>
      <c r="AG612">
        <v>0</v>
      </c>
      <c r="AH612">
        <v>0</v>
      </c>
      <c r="AI612">
        <v>0</v>
      </c>
      <c r="AJ612">
        <f t="shared" si="241"/>
        <v>6</v>
      </c>
      <c r="AK612">
        <v>0</v>
      </c>
      <c r="AL612">
        <v>0.81200000000000006</v>
      </c>
      <c r="AM612">
        <f t="shared" si="232"/>
        <v>0.188</v>
      </c>
      <c r="AN612" t="s">
        <v>13</v>
      </c>
      <c r="AO612" t="s">
        <v>13</v>
      </c>
      <c r="AP612" t="s">
        <v>13</v>
      </c>
      <c r="AQ612" t="s">
        <v>13</v>
      </c>
      <c r="AR612">
        <f t="shared" ref="AR612:AR675" si="243">(AJ612/100)/AM612</f>
        <v>0.31914893617021273</v>
      </c>
      <c r="AS612">
        <f t="shared" si="242"/>
        <v>0.128</v>
      </c>
      <c r="AT612" t="s">
        <v>13</v>
      </c>
      <c r="AU612" t="s">
        <v>13</v>
      </c>
      <c r="AV612" t="s">
        <v>13</v>
      </c>
      <c r="AW612" t="s">
        <v>13</v>
      </c>
      <c r="AX612" t="s">
        <v>13</v>
      </c>
      <c r="AY612" t="s">
        <v>13</v>
      </c>
      <c r="AZ612" t="s">
        <v>13</v>
      </c>
      <c r="BA612" t="s">
        <v>13</v>
      </c>
    </row>
    <row r="613" spans="1:53" x14ac:dyDescent="0.2">
      <c r="A613">
        <v>2023</v>
      </c>
      <c r="B613" t="s">
        <v>75</v>
      </c>
      <c r="C613" t="s">
        <v>57</v>
      </c>
      <c r="D613">
        <v>0</v>
      </c>
      <c r="E613">
        <v>0.2</v>
      </c>
      <c r="F613">
        <v>0</v>
      </c>
      <c r="G613">
        <v>0</v>
      </c>
      <c r="H613">
        <v>4.7</v>
      </c>
      <c r="I613">
        <v>0.7</v>
      </c>
      <c r="J613">
        <v>3.1</v>
      </c>
      <c r="K613">
        <f t="shared" si="237"/>
        <v>8.7000000000000011</v>
      </c>
      <c r="L613" s="1">
        <v>0</v>
      </c>
      <c r="M613" s="1">
        <v>0</v>
      </c>
      <c r="N613" s="1">
        <v>0</v>
      </c>
      <c r="O613">
        <f t="shared" si="238"/>
        <v>0</v>
      </c>
      <c r="P613" s="1">
        <v>0</v>
      </c>
      <c r="Q613" s="1">
        <v>0.6</v>
      </c>
      <c r="R613" s="1">
        <v>0</v>
      </c>
      <c r="S613">
        <f t="shared" si="239"/>
        <v>0.6</v>
      </c>
      <c r="T613" s="1">
        <v>0</v>
      </c>
      <c r="U613" s="1">
        <v>0</v>
      </c>
      <c r="V613" s="1">
        <v>0</v>
      </c>
      <c r="W613" s="1">
        <v>0</v>
      </c>
      <c r="X613" s="1">
        <v>0</v>
      </c>
      <c r="Y613" s="1">
        <v>0</v>
      </c>
      <c r="Z613" s="1">
        <v>0</v>
      </c>
      <c r="AA613">
        <f t="shared" si="240"/>
        <v>0</v>
      </c>
      <c r="AB613">
        <v>0</v>
      </c>
      <c r="AC613">
        <v>0</v>
      </c>
      <c r="AD613">
        <v>0</v>
      </c>
      <c r="AE613">
        <v>0</v>
      </c>
      <c r="AF613">
        <v>5</v>
      </c>
      <c r="AG613">
        <v>0</v>
      </c>
      <c r="AH613">
        <v>0</v>
      </c>
      <c r="AI613">
        <v>0</v>
      </c>
      <c r="AJ613">
        <f t="shared" si="241"/>
        <v>5</v>
      </c>
      <c r="AK613">
        <v>0.5</v>
      </c>
      <c r="AL613">
        <v>0.84799999999999998</v>
      </c>
      <c r="AM613">
        <f t="shared" si="232"/>
        <v>0.14299999999999999</v>
      </c>
      <c r="AN613" t="s">
        <v>13</v>
      </c>
      <c r="AO613" t="s">
        <v>13</v>
      </c>
      <c r="AP613" t="s">
        <v>13</v>
      </c>
      <c r="AQ613" t="s">
        <v>13</v>
      </c>
      <c r="AR613">
        <f t="shared" si="243"/>
        <v>0.34965034965034969</v>
      </c>
      <c r="AS613">
        <f t="shared" si="242"/>
        <v>9.3000000000000013E-2</v>
      </c>
      <c r="AT613" t="s">
        <v>13</v>
      </c>
      <c r="AU613" t="s">
        <v>13</v>
      </c>
      <c r="AV613" t="s">
        <v>13</v>
      </c>
      <c r="AW613" t="s">
        <v>13</v>
      </c>
      <c r="AX613" t="s">
        <v>13</v>
      </c>
      <c r="AY613" t="s">
        <v>13</v>
      </c>
      <c r="AZ613" t="s">
        <v>13</v>
      </c>
      <c r="BA613" t="s">
        <v>13</v>
      </c>
    </row>
    <row r="614" spans="1:53" x14ac:dyDescent="0.2">
      <c r="A614">
        <v>1988</v>
      </c>
      <c r="B614" t="s">
        <v>76</v>
      </c>
      <c r="C614" t="s">
        <v>57</v>
      </c>
      <c r="D614">
        <v>7.6</v>
      </c>
      <c r="E614">
        <v>0.2</v>
      </c>
      <c r="F614">
        <v>0.1</v>
      </c>
      <c r="G614">
        <v>9.6</v>
      </c>
      <c r="H614">
        <v>0.3</v>
      </c>
      <c r="I614">
        <v>5</v>
      </c>
      <c r="J614">
        <v>0.1</v>
      </c>
      <c r="K614">
        <f t="shared" si="237"/>
        <v>22.900000000000002</v>
      </c>
      <c r="L614">
        <v>1.7</v>
      </c>
      <c r="M614">
        <v>1.3</v>
      </c>
      <c r="N614">
        <v>0</v>
      </c>
      <c r="O614">
        <f t="shared" si="238"/>
        <v>3</v>
      </c>
      <c r="P614" s="1">
        <v>0</v>
      </c>
      <c r="Q614">
        <v>6.4</v>
      </c>
      <c r="R614">
        <v>2.8</v>
      </c>
      <c r="S614">
        <f t="shared" si="239"/>
        <v>9.1999999999999993</v>
      </c>
      <c r="T614">
        <v>0</v>
      </c>
      <c r="U614">
        <v>0.1</v>
      </c>
      <c r="V614">
        <v>0</v>
      </c>
      <c r="W614">
        <v>0</v>
      </c>
      <c r="X614">
        <v>0.1</v>
      </c>
      <c r="Y614">
        <v>1.2</v>
      </c>
      <c r="Z614">
        <v>0.2</v>
      </c>
      <c r="AA614">
        <f t="shared" si="240"/>
        <v>1.5999999999999999</v>
      </c>
      <c r="AB614">
        <v>0</v>
      </c>
      <c r="AC614">
        <v>0</v>
      </c>
      <c r="AD614">
        <v>0</v>
      </c>
      <c r="AE614">
        <v>0.9</v>
      </c>
      <c r="AF614">
        <v>1.4</v>
      </c>
      <c r="AG614">
        <v>0</v>
      </c>
      <c r="AH614">
        <v>0.3</v>
      </c>
      <c r="AI614">
        <v>0</v>
      </c>
      <c r="AJ614">
        <f t="shared" si="241"/>
        <v>2.5999999999999996</v>
      </c>
      <c r="AK614">
        <v>0.2</v>
      </c>
      <c r="AL614">
        <v>0.60499999999999998</v>
      </c>
      <c r="AM614">
        <f t="shared" si="232"/>
        <v>0.39299999999999996</v>
      </c>
      <c r="AN614">
        <v>24331</v>
      </c>
      <c r="AO614" t="s">
        <v>13</v>
      </c>
      <c r="AP614" s="3">
        <f t="shared" ref="AP614:AP677" si="244">AN614/(1-AM614)</f>
        <v>40084.019769357496</v>
      </c>
      <c r="AQ614" t="s">
        <v>13</v>
      </c>
      <c r="AR614">
        <f t="shared" si="243"/>
        <v>6.6157760814249358E-2</v>
      </c>
      <c r="AS614">
        <f t="shared" si="242"/>
        <v>0.36700000000000005</v>
      </c>
      <c r="AT614">
        <f t="shared" ref="AT614:AT645" si="245">ROUND(AS614*AP614,0)</f>
        <v>14711</v>
      </c>
      <c r="AU614">
        <f t="shared" ref="AU614:AU645" si="246">ROUND((AJ614/100)*AP614,0)</f>
        <v>1042</v>
      </c>
      <c r="AV614">
        <f t="shared" ref="AV614:AV642" si="247">ROUND((((K614*0.5)+O614+S614+AA614)/100)*AP614,0)</f>
        <v>10121</v>
      </c>
      <c r="AW614">
        <f t="shared" ref="AW614:AW642" si="248">ROUND((AU614/(AP614-AT614))*(AP614-AV614),0)</f>
        <v>1230</v>
      </c>
      <c r="AX614" s="3">
        <f t="shared" ref="AX614:AX642" si="249">AP614-AV614-AW614</f>
        <v>28733.019769357496</v>
      </c>
      <c r="AY614">
        <f t="shared" ref="AY614:AY642" si="250">ROUND((0.5*AS614)*AP614,0)</f>
        <v>7355</v>
      </c>
      <c r="AZ614">
        <f t="shared" ref="AZ614:AZ642" si="251">ROUND((AU614/(AP614-AT614))*(AP614-AY614),0)</f>
        <v>1344</v>
      </c>
      <c r="BA614" s="3">
        <f t="shared" ref="BA614:BA642" si="252">AP614-AZ614-AY614</f>
        <v>31385.019769357496</v>
      </c>
    </row>
    <row r="615" spans="1:53" x14ac:dyDescent="0.2">
      <c r="A615">
        <v>1989</v>
      </c>
      <c r="B615" t="s">
        <v>76</v>
      </c>
      <c r="C615" t="s">
        <v>57</v>
      </c>
      <c r="D615">
        <v>5.0999999999999996</v>
      </c>
      <c r="E615">
        <v>4</v>
      </c>
      <c r="F615">
        <v>0</v>
      </c>
      <c r="G615">
        <v>7.2</v>
      </c>
      <c r="H615">
        <v>0</v>
      </c>
      <c r="I615">
        <v>1.1000000000000001</v>
      </c>
      <c r="J615">
        <v>0</v>
      </c>
      <c r="K615">
        <f t="shared" si="237"/>
        <v>17.400000000000002</v>
      </c>
      <c r="L615">
        <v>0.5</v>
      </c>
      <c r="M615">
        <v>0.2</v>
      </c>
      <c r="N615">
        <v>0</v>
      </c>
      <c r="O615">
        <f t="shared" si="238"/>
        <v>0.7</v>
      </c>
      <c r="P615" s="1">
        <v>0</v>
      </c>
      <c r="Q615">
        <v>12.4</v>
      </c>
      <c r="R615">
        <v>0.4</v>
      </c>
      <c r="S615">
        <f t="shared" si="239"/>
        <v>12.8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0.9</v>
      </c>
      <c r="Z615">
        <v>0.1</v>
      </c>
      <c r="AA615">
        <f t="shared" si="240"/>
        <v>1</v>
      </c>
      <c r="AB615">
        <v>0</v>
      </c>
      <c r="AC615">
        <v>0</v>
      </c>
      <c r="AD615">
        <v>0</v>
      </c>
      <c r="AE615">
        <v>1.1000000000000001</v>
      </c>
      <c r="AF615">
        <v>0.4</v>
      </c>
      <c r="AG615">
        <v>0</v>
      </c>
      <c r="AH615">
        <v>0.5</v>
      </c>
      <c r="AI615">
        <v>0</v>
      </c>
      <c r="AJ615">
        <f t="shared" si="241"/>
        <v>2</v>
      </c>
      <c r="AK615">
        <v>0</v>
      </c>
      <c r="AL615">
        <v>0.66</v>
      </c>
      <c r="AM615">
        <f t="shared" si="232"/>
        <v>0.33900000000000008</v>
      </c>
      <c r="AN615">
        <v>18378</v>
      </c>
      <c r="AO615" t="s">
        <v>13</v>
      </c>
      <c r="AP615" s="3">
        <f t="shared" si="244"/>
        <v>27803.328290468991</v>
      </c>
      <c r="AQ615" t="s">
        <v>13</v>
      </c>
      <c r="AR615">
        <f t="shared" si="243"/>
        <v>5.8997050147492611E-2</v>
      </c>
      <c r="AS615">
        <f t="shared" si="242"/>
        <v>0.31900000000000001</v>
      </c>
      <c r="AT615">
        <f t="shared" si="245"/>
        <v>8869</v>
      </c>
      <c r="AU615">
        <f t="shared" si="246"/>
        <v>556</v>
      </c>
      <c r="AV615">
        <f t="shared" si="247"/>
        <v>6450</v>
      </c>
      <c r="AW615">
        <f t="shared" si="248"/>
        <v>627</v>
      </c>
      <c r="AX615" s="3">
        <f t="shared" si="249"/>
        <v>20726.328290468991</v>
      </c>
      <c r="AY615">
        <f t="shared" si="250"/>
        <v>4435</v>
      </c>
      <c r="AZ615">
        <f t="shared" si="251"/>
        <v>686</v>
      </c>
      <c r="BA615" s="3">
        <f t="shared" si="252"/>
        <v>22682.328290468991</v>
      </c>
    </row>
    <row r="616" spans="1:53" x14ac:dyDescent="0.2">
      <c r="A616">
        <v>1990</v>
      </c>
      <c r="B616" t="s">
        <v>76</v>
      </c>
      <c r="C616" t="s">
        <v>57</v>
      </c>
      <c r="D616">
        <v>27.7</v>
      </c>
      <c r="E616">
        <v>0</v>
      </c>
      <c r="F616">
        <v>0.9</v>
      </c>
      <c r="G616">
        <v>19.3</v>
      </c>
      <c r="H616">
        <v>0.3</v>
      </c>
      <c r="I616">
        <v>3.7</v>
      </c>
      <c r="J616">
        <v>3.1</v>
      </c>
      <c r="K616">
        <f t="shared" si="237"/>
        <v>55</v>
      </c>
      <c r="L616">
        <v>1.8</v>
      </c>
      <c r="M616">
        <v>1.1000000000000001</v>
      </c>
      <c r="N616">
        <v>0.9</v>
      </c>
      <c r="O616">
        <f t="shared" si="238"/>
        <v>3.8000000000000003</v>
      </c>
      <c r="P616" s="1">
        <v>0</v>
      </c>
      <c r="Q616">
        <v>2.2000000000000002</v>
      </c>
      <c r="R616">
        <v>1.7</v>
      </c>
      <c r="S616">
        <f t="shared" si="239"/>
        <v>3.9000000000000004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0.5</v>
      </c>
      <c r="AA616">
        <f t="shared" si="240"/>
        <v>0.5</v>
      </c>
      <c r="AB616">
        <v>0</v>
      </c>
      <c r="AC616">
        <v>0</v>
      </c>
      <c r="AD616">
        <v>0</v>
      </c>
      <c r="AE616">
        <v>7.6</v>
      </c>
      <c r="AF616">
        <v>1.5</v>
      </c>
      <c r="AG616">
        <v>0</v>
      </c>
      <c r="AH616">
        <v>0</v>
      </c>
      <c r="AI616">
        <v>0</v>
      </c>
      <c r="AJ616">
        <f t="shared" si="241"/>
        <v>9.1</v>
      </c>
      <c r="AK616">
        <v>1.1000000000000001</v>
      </c>
      <c r="AL616">
        <v>0.26600000000000001</v>
      </c>
      <c r="AM616">
        <f t="shared" si="232"/>
        <v>0.72299999999999998</v>
      </c>
      <c r="AN616">
        <v>22319</v>
      </c>
      <c r="AO616" t="s">
        <v>13</v>
      </c>
      <c r="AP616" s="3">
        <f t="shared" si="244"/>
        <v>80574.007220216605</v>
      </c>
      <c r="AQ616" t="s">
        <v>13</v>
      </c>
      <c r="AR616">
        <f t="shared" si="243"/>
        <v>0.12586445366528354</v>
      </c>
      <c r="AS616">
        <f t="shared" si="242"/>
        <v>0.63200000000000001</v>
      </c>
      <c r="AT616">
        <f t="shared" si="245"/>
        <v>50923</v>
      </c>
      <c r="AU616">
        <f t="shared" si="246"/>
        <v>7332</v>
      </c>
      <c r="AV616">
        <f t="shared" si="247"/>
        <v>28765</v>
      </c>
      <c r="AW616">
        <f t="shared" si="248"/>
        <v>12811</v>
      </c>
      <c r="AX616" s="3">
        <f t="shared" si="249"/>
        <v>38998.007220216605</v>
      </c>
      <c r="AY616">
        <f t="shared" si="250"/>
        <v>25461</v>
      </c>
      <c r="AZ616">
        <f t="shared" si="251"/>
        <v>13628</v>
      </c>
      <c r="BA616" s="3">
        <f t="shared" si="252"/>
        <v>41485.007220216605</v>
      </c>
    </row>
    <row r="617" spans="1:53" x14ac:dyDescent="0.2">
      <c r="A617">
        <v>1991</v>
      </c>
      <c r="B617" t="s">
        <v>76</v>
      </c>
      <c r="C617" t="s">
        <v>57</v>
      </c>
      <c r="D617">
        <v>33.799999999999997</v>
      </c>
      <c r="E617">
        <v>0</v>
      </c>
      <c r="F617">
        <v>0.7</v>
      </c>
      <c r="G617">
        <v>22.1</v>
      </c>
      <c r="H617">
        <v>0.5</v>
      </c>
      <c r="I617">
        <v>3</v>
      </c>
      <c r="J617">
        <v>0</v>
      </c>
      <c r="K617">
        <f t="shared" si="237"/>
        <v>60.1</v>
      </c>
      <c r="L617">
        <v>1.4</v>
      </c>
      <c r="M617">
        <v>1.3</v>
      </c>
      <c r="N617">
        <v>0</v>
      </c>
      <c r="O617">
        <f t="shared" si="238"/>
        <v>2.7</v>
      </c>
      <c r="P617" s="1">
        <v>0</v>
      </c>
      <c r="Q617">
        <v>5.5</v>
      </c>
      <c r="R617">
        <v>1.4</v>
      </c>
      <c r="S617">
        <f t="shared" si="239"/>
        <v>6.9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3.2</v>
      </c>
      <c r="Z617">
        <v>0</v>
      </c>
      <c r="AA617">
        <f t="shared" si="240"/>
        <v>3.2</v>
      </c>
      <c r="AB617">
        <v>0</v>
      </c>
      <c r="AC617">
        <v>0</v>
      </c>
      <c r="AD617">
        <v>0</v>
      </c>
      <c r="AE617">
        <v>5.2</v>
      </c>
      <c r="AF617">
        <v>0.7</v>
      </c>
      <c r="AG617">
        <v>0</v>
      </c>
      <c r="AH617">
        <v>0</v>
      </c>
      <c r="AI617">
        <v>0</v>
      </c>
      <c r="AJ617">
        <f t="shared" si="241"/>
        <v>5.9</v>
      </c>
      <c r="AK617">
        <v>0.2</v>
      </c>
      <c r="AL617">
        <v>0.21100000000000002</v>
      </c>
      <c r="AM617">
        <f t="shared" si="232"/>
        <v>0.78800000000000014</v>
      </c>
      <c r="AN617">
        <v>16453</v>
      </c>
      <c r="AO617" t="s">
        <v>13</v>
      </c>
      <c r="AP617" s="3">
        <f t="shared" si="244"/>
        <v>77608.490566037784</v>
      </c>
      <c r="AQ617" t="s">
        <v>13</v>
      </c>
      <c r="AR617">
        <f t="shared" si="243"/>
        <v>7.4873096446700496E-2</v>
      </c>
      <c r="AS617">
        <f t="shared" si="242"/>
        <v>0.72900000000000009</v>
      </c>
      <c r="AT617">
        <f t="shared" si="245"/>
        <v>56577</v>
      </c>
      <c r="AU617">
        <f t="shared" si="246"/>
        <v>4579</v>
      </c>
      <c r="AV617">
        <f t="shared" si="247"/>
        <v>33255</v>
      </c>
      <c r="AW617">
        <f t="shared" si="248"/>
        <v>9657</v>
      </c>
      <c r="AX617" s="3">
        <f t="shared" si="249"/>
        <v>34696.490566037784</v>
      </c>
      <c r="AY617">
        <f t="shared" si="250"/>
        <v>28288</v>
      </c>
      <c r="AZ617">
        <f t="shared" si="251"/>
        <v>10738</v>
      </c>
      <c r="BA617" s="3">
        <f t="shared" si="252"/>
        <v>38582.490566037784</v>
      </c>
    </row>
    <row r="618" spans="1:53" x14ac:dyDescent="0.2">
      <c r="A618">
        <v>1992</v>
      </c>
      <c r="B618" t="s">
        <v>76</v>
      </c>
      <c r="C618" t="s">
        <v>57</v>
      </c>
      <c r="D618">
        <v>13.4</v>
      </c>
      <c r="E618">
        <v>0</v>
      </c>
      <c r="F618">
        <v>0</v>
      </c>
      <c r="G618">
        <v>17.600000000000001</v>
      </c>
      <c r="H618">
        <v>0</v>
      </c>
      <c r="I618">
        <v>4.4000000000000004</v>
      </c>
      <c r="J618">
        <v>0</v>
      </c>
      <c r="K618">
        <f t="shared" si="237"/>
        <v>35.4</v>
      </c>
      <c r="L618">
        <v>6.3</v>
      </c>
      <c r="M618">
        <v>1.3</v>
      </c>
      <c r="N618">
        <v>0</v>
      </c>
      <c r="O618">
        <f t="shared" si="238"/>
        <v>7.6</v>
      </c>
      <c r="P618" s="1">
        <v>0</v>
      </c>
      <c r="Q618">
        <v>4.8</v>
      </c>
      <c r="R618">
        <v>5.2</v>
      </c>
      <c r="S618">
        <f t="shared" si="239"/>
        <v>10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2.6</v>
      </c>
      <c r="AA618">
        <f t="shared" si="240"/>
        <v>2.6</v>
      </c>
      <c r="AB618">
        <v>0</v>
      </c>
      <c r="AC618">
        <v>0</v>
      </c>
      <c r="AD618">
        <v>0</v>
      </c>
      <c r="AE618">
        <v>5.0999999999999996</v>
      </c>
      <c r="AF618">
        <v>4.3</v>
      </c>
      <c r="AG618">
        <v>0</v>
      </c>
      <c r="AH618">
        <v>0</v>
      </c>
      <c r="AI618">
        <v>0</v>
      </c>
      <c r="AJ618">
        <f t="shared" si="241"/>
        <v>9.3999999999999986</v>
      </c>
      <c r="AK618">
        <v>0</v>
      </c>
      <c r="AL618">
        <v>0.35</v>
      </c>
      <c r="AM618">
        <f t="shared" si="232"/>
        <v>0.65</v>
      </c>
      <c r="AN618">
        <v>22920</v>
      </c>
      <c r="AO618" t="s">
        <v>13</v>
      </c>
      <c r="AP618" s="3">
        <f t="shared" si="244"/>
        <v>65485.71428571429</v>
      </c>
      <c r="AQ618" t="s">
        <v>13</v>
      </c>
      <c r="AR618">
        <f t="shared" si="243"/>
        <v>0.14461538461538459</v>
      </c>
      <c r="AS618">
        <f t="shared" si="242"/>
        <v>0.55600000000000005</v>
      </c>
      <c r="AT618">
        <f t="shared" si="245"/>
        <v>36410</v>
      </c>
      <c r="AU618">
        <f t="shared" si="246"/>
        <v>6156</v>
      </c>
      <c r="AV618">
        <f t="shared" si="247"/>
        <v>24819</v>
      </c>
      <c r="AW618">
        <f t="shared" si="248"/>
        <v>8610</v>
      </c>
      <c r="AX618" s="3">
        <f t="shared" si="249"/>
        <v>32056.71428571429</v>
      </c>
      <c r="AY618">
        <f t="shared" si="250"/>
        <v>18205</v>
      </c>
      <c r="AZ618">
        <f t="shared" si="251"/>
        <v>10010</v>
      </c>
      <c r="BA618" s="3">
        <f t="shared" si="252"/>
        <v>37270.71428571429</v>
      </c>
    </row>
    <row r="619" spans="1:53" x14ac:dyDescent="0.2">
      <c r="A619">
        <v>1993</v>
      </c>
      <c r="B619" t="s">
        <v>76</v>
      </c>
      <c r="C619" t="s">
        <v>57</v>
      </c>
      <c r="D619">
        <v>7.7</v>
      </c>
      <c r="E619">
        <v>1.7</v>
      </c>
      <c r="F619">
        <v>0</v>
      </c>
      <c r="G619">
        <v>12.8</v>
      </c>
      <c r="H619">
        <v>0</v>
      </c>
      <c r="I619">
        <v>10</v>
      </c>
      <c r="J619">
        <v>0</v>
      </c>
      <c r="K619">
        <f t="shared" si="237"/>
        <v>32.200000000000003</v>
      </c>
      <c r="L619">
        <v>1.1000000000000001</v>
      </c>
      <c r="M619">
        <v>0.7</v>
      </c>
      <c r="N619">
        <v>0</v>
      </c>
      <c r="O619">
        <f t="shared" si="238"/>
        <v>1.8</v>
      </c>
      <c r="P619" s="1">
        <v>0</v>
      </c>
      <c r="Q619">
        <v>7.3</v>
      </c>
      <c r="R619">
        <v>1.4</v>
      </c>
      <c r="S619">
        <f t="shared" si="239"/>
        <v>8.6999999999999993</v>
      </c>
      <c r="T619">
        <v>0.4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f t="shared" si="240"/>
        <v>0.4</v>
      </c>
      <c r="AB619">
        <v>4.4000000000000004</v>
      </c>
      <c r="AC619">
        <v>0</v>
      </c>
      <c r="AD619">
        <v>0</v>
      </c>
      <c r="AE619">
        <v>8.5</v>
      </c>
      <c r="AF619">
        <v>3.6</v>
      </c>
      <c r="AG619">
        <v>0</v>
      </c>
      <c r="AH619">
        <v>0</v>
      </c>
      <c r="AI619">
        <v>0</v>
      </c>
      <c r="AJ619">
        <f t="shared" si="241"/>
        <v>16.5</v>
      </c>
      <c r="AK619">
        <v>0</v>
      </c>
      <c r="AL619">
        <v>0.40299999999999997</v>
      </c>
      <c r="AM619">
        <f t="shared" si="232"/>
        <v>0.59600000000000009</v>
      </c>
      <c r="AN619">
        <v>9117</v>
      </c>
      <c r="AO619" t="s">
        <v>13</v>
      </c>
      <c r="AP619" s="3">
        <f t="shared" si="244"/>
        <v>22566.831683168322</v>
      </c>
      <c r="AQ619" t="s">
        <v>13</v>
      </c>
      <c r="AR619">
        <f t="shared" si="243"/>
        <v>0.27684563758389258</v>
      </c>
      <c r="AS619">
        <f t="shared" si="242"/>
        <v>0.43099999999999999</v>
      </c>
      <c r="AT619">
        <f t="shared" si="245"/>
        <v>9726</v>
      </c>
      <c r="AU619">
        <f t="shared" si="246"/>
        <v>3724</v>
      </c>
      <c r="AV619">
        <f t="shared" si="247"/>
        <v>6093</v>
      </c>
      <c r="AW619">
        <f t="shared" si="248"/>
        <v>4778</v>
      </c>
      <c r="AX619" s="3">
        <f t="shared" si="249"/>
        <v>11695.831683168322</v>
      </c>
      <c r="AY619">
        <f t="shared" si="250"/>
        <v>4863</v>
      </c>
      <c r="AZ619">
        <f t="shared" si="251"/>
        <v>5134</v>
      </c>
      <c r="BA619" s="3">
        <f t="shared" si="252"/>
        <v>12569.831683168322</v>
      </c>
    </row>
    <row r="620" spans="1:53" x14ac:dyDescent="0.2">
      <c r="A620">
        <v>1994</v>
      </c>
      <c r="B620" t="s">
        <v>76</v>
      </c>
      <c r="C620" t="s">
        <v>57</v>
      </c>
      <c r="D620">
        <v>9.4</v>
      </c>
      <c r="E620">
        <v>0</v>
      </c>
      <c r="F620">
        <v>1.1000000000000001</v>
      </c>
      <c r="G620">
        <v>17.399999999999999</v>
      </c>
      <c r="H620">
        <v>1.7</v>
      </c>
      <c r="I620">
        <v>8.1</v>
      </c>
      <c r="J620">
        <v>0</v>
      </c>
      <c r="K620">
        <f t="shared" si="237"/>
        <v>37.699999999999996</v>
      </c>
      <c r="L620">
        <v>10</v>
      </c>
      <c r="M620">
        <v>0.8</v>
      </c>
      <c r="N620">
        <v>0</v>
      </c>
      <c r="O620">
        <f t="shared" si="238"/>
        <v>10.8</v>
      </c>
      <c r="P620" s="1">
        <v>0.9</v>
      </c>
      <c r="Q620">
        <v>4.2</v>
      </c>
      <c r="R620">
        <v>1.9</v>
      </c>
      <c r="S620">
        <f t="shared" si="239"/>
        <v>7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3</v>
      </c>
      <c r="Z620">
        <v>0</v>
      </c>
      <c r="AA620">
        <f t="shared" si="240"/>
        <v>3</v>
      </c>
      <c r="AB620">
        <v>0</v>
      </c>
      <c r="AC620">
        <v>0</v>
      </c>
      <c r="AD620">
        <v>0</v>
      </c>
      <c r="AE620">
        <v>9.8000000000000007</v>
      </c>
      <c r="AF620">
        <v>0</v>
      </c>
      <c r="AG620">
        <v>0</v>
      </c>
      <c r="AH620">
        <v>0</v>
      </c>
      <c r="AI620">
        <v>0</v>
      </c>
      <c r="AJ620">
        <f t="shared" si="241"/>
        <v>9.8000000000000007</v>
      </c>
      <c r="AK620">
        <v>0.5</v>
      </c>
      <c r="AL620">
        <v>0.312</v>
      </c>
      <c r="AM620">
        <f t="shared" ref="AM620:AM655" si="253">SUM(AB620:AI620,T620:Z620,P620:R620,L620:N620,D620:J620)/100</f>
        <v>0.68299999999999994</v>
      </c>
      <c r="AN620">
        <v>28743</v>
      </c>
      <c r="AO620" t="s">
        <v>13</v>
      </c>
      <c r="AP620" s="3">
        <f t="shared" si="244"/>
        <v>90671.924290220806</v>
      </c>
      <c r="AQ620" t="s">
        <v>13</v>
      </c>
      <c r="AR620">
        <f t="shared" si="243"/>
        <v>0.14348462664714498</v>
      </c>
      <c r="AS620">
        <f t="shared" si="242"/>
        <v>0.58499999999999996</v>
      </c>
      <c r="AT620">
        <f t="shared" si="245"/>
        <v>53043</v>
      </c>
      <c r="AU620">
        <f t="shared" si="246"/>
        <v>8886</v>
      </c>
      <c r="AV620">
        <f t="shared" si="247"/>
        <v>35951</v>
      </c>
      <c r="AW620">
        <f t="shared" si="248"/>
        <v>12922</v>
      </c>
      <c r="AX620" s="3">
        <f t="shared" si="249"/>
        <v>41798.924290220806</v>
      </c>
      <c r="AY620">
        <f t="shared" si="250"/>
        <v>26522</v>
      </c>
      <c r="AZ620">
        <f t="shared" si="251"/>
        <v>15149</v>
      </c>
      <c r="BA620" s="3">
        <f t="shared" si="252"/>
        <v>49000.924290220806</v>
      </c>
    </row>
    <row r="621" spans="1:53" x14ac:dyDescent="0.2">
      <c r="A621">
        <v>1995</v>
      </c>
      <c r="B621" t="s">
        <v>76</v>
      </c>
      <c r="C621" t="s">
        <v>57</v>
      </c>
      <c r="D621">
        <v>16.600000000000001</v>
      </c>
      <c r="E621">
        <v>0</v>
      </c>
      <c r="F621">
        <v>3.7</v>
      </c>
      <c r="G621">
        <v>11.2</v>
      </c>
      <c r="H621">
        <v>4.0999999999999996</v>
      </c>
      <c r="I621">
        <v>3.3</v>
      </c>
      <c r="J621">
        <v>0</v>
      </c>
      <c r="K621">
        <f t="shared" si="237"/>
        <v>38.9</v>
      </c>
      <c r="L621">
        <v>0.8</v>
      </c>
      <c r="M621">
        <v>0.2</v>
      </c>
      <c r="N621">
        <v>1.6</v>
      </c>
      <c r="O621">
        <f t="shared" si="238"/>
        <v>2.6</v>
      </c>
      <c r="P621" s="1">
        <v>0</v>
      </c>
      <c r="Q621">
        <v>3.4</v>
      </c>
      <c r="R621">
        <v>2.8</v>
      </c>
      <c r="S621">
        <f t="shared" si="239"/>
        <v>6.1999999999999993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2.4</v>
      </c>
      <c r="Z621">
        <v>0</v>
      </c>
      <c r="AA621">
        <f t="shared" si="240"/>
        <v>2.4</v>
      </c>
      <c r="AB621">
        <v>0</v>
      </c>
      <c r="AC621">
        <v>0</v>
      </c>
      <c r="AD621">
        <v>0</v>
      </c>
      <c r="AE621">
        <v>7.8</v>
      </c>
      <c r="AF621">
        <v>0.4</v>
      </c>
      <c r="AG621">
        <v>0</v>
      </c>
      <c r="AH621">
        <v>0.7</v>
      </c>
      <c r="AI621">
        <v>0</v>
      </c>
      <c r="AJ621">
        <f t="shared" si="241"/>
        <v>8.8999999999999986</v>
      </c>
      <c r="AK621">
        <v>0.6</v>
      </c>
      <c r="AL621">
        <v>0.40399999999999997</v>
      </c>
      <c r="AM621">
        <f t="shared" si="253"/>
        <v>0.59000000000000008</v>
      </c>
      <c r="AN621">
        <v>16453</v>
      </c>
      <c r="AO621" t="s">
        <v>13</v>
      </c>
      <c r="AP621" s="3">
        <f t="shared" si="244"/>
        <v>40129.268292682937</v>
      </c>
      <c r="AQ621" t="s">
        <v>13</v>
      </c>
      <c r="AR621">
        <f t="shared" si="243"/>
        <v>0.1508474576271186</v>
      </c>
      <c r="AS621">
        <f t="shared" si="242"/>
        <v>0.501</v>
      </c>
      <c r="AT621">
        <f t="shared" si="245"/>
        <v>20105</v>
      </c>
      <c r="AU621">
        <f t="shared" si="246"/>
        <v>3572</v>
      </c>
      <c r="AV621">
        <f t="shared" si="247"/>
        <v>12300</v>
      </c>
      <c r="AW621">
        <f t="shared" si="248"/>
        <v>4964</v>
      </c>
      <c r="AX621" s="3">
        <f t="shared" si="249"/>
        <v>22865.268292682937</v>
      </c>
      <c r="AY621">
        <f t="shared" si="250"/>
        <v>10052</v>
      </c>
      <c r="AZ621">
        <f t="shared" si="251"/>
        <v>5365</v>
      </c>
      <c r="BA621" s="3">
        <f t="shared" si="252"/>
        <v>24712.268292682937</v>
      </c>
    </row>
    <row r="622" spans="1:53" x14ac:dyDescent="0.2">
      <c r="A622">
        <v>1996</v>
      </c>
      <c r="B622" t="s">
        <v>76</v>
      </c>
      <c r="C622" t="s">
        <v>57</v>
      </c>
      <c r="D622">
        <v>16</v>
      </c>
      <c r="E622">
        <v>0</v>
      </c>
      <c r="F622">
        <v>0</v>
      </c>
      <c r="G622">
        <v>0.5</v>
      </c>
      <c r="H622">
        <v>1</v>
      </c>
      <c r="I622">
        <v>0.3</v>
      </c>
      <c r="J622">
        <v>1</v>
      </c>
      <c r="K622">
        <f t="shared" si="237"/>
        <v>18.8</v>
      </c>
      <c r="L622">
        <v>0</v>
      </c>
      <c r="M622">
        <v>0.1</v>
      </c>
      <c r="N622">
        <v>1.5</v>
      </c>
      <c r="O622">
        <f t="shared" si="238"/>
        <v>1.6</v>
      </c>
      <c r="P622" s="1">
        <v>0</v>
      </c>
      <c r="Q622">
        <v>0.5</v>
      </c>
      <c r="R622">
        <v>4.3</v>
      </c>
      <c r="S622">
        <f t="shared" si="239"/>
        <v>4.8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f t="shared" si="240"/>
        <v>0</v>
      </c>
      <c r="AB622">
        <v>0</v>
      </c>
      <c r="AC622">
        <v>0</v>
      </c>
      <c r="AD622">
        <v>0</v>
      </c>
      <c r="AE622">
        <v>8.1999999999999993</v>
      </c>
      <c r="AF622">
        <v>1.2</v>
      </c>
      <c r="AG622">
        <v>0</v>
      </c>
      <c r="AH622">
        <v>0</v>
      </c>
      <c r="AI622">
        <v>0</v>
      </c>
      <c r="AJ622">
        <f t="shared" si="241"/>
        <v>9.3999999999999986</v>
      </c>
      <c r="AK622">
        <v>0</v>
      </c>
      <c r="AL622">
        <v>0.65400000000000003</v>
      </c>
      <c r="AM622">
        <f t="shared" si="253"/>
        <v>0.34599999999999992</v>
      </c>
      <c r="AN622">
        <v>34757</v>
      </c>
      <c r="AO622" t="s">
        <v>13</v>
      </c>
      <c r="AP622" s="3">
        <f t="shared" si="244"/>
        <v>53145.259938837909</v>
      </c>
      <c r="AQ622" t="s">
        <v>13</v>
      </c>
      <c r="AR622">
        <f t="shared" si="243"/>
        <v>0.27167630057803471</v>
      </c>
      <c r="AS622">
        <f t="shared" si="242"/>
        <v>0.252</v>
      </c>
      <c r="AT622">
        <f t="shared" si="245"/>
        <v>13393</v>
      </c>
      <c r="AU622">
        <f t="shared" si="246"/>
        <v>4996</v>
      </c>
      <c r="AV622">
        <f t="shared" si="247"/>
        <v>8397</v>
      </c>
      <c r="AW622">
        <f t="shared" si="248"/>
        <v>5624</v>
      </c>
      <c r="AX622" s="3">
        <f t="shared" si="249"/>
        <v>39124.259938837909</v>
      </c>
      <c r="AY622">
        <f t="shared" si="250"/>
        <v>6696</v>
      </c>
      <c r="AZ622">
        <f t="shared" si="251"/>
        <v>5838</v>
      </c>
      <c r="BA622" s="3">
        <f t="shared" si="252"/>
        <v>40611.259938837909</v>
      </c>
    </row>
    <row r="623" spans="1:53" x14ac:dyDescent="0.2">
      <c r="A623">
        <v>1997</v>
      </c>
      <c r="B623" t="s">
        <v>76</v>
      </c>
      <c r="C623" t="s">
        <v>57</v>
      </c>
      <c r="D623">
        <v>13.2</v>
      </c>
      <c r="E623">
        <v>0.8</v>
      </c>
      <c r="F623">
        <v>0</v>
      </c>
      <c r="G623">
        <v>8.5</v>
      </c>
      <c r="H623">
        <v>2.4</v>
      </c>
      <c r="I623">
        <v>0.6</v>
      </c>
      <c r="J623">
        <v>0</v>
      </c>
      <c r="K623">
        <f t="shared" si="237"/>
        <v>25.5</v>
      </c>
      <c r="L623">
        <v>0.2</v>
      </c>
      <c r="M623">
        <v>0.2</v>
      </c>
      <c r="N623">
        <v>0.7</v>
      </c>
      <c r="O623">
        <f t="shared" si="238"/>
        <v>1.1000000000000001</v>
      </c>
      <c r="P623" s="1">
        <v>0</v>
      </c>
      <c r="Q623">
        <v>3.6</v>
      </c>
      <c r="R623">
        <v>5.7</v>
      </c>
      <c r="S623">
        <f t="shared" si="239"/>
        <v>9.3000000000000007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2</v>
      </c>
      <c r="Z623">
        <v>0</v>
      </c>
      <c r="AA623">
        <f t="shared" si="240"/>
        <v>2</v>
      </c>
      <c r="AB623">
        <v>0</v>
      </c>
      <c r="AC623">
        <v>0</v>
      </c>
      <c r="AD623">
        <v>0</v>
      </c>
      <c r="AE623">
        <v>15.5</v>
      </c>
      <c r="AF623">
        <v>0</v>
      </c>
      <c r="AG623">
        <v>0</v>
      </c>
      <c r="AH623">
        <v>0.3</v>
      </c>
      <c r="AI623">
        <v>0</v>
      </c>
      <c r="AJ623">
        <f t="shared" si="241"/>
        <v>15.8</v>
      </c>
      <c r="AK623">
        <v>0</v>
      </c>
      <c r="AL623">
        <v>0.46100000000000002</v>
      </c>
      <c r="AM623">
        <f t="shared" si="253"/>
        <v>0.53699999999999992</v>
      </c>
      <c r="AN623">
        <v>22519</v>
      </c>
      <c r="AO623" t="s">
        <v>13</v>
      </c>
      <c r="AP623" s="3">
        <f t="shared" si="244"/>
        <v>48637.149028077743</v>
      </c>
      <c r="AQ623" t="s">
        <v>13</v>
      </c>
      <c r="AR623">
        <f t="shared" si="243"/>
        <v>0.29422718808193671</v>
      </c>
      <c r="AS623">
        <f t="shared" si="242"/>
        <v>0.37900000000000006</v>
      </c>
      <c r="AT623">
        <f t="shared" si="245"/>
        <v>18433</v>
      </c>
      <c r="AU623">
        <f t="shared" si="246"/>
        <v>7685</v>
      </c>
      <c r="AV623">
        <f t="shared" si="247"/>
        <v>12232</v>
      </c>
      <c r="AW623">
        <f t="shared" si="248"/>
        <v>9263</v>
      </c>
      <c r="AX623" s="3">
        <f t="shared" si="249"/>
        <v>27142.149028077743</v>
      </c>
      <c r="AY623">
        <f t="shared" si="250"/>
        <v>9217</v>
      </c>
      <c r="AZ623">
        <f t="shared" si="251"/>
        <v>10030</v>
      </c>
      <c r="BA623" s="3">
        <f t="shared" si="252"/>
        <v>29390.149028077743</v>
      </c>
    </row>
    <row r="624" spans="1:53" x14ac:dyDescent="0.2">
      <c r="A624">
        <v>1998</v>
      </c>
      <c r="B624" t="s">
        <v>76</v>
      </c>
      <c r="C624" t="s">
        <v>57</v>
      </c>
      <c r="D624">
        <v>21.2</v>
      </c>
      <c r="E624">
        <v>0.4</v>
      </c>
      <c r="F624">
        <v>9.5</v>
      </c>
      <c r="G624">
        <v>7</v>
      </c>
      <c r="H624">
        <v>14.7</v>
      </c>
      <c r="I624">
        <v>0</v>
      </c>
      <c r="J624">
        <v>0</v>
      </c>
      <c r="K624">
        <f t="shared" si="237"/>
        <v>52.8</v>
      </c>
      <c r="L624">
        <v>0</v>
      </c>
      <c r="M624">
        <v>0</v>
      </c>
      <c r="N624">
        <v>1.1000000000000001</v>
      </c>
      <c r="O624">
        <f t="shared" si="238"/>
        <v>1.1000000000000001</v>
      </c>
      <c r="P624" s="1">
        <v>0</v>
      </c>
      <c r="Q624">
        <v>0.4</v>
      </c>
      <c r="R624">
        <v>7.8</v>
      </c>
      <c r="S624">
        <f t="shared" si="239"/>
        <v>8.1999999999999993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0.7</v>
      </c>
      <c r="Z624">
        <v>0</v>
      </c>
      <c r="AA624">
        <f t="shared" si="240"/>
        <v>0.7</v>
      </c>
      <c r="AB624">
        <v>0</v>
      </c>
      <c r="AC624">
        <v>0</v>
      </c>
      <c r="AD624">
        <v>0</v>
      </c>
      <c r="AE624">
        <v>5.4</v>
      </c>
      <c r="AF624">
        <v>0.7</v>
      </c>
      <c r="AG624">
        <v>0</v>
      </c>
      <c r="AH624">
        <v>0</v>
      </c>
      <c r="AI624">
        <v>0</v>
      </c>
      <c r="AJ624">
        <f t="shared" si="241"/>
        <v>6.1000000000000005</v>
      </c>
      <c r="AK624">
        <v>1.2</v>
      </c>
      <c r="AL624">
        <v>0.3</v>
      </c>
      <c r="AM624">
        <f t="shared" si="253"/>
        <v>0.68899999999999995</v>
      </c>
      <c r="AN624">
        <v>34255</v>
      </c>
      <c r="AO624" t="s">
        <v>13</v>
      </c>
      <c r="AP624" s="3">
        <f t="shared" si="244"/>
        <v>110144.69453376204</v>
      </c>
      <c r="AQ624" t="s">
        <v>13</v>
      </c>
      <c r="AR624">
        <f t="shared" si="243"/>
        <v>8.853410740203195E-2</v>
      </c>
      <c r="AS624">
        <f t="shared" si="242"/>
        <v>0.628</v>
      </c>
      <c r="AT624">
        <f t="shared" si="245"/>
        <v>69171</v>
      </c>
      <c r="AU624">
        <f t="shared" si="246"/>
        <v>6719</v>
      </c>
      <c r="AV624">
        <f t="shared" si="247"/>
        <v>40093</v>
      </c>
      <c r="AW624">
        <f t="shared" si="248"/>
        <v>11487</v>
      </c>
      <c r="AX624" s="3">
        <f t="shared" si="249"/>
        <v>58564.694533762042</v>
      </c>
      <c r="AY624">
        <f t="shared" si="250"/>
        <v>34585</v>
      </c>
      <c r="AZ624">
        <f t="shared" si="251"/>
        <v>12391</v>
      </c>
      <c r="BA624" s="3">
        <f t="shared" si="252"/>
        <v>63168.694533762042</v>
      </c>
    </row>
    <row r="625" spans="1:53" x14ac:dyDescent="0.2">
      <c r="A625">
        <v>1999</v>
      </c>
      <c r="B625" t="s">
        <v>76</v>
      </c>
      <c r="C625" t="s">
        <v>57</v>
      </c>
      <c r="D625">
        <v>15.4</v>
      </c>
      <c r="E625">
        <v>0</v>
      </c>
      <c r="F625">
        <v>6.6</v>
      </c>
      <c r="G625">
        <v>0.7</v>
      </c>
      <c r="H625">
        <v>4.5999999999999996</v>
      </c>
      <c r="I625">
        <v>0</v>
      </c>
      <c r="J625">
        <v>0</v>
      </c>
      <c r="K625">
        <f t="shared" si="237"/>
        <v>27.299999999999997</v>
      </c>
      <c r="L625">
        <v>0</v>
      </c>
      <c r="M625">
        <v>0</v>
      </c>
      <c r="N625">
        <v>0.3</v>
      </c>
      <c r="O625">
        <f t="shared" si="238"/>
        <v>0.3</v>
      </c>
      <c r="P625" s="1">
        <v>0</v>
      </c>
      <c r="Q625">
        <v>0</v>
      </c>
      <c r="R625">
        <v>4.5999999999999996</v>
      </c>
      <c r="S625">
        <f t="shared" si="239"/>
        <v>4.5999999999999996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f t="shared" si="240"/>
        <v>0</v>
      </c>
      <c r="AB625">
        <v>0</v>
      </c>
      <c r="AC625">
        <v>0</v>
      </c>
      <c r="AD625">
        <v>0</v>
      </c>
      <c r="AE625">
        <v>5.4</v>
      </c>
      <c r="AF625">
        <v>0.4</v>
      </c>
      <c r="AG625">
        <v>0</v>
      </c>
      <c r="AH625">
        <v>0</v>
      </c>
      <c r="AI625">
        <v>0</v>
      </c>
      <c r="AJ625">
        <f t="shared" si="241"/>
        <v>5.8000000000000007</v>
      </c>
      <c r="AK625">
        <v>0</v>
      </c>
      <c r="AL625">
        <v>0.622</v>
      </c>
      <c r="AM625">
        <f t="shared" si="253"/>
        <v>0.38000000000000006</v>
      </c>
      <c r="AN625">
        <v>47271</v>
      </c>
      <c r="AO625" t="s">
        <v>13</v>
      </c>
      <c r="AP625" s="3">
        <f t="shared" si="244"/>
        <v>76243.548387096787</v>
      </c>
      <c r="AQ625" t="s">
        <v>13</v>
      </c>
      <c r="AR625">
        <f t="shared" si="243"/>
        <v>0.15263157894736842</v>
      </c>
      <c r="AS625">
        <f t="shared" si="242"/>
        <v>0.32199999999999995</v>
      </c>
      <c r="AT625">
        <f t="shared" si="245"/>
        <v>24550</v>
      </c>
      <c r="AU625">
        <f t="shared" si="246"/>
        <v>4422</v>
      </c>
      <c r="AV625">
        <f t="shared" si="247"/>
        <v>14143</v>
      </c>
      <c r="AW625">
        <f t="shared" si="248"/>
        <v>5312</v>
      </c>
      <c r="AX625" s="3">
        <f t="shared" si="249"/>
        <v>56788.548387096787</v>
      </c>
      <c r="AY625">
        <f t="shared" si="250"/>
        <v>12275</v>
      </c>
      <c r="AZ625">
        <f t="shared" si="251"/>
        <v>5472</v>
      </c>
      <c r="BA625" s="3">
        <f t="shared" si="252"/>
        <v>58496.548387096787</v>
      </c>
    </row>
    <row r="626" spans="1:53" x14ac:dyDescent="0.2">
      <c r="A626">
        <v>2000</v>
      </c>
      <c r="B626" t="s">
        <v>76</v>
      </c>
      <c r="C626" t="s">
        <v>57</v>
      </c>
      <c r="D626">
        <v>10.7</v>
      </c>
      <c r="E626">
        <v>0</v>
      </c>
      <c r="F626">
        <v>11.2</v>
      </c>
      <c r="G626">
        <v>0</v>
      </c>
      <c r="H626">
        <v>5.7</v>
      </c>
      <c r="I626">
        <v>0</v>
      </c>
      <c r="J626">
        <v>0</v>
      </c>
      <c r="K626">
        <f t="shared" si="237"/>
        <v>27.599999999999998</v>
      </c>
      <c r="L626">
        <v>0</v>
      </c>
      <c r="M626">
        <v>0</v>
      </c>
      <c r="N626">
        <v>0</v>
      </c>
      <c r="O626">
        <f t="shared" si="238"/>
        <v>0</v>
      </c>
      <c r="P626" s="1">
        <v>0</v>
      </c>
      <c r="Q626">
        <v>0</v>
      </c>
      <c r="R626">
        <v>3.7</v>
      </c>
      <c r="S626">
        <f t="shared" si="239"/>
        <v>3.7</v>
      </c>
      <c r="T626">
        <v>0</v>
      </c>
      <c r="U626">
        <v>0.5</v>
      </c>
      <c r="V626">
        <v>0</v>
      </c>
      <c r="W626">
        <v>0</v>
      </c>
      <c r="X626">
        <v>0</v>
      </c>
      <c r="Y626">
        <v>0.1</v>
      </c>
      <c r="Z626">
        <v>0</v>
      </c>
      <c r="AA626">
        <f t="shared" si="240"/>
        <v>0.6</v>
      </c>
      <c r="AB626">
        <v>0</v>
      </c>
      <c r="AC626">
        <v>0</v>
      </c>
      <c r="AD626">
        <v>0</v>
      </c>
      <c r="AE626">
        <v>6.2</v>
      </c>
      <c r="AF626">
        <v>1.3</v>
      </c>
      <c r="AG626">
        <v>0</v>
      </c>
      <c r="AH626">
        <v>0</v>
      </c>
      <c r="AI626">
        <v>0</v>
      </c>
      <c r="AJ626">
        <f t="shared" si="241"/>
        <v>7.5</v>
      </c>
      <c r="AK626">
        <v>0.9</v>
      </c>
      <c r="AL626">
        <v>0.59699999999999998</v>
      </c>
      <c r="AM626">
        <f t="shared" si="253"/>
        <v>0.39400000000000007</v>
      </c>
      <c r="AN626">
        <v>27800</v>
      </c>
      <c r="AO626" t="s">
        <v>13</v>
      </c>
      <c r="AP626" s="3">
        <f t="shared" si="244"/>
        <v>45874.587458745882</v>
      </c>
      <c r="AQ626" t="s">
        <v>13</v>
      </c>
      <c r="AR626">
        <f t="shared" si="243"/>
        <v>0.19035532994923854</v>
      </c>
      <c r="AS626">
        <f t="shared" si="242"/>
        <v>0.31900000000000001</v>
      </c>
      <c r="AT626">
        <f t="shared" si="245"/>
        <v>14634</v>
      </c>
      <c r="AU626">
        <f t="shared" si="246"/>
        <v>3441</v>
      </c>
      <c r="AV626">
        <f t="shared" si="247"/>
        <v>8303</v>
      </c>
      <c r="AW626">
        <f t="shared" si="248"/>
        <v>4138</v>
      </c>
      <c r="AX626" s="3">
        <f t="shared" si="249"/>
        <v>33433.587458745882</v>
      </c>
      <c r="AY626">
        <f t="shared" si="250"/>
        <v>7317</v>
      </c>
      <c r="AZ626">
        <f t="shared" si="251"/>
        <v>4247</v>
      </c>
      <c r="BA626" s="3">
        <f t="shared" si="252"/>
        <v>34310.587458745882</v>
      </c>
    </row>
    <row r="627" spans="1:53" x14ac:dyDescent="0.2">
      <c r="A627">
        <v>2001</v>
      </c>
      <c r="B627" t="s">
        <v>76</v>
      </c>
      <c r="C627" t="s">
        <v>57</v>
      </c>
      <c r="D627">
        <v>8.1</v>
      </c>
      <c r="E627">
        <v>1.2</v>
      </c>
      <c r="F627">
        <v>0.5</v>
      </c>
      <c r="G627">
        <v>0</v>
      </c>
      <c r="H627">
        <v>0</v>
      </c>
      <c r="I627">
        <v>0</v>
      </c>
      <c r="J627">
        <v>0</v>
      </c>
      <c r="K627">
        <f t="shared" si="237"/>
        <v>9.7999999999999989</v>
      </c>
      <c r="L627">
        <v>0.7</v>
      </c>
      <c r="M627">
        <v>0</v>
      </c>
      <c r="N627">
        <v>1.1000000000000001</v>
      </c>
      <c r="O627">
        <f t="shared" si="238"/>
        <v>1.8</v>
      </c>
      <c r="P627" s="1">
        <v>0.1</v>
      </c>
      <c r="Q627">
        <v>0.7</v>
      </c>
      <c r="R627">
        <v>9.5</v>
      </c>
      <c r="S627">
        <f t="shared" si="239"/>
        <v>10.3</v>
      </c>
      <c r="T627">
        <v>0.1</v>
      </c>
      <c r="U627">
        <v>0</v>
      </c>
      <c r="V627">
        <v>0</v>
      </c>
      <c r="W627">
        <v>0</v>
      </c>
      <c r="X627">
        <v>0</v>
      </c>
      <c r="Y627">
        <v>0.1</v>
      </c>
      <c r="Z627">
        <v>0</v>
      </c>
      <c r="AA627">
        <f t="shared" si="240"/>
        <v>0.2</v>
      </c>
      <c r="AB627">
        <v>0</v>
      </c>
      <c r="AC627">
        <v>0</v>
      </c>
      <c r="AD627">
        <v>0</v>
      </c>
      <c r="AE627">
        <v>1.5</v>
      </c>
      <c r="AF627">
        <v>1.6</v>
      </c>
      <c r="AG627">
        <v>0</v>
      </c>
      <c r="AH627">
        <v>0.3</v>
      </c>
      <c r="AI627">
        <v>0</v>
      </c>
      <c r="AJ627">
        <f t="shared" si="241"/>
        <v>3.4</v>
      </c>
      <c r="AK627">
        <v>0</v>
      </c>
      <c r="AL627">
        <v>0.747</v>
      </c>
      <c r="AM627">
        <f t="shared" si="253"/>
        <v>0.25499999999999995</v>
      </c>
      <c r="AN627">
        <v>35744</v>
      </c>
      <c r="AO627" t="s">
        <v>13</v>
      </c>
      <c r="AP627" s="3">
        <f t="shared" si="244"/>
        <v>47978.523489932879</v>
      </c>
      <c r="AQ627" t="s">
        <v>13</v>
      </c>
      <c r="AR627">
        <f t="shared" si="243"/>
        <v>0.13333333333333336</v>
      </c>
      <c r="AS627">
        <f t="shared" si="242"/>
        <v>0.22099999999999997</v>
      </c>
      <c r="AT627">
        <f t="shared" si="245"/>
        <v>10603</v>
      </c>
      <c r="AU627">
        <f t="shared" si="246"/>
        <v>1631</v>
      </c>
      <c r="AV627">
        <f t="shared" si="247"/>
        <v>8252</v>
      </c>
      <c r="AW627">
        <f t="shared" si="248"/>
        <v>1734</v>
      </c>
      <c r="AX627" s="3">
        <f t="shared" si="249"/>
        <v>37992.523489932879</v>
      </c>
      <c r="AY627">
        <f t="shared" si="250"/>
        <v>5302</v>
      </c>
      <c r="AZ627">
        <f t="shared" si="251"/>
        <v>1862</v>
      </c>
      <c r="BA627" s="3">
        <f t="shared" si="252"/>
        <v>40814.523489932879</v>
      </c>
    </row>
    <row r="628" spans="1:53" x14ac:dyDescent="0.2">
      <c r="A628">
        <v>2002</v>
      </c>
      <c r="B628" t="s">
        <v>76</v>
      </c>
      <c r="C628" t="s">
        <v>57</v>
      </c>
      <c r="D628">
        <v>18.2</v>
      </c>
      <c r="E628">
        <v>0</v>
      </c>
      <c r="F628">
        <v>2.5</v>
      </c>
      <c r="G628">
        <v>12.7</v>
      </c>
      <c r="H628">
        <v>4.4000000000000004</v>
      </c>
      <c r="I628">
        <v>1.3</v>
      </c>
      <c r="J628">
        <v>0</v>
      </c>
      <c r="K628">
        <f t="shared" si="237"/>
        <v>39.099999999999994</v>
      </c>
      <c r="L628">
        <v>0.1</v>
      </c>
      <c r="M628">
        <v>0</v>
      </c>
      <c r="N628">
        <v>1.6</v>
      </c>
      <c r="O628">
        <f t="shared" si="238"/>
        <v>1.7000000000000002</v>
      </c>
      <c r="P628" s="1">
        <v>0</v>
      </c>
      <c r="Q628">
        <v>0</v>
      </c>
      <c r="R628">
        <v>3.7</v>
      </c>
      <c r="S628">
        <f t="shared" si="239"/>
        <v>3.7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f t="shared" si="240"/>
        <v>0</v>
      </c>
      <c r="AB628">
        <v>0</v>
      </c>
      <c r="AC628">
        <v>0</v>
      </c>
      <c r="AD628">
        <v>0</v>
      </c>
      <c r="AE628">
        <v>8.6</v>
      </c>
      <c r="AF628">
        <v>0.5</v>
      </c>
      <c r="AG628">
        <v>0</v>
      </c>
      <c r="AH628">
        <v>0</v>
      </c>
      <c r="AI628">
        <v>0</v>
      </c>
      <c r="AJ628">
        <f t="shared" si="241"/>
        <v>9.1</v>
      </c>
      <c r="AK628">
        <v>0</v>
      </c>
      <c r="AL628">
        <v>0.46600000000000003</v>
      </c>
      <c r="AM628">
        <f t="shared" si="253"/>
        <v>0.53600000000000003</v>
      </c>
      <c r="AN628">
        <v>54219</v>
      </c>
      <c r="AO628" t="s">
        <v>13</v>
      </c>
      <c r="AP628" s="3">
        <f t="shared" si="244"/>
        <v>116851.29310344829</v>
      </c>
      <c r="AQ628" t="s">
        <v>13</v>
      </c>
      <c r="AR628">
        <f t="shared" si="243"/>
        <v>0.16977611940298507</v>
      </c>
      <c r="AS628">
        <f t="shared" si="242"/>
        <v>0.44500000000000001</v>
      </c>
      <c r="AT628">
        <f t="shared" si="245"/>
        <v>51999</v>
      </c>
      <c r="AU628">
        <f t="shared" si="246"/>
        <v>10633</v>
      </c>
      <c r="AV628">
        <f t="shared" si="247"/>
        <v>29154</v>
      </c>
      <c r="AW628">
        <f t="shared" si="248"/>
        <v>14379</v>
      </c>
      <c r="AX628" s="3">
        <f t="shared" si="249"/>
        <v>73318.29310344829</v>
      </c>
      <c r="AY628">
        <f t="shared" si="250"/>
        <v>25999</v>
      </c>
      <c r="AZ628">
        <f t="shared" si="251"/>
        <v>14896</v>
      </c>
      <c r="BA628" s="3">
        <f t="shared" si="252"/>
        <v>75956.29310344829</v>
      </c>
    </row>
    <row r="629" spans="1:53" x14ac:dyDescent="0.2">
      <c r="A629">
        <v>2003</v>
      </c>
      <c r="B629" t="s">
        <v>76</v>
      </c>
      <c r="C629" t="s">
        <v>57</v>
      </c>
      <c r="D629">
        <v>9.8000000000000007</v>
      </c>
      <c r="E629">
        <v>0.8</v>
      </c>
      <c r="F629">
        <v>1.6</v>
      </c>
      <c r="G629">
        <v>8</v>
      </c>
      <c r="H629">
        <v>2.5</v>
      </c>
      <c r="I629">
        <v>0</v>
      </c>
      <c r="J629">
        <v>0</v>
      </c>
      <c r="K629">
        <f t="shared" si="237"/>
        <v>22.700000000000003</v>
      </c>
      <c r="L629">
        <v>2.4</v>
      </c>
      <c r="M629">
        <v>0</v>
      </c>
      <c r="N629">
        <v>0.5</v>
      </c>
      <c r="O629">
        <f t="shared" si="238"/>
        <v>2.9</v>
      </c>
      <c r="P629" s="1">
        <v>0</v>
      </c>
      <c r="Q629">
        <v>0</v>
      </c>
      <c r="R629">
        <v>7</v>
      </c>
      <c r="S629">
        <f t="shared" si="239"/>
        <v>7</v>
      </c>
      <c r="T629">
        <v>0.2</v>
      </c>
      <c r="U629">
        <v>0</v>
      </c>
      <c r="V629">
        <v>0.1</v>
      </c>
      <c r="W629">
        <v>0</v>
      </c>
      <c r="X629">
        <v>0</v>
      </c>
      <c r="Y629">
        <v>0.5</v>
      </c>
      <c r="Z629">
        <v>0</v>
      </c>
      <c r="AA629">
        <f t="shared" si="240"/>
        <v>0.8</v>
      </c>
      <c r="AB629">
        <v>0</v>
      </c>
      <c r="AC629">
        <v>0</v>
      </c>
      <c r="AD629">
        <v>0</v>
      </c>
      <c r="AE629">
        <v>4.5</v>
      </c>
      <c r="AF629">
        <v>2.2999999999999998</v>
      </c>
      <c r="AG629">
        <v>0</v>
      </c>
      <c r="AH629">
        <v>0</v>
      </c>
      <c r="AI629">
        <v>0</v>
      </c>
      <c r="AJ629">
        <f t="shared" si="241"/>
        <v>6.8</v>
      </c>
      <c r="AK629">
        <v>0</v>
      </c>
      <c r="AL629">
        <v>0.59899999999999998</v>
      </c>
      <c r="AM629">
        <f t="shared" si="253"/>
        <v>0.40200000000000002</v>
      </c>
      <c r="AN629">
        <v>39910</v>
      </c>
      <c r="AO629" t="s">
        <v>13</v>
      </c>
      <c r="AP629" s="3">
        <f t="shared" si="244"/>
        <v>66739.130434782608</v>
      </c>
      <c r="AQ629" t="s">
        <v>13</v>
      </c>
      <c r="AR629">
        <f t="shared" si="243"/>
        <v>0.1691542288557214</v>
      </c>
      <c r="AS629">
        <f t="shared" si="242"/>
        <v>0.33399999999999996</v>
      </c>
      <c r="AT629">
        <f t="shared" si="245"/>
        <v>22291</v>
      </c>
      <c r="AU629">
        <f t="shared" si="246"/>
        <v>4538</v>
      </c>
      <c r="AV629">
        <f t="shared" si="247"/>
        <v>14716</v>
      </c>
      <c r="AW629">
        <f t="shared" si="248"/>
        <v>5311</v>
      </c>
      <c r="AX629" s="3">
        <f t="shared" si="249"/>
        <v>46712.130434782608</v>
      </c>
      <c r="AY629">
        <f t="shared" si="250"/>
        <v>11145</v>
      </c>
      <c r="AZ629">
        <f t="shared" si="251"/>
        <v>5676</v>
      </c>
      <c r="BA629" s="3">
        <f t="shared" si="252"/>
        <v>49918.130434782608</v>
      </c>
    </row>
    <row r="630" spans="1:53" x14ac:dyDescent="0.2">
      <c r="A630">
        <v>2004</v>
      </c>
      <c r="B630" t="s">
        <v>76</v>
      </c>
      <c r="C630" t="s">
        <v>57</v>
      </c>
      <c r="D630">
        <v>18.100000000000001</v>
      </c>
      <c r="E630">
        <v>0</v>
      </c>
      <c r="F630">
        <v>2.2000000000000002</v>
      </c>
      <c r="G630">
        <v>9.3000000000000007</v>
      </c>
      <c r="H630">
        <v>4.4000000000000004</v>
      </c>
      <c r="I630">
        <v>0.8</v>
      </c>
      <c r="J630">
        <v>0</v>
      </c>
      <c r="K630">
        <f t="shared" si="237"/>
        <v>34.799999999999997</v>
      </c>
      <c r="L630">
        <v>0</v>
      </c>
      <c r="M630">
        <v>0</v>
      </c>
      <c r="N630">
        <v>4.7</v>
      </c>
      <c r="O630">
        <f t="shared" si="238"/>
        <v>4.7</v>
      </c>
      <c r="P630" s="1">
        <v>0</v>
      </c>
      <c r="Q630">
        <v>0</v>
      </c>
      <c r="R630">
        <v>5.4</v>
      </c>
      <c r="S630">
        <f t="shared" si="239"/>
        <v>5.4</v>
      </c>
      <c r="T630">
        <v>0.3</v>
      </c>
      <c r="U630">
        <v>0</v>
      </c>
      <c r="V630">
        <v>0</v>
      </c>
      <c r="W630">
        <v>0</v>
      </c>
      <c r="X630">
        <v>0</v>
      </c>
      <c r="Y630">
        <v>1</v>
      </c>
      <c r="Z630">
        <v>0</v>
      </c>
      <c r="AA630">
        <f t="shared" si="240"/>
        <v>1.3</v>
      </c>
      <c r="AB630">
        <v>0</v>
      </c>
      <c r="AC630">
        <v>0</v>
      </c>
      <c r="AD630">
        <v>0</v>
      </c>
      <c r="AE630">
        <v>11.8</v>
      </c>
      <c r="AF630">
        <v>2.7</v>
      </c>
      <c r="AG630">
        <v>0</v>
      </c>
      <c r="AH630">
        <v>0</v>
      </c>
      <c r="AI630">
        <v>0</v>
      </c>
      <c r="AJ630">
        <f t="shared" si="241"/>
        <v>14.5</v>
      </c>
      <c r="AK630">
        <v>0</v>
      </c>
      <c r="AL630">
        <v>0.39299999999999996</v>
      </c>
      <c r="AM630">
        <f t="shared" si="253"/>
        <v>0.60699999999999998</v>
      </c>
      <c r="AN630">
        <v>16963</v>
      </c>
      <c r="AO630" t="s">
        <v>13</v>
      </c>
      <c r="AP630" s="3">
        <f t="shared" si="244"/>
        <v>43162.849872773535</v>
      </c>
      <c r="AQ630" t="s">
        <v>13</v>
      </c>
      <c r="AR630">
        <f t="shared" si="243"/>
        <v>0.23887973640856672</v>
      </c>
      <c r="AS630">
        <f t="shared" si="242"/>
        <v>0.46199999999999997</v>
      </c>
      <c r="AT630">
        <f t="shared" si="245"/>
        <v>19941</v>
      </c>
      <c r="AU630">
        <f t="shared" si="246"/>
        <v>6259</v>
      </c>
      <c r="AV630">
        <f t="shared" si="247"/>
        <v>12431</v>
      </c>
      <c r="AW630">
        <f t="shared" si="248"/>
        <v>8283</v>
      </c>
      <c r="AX630" s="3">
        <f t="shared" si="249"/>
        <v>22448.849872773535</v>
      </c>
      <c r="AY630">
        <f t="shared" si="250"/>
        <v>9971</v>
      </c>
      <c r="AZ630">
        <f t="shared" si="251"/>
        <v>8946</v>
      </c>
      <c r="BA630" s="3">
        <f t="shared" si="252"/>
        <v>24245.849872773535</v>
      </c>
    </row>
    <row r="631" spans="1:53" x14ac:dyDescent="0.2">
      <c r="A631">
        <v>2005</v>
      </c>
      <c r="B631" t="s">
        <v>76</v>
      </c>
      <c r="C631" t="s">
        <v>57</v>
      </c>
      <c r="D631">
        <v>14.8</v>
      </c>
      <c r="E631">
        <v>0</v>
      </c>
      <c r="F631">
        <v>1.8</v>
      </c>
      <c r="G631">
        <v>12.3</v>
      </c>
      <c r="H631">
        <v>4.8</v>
      </c>
      <c r="I631">
        <v>0.4</v>
      </c>
      <c r="J631">
        <v>3.2</v>
      </c>
      <c r="K631">
        <f t="shared" si="237"/>
        <v>37.300000000000004</v>
      </c>
      <c r="L631">
        <v>0</v>
      </c>
      <c r="M631">
        <v>0</v>
      </c>
      <c r="N631">
        <v>1.6</v>
      </c>
      <c r="O631">
        <f t="shared" si="238"/>
        <v>1.6</v>
      </c>
      <c r="P631" s="1">
        <v>0</v>
      </c>
      <c r="Q631">
        <v>0</v>
      </c>
      <c r="R631">
        <v>14.5</v>
      </c>
      <c r="S631">
        <f t="shared" si="239"/>
        <v>14.5</v>
      </c>
      <c r="T631">
        <v>0.2</v>
      </c>
      <c r="U631">
        <v>0</v>
      </c>
      <c r="V631">
        <v>0</v>
      </c>
      <c r="W631">
        <v>0</v>
      </c>
      <c r="X631">
        <v>0</v>
      </c>
      <c r="Y631">
        <v>0.4</v>
      </c>
      <c r="Z631">
        <v>0</v>
      </c>
      <c r="AA631">
        <f t="shared" si="240"/>
        <v>0.60000000000000009</v>
      </c>
      <c r="AB631">
        <v>0</v>
      </c>
      <c r="AC631">
        <v>0</v>
      </c>
      <c r="AD631">
        <v>0</v>
      </c>
      <c r="AE631">
        <v>7</v>
      </c>
      <c r="AF631">
        <v>3.7</v>
      </c>
      <c r="AG631">
        <v>0</v>
      </c>
      <c r="AH631">
        <v>0</v>
      </c>
      <c r="AI631">
        <v>0</v>
      </c>
      <c r="AJ631">
        <f t="shared" si="241"/>
        <v>10.7</v>
      </c>
      <c r="AK631">
        <v>0</v>
      </c>
      <c r="AL631">
        <v>0.35100000000000003</v>
      </c>
      <c r="AM631">
        <f t="shared" si="253"/>
        <v>0.64699999999999991</v>
      </c>
      <c r="AN631">
        <v>17893</v>
      </c>
      <c r="AO631" t="s">
        <v>13</v>
      </c>
      <c r="AP631" s="3">
        <f t="shared" si="244"/>
        <v>50688.385269121798</v>
      </c>
      <c r="AQ631" t="s">
        <v>13</v>
      </c>
      <c r="AR631">
        <f t="shared" si="243"/>
        <v>0.1653786707882535</v>
      </c>
      <c r="AS631">
        <f t="shared" si="242"/>
        <v>0.54</v>
      </c>
      <c r="AT631">
        <f t="shared" si="245"/>
        <v>27372</v>
      </c>
      <c r="AU631">
        <f t="shared" si="246"/>
        <v>5424</v>
      </c>
      <c r="AV631">
        <f t="shared" si="247"/>
        <v>17918</v>
      </c>
      <c r="AW631">
        <f t="shared" si="248"/>
        <v>7623</v>
      </c>
      <c r="AX631" s="3">
        <f t="shared" si="249"/>
        <v>25147.385269121798</v>
      </c>
      <c r="AY631">
        <f t="shared" si="250"/>
        <v>13686</v>
      </c>
      <c r="AZ631">
        <f t="shared" si="251"/>
        <v>8608</v>
      </c>
      <c r="BA631" s="3">
        <f t="shared" si="252"/>
        <v>28394.385269121798</v>
      </c>
    </row>
    <row r="632" spans="1:53" x14ac:dyDescent="0.2">
      <c r="A632">
        <v>2006</v>
      </c>
      <c r="B632" t="s">
        <v>76</v>
      </c>
      <c r="C632" t="s">
        <v>57</v>
      </c>
      <c r="D632">
        <v>12</v>
      </c>
      <c r="E632">
        <v>0</v>
      </c>
      <c r="F632">
        <v>2.7</v>
      </c>
      <c r="G632">
        <v>13.1</v>
      </c>
      <c r="H632">
        <v>7.8</v>
      </c>
      <c r="I632">
        <v>0.3</v>
      </c>
      <c r="J632">
        <v>1</v>
      </c>
      <c r="K632">
        <f t="shared" si="237"/>
        <v>36.899999999999991</v>
      </c>
      <c r="L632">
        <v>0</v>
      </c>
      <c r="M632">
        <v>0</v>
      </c>
      <c r="N632">
        <v>1.8</v>
      </c>
      <c r="O632">
        <f t="shared" si="238"/>
        <v>1.8</v>
      </c>
      <c r="P632" s="1">
        <v>0</v>
      </c>
      <c r="Q632">
        <v>0</v>
      </c>
      <c r="R632">
        <v>10.3</v>
      </c>
      <c r="S632">
        <f t="shared" si="239"/>
        <v>10.3</v>
      </c>
      <c r="T632">
        <v>0.2</v>
      </c>
      <c r="U632">
        <v>0</v>
      </c>
      <c r="V632">
        <v>0</v>
      </c>
      <c r="W632">
        <v>0</v>
      </c>
      <c r="X632">
        <v>0</v>
      </c>
      <c r="Y632">
        <v>0.7</v>
      </c>
      <c r="Z632">
        <v>0</v>
      </c>
      <c r="AA632">
        <f t="shared" si="240"/>
        <v>0.89999999999999991</v>
      </c>
      <c r="AB632">
        <v>0</v>
      </c>
      <c r="AC632">
        <v>0</v>
      </c>
      <c r="AD632">
        <v>0</v>
      </c>
      <c r="AE632">
        <v>7.1</v>
      </c>
      <c r="AF632">
        <v>3.1</v>
      </c>
      <c r="AG632">
        <v>0</v>
      </c>
      <c r="AH632">
        <v>0</v>
      </c>
      <c r="AI632">
        <v>0</v>
      </c>
      <c r="AJ632">
        <f t="shared" si="241"/>
        <v>10.199999999999999</v>
      </c>
      <c r="AK632">
        <v>0.8</v>
      </c>
      <c r="AL632">
        <v>0.38900000000000001</v>
      </c>
      <c r="AM632">
        <f t="shared" si="253"/>
        <v>0.60099999999999998</v>
      </c>
      <c r="AN632">
        <v>59084</v>
      </c>
      <c r="AO632" t="s">
        <v>13</v>
      </c>
      <c r="AP632" s="3">
        <f t="shared" si="244"/>
        <v>148080.20050125313</v>
      </c>
      <c r="AQ632" t="s">
        <v>13</v>
      </c>
      <c r="AR632">
        <f t="shared" si="243"/>
        <v>0.16971713810316139</v>
      </c>
      <c r="AS632">
        <f t="shared" si="242"/>
        <v>0.49899999999999983</v>
      </c>
      <c r="AT632">
        <f t="shared" si="245"/>
        <v>73892</v>
      </c>
      <c r="AU632">
        <f t="shared" si="246"/>
        <v>15104</v>
      </c>
      <c r="AV632">
        <f t="shared" si="247"/>
        <v>46571</v>
      </c>
      <c r="AW632">
        <f t="shared" si="248"/>
        <v>20666</v>
      </c>
      <c r="AX632" s="3">
        <f t="shared" si="249"/>
        <v>80843.20050125313</v>
      </c>
      <c r="AY632">
        <f t="shared" si="250"/>
        <v>36946</v>
      </c>
      <c r="AZ632">
        <f t="shared" si="251"/>
        <v>22626</v>
      </c>
      <c r="BA632" s="3">
        <f t="shared" si="252"/>
        <v>88508.20050125313</v>
      </c>
    </row>
    <row r="633" spans="1:53" x14ac:dyDescent="0.2">
      <c r="A633">
        <v>2007</v>
      </c>
      <c r="B633" t="s">
        <v>76</v>
      </c>
      <c r="C633" t="s">
        <v>57</v>
      </c>
      <c r="D633">
        <v>7.6</v>
      </c>
      <c r="E633">
        <v>0.3</v>
      </c>
      <c r="F633">
        <v>10.4</v>
      </c>
      <c r="G633">
        <v>3.4</v>
      </c>
      <c r="H633">
        <v>10.7</v>
      </c>
      <c r="I633">
        <v>0</v>
      </c>
      <c r="J633">
        <v>1</v>
      </c>
      <c r="K633">
        <f t="shared" si="237"/>
        <v>33.4</v>
      </c>
      <c r="L633">
        <v>0</v>
      </c>
      <c r="M633">
        <v>0</v>
      </c>
      <c r="N633">
        <v>0</v>
      </c>
      <c r="O633">
        <f t="shared" si="238"/>
        <v>0</v>
      </c>
      <c r="P633" s="1">
        <v>0</v>
      </c>
      <c r="Q633">
        <v>0.4</v>
      </c>
      <c r="R633">
        <v>3.7</v>
      </c>
      <c r="S633">
        <f t="shared" si="239"/>
        <v>4.1000000000000005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f t="shared" si="240"/>
        <v>0</v>
      </c>
      <c r="AB633">
        <v>0</v>
      </c>
      <c r="AC633">
        <v>0</v>
      </c>
      <c r="AD633">
        <v>0</v>
      </c>
      <c r="AE633">
        <v>5.2</v>
      </c>
      <c r="AF633">
        <v>4.9000000000000004</v>
      </c>
      <c r="AG633">
        <v>0</v>
      </c>
      <c r="AH633">
        <v>0</v>
      </c>
      <c r="AI633">
        <v>0</v>
      </c>
      <c r="AJ633">
        <f t="shared" si="241"/>
        <v>10.100000000000001</v>
      </c>
      <c r="AK633">
        <v>0</v>
      </c>
      <c r="AL633">
        <v>0.52300000000000002</v>
      </c>
      <c r="AM633">
        <f t="shared" si="253"/>
        <v>0.47600000000000009</v>
      </c>
      <c r="AN633">
        <v>15926</v>
      </c>
      <c r="AO633" t="s">
        <v>13</v>
      </c>
      <c r="AP633" s="3">
        <f t="shared" si="244"/>
        <v>30393.129770992371</v>
      </c>
      <c r="AQ633" t="s">
        <v>13</v>
      </c>
      <c r="AR633">
        <f t="shared" si="243"/>
        <v>0.21218487394957983</v>
      </c>
      <c r="AS633">
        <f t="shared" si="242"/>
        <v>0.375</v>
      </c>
      <c r="AT633">
        <f t="shared" si="245"/>
        <v>11397</v>
      </c>
      <c r="AU633">
        <f t="shared" si="246"/>
        <v>3070</v>
      </c>
      <c r="AV633">
        <f t="shared" si="247"/>
        <v>6322</v>
      </c>
      <c r="AW633">
        <f t="shared" si="248"/>
        <v>3890</v>
      </c>
      <c r="AX633" s="3">
        <f t="shared" si="249"/>
        <v>20181.129770992371</v>
      </c>
      <c r="AY633">
        <f t="shared" si="250"/>
        <v>5699</v>
      </c>
      <c r="AZ633">
        <f t="shared" si="251"/>
        <v>3991</v>
      </c>
      <c r="BA633" s="3">
        <f t="shared" si="252"/>
        <v>20703.129770992371</v>
      </c>
    </row>
    <row r="634" spans="1:53" x14ac:dyDescent="0.2">
      <c r="A634">
        <v>2008</v>
      </c>
      <c r="B634" t="s">
        <v>76</v>
      </c>
      <c r="C634" t="s">
        <v>57</v>
      </c>
      <c r="D634">
        <v>8.8000000000000007</v>
      </c>
      <c r="E634">
        <v>0</v>
      </c>
      <c r="F634">
        <v>0.6</v>
      </c>
      <c r="G634">
        <v>8</v>
      </c>
      <c r="H634">
        <v>8.1999999999999993</v>
      </c>
      <c r="I634">
        <v>0</v>
      </c>
      <c r="J634">
        <v>1.6</v>
      </c>
      <c r="K634">
        <f t="shared" si="237"/>
        <v>27.2</v>
      </c>
      <c r="L634">
        <v>0</v>
      </c>
      <c r="M634">
        <v>0</v>
      </c>
      <c r="N634">
        <v>0</v>
      </c>
      <c r="O634">
        <f t="shared" si="238"/>
        <v>0</v>
      </c>
      <c r="P634" s="1">
        <v>0</v>
      </c>
      <c r="Q634">
        <v>0</v>
      </c>
      <c r="R634">
        <v>8.1</v>
      </c>
      <c r="S634">
        <f t="shared" si="239"/>
        <v>8.1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f t="shared" si="240"/>
        <v>0</v>
      </c>
      <c r="AB634">
        <v>0</v>
      </c>
      <c r="AC634">
        <v>0</v>
      </c>
      <c r="AD634">
        <v>0</v>
      </c>
      <c r="AE634">
        <v>2.8</v>
      </c>
      <c r="AF634">
        <v>3</v>
      </c>
      <c r="AG634">
        <v>0</v>
      </c>
      <c r="AH634">
        <v>0</v>
      </c>
      <c r="AI634">
        <v>0</v>
      </c>
      <c r="AJ634">
        <f t="shared" si="241"/>
        <v>5.8</v>
      </c>
      <c r="AK634">
        <v>0</v>
      </c>
      <c r="AL634">
        <v>0.58899999999999997</v>
      </c>
      <c r="AM634">
        <f t="shared" si="253"/>
        <v>0.41100000000000003</v>
      </c>
      <c r="AN634">
        <v>14922</v>
      </c>
      <c r="AO634" t="s">
        <v>13</v>
      </c>
      <c r="AP634" s="3">
        <f t="shared" si="244"/>
        <v>25334.465195246183</v>
      </c>
      <c r="AQ634" t="s">
        <v>13</v>
      </c>
      <c r="AR634">
        <f t="shared" si="243"/>
        <v>0.14111922141119218</v>
      </c>
      <c r="AS634">
        <f t="shared" ref="AS634:AS665" si="254">SUM(K634,O634,S634,AA634)/100</f>
        <v>0.35299999999999998</v>
      </c>
      <c r="AT634">
        <f t="shared" si="245"/>
        <v>8943</v>
      </c>
      <c r="AU634">
        <f t="shared" si="246"/>
        <v>1469</v>
      </c>
      <c r="AV634">
        <f t="shared" si="247"/>
        <v>5498</v>
      </c>
      <c r="AW634">
        <f t="shared" si="248"/>
        <v>1778</v>
      </c>
      <c r="AX634" s="3">
        <f t="shared" si="249"/>
        <v>18058.465195246183</v>
      </c>
      <c r="AY634">
        <f t="shared" si="250"/>
        <v>4472</v>
      </c>
      <c r="AZ634">
        <f t="shared" si="251"/>
        <v>1870</v>
      </c>
      <c r="BA634" s="3">
        <f t="shared" si="252"/>
        <v>18992.465195246183</v>
      </c>
    </row>
    <row r="635" spans="1:53" x14ac:dyDescent="0.2">
      <c r="A635">
        <v>2009</v>
      </c>
      <c r="B635" t="s">
        <v>76</v>
      </c>
      <c r="C635" t="s">
        <v>57</v>
      </c>
      <c r="D635">
        <v>8.8000000000000007</v>
      </c>
      <c r="E635">
        <v>0</v>
      </c>
      <c r="F635">
        <v>3.1</v>
      </c>
      <c r="G635">
        <v>6.3</v>
      </c>
      <c r="H635">
        <v>3.9</v>
      </c>
      <c r="I635">
        <v>0.7</v>
      </c>
      <c r="J635">
        <v>2.2999999999999998</v>
      </c>
      <c r="K635">
        <f t="shared" si="237"/>
        <v>25.099999999999998</v>
      </c>
      <c r="L635">
        <v>0</v>
      </c>
      <c r="M635">
        <v>0</v>
      </c>
      <c r="N635">
        <v>0.7</v>
      </c>
      <c r="O635">
        <f t="shared" si="238"/>
        <v>0.7</v>
      </c>
      <c r="P635" s="1">
        <v>0</v>
      </c>
      <c r="Q635">
        <v>0</v>
      </c>
      <c r="R635">
        <v>9</v>
      </c>
      <c r="S635">
        <f t="shared" si="239"/>
        <v>9</v>
      </c>
      <c r="T635">
        <v>0.1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0.1</v>
      </c>
      <c r="AA635">
        <f t="shared" si="240"/>
        <v>0.2</v>
      </c>
      <c r="AB635">
        <v>0</v>
      </c>
      <c r="AC635">
        <v>0</v>
      </c>
      <c r="AD635">
        <v>0</v>
      </c>
      <c r="AE635">
        <v>9.6999999999999993</v>
      </c>
      <c r="AF635">
        <v>6</v>
      </c>
      <c r="AG635">
        <v>0</v>
      </c>
      <c r="AH635">
        <v>0</v>
      </c>
      <c r="AI635">
        <v>0</v>
      </c>
      <c r="AJ635">
        <f t="shared" si="241"/>
        <v>15.7</v>
      </c>
      <c r="AK635">
        <v>0.2</v>
      </c>
      <c r="AL635">
        <v>0.49</v>
      </c>
      <c r="AM635">
        <f t="shared" si="253"/>
        <v>0.50700000000000001</v>
      </c>
      <c r="AN635">
        <v>25288</v>
      </c>
      <c r="AO635" t="s">
        <v>13</v>
      </c>
      <c r="AP635" s="3">
        <f t="shared" si="244"/>
        <v>51294.117647058825</v>
      </c>
      <c r="AQ635" t="s">
        <v>13</v>
      </c>
      <c r="AR635">
        <f t="shared" si="243"/>
        <v>0.30966469428007887</v>
      </c>
      <c r="AS635">
        <f t="shared" si="254"/>
        <v>0.35</v>
      </c>
      <c r="AT635">
        <f t="shared" si="245"/>
        <v>17953</v>
      </c>
      <c r="AU635">
        <f t="shared" si="246"/>
        <v>8053</v>
      </c>
      <c r="AV635">
        <f t="shared" si="247"/>
        <v>11516</v>
      </c>
      <c r="AW635">
        <f t="shared" si="248"/>
        <v>9608</v>
      </c>
      <c r="AX635" s="3">
        <f t="shared" si="249"/>
        <v>30170.117647058825</v>
      </c>
      <c r="AY635">
        <f t="shared" si="250"/>
        <v>8976</v>
      </c>
      <c r="AZ635">
        <f t="shared" si="251"/>
        <v>10221</v>
      </c>
      <c r="BA635" s="3">
        <f t="shared" si="252"/>
        <v>32097.117647058825</v>
      </c>
    </row>
    <row r="636" spans="1:53" x14ac:dyDescent="0.2">
      <c r="A636">
        <v>2010</v>
      </c>
      <c r="B636" t="s">
        <v>76</v>
      </c>
      <c r="C636" t="s">
        <v>57</v>
      </c>
      <c r="D636">
        <v>9.6999999999999993</v>
      </c>
      <c r="E636">
        <v>0</v>
      </c>
      <c r="F636">
        <v>2</v>
      </c>
      <c r="G636">
        <v>10.4</v>
      </c>
      <c r="H636">
        <v>3.2</v>
      </c>
      <c r="I636">
        <v>0</v>
      </c>
      <c r="J636">
        <v>0.6</v>
      </c>
      <c r="K636">
        <f t="shared" si="237"/>
        <v>25.900000000000002</v>
      </c>
      <c r="L636">
        <v>0</v>
      </c>
      <c r="M636">
        <v>0</v>
      </c>
      <c r="N636">
        <v>0.4</v>
      </c>
      <c r="O636">
        <f t="shared" si="238"/>
        <v>0.4</v>
      </c>
      <c r="P636" s="1">
        <v>0</v>
      </c>
      <c r="Q636">
        <v>0</v>
      </c>
      <c r="R636">
        <v>9.9</v>
      </c>
      <c r="S636">
        <f t="shared" si="239"/>
        <v>9.9</v>
      </c>
      <c r="T636">
        <v>0.2</v>
      </c>
      <c r="U636">
        <v>0.1</v>
      </c>
      <c r="V636">
        <v>0.1</v>
      </c>
      <c r="W636">
        <v>0</v>
      </c>
      <c r="X636">
        <v>0</v>
      </c>
      <c r="Y636">
        <v>1.2</v>
      </c>
      <c r="Z636">
        <v>0</v>
      </c>
      <c r="AA636">
        <f t="shared" si="240"/>
        <v>1.6</v>
      </c>
      <c r="AB636">
        <v>0</v>
      </c>
      <c r="AC636">
        <v>0</v>
      </c>
      <c r="AD636">
        <v>0</v>
      </c>
      <c r="AE636">
        <v>9.3000000000000007</v>
      </c>
      <c r="AF636">
        <v>1.9</v>
      </c>
      <c r="AG636">
        <v>0</v>
      </c>
      <c r="AH636">
        <v>0.3</v>
      </c>
      <c r="AI636">
        <v>0</v>
      </c>
      <c r="AJ636">
        <f t="shared" si="241"/>
        <v>11.500000000000002</v>
      </c>
      <c r="AK636">
        <v>1.2</v>
      </c>
      <c r="AL636">
        <v>0.495</v>
      </c>
      <c r="AM636">
        <f t="shared" si="253"/>
        <v>0.49299999999999999</v>
      </c>
      <c r="AN636">
        <v>71353</v>
      </c>
      <c r="AO636" t="s">
        <v>13</v>
      </c>
      <c r="AP636" s="3">
        <f t="shared" si="244"/>
        <v>140735.70019723865</v>
      </c>
      <c r="AQ636" t="s">
        <v>13</v>
      </c>
      <c r="AR636">
        <f t="shared" si="243"/>
        <v>0.23326572008113594</v>
      </c>
      <c r="AS636">
        <f t="shared" si="254"/>
        <v>0.37800000000000006</v>
      </c>
      <c r="AT636">
        <f t="shared" si="245"/>
        <v>53198</v>
      </c>
      <c r="AU636">
        <f t="shared" si="246"/>
        <v>16185</v>
      </c>
      <c r="AV636">
        <f t="shared" si="247"/>
        <v>34973</v>
      </c>
      <c r="AW636">
        <f t="shared" si="248"/>
        <v>19555</v>
      </c>
      <c r="AX636" s="3">
        <f t="shared" si="249"/>
        <v>86207.70019723865</v>
      </c>
      <c r="AY636">
        <f t="shared" si="250"/>
        <v>26599</v>
      </c>
      <c r="AZ636">
        <f t="shared" si="251"/>
        <v>21103</v>
      </c>
      <c r="BA636" s="3">
        <f t="shared" si="252"/>
        <v>93033.70019723865</v>
      </c>
    </row>
    <row r="637" spans="1:53" x14ac:dyDescent="0.2">
      <c r="A637">
        <v>2011</v>
      </c>
      <c r="B637" t="s">
        <v>76</v>
      </c>
      <c r="C637" t="s">
        <v>57</v>
      </c>
      <c r="D637">
        <v>8.1999999999999993</v>
      </c>
      <c r="E637">
        <v>0.1</v>
      </c>
      <c r="F637">
        <v>2.7</v>
      </c>
      <c r="G637">
        <v>7.5</v>
      </c>
      <c r="H637">
        <v>4.9000000000000004</v>
      </c>
      <c r="I637">
        <v>1.3</v>
      </c>
      <c r="J637">
        <v>0.7</v>
      </c>
      <c r="K637">
        <f t="shared" si="237"/>
        <v>25.4</v>
      </c>
      <c r="L637">
        <v>0</v>
      </c>
      <c r="M637">
        <v>0</v>
      </c>
      <c r="N637">
        <v>0</v>
      </c>
      <c r="O637">
        <f t="shared" si="238"/>
        <v>0</v>
      </c>
      <c r="P637" s="1">
        <v>0</v>
      </c>
      <c r="Q637">
        <v>1.2</v>
      </c>
      <c r="R637">
        <v>8.8000000000000007</v>
      </c>
      <c r="S637">
        <f t="shared" si="239"/>
        <v>10</v>
      </c>
      <c r="T637">
        <v>0.5</v>
      </c>
      <c r="U637">
        <v>0</v>
      </c>
      <c r="V637">
        <v>0</v>
      </c>
      <c r="W637">
        <v>0</v>
      </c>
      <c r="X637">
        <v>0</v>
      </c>
      <c r="Y637">
        <v>0.3</v>
      </c>
      <c r="Z637">
        <v>0.2</v>
      </c>
      <c r="AA637">
        <f t="shared" si="240"/>
        <v>1</v>
      </c>
      <c r="AB637">
        <v>0</v>
      </c>
      <c r="AC637">
        <v>0</v>
      </c>
      <c r="AD637">
        <v>0</v>
      </c>
      <c r="AE637">
        <v>9.1</v>
      </c>
      <c r="AF637">
        <v>2.8</v>
      </c>
      <c r="AG637">
        <v>0</v>
      </c>
      <c r="AH637">
        <v>0</v>
      </c>
      <c r="AI637">
        <v>0</v>
      </c>
      <c r="AJ637">
        <f t="shared" si="241"/>
        <v>11.899999999999999</v>
      </c>
      <c r="AK637">
        <v>0.1</v>
      </c>
      <c r="AL637">
        <v>0.51700000000000002</v>
      </c>
      <c r="AM637">
        <f t="shared" si="253"/>
        <v>0.48299999999999998</v>
      </c>
      <c r="AN637">
        <v>18895</v>
      </c>
      <c r="AO637" t="s">
        <v>13</v>
      </c>
      <c r="AP637" s="3">
        <f t="shared" si="244"/>
        <v>36547.388781431335</v>
      </c>
      <c r="AQ637" t="s">
        <v>13</v>
      </c>
      <c r="AR637">
        <f t="shared" si="243"/>
        <v>0.24637681159420285</v>
      </c>
      <c r="AS637">
        <f t="shared" si="254"/>
        <v>0.36399999999999999</v>
      </c>
      <c r="AT637">
        <f t="shared" si="245"/>
        <v>13303</v>
      </c>
      <c r="AU637">
        <f t="shared" si="246"/>
        <v>4349</v>
      </c>
      <c r="AV637">
        <f t="shared" si="247"/>
        <v>8662</v>
      </c>
      <c r="AW637">
        <f t="shared" si="248"/>
        <v>5217</v>
      </c>
      <c r="AX637" s="3">
        <f t="shared" si="249"/>
        <v>22668.388781431335</v>
      </c>
      <c r="AY637">
        <f t="shared" si="250"/>
        <v>6652</v>
      </c>
      <c r="AZ637">
        <f t="shared" si="251"/>
        <v>5593</v>
      </c>
      <c r="BA637" s="3">
        <f t="shared" si="252"/>
        <v>24302.388781431335</v>
      </c>
    </row>
    <row r="638" spans="1:53" x14ac:dyDescent="0.2">
      <c r="A638">
        <v>2012</v>
      </c>
      <c r="B638" t="s">
        <v>76</v>
      </c>
      <c r="C638" t="s">
        <v>57</v>
      </c>
      <c r="D638">
        <v>6.4</v>
      </c>
      <c r="E638">
        <v>0</v>
      </c>
      <c r="F638">
        <v>6.8</v>
      </c>
      <c r="G638">
        <v>7</v>
      </c>
      <c r="H638">
        <v>5.3</v>
      </c>
      <c r="I638">
        <v>1</v>
      </c>
      <c r="J638">
        <v>1.3</v>
      </c>
      <c r="K638">
        <f t="shared" si="237"/>
        <v>27.8</v>
      </c>
      <c r="L638">
        <v>0</v>
      </c>
      <c r="M638">
        <v>0</v>
      </c>
      <c r="N638">
        <v>1.3</v>
      </c>
      <c r="O638">
        <f t="shared" si="238"/>
        <v>1.3</v>
      </c>
      <c r="P638" s="1">
        <v>0</v>
      </c>
      <c r="Q638">
        <v>0.4</v>
      </c>
      <c r="R638">
        <v>10.4</v>
      </c>
      <c r="S638">
        <f t="shared" si="239"/>
        <v>10.8</v>
      </c>
      <c r="T638">
        <v>0.2</v>
      </c>
      <c r="U638">
        <v>0.2</v>
      </c>
      <c r="V638">
        <v>0.2</v>
      </c>
      <c r="W638">
        <v>0</v>
      </c>
      <c r="X638">
        <v>0</v>
      </c>
      <c r="Y638">
        <v>0</v>
      </c>
      <c r="Z638">
        <v>1.2</v>
      </c>
      <c r="AA638">
        <f t="shared" si="240"/>
        <v>1.8</v>
      </c>
      <c r="AB638">
        <v>0</v>
      </c>
      <c r="AC638">
        <v>0</v>
      </c>
      <c r="AD638">
        <v>0</v>
      </c>
      <c r="AE638">
        <v>4.2</v>
      </c>
      <c r="AF638">
        <v>4.5999999999999996</v>
      </c>
      <c r="AG638">
        <v>0</v>
      </c>
      <c r="AH638">
        <v>0</v>
      </c>
      <c r="AI638">
        <v>0</v>
      </c>
      <c r="AJ638">
        <f t="shared" si="241"/>
        <v>8.8000000000000007</v>
      </c>
      <c r="AK638">
        <v>0</v>
      </c>
      <c r="AL638">
        <v>0.49299999999999999</v>
      </c>
      <c r="AM638">
        <f t="shared" si="253"/>
        <v>0.50499999999999989</v>
      </c>
      <c r="AN638">
        <v>4091</v>
      </c>
      <c r="AO638" t="s">
        <v>13</v>
      </c>
      <c r="AP638" s="3">
        <f t="shared" si="244"/>
        <v>8264.6464646464628</v>
      </c>
      <c r="AQ638" t="s">
        <v>13</v>
      </c>
      <c r="AR638">
        <f t="shared" si="243"/>
        <v>0.1742574257425743</v>
      </c>
      <c r="AS638">
        <f t="shared" si="254"/>
        <v>0.41700000000000004</v>
      </c>
      <c r="AT638">
        <f t="shared" si="245"/>
        <v>3446</v>
      </c>
      <c r="AU638">
        <f t="shared" si="246"/>
        <v>727</v>
      </c>
      <c r="AV638">
        <f t="shared" si="247"/>
        <v>2298</v>
      </c>
      <c r="AW638">
        <f t="shared" si="248"/>
        <v>900</v>
      </c>
      <c r="AX638" s="3">
        <f t="shared" si="249"/>
        <v>5066.6464646464628</v>
      </c>
      <c r="AY638">
        <f t="shared" si="250"/>
        <v>1723</v>
      </c>
      <c r="AZ638">
        <f t="shared" si="251"/>
        <v>987</v>
      </c>
      <c r="BA638" s="3">
        <f t="shared" si="252"/>
        <v>5554.6464646464628</v>
      </c>
    </row>
    <row r="639" spans="1:53" x14ac:dyDescent="0.2">
      <c r="A639">
        <v>2013</v>
      </c>
      <c r="B639" t="s">
        <v>76</v>
      </c>
      <c r="C639" t="s">
        <v>57</v>
      </c>
      <c r="D639">
        <v>7.3</v>
      </c>
      <c r="E639">
        <v>0.1</v>
      </c>
      <c r="F639">
        <v>1.1000000000000001</v>
      </c>
      <c r="G639">
        <v>7.4</v>
      </c>
      <c r="H639">
        <v>3.8</v>
      </c>
      <c r="I639">
        <v>0.2</v>
      </c>
      <c r="J639">
        <v>0.9</v>
      </c>
      <c r="K639">
        <f t="shared" si="237"/>
        <v>20.799999999999997</v>
      </c>
      <c r="L639">
        <v>0</v>
      </c>
      <c r="M639">
        <v>0</v>
      </c>
      <c r="N639">
        <v>0.3</v>
      </c>
      <c r="O639">
        <f t="shared" si="238"/>
        <v>0.3</v>
      </c>
      <c r="P639" s="1">
        <v>0</v>
      </c>
      <c r="Q639">
        <v>1.6</v>
      </c>
      <c r="R639">
        <v>10.3</v>
      </c>
      <c r="S639">
        <f t="shared" si="239"/>
        <v>11.9</v>
      </c>
      <c r="T639">
        <v>0.6</v>
      </c>
      <c r="U639">
        <v>0</v>
      </c>
      <c r="V639">
        <v>0</v>
      </c>
      <c r="W639">
        <v>0</v>
      </c>
      <c r="X639">
        <v>0</v>
      </c>
      <c r="Y639">
        <v>0.3</v>
      </c>
      <c r="Z639">
        <v>0.4</v>
      </c>
      <c r="AA639">
        <f t="shared" si="240"/>
        <v>1.2999999999999998</v>
      </c>
      <c r="AB639">
        <v>0</v>
      </c>
      <c r="AC639">
        <v>0</v>
      </c>
      <c r="AD639">
        <v>0</v>
      </c>
      <c r="AE639">
        <v>2.4</v>
      </c>
      <c r="AF639">
        <v>2</v>
      </c>
      <c r="AG639">
        <v>0</v>
      </c>
      <c r="AH639">
        <v>0</v>
      </c>
      <c r="AI639">
        <v>0</v>
      </c>
      <c r="AJ639">
        <f t="shared" si="241"/>
        <v>4.4000000000000004</v>
      </c>
      <c r="AK639">
        <v>0.9</v>
      </c>
      <c r="AL639">
        <v>0.60399999999999998</v>
      </c>
      <c r="AM639">
        <f t="shared" si="253"/>
        <v>0.38700000000000001</v>
      </c>
      <c r="AN639">
        <v>28797</v>
      </c>
      <c r="AO639" t="s">
        <v>13</v>
      </c>
      <c r="AP639" s="3">
        <f t="shared" si="244"/>
        <v>46977.161500815659</v>
      </c>
      <c r="AQ639" t="s">
        <v>13</v>
      </c>
      <c r="AR639">
        <f t="shared" si="243"/>
        <v>0.11369509043927649</v>
      </c>
      <c r="AS639">
        <f t="shared" si="254"/>
        <v>0.34299999999999997</v>
      </c>
      <c r="AT639">
        <f t="shared" si="245"/>
        <v>16113</v>
      </c>
      <c r="AU639">
        <f t="shared" si="246"/>
        <v>2067</v>
      </c>
      <c r="AV639">
        <f t="shared" si="247"/>
        <v>11228</v>
      </c>
      <c r="AW639">
        <f t="shared" si="248"/>
        <v>2394</v>
      </c>
      <c r="AX639" s="3">
        <f t="shared" si="249"/>
        <v>33355.161500815659</v>
      </c>
      <c r="AY639">
        <f t="shared" si="250"/>
        <v>8057</v>
      </c>
      <c r="AZ639">
        <f t="shared" si="251"/>
        <v>2607</v>
      </c>
      <c r="BA639" s="3">
        <f t="shared" si="252"/>
        <v>36313.161500815659</v>
      </c>
    </row>
    <row r="640" spans="1:53" x14ac:dyDescent="0.2">
      <c r="A640">
        <v>2014</v>
      </c>
      <c r="B640" t="s">
        <v>76</v>
      </c>
      <c r="C640" t="s">
        <v>57</v>
      </c>
      <c r="D640">
        <v>10.7</v>
      </c>
      <c r="E640">
        <v>0.2</v>
      </c>
      <c r="F640">
        <v>2.5</v>
      </c>
      <c r="G640">
        <v>7</v>
      </c>
      <c r="H640">
        <v>2.9</v>
      </c>
      <c r="I640">
        <v>3.2</v>
      </c>
      <c r="J640">
        <v>1.6</v>
      </c>
      <c r="K640">
        <f t="shared" si="237"/>
        <v>28.099999999999998</v>
      </c>
      <c r="L640">
        <v>0</v>
      </c>
      <c r="M640">
        <v>0</v>
      </c>
      <c r="N640">
        <v>0.2</v>
      </c>
      <c r="O640">
        <f t="shared" si="238"/>
        <v>0.2</v>
      </c>
      <c r="P640" s="1">
        <v>0</v>
      </c>
      <c r="Q640">
        <v>3</v>
      </c>
      <c r="R640">
        <v>5.3</v>
      </c>
      <c r="S640">
        <f t="shared" si="239"/>
        <v>8.3000000000000007</v>
      </c>
      <c r="T640">
        <v>1.9</v>
      </c>
      <c r="U640">
        <v>0.4</v>
      </c>
      <c r="V640">
        <v>0.1</v>
      </c>
      <c r="W640">
        <v>0</v>
      </c>
      <c r="X640">
        <v>0</v>
      </c>
      <c r="Y640">
        <v>0.5</v>
      </c>
      <c r="Z640">
        <v>0.4</v>
      </c>
      <c r="AA640">
        <f t="shared" si="240"/>
        <v>3.3</v>
      </c>
      <c r="AB640">
        <v>0</v>
      </c>
      <c r="AC640">
        <v>0</v>
      </c>
      <c r="AD640">
        <v>0</v>
      </c>
      <c r="AE640">
        <v>7.9</v>
      </c>
      <c r="AF640">
        <v>1.8</v>
      </c>
      <c r="AG640">
        <v>0</v>
      </c>
      <c r="AH640">
        <v>0</v>
      </c>
      <c r="AI640">
        <v>0</v>
      </c>
      <c r="AJ640">
        <f t="shared" si="241"/>
        <v>9.7000000000000011</v>
      </c>
      <c r="AK640">
        <v>0.9</v>
      </c>
      <c r="AL640">
        <v>0.496</v>
      </c>
      <c r="AM640">
        <f t="shared" si="253"/>
        <v>0.49600000000000011</v>
      </c>
      <c r="AN640">
        <v>43952</v>
      </c>
      <c r="AO640" t="s">
        <v>13</v>
      </c>
      <c r="AP640" s="3">
        <f t="shared" si="244"/>
        <v>87206.34920634923</v>
      </c>
      <c r="AQ640" t="s">
        <v>13</v>
      </c>
      <c r="AR640">
        <f t="shared" si="243"/>
        <v>0.19556451612903225</v>
      </c>
      <c r="AS640">
        <f t="shared" si="254"/>
        <v>0.39899999999999991</v>
      </c>
      <c r="AT640">
        <f t="shared" si="245"/>
        <v>34795</v>
      </c>
      <c r="AU640">
        <f t="shared" si="246"/>
        <v>8459</v>
      </c>
      <c r="AV640">
        <f t="shared" si="247"/>
        <v>22543</v>
      </c>
      <c r="AW640">
        <f t="shared" si="248"/>
        <v>10436</v>
      </c>
      <c r="AX640" s="3">
        <f t="shared" si="249"/>
        <v>54227.34920634923</v>
      </c>
      <c r="AY640">
        <f t="shared" si="250"/>
        <v>17398</v>
      </c>
      <c r="AZ640">
        <f t="shared" si="251"/>
        <v>11267</v>
      </c>
      <c r="BA640" s="3">
        <f t="shared" si="252"/>
        <v>58541.34920634923</v>
      </c>
    </row>
    <row r="641" spans="1:53" x14ac:dyDescent="0.2">
      <c r="A641">
        <v>2015</v>
      </c>
      <c r="B641" t="s">
        <v>76</v>
      </c>
      <c r="C641" t="s">
        <v>57</v>
      </c>
      <c r="D641">
        <v>6.7</v>
      </c>
      <c r="E641">
        <v>0.1</v>
      </c>
      <c r="F641">
        <v>0.5</v>
      </c>
      <c r="G641">
        <v>3.7</v>
      </c>
      <c r="H641">
        <v>1.6</v>
      </c>
      <c r="I641">
        <v>0.6</v>
      </c>
      <c r="J641">
        <v>1.2</v>
      </c>
      <c r="K641">
        <f t="shared" si="237"/>
        <v>14.399999999999999</v>
      </c>
      <c r="L641">
        <v>0</v>
      </c>
      <c r="M641">
        <v>0</v>
      </c>
      <c r="N641">
        <v>0.7</v>
      </c>
      <c r="O641">
        <f t="shared" si="238"/>
        <v>0.7</v>
      </c>
      <c r="P641" s="1">
        <v>0</v>
      </c>
      <c r="Q641">
        <v>0.5</v>
      </c>
      <c r="R641">
        <v>8.4</v>
      </c>
      <c r="S641">
        <f t="shared" si="239"/>
        <v>8.9</v>
      </c>
      <c r="T641">
        <v>2.2999999999999998</v>
      </c>
      <c r="U641">
        <v>0.5</v>
      </c>
      <c r="V641">
        <v>0</v>
      </c>
      <c r="W641">
        <v>0</v>
      </c>
      <c r="X641">
        <v>0</v>
      </c>
      <c r="Y641">
        <v>0.8</v>
      </c>
      <c r="Z641">
        <v>0.5</v>
      </c>
      <c r="AA641">
        <f t="shared" si="240"/>
        <v>4.0999999999999996</v>
      </c>
      <c r="AB641">
        <v>0</v>
      </c>
      <c r="AC641">
        <v>0</v>
      </c>
      <c r="AD641">
        <v>0</v>
      </c>
      <c r="AE641">
        <v>2.9</v>
      </c>
      <c r="AF641">
        <v>3.1</v>
      </c>
      <c r="AG641">
        <v>0</v>
      </c>
      <c r="AH641">
        <v>0.1</v>
      </c>
      <c r="AI641">
        <v>0</v>
      </c>
      <c r="AJ641">
        <f t="shared" si="241"/>
        <v>6.1</v>
      </c>
      <c r="AK641">
        <v>1.4</v>
      </c>
      <c r="AL641">
        <v>0.64500000000000002</v>
      </c>
      <c r="AM641">
        <f t="shared" si="253"/>
        <v>0.34200000000000003</v>
      </c>
      <c r="AN641">
        <v>39440</v>
      </c>
      <c r="AO641" t="s">
        <v>13</v>
      </c>
      <c r="AP641" s="3">
        <f t="shared" si="244"/>
        <v>59939.209726443776</v>
      </c>
      <c r="AQ641" t="s">
        <v>13</v>
      </c>
      <c r="AR641">
        <f t="shared" si="243"/>
        <v>0.17836257309941519</v>
      </c>
      <c r="AS641">
        <f t="shared" si="254"/>
        <v>0.28100000000000003</v>
      </c>
      <c r="AT641">
        <f t="shared" si="245"/>
        <v>16843</v>
      </c>
      <c r="AU641">
        <f t="shared" si="246"/>
        <v>3656</v>
      </c>
      <c r="AV641">
        <f t="shared" si="247"/>
        <v>12527</v>
      </c>
      <c r="AW641">
        <f t="shared" si="248"/>
        <v>4022</v>
      </c>
      <c r="AX641" s="3">
        <f t="shared" si="249"/>
        <v>43390.209726443776</v>
      </c>
      <c r="AY641">
        <f t="shared" si="250"/>
        <v>8421</v>
      </c>
      <c r="AZ641">
        <f t="shared" si="251"/>
        <v>4370</v>
      </c>
      <c r="BA641" s="3">
        <f t="shared" si="252"/>
        <v>47148.209726443776</v>
      </c>
    </row>
    <row r="642" spans="1:53" x14ac:dyDescent="0.2">
      <c r="A642">
        <v>2016</v>
      </c>
      <c r="B642" t="s">
        <v>76</v>
      </c>
      <c r="C642" t="s">
        <v>57</v>
      </c>
      <c r="D642">
        <v>9.6999999999999993</v>
      </c>
      <c r="E642">
        <v>0.5</v>
      </c>
      <c r="F642">
        <v>2.6</v>
      </c>
      <c r="G642">
        <v>8.8000000000000007</v>
      </c>
      <c r="H642">
        <v>3.1</v>
      </c>
      <c r="I642">
        <v>1.8</v>
      </c>
      <c r="J642">
        <v>1</v>
      </c>
      <c r="K642">
        <f t="shared" si="237"/>
        <v>27.500000000000004</v>
      </c>
      <c r="L642">
        <v>0</v>
      </c>
      <c r="M642">
        <v>0</v>
      </c>
      <c r="N642">
        <v>0.5</v>
      </c>
      <c r="O642">
        <f t="shared" si="238"/>
        <v>0.5</v>
      </c>
      <c r="P642" s="1">
        <v>0</v>
      </c>
      <c r="Q642">
        <v>0.4</v>
      </c>
      <c r="R642">
        <v>6.1</v>
      </c>
      <c r="S642">
        <f t="shared" si="239"/>
        <v>6.5</v>
      </c>
      <c r="T642">
        <v>0.2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0.2</v>
      </c>
      <c r="AA642">
        <f t="shared" si="240"/>
        <v>0.4</v>
      </c>
      <c r="AB642">
        <v>0</v>
      </c>
      <c r="AC642">
        <v>0</v>
      </c>
      <c r="AD642">
        <v>0</v>
      </c>
      <c r="AE642">
        <v>2.5</v>
      </c>
      <c r="AF642">
        <v>1.9</v>
      </c>
      <c r="AG642">
        <v>0</v>
      </c>
      <c r="AH642">
        <v>0.3</v>
      </c>
      <c r="AI642">
        <v>0</v>
      </c>
      <c r="AJ642">
        <f t="shared" si="241"/>
        <v>4.7</v>
      </c>
      <c r="AK642">
        <v>0</v>
      </c>
      <c r="AL642">
        <v>0.60299999999999998</v>
      </c>
      <c r="AM642">
        <f t="shared" si="253"/>
        <v>0.39600000000000002</v>
      </c>
      <c r="AN642">
        <v>6438</v>
      </c>
      <c r="AO642" t="s">
        <v>13</v>
      </c>
      <c r="AP642" s="3">
        <f t="shared" si="244"/>
        <v>10658.940397350994</v>
      </c>
      <c r="AQ642" t="s">
        <v>13</v>
      </c>
      <c r="AR642">
        <f t="shared" si="243"/>
        <v>0.11868686868686869</v>
      </c>
      <c r="AS642">
        <f t="shared" si="254"/>
        <v>0.34899999999999998</v>
      </c>
      <c r="AT642">
        <f t="shared" si="245"/>
        <v>3720</v>
      </c>
      <c r="AU642">
        <f t="shared" si="246"/>
        <v>501</v>
      </c>
      <c r="AV642">
        <f t="shared" si="247"/>
        <v>2254</v>
      </c>
      <c r="AW642">
        <f t="shared" si="248"/>
        <v>607</v>
      </c>
      <c r="AX642" s="3">
        <f t="shared" si="249"/>
        <v>7797.9403973509943</v>
      </c>
      <c r="AY642">
        <f t="shared" si="250"/>
        <v>1860</v>
      </c>
      <c r="AZ642">
        <f t="shared" si="251"/>
        <v>635</v>
      </c>
      <c r="BA642" s="3">
        <f t="shared" si="252"/>
        <v>8163.9403973509943</v>
      </c>
    </row>
    <row r="643" spans="1:53" x14ac:dyDescent="0.2">
      <c r="A643">
        <v>2017</v>
      </c>
      <c r="B643" t="s">
        <v>76</v>
      </c>
      <c r="C643" t="s">
        <v>57</v>
      </c>
      <c r="D643">
        <v>12.1</v>
      </c>
      <c r="E643">
        <v>0</v>
      </c>
      <c r="F643">
        <v>2.8</v>
      </c>
      <c r="G643">
        <v>7.4</v>
      </c>
      <c r="H643">
        <v>3.3</v>
      </c>
      <c r="I643">
        <v>1.6</v>
      </c>
      <c r="J643">
        <v>1.9</v>
      </c>
      <c r="K643">
        <f t="shared" si="237"/>
        <v>29.099999999999998</v>
      </c>
      <c r="L643">
        <v>0</v>
      </c>
      <c r="M643">
        <v>0</v>
      </c>
      <c r="N643">
        <v>0</v>
      </c>
      <c r="O643">
        <f t="shared" si="238"/>
        <v>0</v>
      </c>
      <c r="P643" s="1">
        <v>0</v>
      </c>
      <c r="Q643">
        <v>0.2</v>
      </c>
      <c r="R643">
        <v>11.1</v>
      </c>
      <c r="S643">
        <f t="shared" si="239"/>
        <v>11.299999999999999</v>
      </c>
      <c r="T643">
        <v>0.3</v>
      </c>
      <c r="U643">
        <v>0.3</v>
      </c>
      <c r="V643">
        <v>0</v>
      </c>
      <c r="W643">
        <v>0</v>
      </c>
      <c r="X643">
        <v>0</v>
      </c>
      <c r="Y643">
        <v>0</v>
      </c>
      <c r="Z643">
        <v>0.5</v>
      </c>
      <c r="AA643">
        <f t="shared" si="240"/>
        <v>1.1000000000000001</v>
      </c>
      <c r="AB643">
        <v>0</v>
      </c>
      <c r="AC643">
        <v>0</v>
      </c>
      <c r="AD643">
        <v>0</v>
      </c>
      <c r="AE643">
        <v>2.5</v>
      </c>
      <c r="AF643">
        <v>1.7</v>
      </c>
      <c r="AG643">
        <v>0</v>
      </c>
      <c r="AH643">
        <v>0.1</v>
      </c>
      <c r="AI643">
        <v>0</v>
      </c>
      <c r="AJ643">
        <f t="shared" si="241"/>
        <v>4.3</v>
      </c>
      <c r="AK643">
        <v>0.5</v>
      </c>
      <c r="AL643">
        <v>0.53900000000000003</v>
      </c>
      <c r="AM643">
        <f t="shared" si="253"/>
        <v>0.45799999999999996</v>
      </c>
      <c r="AN643">
        <v>13430</v>
      </c>
      <c r="AO643" t="s">
        <v>13</v>
      </c>
      <c r="AP643" s="3">
        <f t="shared" si="244"/>
        <v>24778.597785977858</v>
      </c>
      <c r="AQ643" t="s">
        <v>13</v>
      </c>
      <c r="AR643">
        <f t="shared" si="243"/>
        <v>9.3886462882096067E-2</v>
      </c>
      <c r="AS643">
        <f t="shared" si="254"/>
        <v>0.41499999999999998</v>
      </c>
      <c r="AT643">
        <f t="shared" si="245"/>
        <v>10283</v>
      </c>
      <c r="AU643">
        <f t="shared" si="246"/>
        <v>1065</v>
      </c>
      <c r="AV643">
        <f t="shared" ref="AV643:AV706" si="255">ROUND((((K643*0.5)+O643+S643+AA643)/100)*AP643,0)</f>
        <v>6678</v>
      </c>
      <c r="AW643">
        <f t="shared" ref="AW643:AW706" si="256">ROUND((AU643/(AP643-AT643))*(AP643-AV643),0)</f>
        <v>1330</v>
      </c>
      <c r="AX643" s="3">
        <f t="shared" ref="AX643:AX706" si="257">AP643-AV643-AW643</f>
        <v>16770.597785977858</v>
      </c>
      <c r="AY643">
        <f t="shared" ref="AY643:AY706" si="258">ROUND((0.5*AS643)*AP643,0)</f>
        <v>5142</v>
      </c>
      <c r="AZ643">
        <f t="shared" ref="AZ643:AZ706" si="259">ROUND((AU643/(AP643-AT643))*(AP643-AY643),0)</f>
        <v>1443</v>
      </c>
      <c r="BA643" s="3">
        <f t="shared" ref="BA643:BA706" si="260">AP643-AZ643-AY643</f>
        <v>18193.597785977858</v>
      </c>
    </row>
    <row r="644" spans="1:53" x14ac:dyDescent="0.2">
      <c r="A644">
        <v>2018</v>
      </c>
      <c r="B644" t="s">
        <v>76</v>
      </c>
      <c r="C644" t="s">
        <v>57</v>
      </c>
      <c r="D644">
        <v>4.4000000000000004</v>
      </c>
      <c r="E644">
        <v>0</v>
      </c>
      <c r="F644">
        <v>1</v>
      </c>
      <c r="G644">
        <v>3.3</v>
      </c>
      <c r="H644">
        <v>2.6</v>
      </c>
      <c r="I644">
        <v>0.9</v>
      </c>
      <c r="J644">
        <v>1.9</v>
      </c>
      <c r="K644">
        <f t="shared" si="237"/>
        <v>14.1</v>
      </c>
      <c r="L644">
        <v>0</v>
      </c>
      <c r="M644">
        <v>0</v>
      </c>
      <c r="N644">
        <v>0.1</v>
      </c>
      <c r="O644">
        <f t="shared" si="238"/>
        <v>0.1</v>
      </c>
      <c r="P644" s="1">
        <v>0</v>
      </c>
      <c r="Q644">
        <v>1.4</v>
      </c>
      <c r="R644">
        <v>10.4</v>
      </c>
      <c r="S644">
        <f t="shared" si="239"/>
        <v>11.8</v>
      </c>
      <c r="T644">
        <v>0.2</v>
      </c>
      <c r="U644">
        <v>0.1</v>
      </c>
      <c r="V644">
        <v>0</v>
      </c>
      <c r="W644">
        <v>0</v>
      </c>
      <c r="X644">
        <v>0</v>
      </c>
      <c r="Y644">
        <v>0.5</v>
      </c>
      <c r="Z644">
        <v>0.4</v>
      </c>
      <c r="AA644">
        <f t="shared" si="240"/>
        <v>1.2000000000000002</v>
      </c>
      <c r="AB644">
        <v>0</v>
      </c>
      <c r="AC644">
        <v>0</v>
      </c>
      <c r="AD644">
        <v>0</v>
      </c>
      <c r="AE644">
        <v>4.9000000000000004</v>
      </c>
      <c r="AF644">
        <v>2.5</v>
      </c>
      <c r="AG644">
        <v>0</v>
      </c>
      <c r="AH644">
        <v>0</v>
      </c>
      <c r="AI644">
        <v>0</v>
      </c>
      <c r="AJ644">
        <f t="shared" si="241"/>
        <v>7.4</v>
      </c>
      <c r="AK644">
        <v>0.2</v>
      </c>
      <c r="AL644">
        <v>0.65099999999999991</v>
      </c>
      <c r="AM644">
        <f t="shared" si="253"/>
        <v>0.34600000000000003</v>
      </c>
      <c r="AN644">
        <v>17120</v>
      </c>
      <c r="AO644" t="s">
        <v>13</v>
      </c>
      <c r="AP644" s="3">
        <f t="shared" si="244"/>
        <v>26177.370030581042</v>
      </c>
      <c r="AQ644" t="s">
        <v>13</v>
      </c>
      <c r="AR644">
        <f t="shared" si="243"/>
        <v>0.2138728323699422</v>
      </c>
      <c r="AS644">
        <f t="shared" si="254"/>
        <v>0.27200000000000002</v>
      </c>
      <c r="AT644">
        <f t="shared" si="245"/>
        <v>7120</v>
      </c>
      <c r="AU644">
        <f t="shared" si="246"/>
        <v>1937</v>
      </c>
      <c r="AV644">
        <f t="shared" si="255"/>
        <v>5275</v>
      </c>
      <c r="AW644">
        <f t="shared" si="256"/>
        <v>2125</v>
      </c>
      <c r="AX644" s="3">
        <f t="shared" si="257"/>
        <v>18777.370030581042</v>
      </c>
      <c r="AY644">
        <f t="shared" si="258"/>
        <v>3560</v>
      </c>
      <c r="AZ644">
        <f t="shared" si="259"/>
        <v>2299</v>
      </c>
      <c r="BA644" s="3">
        <f t="shared" si="260"/>
        <v>20318.370030581042</v>
      </c>
    </row>
    <row r="645" spans="1:53" x14ac:dyDescent="0.2">
      <c r="A645">
        <v>2019</v>
      </c>
      <c r="B645" t="s">
        <v>76</v>
      </c>
      <c r="C645" t="s">
        <v>57</v>
      </c>
      <c r="D645">
        <v>1.8</v>
      </c>
      <c r="E645">
        <v>1.2</v>
      </c>
      <c r="F645">
        <v>0.5</v>
      </c>
      <c r="G645">
        <v>0.2</v>
      </c>
      <c r="H645">
        <v>1.4</v>
      </c>
      <c r="I645">
        <v>0.4</v>
      </c>
      <c r="J645">
        <v>0.2</v>
      </c>
      <c r="K645">
        <f t="shared" si="237"/>
        <v>5.7</v>
      </c>
      <c r="L645">
        <v>0</v>
      </c>
      <c r="M645">
        <v>0</v>
      </c>
      <c r="N645">
        <v>1.2</v>
      </c>
      <c r="O645">
        <f t="shared" si="238"/>
        <v>1.2</v>
      </c>
      <c r="P645" s="1">
        <v>0</v>
      </c>
      <c r="Q645">
        <v>0.5</v>
      </c>
      <c r="R645">
        <v>5.3</v>
      </c>
      <c r="S645">
        <f t="shared" si="239"/>
        <v>5.8</v>
      </c>
      <c r="T645">
        <v>0.3</v>
      </c>
      <c r="U645">
        <v>0.1</v>
      </c>
      <c r="V645">
        <v>0</v>
      </c>
      <c r="W645">
        <v>0</v>
      </c>
      <c r="X645">
        <v>0</v>
      </c>
      <c r="Y645">
        <v>0.2</v>
      </c>
      <c r="Z645">
        <v>0.3</v>
      </c>
      <c r="AA645">
        <f t="shared" si="240"/>
        <v>0.90000000000000013</v>
      </c>
      <c r="AB645">
        <v>0</v>
      </c>
      <c r="AC645">
        <v>0</v>
      </c>
      <c r="AD645">
        <v>0</v>
      </c>
      <c r="AE645">
        <v>3.4</v>
      </c>
      <c r="AF645">
        <v>2.7</v>
      </c>
      <c r="AG645">
        <v>0</v>
      </c>
      <c r="AH645">
        <v>0</v>
      </c>
      <c r="AI645">
        <v>0</v>
      </c>
      <c r="AJ645">
        <f t="shared" si="241"/>
        <v>6.1</v>
      </c>
      <c r="AK645">
        <v>0.9</v>
      </c>
      <c r="AL645">
        <v>0.79500000000000004</v>
      </c>
      <c r="AM645">
        <f t="shared" si="253"/>
        <v>0.19699999999999995</v>
      </c>
      <c r="AN645">
        <v>29649</v>
      </c>
      <c r="AO645" t="s">
        <v>13</v>
      </c>
      <c r="AP645" s="3">
        <f t="shared" si="244"/>
        <v>36922.789539227895</v>
      </c>
      <c r="AQ645" t="s">
        <v>13</v>
      </c>
      <c r="AR645">
        <f t="shared" si="243"/>
        <v>0.30964467005076146</v>
      </c>
      <c r="AS645">
        <f t="shared" si="254"/>
        <v>0.13600000000000001</v>
      </c>
      <c r="AT645">
        <f t="shared" si="245"/>
        <v>5021</v>
      </c>
      <c r="AU645">
        <f t="shared" si="246"/>
        <v>2252</v>
      </c>
      <c r="AV645">
        <f t="shared" si="255"/>
        <v>3969</v>
      </c>
      <c r="AW645">
        <f t="shared" si="256"/>
        <v>2326</v>
      </c>
      <c r="AX645" s="3">
        <f t="shared" si="257"/>
        <v>30627.789539227895</v>
      </c>
      <c r="AY645">
        <f t="shared" si="258"/>
        <v>2511</v>
      </c>
      <c r="AZ645">
        <f t="shared" si="259"/>
        <v>2429</v>
      </c>
      <c r="BA645" s="3">
        <f t="shared" si="260"/>
        <v>31982.789539227895</v>
      </c>
    </row>
    <row r="646" spans="1:53" x14ac:dyDescent="0.2">
      <c r="A646">
        <v>2020</v>
      </c>
      <c r="B646" t="s">
        <v>76</v>
      </c>
      <c r="C646" t="s">
        <v>57</v>
      </c>
      <c r="D646">
        <v>4.7</v>
      </c>
      <c r="E646">
        <v>0.1</v>
      </c>
      <c r="F646">
        <v>1.3</v>
      </c>
      <c r="G646">
        <v>0.2</v>
      </c>
      <c r="H646">
        <v>0.4</v>
      </c>
      <c r="I646">
        <v>0.3</v>
      </c>
      <c r="J646">
        <v>0.8</v>
      </c>
      <c r="K646">
        <f t="shared" ref="K646:K681" si="261">SUM(D646:J646)</f>
        <v>7.8</v>
      </c>
      <c r="L646">
        <v>0</v>
      </c>
      <c r="M646">
        <v>0</v>
      </c>
      <c r="N646">
        <v>0</v>
      </c>
      <c r="O646">
        <f t="shared" si="238"/>
        <v>0</v>
      </c>
      <c r="P646" s="1">
        <v>0</v>
      </c>
      <c r="Q646">
        <v>0.9</v>
      </c>
      <c r="R646">
        <v>3.6</v>
      </c>
      <c r="S646">
        <f t="shared" si="239"/>
        <v>4.5</v>
      </c>
      <c r="T646">
        <v>0</v>
      </c>
      <c r="U646">
        <v>0.1</v>
      </c>
      <c r="V646">
        <v>0</v>
      </c>
      <c r="W646">
        <v>0</v>
      </c>
      <c r="X646">
        <v>0</v>
      </c>
      <c r="Y646">
        <v>0</v>
      </c>
      <c r="Z646">
        <v>0.1</v>
      </c>
      <c r="AA646">
        <f t="shared" si="240"/>
        <v>0.2</v>
      </c>
      <c r="AB646">
        <v>0</v>
      </c>
      <c r="AC646">
        <v>0</v>
      </c>
      <c r="AD646">
        <v>0</v>
      </c>
      <c r="AE646">
        <v>9</v>
      </c>
      <c r="AF646">
        <v>5.3</v>
      </c>
      <c r="AG646">
        <v>0</v>
      </c>
      <c r="AH646">
        <v>0</v>
      </c>
      <c r="AI646">
        <v>0</v>
      </c>
      <c r="AJ646">
        <f t="shared" si="241"/>
        <v>14.3</v>
      </c>
      <c r="AK646">
        <v>1.1000000000000001</v>
      </c>
      <c r="AL646">
        <v>0.72099999999999997</v>
      </c>
      <c r="AM646">
        <f t="shared" si="253"/>
        <v>0.26800000000000002</v>
      </c>
      <c r="AN646">
        <v>25528</v>
      </c>
      <c r="AO646" t="s">
        <v>13</v>
      </c>
      <c r="AP646" s="3">
        <f t="shared" si="244"/>
        <v>34874.316939890712</v>
      </c>
      <c r="AQ646" t="s">
        <v>13</v>
      </c>
      <c r="AR646">
        <f t="shared" si="243"/>
        <v>0.53358208955223885</v>
      </c>
      <c r="AS646">
        <f t="shared" si="254"/>
        <v>0.125</v>
      </c>
      <c r="AT646">
        <f t="shared" ref="AT646:AT677" si="262">ROUND(AS646*AP646,0)</f>
        <v>4359</v>
      </c>
      <c r="AU646">
        <f t="shared" ref="AU646:AU677" si="263">ROUND((AJ646/100)*AP646,0)</f>
        <v>4987</v>
      </c>
      <c r="AV646">
        <f t="shared" si="255"/>
        <v>2999</v>
      </c>
      <c r="AW646">
        <f t="shared" si="256"/>
        <v>5209</v>
      </c>
      <c r="AX646" s="3">
        <f t="shared" si="257"/>
        <v>26666.316939890712</v>
      </c>
      <c r="AY646">
        <f t="shared" si="258"/>
        <v>2180</v>
      </c>
      <c r="AZ646">
        <f t="shared" si="259"/>
        <v>5343</v>
      </c>
      <c r="BA646" s="3">
        <f t="shared" si="260"/>
        <v>27351.316939890712</v>
      </c>
    </row>
    <row r="647" spans="1:53" x14ac:dyDescent="0.2">
      <c r="A647">
        <v>2021</v>
      </c>
      <c r="B647" t="s">
        <v>76</v>
      </c>
      <c r="C647" t="s">
        <v>57</v>
      </c>
      <c r="D647">
        <v>4.2</v>
      </c>
      <c r="E647">
        <v>0.3</v>
      </c>
      <c r="F647">
        <v>2.5</v>
      </c>
      <c r="G647">
        <v>0.2</v>
      </c>
      <c r="H647">
        <v>1.3</v>
      </c>
      <c r="I647">
        <v>1.1000000000000001</v>
      </c>
      <c r="J647">
        <v>0.5</v>
      </c>
      <c r="K647">
        <f t="shared" si="261"/>
        <v>10.1</v>
      </c>
      <c r="L647">
        <v>0</v>
      </c>
      <c r="M647">
        <v>0</v>
      </c>
      <c r="N647">
        <v>0.9</v>
      </c>
      <c r="O647">
        <f t="shared" si="238"/>
        <v>0.9</v>
      </c>
      <c r="P647" s="1">
        <v>0</v>
      </c>
      <c r="Q647">
        <v>0.8</v>
      </c>
      <c r="R647">
        <v>3.5</v>
      </c>
      <c r="S647">
        <f t="shared" si="239"/>
        <v>4.3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f t="shared" si="240"/>
        <v>0</v>
      </c>
      <c r="AB647">
        <v>0</v>
      </c>
      <c r="AC647">
        <v>0</v>
      </c>
      <c r="AD647">
        <v>0</v>
      </c>
      <c r="AE647">
        <v>5.8</v>
      </c>
      <c r="AF647">
        <v>3.3</v>
      </c>
      <c r="AG647">
        <v>0</v>
      </c>
      <c r="AH647">
        <v>0</v>
      </c>
      <c r="AI647">
        <v>0</v>
      </c>
      <c r="AJ647">
        <f t="shared" si="241"/>
        <v>9.1</v>
      </c>
      <c r="AK647">
        <v>3</v>
      </c>
      <c r="AL647">
        <v>0.72599999999999998</v>
      </c>
      <c r="AM647">
        <f t="shared" si="253"/>
        <v>0.24400000000000002</v>
      </c>
      <c r="AN647">
        <v>29507</v>
      </c>
      <c r="AO647" t="s">
        <v>13</v>
      </c>
      <c r="AP647" s="3">
        <f t="shared" si="244"/>
        <v>39030.423280423282</v>
      </c>
      <c r="AQ647" t="s">
        <v>13</v>
      </c>
      <c r="AR647">
        <f t="shared" si="243"/>
        <v>0.37295081967213112</v>
      </c>
      <c r="AS647">
        <f t="shared" si="254"/>
        <v>0.153</v>
      </c>
      <c r="AT647">
        <f t="shared" si="262"/>
        <v>5972</v>
      </c>
      <c r="AU647">
        <f t="shared" si="263"/>
        <v>3552</v>
      </c>
      <c r="AV647">
        <f t="shared" si="255"/>
        <v>4001</v>
      </c>
      <c r="AW647">
        <f t="shared" si="256"/>
        <v>3764</v>
      </c>
      <c r="AX647" s="3">
        <f t="shared" si="257"/>
        <v>31265.423280423282</v>
      </c>
      <c r="AY647">
        <f t="shared" si="258"/>
        <v>2986</v>
      </c>
      <c r="AZ647">
        <f t="shared" si="259"/>
        <v>3873</v>
      </c>
      <c r="BA647" s="3">
        <f t="shared" si="260"/>
        <v>32171.423280423282</v>
      </c>
    </row>
    <row r="648" spans="1:53" x14ac:dyDescent="0.2">
      <c r="A648">
        <v>2022</v>
      </c>
      <c r="B648" t="s">
        <v>76</v>
      </c>
      <c r="C648" t="s">
        <v>57</v>
      </c>
      <c r="D648">
        <v>6</v>
      </c>
      <c r="E648">
        <v>0</v>
      </c>
      <c r="F648">
        <v>1.9</v>
      </c>
      <c r="G648">
        <v>0</v>
      </c>
      <c r="H648">
        <v>2.9</v>
      </c>
      <c r="I648">
        <v>0</v>
      </c>
      <c r="J648">
        <v>0.5</v>
      </c>
      <c r="K648">
        <f t="shared" si="261"/>
        <v>11.3</v>
      </c>
      <c r="L648">
        <v>0</v>
      </c>
      <c r="M648">
        <v>0</v>
      </c>
      <c r="N648">
        <v>0.9</v>
      </c>
      <c r="O648">
        <f t="shared" si="238"/>
        <v>0.9</v>
      </c>
      <c r="P648" s="1">
        <v>0</v>
      </c>
      <c r="Q648">
        <v>0.9</v>
      </c>
      <c r="R648">
        <v>6</v>
      </c>
      <c r="S648">
        <f t="shared" si="239"/>
        <v>6.9</v>
      </c>
      <c r="T648">
        <v>0.6</v>
      </c>
      <c r="U648">
        <v>0</v>
      </c>
      <c r="V648">
        <v>0</v>
      </c>
      <c r="W648">
        <v>0</v>
      </c>
      <c r="X648">
        <v>0</v>
      </c>
      <c r="Y648">
        <v>0.1</v>
      </c>
      <c r="Z648">
        <v>0.2</v>
      </c>
      <c r="AA648">
        <f t="shared" si="240"/>
        <v>0.89999999999999991</v>
      </c>
      <c r="AB648">
        <v>0</v>
      </c>
      <c r="AC648">
        <v>0</v>
      </c>
      <c r="AD648">
        <v>0</v>
      </c>
      <c r="AE648">
        <v>6.2</v>
      </c>
      <c r="AF648">
        <v>5.0999999999999996</v>
      </c>
      <c r="AG648">
        <v>0</v>
      </c>
      <c r="AH648">
        <v>0</v>
      </c>
      <c r="AI648">
        <v>0</v>
      </c>
      <c r="AJ648">
        <f t="shared" si="241"/>
        <v>11.3</v>
      </c>
      <c r="AK648">
        <v>0.6</v>
      </c>
      <c r="AL648">
        <v>0.68099999999999994</v>
      </c>
      <c r="AM648">
        <f t="shared" si="253"/>
        <v>0.31299999999999994</v>
      </c>
      <c r="AN648">
        <v>33914</v>
      </c>
      <c r="AO648" t="s">
        <v>13</v>
      </c>
      <c r="AP648" s="3">
        <f t="shared" si="244"/>
        <v>49365.356622998537</v>
      </c>
      <c r="AQ648" t="s">
        <v>13</v>
      </c>
      <c r="AR648">
        <f t="shared" si="243"/>
        <v>0.36102236421725248</v>
      </c>
      <c r="AS648">
        <f t="shared" si="254"/>
        <v>0.2</v>
      </c>
      <c r="AT648">
        <f t="shared" si="262"/>
        <v>9873</v>
      </c>
      <c r="AU648">
        <f t="shared" si="263"/>
        <v>5578</v>
      </c>
      <c r="AV648">
        <f t="shared" si="255"/>
        <v>7084</v>
      </c>
      <c r="AW648">
        <f t="shared" si="256"/>
        <v>5972</v>
      </c>
      <c r="AX648" s="3">
        <f t="shared" si="257"/>
        <v>36309.356622998537</v>
      </c>
      <c r="AY648">
        <f t="shared" si="258"/>
        <v>4937</v>
      </c>
      <c r="AZ648">
        <f t="shared" si="259"/>
        <v>6275</v>
      </c>
      <c r="BA648" s="3">
        <f t="shared" si="260"/>
        <v>38153.356622998537</v>
      </c>
    </row>
    <row r="649" spans="1:53" x14ac:dyDescent="0.2">
      <c r="A649">
        <v>2023</v>
      </c>
      <c r="B649" t="s">
        <v>76</v>
      </c>
      <c r="C649" t="s">
        <v>57</v>
      </c>
      <c r="D649">
        <v>2.6</v>
      </c>
      <c r="E649">
        <v>0</v>
      </c>
      <c r="F649">
        <v>0.5</v>
      </c>
      <c r="G649">
        <v>0.3</v>
      </c>
      <c r="H649">
        <v>3.4</v>
      </c>
      <c r="I649">
        <v>0</v>
      </c>
      <c r="J649">
        <v>0.8</v>
      </c>
      <c r="K649">
        <f t="shared" si="261"/>
        <v>7.6</v>
      </c>
      <c r="L649">
        <v>0</v>
      </c>
      <c r="M649">
        <v>0</v>
      </c>
      <c r="N649">
        <v>0.3</v>
      </c>
      <c r="O649">
        <f t="shared" si="238"/>
        <v>0.3</v>
      </c>
      <c r="P649" s="1">
        <v>0</v>
      </c>
      <c r="Q649">
        <v>1.2</v>
      </c>
      <c r="R649">
        <v>4.3</v>
      </c>
      <c r="S649">
        <f t="shared" si="239"/>
        <v>5.5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f t="shared" si="240"/>
        <v>0</v>
      </c>
      <c r="AB649">
        <v>0</v>
      </c>
      <c r="AC649">
        <v>0</v>
      </c>
      <c r="AD649">
        <v>0</v>
      </c>
      <c r="AE649">
        <v>2.2000000000000002</v>
      </c>
      <c r="AF649">
        <v>2.5</v>
      </c>
      <c r="AG649">
        <v>0</v>
      </c>
      <c r="AH649">
        <v>0</v>
      </c>
      <c r="AI649">
        <v>0</v>
      </c>
      <c r="AJ649">
        <f t="shared" si="241"/>
        <v>4.7</v>
      </c>
      <c r="AK649">
        <v>1.1000000000000001</v>
      </c>
      <c r="AL649">
        <v>0.80599999999999994</v>
      </c>
      <c r="AM649">
        <f t="shared" si="253"/>
        <v>0.18100000000000002</v>
      </c>
      <c r="AN649">
        <v>74517</v>
      </c>
      <c r="AO649" t="s">
        <v>13</v>
      </c>
      <c r="AP649" s="3">
        <f t="shared" si="244"/>
        <v>90985.347985347995</v>
      </c>
      <c r="AQ649" t="s">
        <v>13</v>
      </c>
      <c r="AR649">
        <f t="shared" si="243"/>
        <v>0.25966850828729277</v>
      </c>
      <c r="AS649">
        <f t="shared" si="254"/>
        <v>0.13399999999999998</v>
      </c>
      <c r="AT649">
        <f t="shared" si="262"/>
        <v>12192</v>
      </c>
      <c r="AU649">
        <f t="shared" si="263"/>
        <v>4276</v>
      </c>
      <c r="AV649">
        <f t="shared" si="255"/>
        <v>8735</v>
      </c>
      <c r="AW649">
        <f t="shared" si="256"/>
        <v>4464</v>
      </c>
      <c r="AX649" s="3">
        <f t="shared" si="257"/>
        <v>77786.347985347995</v>
      </c>
      <c r="AY649">
        <f t="shared" si="258"/>
        <v>6096</v>
      </c>
      <c r="AZ649">
        <f t="shared" si="259"/>
        <v>4607</v>
      </c>
      <c r="BA649" s="3">
        <f t="shared" si="260"/>
        <v>80282.347985347995</v>
      </c>
    </row>
    <row r="650" spans="1:53" x14ac:dyDescent="0.2">
      <c r="A650">
        <v>1988</v>
      </c>
      <c r="B650" t="s">
        <v>77</v>
      </c>
      <c r="C650" t="s">
        <v>57</v>
      </c>
      <c r="D650">
        <v>7.6</v>
      </c>
      <c r="E650">
        <v>0.2</v>
      </c>
      <c r="F650">
        <v>0.1</v>
      </c>
      <c r="G650">
        <v>9.6</v>
      </c>
      <c r="H650">
        <v>0.3</v>
      </c>
      <c r="I650">
        <v>5</v>
      </c>
      <c r="J650">
        <v>0.1</v>
      </c>
      <c r="K650">
        <f t="shared" si="261"/>
        <v>22.900000000000002</v>
      </c>
      <c r="L650">
        <v>1.7</v>
      </c>
      <c r="M650">
        <v>1.3</v>
      </c>
      <c r="N650">
        <v>0</v>
      </c>
      <c r="O650">
        <f t="shared" ref="O650:O713" si="264">SUM(L650:N650)</f>
        <v>3</v>
      </c>
      <c r="P650" s="1">
        <v>0</v>
      </c>
      <c r="Q650">
        <v>6.4</v>
      </c>
      <c r="R650">
        <v>2.8</v>
      </c>
      <c r="S650">
        <f t="shared" ref="S650:S713" si="265">SUM(P650:R650)</f>
        <v>9.1999999999999993</v>
      </c>
      <c r="T650">
        <v>0</v>
      </c>
      <c r="U650">
        <v>0.1</v>
      </c>
      <c r="V650">
        <v>0</v>
      </c>
      <c r="W650">
        <v>0</v>
      </c>
      <c r="X650">
        <v>0.1</v>
      </c>
      <c r="Y650">
        <v>1.2</v>
      </c>
      <c r="Z650">
        <v>0.2</v>
      </c>
      <c r="AA650">
        <f t="shared" ref="AA650:AA713" si="266">SUM(T650:Z650)</f>
        <v>1.5999999999999999</v>
      </c>
      <c r="AB650">
        <v>0</v>
      </c>
      <c r="AC650">
        <v>0</v>
      </c>
      <c r="AD650">
        <v>0</v>
      </c>
      <c r="AE650">
        <v>0.9</v>
      </c>
      <c r="AF650">
        <v>1.4</v>
      </c>
      <c r="AG650">
        <v>0</v>
      </c>
      <c r="AH650">
        <v>0.3</v>
      </c>
      <c r="AI650">
        <v>0</v>
      </c>
      <c r="AJ650">
        <f t="shared" ref="AJ650:AJ713" si="267">SUM(AB650:AI650)</f>
        <v>2.5999999999999996</v>
      </c>
      <c r="AK650">
        <v>0.2</v>
      </c>
      <c r="AL650">
        <v>0.60499999999999998</v>
      </c>
      <c r="AM650">
        <f t="shared" si="253"/>
        <v>0.39299999999999996</v>
      </c>
      <c r="AN650">
        <v>14000</v>
      </c>
      <c r="AO650">
        <v>14000</v>
      </c>
      <c r="AP650" s="3">
        <f t="shared" si="244"/>
        <v>23064.250411861616</v>
      </c>
      <c r="AQ650" s="3">
        <f t="shared" ref="AQ650:AQ685" si="268">AO650/(1-AM650)</f>
        <v>23064.250411861616</v>
      </c>
      <c r="AR650">
        <f t="shared" si="243"/>
        <v>6.6157760814249358E-2</v>
      </c>
      <c r="AS650">
        <f t="shared" si="254"/>
        <v>0.36700000000000005</v>
      </c>
      <c r="AT650">
        <f t="shared" si="262"/>
        <v>8465</v>
      </c>
      <c r="AU650">
        <f t="shared" si="263"/>
        <v>600</v>
      </c>
      <c r="AV650">
        <f t="shared" si="255"/>
        <v>5824</v>
      </c>
      <c r="AW650">
        <f t="shared" si="256"/>
        <v>709</v>
      </c>
      <c r="AX650" s="3">
        <f t="shared" si="257"/>
        <v>16531.250411861616</v>
      </c>
      <c r="AY650">
        <f t="shared" si="258"/>
        <v>4232</v>
      </c>
      <c r="AZ650">
        <f t="shared" si="259"/>
        <v>774</v>
      </c>
      <c r="BA650" s="3">
        <f t="shared" si="260"/>
        <v>18058.250411861616</v>
      </c>
    </row>
    <row r="651" spans="1:53" x14ac:dyDescent="0.2">
      <c r="A651">
        <v>1989</v>
      </c>
      <c r="B651" t="s">
        <v>77</v>
      </c>
      <c r="C651" t="s">
        <v>57</v>
      </c>
      <c r="D651">
        <v>5.0999999999999996</v>
      </c>
      <c r="E651">
        <v>4</v>
      </c>
      <c r="F651">
        <v>0</v>
      </c>
      <c r="G651">
        <v>7.2</v>
      </c>
      <c r="H651">
        <v>0</v>
      </c>
      <c r="I651">
        <v>1.1000000000000001</v>
      </c>
      <c r="J651">
        <v>0</v>
      </c>
      <c r="K651">
        <f t="shared" si="261"/>
        <v>17.400000000000002</v>
      </c>
      <c r="L651">
        <v>0.5</v>
      </c>
      <c r="M651">
        <v>0.2</v>
      </c>
      <c r="N651">
        <v>0</v>
      </c>
      <c r="O651">
        <f t="shared" si="264"/>
        <v>0.7</v>
      </c>
      <c r="P651" s="1">
        <v>0</v>
      </c>
      <c r="Q651">
        <v>12.4</v>
      </c>
      <c r="R651">
        <v>0.4</v>
      </c>
      <c r="S651">
        <f t="shared" si="265"/>
        <v>12.8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0.9</v>
      </c>
      <c r="Z651">
        <v>0.1</v>
      </c>
      <c r="AA651">
        <f t="shared" si="266"/>
        <v>1</v>
      </c>
      <c r="AB651">
        <v>0</v>
      </c>
      <c r="AC651">
        <v>0</v>
      </c>
      <c r="AD651">
        <v>0</v>
      </c>
      <c r="AE651">
        <v>1.1000000000000001</v>
      </c>
      <c r="AF651">
        <v>0.4</v>
      </c>
      <c r="AG651">
        <v>0</v>
      </c>
      <c r="AH651">
        <v>0.5</v>
      </c>
      <c r="AI651">
        <v>0</v>
      </c>
      <c r="AJ651">
        <f t="shared" si="267"/>
        <v>2</v>
      </c>
      <c r="AK651">
        <v>0</v>
      </c>
      <c r="AL651">
        <v>0.66</v>
      </c>
      <c r="AM651">
        <f t="shared" si="253"/>
        <v>0.33900000000000008</v>
      </c>
      <c r="AN651">
        <v>11650</v>
      </c>
      <c r="AO651">
        <v>11650</v>
      </c>
      <c r="AP651" s="3">
        <f t="shared" si="244"/>
        <v>17624.810892586993</v>
      </c>
      <c r="AQ651" s="3">
        <f t="shared" si="268"/>
        <v>17624.810892586993</v>
      </c>
      <c r="AR651">
        <f t="shared" si="243"/>
        <v>5.8997050147492611E-2</v>
      </c>
      <c r="AS651">
        <f t="shared" si="254"/>
        <v>0.31900000000000001</v>
      </c>
      <c r="AT651">
        <f t="shared" si="262"/>
        <v>5622</v>
      </c>
      <c r="AU651">
        <f t="shared" si="263"/>
        <v>352</v>
      </c>
      <c r="AV651">
        <f t="shared" si="255"/>
        <v>4089</v>
      </c>
      <c r="AW651">
        <f t="shared" si="256"/>
        <v>397</v>
      </c>
      <c r="AX651" s="3">
        <f t="shared" si="257"/>
        <v>13138.810892586993</v>
      </c>
      <c r="AY651">
        <f t="shared" si="258"/>
        <v>2811</v>
      </c>
      <c r="AZ651">
        <f t="shared" si="259"/>
        <v>434</v>
      </c>
      <c r="BA651" s="3">
        <f t="shared" si="260"/>
        <v>14379.810892586993</v>
      </c>
    </row>
    <row r="652" spans="1:53" x14ac:dyDescent="0.2">
      <c r="A652">
        <v>1990</v>
      </c>
      <c r="B652" t="s">
        <v>77</v>
      </c>
      <c r="C652" t="s">
        <v>57</v>
      </c>
      <c r="D652">
        <v>27.7</v>
      </c>
      <c r="E652">
        <v>0</v>
      </c>
      <c r="F652">
        <v>0.9</v>
      </c>
      <c r="G652">
        <v>19.3</v>
      </c>
      <c r="H652">
        <v>0.3</v>
      </c>
      <c r="I652">
        <v>3.7</v>
      </c>
      <c r="J652">
        <v>3.1</v>
      </c>
      <c r="K652">
        <f t="shared" si="261"/>
        <v>55</v>
      </c>
      <c r="L652">
        <v>1.8</v>
      </c>
      <c r="M652">
        <v>1.1000000000000001</v>
      </c>
      <c r="N652">
        <v>0.9</v>
      </c>
      <c r="O652">
        <f t="shared" si="264"/>
        <v>3.8000000000000003</v>
      </c>
      <c r="P652" s="1">
        <v>0</v>
      </c>
      <c r="Q652">
        <v>2.2000000000000002</v>
      </c>
      <c r="R652">
        <v>1.7</v>
      </c>
      <c r="S652">
        <f t="shared" si="265"/>
        <v>3.9000000000000004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0.5</v>
      </c>
      <c r="AA652">
        <f t="shared" si="266"/>
        <v>0.5</v>
      </c>
      <c r="AB652">
        <v>0</v>
      </c>
      <c r="AC652">
        <v>0</v>
      </c>
      <c r="AD652">
        <v>0</v>
      </c>
      <c r="AE652">
        <v>7.6</v>
      </c>
      <c r="AF652">
        <v>1.5</v>
      </c>
      <c r="AG652">
        <v>0</v>
      </c>
      <c r="AH652">
        <v>0</v>
      </c>
      <c r="AI652">
        <v>0</v>
      </c>
      <c r="AJ652">
        <f t="shared" si="267"/>
        <v>9.1</v>
      </c>
      <c r="AK652">
        <v>1.1000000000000001</v>
      </c>
      <c r="AL652">
        <v>0.26600000000000001</v>
      </c>
      <c r="AM652">
        <f t="shared" si="253"/>
        <v>0.72299999999999998</v>
      </c>
      <c r="AN652">
        <v>7797</v>
      </c>
      <c r="AO652">
        <v>7797</v>
      </c>
      <c r="AP652" s="3">
        <f t="shared" si="244"/>
        <v>28148.01444043321</v>
      </c>
      <c r="AQ652" s="3">
        <f t="shared" si="268"/>
        <v>28148.01444043321</v>
      </c>
      <c r="AR652">
        <f t="shared" si="243"/>
        <v>0.12586445366528354</v>
      </c>
      <c r="AS652">
        <f t="shared" si="254"/>
        <v>0.63200000000000001</v>
      </c>
      <c r="AT652">
        <f t="shared" si="262"/>
        <v>17790</v>
      </c>
      <c r="AU652">
        <f t="shared" si="263"/>
        <v>2561</v>
      </c>
      <c r="AV652">
        <f t="shared" si="255"/>
        <v>10049</v>
      </c>
      <c r="AW652">
        <f t="shared" si="256"/>
        <v>4475</v>
      </c>
      <c r="AX652" s="3">
        <f t="shared" si="257"/>
        <v>13624.01444043321</v>
      </c>
      <c r="AY652">
        <f t="shared" si="258"/>
        <v>8895</v>
      </c>
      <c r="AZ652">
        <f t="shared" si="259"/>
        <v>4760</v>
      </c>
      <c r="BA652" s="3">
        <f t="shared" si="260"/>
        <v>14493.01444043321</v>
      </c>
    </row>
    <row r="653" spans="1:53" x14ac:dyDescent="0.2">
      <c r="A653">
        <v>1991</v>
      </c>
      <c r="B653" t="s">
        <v>77</v>
      </c>
      <c r="C653" t="s">
        <v>57</v>
      </c>
      <c r="D653">
        <v>33.799999999999997</v>
      </c>
      <c r="E653">
        <v>0</v>
      </c>
      <c r="F653">
        <v>0.7</v>
      </c>
      <c r="G653">
        <v>22.1</v>
      </c>
      <c r="H653">
        <v>0.5</v>
      </c>
      <c r="I653">
        <v>3</v>
      </c>
      <c r="J653">
        <v>0</v>
      </c>
      <c r="K653">
        <f t="shared" si="261"/>
        <v>60.1</v>
      </c>
      <c r="L653">
        <v>1.4</v>
      </c>
      <c r="M653">
        <v>1.3</v>
      </c>
      <c r="N653">
        <v>0</v>
      </c>
      <c r="O653">
        <f t="shared" si="264"/>
        <v>2.7</v>
      </c>
      <c r="P653" s="1">
        <v>0</v>
      </c>
      <c r="Q653">
        <v>5.5</v>
      </c>
      <c r="R653">
        <v>1.4</v>
      </c>
      <c r="S653">
        <f t="shared" si="265"/>
        <v>6.9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3.2</v>
      </c>
      <c r="Z653">
        <v>0</v>
      </c>
      <c r="AA653">
        <f t="shared" si="266"/>
        <v>3.2</v>
      </c>
      <c r="AB653">
        <v>0</v>
      </c>
      <c r="AC653">
        <v>0</v>
      </c>
      <c r="AD653">
        <v>0</v>
      </c>
      <c r="AE653">
        <v>5.2</v>
      </c>
      <c r="AF653">
        <v>0.7</v>
      </c>
      <c r="AG653">
        <v>0</v>
      </c>
      <c r="AH653">
        <v>0</v>
      </c>
      <c r="AI653">
        <v>0</v>
      </c>
      <c r="AJ653">
        <f t="shared" si="267"/>
        <v>5.9</v>
      </c>
      <c r="AK653">
        <v>0.2</v>
      </c>
      <c r="AL653">
        <v>0.21100000000000002</v>
      </c>
      <c r="AM653">
        <f t="shared" si="253"/>
        <v>0.78800000000000014</v>
      </c>
      <c r="AN653">
        <v>10738</v>
      </c>
      <c r="AO653">
        <v>10738</v>
      </c>
      <c r="AP653" s="3">
        <f t="shared" si="244"/>
        <v>50650.943396226452</v>
      </c>
      <c r="AQ653" s="3">
        <f t="shared" si="268"/>
        <v>50650.943396226452</v>
      </c>
      <c r="AR653">
        <f t="shared" si="243"/>
        <v>7.4873096446700496E-2</v>
      </c>
      <c r="AS653">
        <f t="shared" si="254"/>
        <v>0.72900000000000009</v>
      </c>
      <c r="AT653">
        <f t="shared" si="262"/>
        <v>36925</v>
      </c>
      <c r="AU653">
        <f t="shared" si="263"/>
        <v>2988</v>
      </c>
      <c r="AV653">
        <f t="shared" si="255"/>
        <v>21704</v>
      </c>
      <c r="AW653">
        <f t="shared" si="256"/>
        <v>6301</v>
      </c>
      <c r="AX653" s="3">
        <f t="shared" si="257"/>
        <v>22645.943396226452</v>
      </c>
      <c r="AY653">
        <f t="shared" si="258"/>
        <v>18462</v>
      </c>
      <c r="AZ653">
        <f t="shared" si="259"/>
        <v>7007</v>
      </c>
      <c r="BA653" s="3">
        <f t="shared" si="260"/>
        <v>25181.943396226452</v>
      </c>
    </row>
    <row r="654" spans="1:53" x14ac:dyDescent="0.2">
      <c r="A654">
        <v>1992</v>
      </c>
      <c r="B654" t="s">
        <v>77</v>
      </c>
      <c r="C654" t="s">
        <v>57</v>
      </c>
      <c r="D654">
        <v>13.4</v>
      </c>
      <c r="E654">
        <v>0</v>
      </c>
      <c r="F654">
        <v>0</v>
      </c>
      <c r="G654">
        <v>17.600000000000001</v>
      </c>
      <c r="H654">
        <v>0</v>
      </c>
      <c r="I654">
        <v>4.4000000000000004</v>
      </c>
      <c r="J654">
        <v>0</v>
      </c>
      <c r="K654">
        <f t="shared" si="261"/>
        <v>35.4</v>
      </c>
      <c r="L654">
        <v>6.3</v>
      </c>
      <c r="M654">
        <v>1.3</v>
      </c>
      <c r="N654">
        <v>0</v>
      </c>
      <c r="O654">
        <f t="shared" si="264"/>
        <v>7.6</v>
      </c>
      <c r="P654" s="1">
        <v>0</v>
      </c>
      <c r="Q654">
        <v>4.8</v>
      </c>
      <c r="R654">
        <v>5.2</v>
      </c>
      <c r="S654">
        <f t="shared" si="265"/>
        <v>10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2.6</v>
      </c>
      <c r="AA654">
        <f t="shared" si="266"/>
        <v>2.6</v>
      </c>
      <c r="AB654">
        <v>0</v>
      </c>
      <c r="AC654">
        <v>0</v>
      </c>
      <c r="AD654">
        <v>0</v>
      </c>
      <c r="AE654">
        <v>5.0999999999999996</v>
      </c>
      <c r="AF654">
        <v>4.3</v>
      </c>
      <c r="AG654">
        <v>0</v>
      </c>
      <c r="AH654">
        <v>0</v>
      </c>
      <c r="AI654">
        <v>0</v>
      </c>
      <c r="AJ654">
        <f t="shared" si="267"/>
        <v>9.3999999999999986</v>
      </c>
      <c r="AK654">
        <v>0</v>
      </c>
      <c r="AL654">
        <v>0.35</v>
      </c>
      <c r="AM654">
        <f t="shared" si="253"/>
        <v>0.65</v>
      </c>
      <c r="AN654">
        <v>13845</v>
      </c>
      <c r="AO654">
        <v>13845</v>
      </c>
      <c r="AP654" s="3">
        <f t="shared" si="244"/>
        <v>39557.142857142862</v>
      </c>
      <c r="AQ654" s="3">
        <f t="shared" si="268"/>
        <v>39557.142857142862</v>
      </c>
      <c r="AR654">
        <f t="shared" si="243"/>
        <v>0.14461538461538459</v>
      </c>
      <c r="AS654">
        <f t="shared" si="254"/>
        <v>0.55600000000000005</v>
      </c>
      <c r="AT654">
        <f t="shared" si="262"/>
        <v>21994</v>
      </c>
      <c r="AU654">
        <f t="shared" si="263"/>
        <v>3718</v>
      </c>
      <c r="AV654">
        <f t="shared" si="255"/>
        <v>14992</v>
      </c>
      <c r="AW654">
        <f t="shared" si="256"/>
        <v>5200</v>
      </c>
      <c r="AX654" s="3">
        <f t="shared" si="257"/>
        <v>19365.142857142862</v>
      </c>
      <c r="AY654">
        <f t="shared" si="258"/>
        <v>10997</v>
      </c>
      <c r="AZ654">
        <f t="shared" si="259"/>
        <v>6046</v>
      </c>
      <c r="BA654" s="3">
        <f t="shared" si="260"/>
        <v>22514.142857142862</v>
      </c>
    </row>
    <row r="655" spans="1:53" x14ac:dyDescent="0.2">
      <c r="A655">
        <v>1993</v>
      </c>
      <c r="B655" t="s">
        <v>77</v>
      </c>
      <c r="C655" t="s">
        <v>57</v>
      </c>
      <c r="D655">
        <v>7.7</v>
      </c>
      <c r="E655">
        <v>1.7</v>
      </c>
      <c r="F655">
        <v>0</v>
      </c>
      <c r="G655">
        <v>12.8</v>
      </c>
      <c r="H655">
        <v>0</v>
      </c>
      <c r="I655">
        <v>10</v>
      </c>
      <c r="J655">
        <v>0</v>
      </c>
      <c r="K655">
        <f t="shared" si="261"/>
        <v>32.200000000000003</v>
      </c>
      <c r="L655">
        <v>1.1000000000000001</v>
      </c>
      <c r="M655">
        <v>0.7</v>
      </c>
      <c r="N655">
        <v>0</v>
      </c>
      <c r="O655">
        <f t="shared" si="264"/>
        <v>1.8</v>
      </c>
      <c r="P655" s="1">
        <v>0</v>
      </c>
      <c r="Q655">
        <v>7.3</v>
      </c>
      <c r="R655">
        <v>1.4</v>
      </c>
      <c r="S655">
        <f t="shared" si="265"/>
        <v>8.6999999999999993</v>
      </c>
      <c r="T655">
        <v>0.4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f t="shared" si="266"/>
        <v>0.4</v>
      </c>
      <c r="AB655">
        <v>4.4000000000000004</v>
      </c>
      <c r="AC655">
        <v>0</v>
      </c>
      <c r="AD655">
        <v>0</v>
      </c>
      <c r="AE655">
        <v>8.5</v>
      </c>
      <c r="AF655">
        <v>3.6</v>
      </c>
      <c r="AG655">
        <v>0</v>
      </c>
      <c r="AH655">
        <v>0</v>
      </c>
      <c r="AI655">
        <v>0</v>
      </c>
      <c r="AJ655">
        <f t="shared" si="267"/>
        <v>16.5</v>
      </c>
      <c r="AK655">
        <v>0</v>
      </c>
      <c r="AL655">
        <v>0.40299999999999997</v>
      </c>
      <c r="AM655">
        <f t="shared" si="253"/>
        <v>0.59600000000000009</v>
      </c>
      <c r="AN655">
        <v>7711</v>
      </c>
      <c r="AO655">
        <v>7711</v>
      </c>
      <c r="AP655" s="3">
        <f t="shared" si="244"/>
        <v>19086.633663366341</v>
      </c>
      <c r="AQ655" s="3">
        <f t="shared" si="268"/>
        <v>19086.633663366341</v>
      </c>
      <c r="AR655">
        <f t="shared" si="243"/>
        <v>0.27684563758389258</v>
      </c>
      <c r="AS655">
        <f t="shared" si="254"/>
        <v>0.43099999999999999</v>
      </c>
      <c r="AT655">
        <f t="shared" si="262"/>
        <v>8226</v>
      </c>
      <c r="AU655">
        <f t="shared" si="263"/>
        <v>3149</v>
      </c>
      <c r="AV655">
        <f t="shared" si="255"/>
        <v>5153</v>
      </c>
      <c r="AW655">
        <f t="shared" si="256"/>
        <v>4040</v>
      </c>
      <c r="AX655" s="3">
        <f t="shared" si="257"/>
        <v>9893.6336633663414</v>
      </c>
      <c r="AY655">
        <f t="shared" si="258"/>
        <v>4113</v>
      </c>
      <c r="AZ655">
        <f t="shared" si="259"/>
        <v>4342</v>
      </c>
      <c r="BA655" s="3">
        <f t="shared" si="260"/>
        <v>10631.633663366341</v>
      </c>
    </row>
    <row r="656" spans="1:53" x14ac:dyDescent="0.2">
      <c r="A656">
        <v>1994</v>
      </c>
      <c r="B656" t="s">
        <v>77</v>
      </c>
      <c r="C656" t="s">
        <v>57</v>
      </c>
      <c r="D656">
        <v>9.4</v>
      </c>
      <c r="E656">
        <v>0</v>
      </c>
      <c r="F656">
        <v>1.1000000000000001</v>
      </c>
      <c r="G656">
        <v>17.399999999999999</v>
      </c>
      <c r="H656">
        <v>1.7</v>
      </c>
      <c r="I656">
        <v>8.1</v>
      </c>
      <c r="J656">
        <v>0</v>
      </c>
      <c r="K656">
        <f t="shared" si="261"/>
        <v>37.699999999999996</v>
      </c>
      <c r="L656">
        <v>10</v>
      </c>
      <c r="M656">
        <v>0.8</v>
      </c>
      <c r="N656">
        <v>0</v>
      </c>
      <c r="O656">
        <f t="shared" si="264"/>
        <v>10.8</v>
      </c>
      <c r="P656" s="1">
        <v>0.9</v>
      </c>
      <c r="Q656">
        <v>4.2</v>
      </c>
      <c r="R656">
        <v>1.9</v>
      </c>
      <c r="S656">
        <f t="shared" si="265"/>
        <v>7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3</v>
      </c>
      <c r="Z656">
        <v>0</v>
      </c>
      <c r="AA656">
        <f t="shared" si="266"/>
        <v>3</v>
      </c>
      <c r="AB656">
        <v>0</v>
      </c>
      <c r="AC656">
        <v>0</v>
      </c>
      <c r="AD656">
        <v>0</v>
      </c>
      <c r="AE656">
        <v>9.8000000000000007</v>
      </c>
      <c r="AF656">
        <v>0</v>
      </c>
      <c r="AG656">
        <v>0</v>
      </c>
      <c r="AH656">
        <v>0</v>
      </c>
      <c r="AI656">
        <v>0</v>
      </c>
      <c r="AJ656">
        <f t="shared" si="267"/>
        <v>9.8000000000000007</v>
      </c>
      <c r="AK656">
        <v>0.5</v>
      </c>
      <c r="AL656">
        <v>0.312</v>
      </c>
      <c r="AM656">
        <f t="shared" ref="AM656:AM721" si="269">SUM(AB656:AI656,T656:Z656,P656:R656,L656:N656,D656:J656)/100</f>
        <v>0.68299999999999994</v>
      </c>
      <c r="AN656">
        <v>3777</v>
      </c>
      <c r="AO656">
        <v>3777</v>
      </c>
      <c r="AP656" s="3">
        <f t="shared" si="244"/>
        <v>11914.82649842271</v>
      </c>
      <c r="AQ656" s="3">
        <f t="shared" si="268"/>
        <v>11914.82649842271</v>
      </c>
      <c r="AR656">
        <f t="shared" si="243"/>
        <v>0.14348462664714498</v>
      </c>
      <c r="AS656">
        <f t="shared" si="254"/>
        <v>0.58499999999999996</v>
      </c>
      <c r="AT656">
        <f t="shared" si="262"/>
        <v>6970</v>
      </c>
      <c r="AU656">
        <f t="shared" si="263"/>
        <v>1168</v>
      </c>
      <c r="AV656">
        <f t="shared" si="255"/>
        <v>4724</v>
      </c>
      <c r="AW656">
        <f t="shared" si="256"/>
        <v>1699</v>
      </c>
      <c r="AX656" s="3">
        <f t="shared" si="257"/>
        <v>5491.8264984227098</v>
      </c>
      <c r="AY656">
        <f t="shared" si="258"/>
        <v>3485</v>
      </c>
      <c r="AZ656">
        <f t="shared" si="259"/>
        <v>1991</v>
      </c>
      <c r="BA656" s="3">
        <f t="shared" si="260"/>
        <v>6438.8264984227098</v>
      </c>
    </row>
    <row r="657" spans="1:53" x14ac:dyDescent="0.2">
      <c r="A657">
        <v>1995</v>
      </c>
      <c r="B657" t="s">
        <v>77</v>
      </c>
      <c r="C657" t="s">
        <v>57</v>
      </c>
      <c r="D657">
        <v>16.600000000000001</v>
      </c>
      <c r="E657">
        <v>0</v>
      </c>
      <c r="F657">
        <v>3.7</v>
      </c>
      <c r="G657">
        <v>11.2</v>
      </c>
      <c r="H657">
        <v>4.0999999999999996</v>
      </c>
      <c r="I657">
        <v>3.3</v>
      </c>
      <c r="J657">
        <v>0</v>
      </c>
      <c r="K657">
        <f t="shared" si="261"/>
        <v>38.9</v>
      </c>
      <c r="L657">
        <v>0.8</v>
      </c>
      <c r="M657">
        <v>0.2</v>
      </c>
      <c r="N657">
        <v>1.6</v>
      </c>
      <c r="O657">
        <f t="shared" si="264"/>
        <v>2.6</v>
      </c>
      <c r="P657" s="1">
        <v>0</v>
      </c>
      <c r="Q657">
        <v>3.4</v>
      </c>
      <c r="R657">
        <v>2.8</v>
      </c>
      <c r="S657">
        <f t="shared" si="265"/>
        <v>6.1999999999999993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2.4</v>
      </c>
      <c r="Z657">
        <v>0</v>
      </c>
      <c r="AA657">
        <f t="shared" si="266"/>
        <v>2.4</v>
      </c>
      <c r="AB657">
        <v>0</v>
      </c>
      <c r="AC657">
        <v>0</v>
      </c>
      <c r="AD657">
        <v>0</v>
      </c>
      <c r="AE657">
        <v>7.8</v>
      </c>
      <c r="AF657">
        <v>0.4</v>
      </c>
      <c r="AG657">
        <v>0</v>
      </c>
      <c r="AH657">
        <v>0.7</v>
      </c>
      <c r="AI657">
        <v>0</v>
      </c>
      <c r="AJ657">
        <f t="shared" si="267"/>
        <v>8.8999999999999986</v>
      </c>
      <c r="AK657">
        <v>0.6</v>
      </c>
      <c r="AL657">
        <v>0.40399999999999997</v>
      </c>
      <c r="AM657">
        <f t="shared" si="269"/>
        <v>0.59000000000000008</v>
      </c>
      <c r="AN657">
        <v>7550</v>
      </c>
      <c r="AO657">
        <v>7550</v>
      </c>
      <c r="AP657" s="3">
        <f t="shared" si="244"/>
        <v>18414.634146341468</v>
      </c>
      <c r="AQ657" s="3">
        <f t="shared" si="268"/>
        <v>18414.634146341468</v>
      </c>
      <c r="AR657">
        <f t="shared" si="243"/>
        <v>0.1508474576271186</v>
      </c>
      <c r="AS657">
        <f t="shared" si="254"/>
        <v>0.501</v>
      </c>
      <c r="AT657">
        <f t="shared" si="262"/>
        <v>9226</v>
      </c>
      <c r="AU657">
        <f t="shared" si="263"/>
        <v>1639</v>
      </c>
      <c r="AV657">
        <f t="shared" si="255"/>
        <v>5644</v>
      </c>
      <c r="AW657">
        <f t="shared" si="256"/>
        <v>2278</v>
      </c>
      <c r="AX657" s="3">
        <f t="shared" si="257"/>
        <v>10492.634146341468</v>
      </c>
      <c r="AY657">
        <f t="shared" si="258"/>
        <v>4613</v>
      </c>
      <c r="AZ657">
        <f t="shared" si="259"/>
        <v>2462</v>
      </c>
      <c r="BA657" s="3">
        <f t="shared" si="260"/>
        <v>11339.634146341468</v>
      </c>
    </row>
    <row r="658" spans="1:53" x14ac:dyDescent="0.2">
      <c r="A658">
        <v>1996</v>
      </c>
      <c r="B658" t="s">
        <v>77</v>
      </c>
      <c r="C658" t="s">
        <v>57</v>
      </c>
      <c r="D658">
        <v>16</v>
      </c>
      <c r="E658">
        <v>0</v>
      </c>
      <c r="F658">
        <v>0</v>
      </c>
      <c r="G658">
        <v>0.5</v>
      </c>
      <c r="H658">
        <v>1</v>
      </c>
      <c r="I658">
        <v>0.3</v>
      </c>
      <c r="J658">
        <v>1</v>
      </c>
      <c r="K658">
        <f t="shared" si="261"/>
        <v>18.8</v>
      </c>
      <c r="L658">
        <v>0</v>
      </c>
      <c r="M658">
        <v>0.1</v>
      </c>
      <c r="N658">
        <v>1.5</v>
      </c>
      <c r="O658">
        <f t="shared" si="264"/>
        <v>1.6</v>
      </c>
      <c r="P658" s="1">
        <v>0</v>
      </c>
      <c r="Q658">
        <v>0.5</v>
      </c>
      <c r="R658">
        <v>4.3</v>
      </c>
      <c r="S658">
        <f t="shared" si="265"/>
        <v>4.8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f t="shared" si="266"/>
        <v>0</v>
      </c>
      <c r="AB658">
        <v>0</v>
      </c>
      <c r="AC658">
        <v>0</v>
      </c>
      <c r="AD658">
        <v>0</v>
      </c>
      <c r="AE658">
        <v>8.1999999999999993</v>
      </c>
      <c r="AF658">
        <v>1.2</v>
      </c>
      <c r="AG658">
        <v>0</v>
      </c>
      <c r="AH658">
        <v>0</v>
      </c>
      <c r="AI658">
        <v>0</v>
      </c>
      <c r="AJ658">
        <f t="shared" si="267"/>
        <v>9.3999999999999986</v>
      </c>
      <c r="AK658">
        <v>0</v>
      </c>
      <c r="AL658">
        <v>0.65400000000000003</v>
      </c>
      <c r="AM658">
        <f t="shared" si="269"/>
        <v>0.34599999999999992</v>
      </c>
      <c r="AN658">
        <v>26800</v>
      </c>
      <c r="AO658">
        <v>26800</v>
      </c>
      <c r="AP658" s="3">
        <f t="shared" si="244"/>
        <v>40978.593272171245</v>
      </c>
      <c r="AQ658" s="3">
        <f t="shared" si="268"/>
        <v>40978.593272171245</v>
      </c>
      <c r="AR658">
        <f t="shared" si="243"/>
        <v>0.27167630057803471</v>
      </c>
      <c r="AS658">
        <f t="shared" si="254"/>
        <v>0.252</v>
      </c>
      <c r="AT658">
        <f t="shared" si="262"/>
        <v>10327</v>
      </c>
      <c r="AU658">
        <f t="shared" si="263"/>
        <v>3852</v>
      </c>
      <c r="AV658">
        <f t="shared" si="255"/>
        <v>6475</v>
      </c>
      <c r="AW658">
        <f t="shared" si="256"/>
        <v>4336</v>
      </c>
      <c r="AX658" s="3">
        <f t="shared" si="257"/>
        <v>30167.593272171245</v>
      </c>
      <c r="AY658">
        <f t="shared" si="258"/>
        <v>5163</v>
      </c>
      <c r="AZ658">
        <f t="shared" si="259"/>
        <v>4501</v>
      </c>
      <c r="BA658" s="3">
        <f t="shared" si="260"/>
        <v>31314.593272171245</v>
      </c>
    </row>
    <row r="659" spans="1:53" x14ac:dyDescent="0.2">
      <c r="A659">
        <v>1997</v>
      </c>
      <c r="B659" t="s">
        <v>77</v>
      </c>
      <c r="C659" t="s">
        <v>57</v>
      </c>
      <c r="D659">
        <v>13.2</v>
      </c>
      <c r="E659">
        <v>0.8</v>
      </c>
      <c r="F659">
        <v>0</v>
      </c>
      <c r="G659">
        <v>8.5</v>
      </c>
      <c r="H659">
        <v>2.4</v>
      </c>
      <c r="I659">
        <v>0.6</v>
      </c>
      <c r="J659">
        <v>0</v>
      </c>
      <c r="K659">
        <f t="shared" si="261"/>
        <v>25.5</v>
      </c>
      <c r="L659">
        <v>0.2</v>
      </c>
      <c r="M659">
        <v>0.2</v>
      </c>
      <c r="N659">
        <v>0.7</v>
      </c>
      <c r="O659">
        <f t="shared" si="264"/>
        <v>1.1000000000000001</v>
      </c>
      <c r="P659" s="1">
        <v>0</v>
      </c>
      <c r="Q659">
        <v>3.6</v>
      </c>
      <c r="R659">
        <v>5.7</v>
      </c>
      <c r="S659">
        <f t="shared" si="265"/>
        <v>9.3000000000000007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2</v>
      </c>
      <c r="Z659">
        <v>0</v>
      </c>
      <c r="AA659">
        <f t="shared" si="266"/>
        <v>2</v>
      </c>
      <c r="AB659">
        <v>0</v>
      </c>
      <c r="AC659">
        <v>0</v>
      </c>
      <c r="AD659">
        <v>0</v>
      </c>
      <c r="AE659">
        <v>15.5</v>
      </c>
      <c r="AF659">
        <v>0</v>
      </c>
      <c r="AG659">
        <v>0</v>
      </c>
      <c r="AH659">
        <v>0.3</v>
      </c>
      <c r="AI659">
        <v>0</v>
      </c>
      <c r="AJ659">
        <f t="shared" si="267"/>
        <v>15.8</v>
      </c>
      <c r="AK659">
        <v>0</v>
      </c>
      <c r="AL659">
        <v>0.46100000000000002</v>
      </c>
      <c r="AM659">
        <f t="shared" si="269"/>
        <v>0.53699999999999992</v>
      </c>
      <c r="AN659">
        <v>31755</v>
      </c>
      <c r="AO659">
        <v>31755</v>
      </c>
      <c r="AP659" s="3">
        <f t="shared" si="244"/>
        <v>68585.313174945986</v>
      </c>
      <c r="AQ659" s="3">
        <f t="shared" si="268"/>
        <v>68585.313174945986</v>
      </c>
      <c r="AR659">
        <f t="shared" si="243"/>
        <v>0.29422718808193671</v>
      </c>
      <c r="AS659">
        <f t="shared" si="254"/>
        <v>0.37900000000000006</v>
      </c>
      <c r="AT659">
        <f t="shared" si="262"/>
        <v>25994</v>
      </c>
      <c r="AU659">
        <f t="shared" si="263"/>
        <v>10836</v>
      </c>
      <c r="AV659">
        <f t="shared" si="255"/>
        <v>17249</v>
      </c>
      <c r="AW659">
        <f t="shared" si="256"/>
        <v>13061</v>
      </c>
      <c r="AX659" s="3">
        <f t="shared" si="257"/>
        <v>38275.313174945986</v>
      </c>
      <c r="AY659">
        <f t="shared" si="258"/>
        <v>12997</v>
      </c>
      <c r="AZ659">
        <f t="shared" si="259"/>
        <v>14143</v>
      </c>
      <c r="BA659" s="3">
        <f t="shared" si="260"/>
        <v>41445.313174945986</v>
      </c>
    </row>
    <row r="660" spans="1:53" x14ac:dyDescent="0.2">
      <c r="A660">
        <v>1998</v>
      </c>
      <c r="B660" t="s">
        <v>77</v>
      </c>
      <c r="C660" t="s">
        <v>57</v>
      </c>
      <c r="D660">
        <v>21.2</v>
      </c>
      <c r="E660">
        <v>0.4</v>
      </c>
      <c r="F660">
        <v>9.5</v>
      </c>
      <c r="G660">
        <v>7</v>
      </c>
      <c r="H660">
        <v>14.7</v>
      </c>
      <c r="I660">
        <v>0</v>
      </c>
      <c r="J660">
        <v>0</v>
      </c>
      <c r="K660">
        <f t="shared" si="261"/>
        <v>52.8</v>
      </c>
      <c r="L660">
        <v>0</v>
      </c>
      <c r="M660">
        <v>0</v>
      </c>
      <c r="N660">
        <v>1.1000000000000001</v>
      </c>
      <c r="O660">
        <f t="shared" si="264"/>
        <v>1.1000000000000001</v>
      </c>
      <c r="P660" s="1">
        <v>0</v>
      </c>
      <c r="Q660">
        <v>0.4</v>
      </c>
      <c r="R660">
        <v>7.8</v>
      </c>
      <c r="S660">
        <f t="shared" si="265"/>
        <v>8.1999999999999993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0.7</v>
      </c>
      <c r="Z660">
        <v>0</v>
      </c>
      <c r="AA660">
        <f t="shared" si="266"/>
        <v>0.7</v>
      </c>
      <c r="AB660">
        <v>0</v>
      </c>
      <c r="AC660">
        <v>0</v>
      </c>
      <c r="AD660">
        <v>0</v>
      </c>
      <c r="AE660">
        <v>5.4</v>
      </c>
      <c r="AF660">
        <v>0.7</v>
      </c>
      <c r="AG660">
        <v>0</v>
      </c>
      <c r="AH660">
        <v>0</v>
      </c>
      <c r="AI660">
        <v>0</v>
      </c>
      <c r="AJ660">
        <f t="shared" si="267"/>
        <v>6.1000000000000005</v>
      </c>
      <c r="AK660">
        <v>1.2</v>
      </c>
      <c r="AL660">
        <v>0.3</v>
      </c>
      <c r="AM660">
        <f t="shared" si="269"/>
        <v>0.68899999999999995</v>
      </c>
      <c r="AN660">
        <v>46734</v>
      </c>
      <c r="AO660">
        <v>46734</v>
      </c>
      <c r="AP660" s="3">
        <f t="shared" si="244"/>
        <v>150270.09646302249</v>
      </c>
      <c r="AQ660" s="3">
        <f t="shared" si="268"/>
        <v>150270.09646302249</v>
      </c>
      <c r="AR660">
        <f t="shared" si="243"/>
        <v>8.853410740203195E-2</v>
      </c>
      <c r="AS660">
        <f t="shared" si="254"/>
        <v>0.628</v>
      </c>
      <c r="AT660">
        <f t="shared" si="262"/>
        <v>94370</v>
      </c>
      <c r="AU660">
        <f t="shared" si="263"/>
        <v>9166</v>
      </c>
      <c r="AV660">
        <f t="shared" si="255"/>
        <v>54698</v>
      </c>
      <c r="AW660">
        <f t="shared" si="256"/>
        <v>15671</v>
      </c>
      <c r="AX660" s="3">
        <f t="shared" si="257"/>
        <v>79901.096463022492</v>
      </c>
      <c r="AY660">
        <f t="shared" si="258"/>
        <v>47185</v>
      </c>
      <c r="AZ660">
        <f t="shared" si="259"/>
        <v>16903</v>
      </c>
      <c r="BA660" s="3">
        <f t="shared" si="260"/>
        <v>86182.096463022492</v>
      </c>
    </row>
    <row r="661" spans="1:53" x14ac:dyDescent="0.2">
      <c r="A661">
        <v>1999</v>
      </c>
      <c r="B661" t="s">
        <v>77</v>
      </c>
      <c r="C661" t="s">
        <v>57</v>
      </c>
      <c r="D661">
        <v>15.4</v>
      </c>
      <c r="E661">
        <v>0</v>
      </c>
      <c r="F661">
        <v>6.6</v>
      </c>
      <c r="G661">
        <v>0.7</v>
      </c>
      <c r="H661">
        <v>4.5999999999999996</v>
      </c>
      <c r="I661">
        <v>0</v>
      </c>
      <c r="J661">
        <v>0</v>
      </c>
      <c r="K661">
        <f t="shared" si="261"/>
        <v>27.299999999999997</v>
      </c>
      <c r="L661">
        <v>0</v>
      </c>
      <c r="M661">
        <v>0</v>
      </c>
      <c r="N661">
        <v>0.3</v>
      </c>
      <c r="O661">
        <f t="shared" si="264"/>
        <v>0.3</v>
      </c>
      <c r="P661" s="1">
        <v>0</v>
      </c>
      <c r="Q661">
        <v>0</v>
      </c>
      <c r="R661">
        <v>4.5999999999999996</v>
      </c>
      <c r="S661">
        <f t="shared" si="265"/>
        <v>4.5999999999999996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f t="shared" si="266"/>
        <v>0</v>
      </c>
      <c r="AB661">
        <v>0</v>
      </c>
      <c r="AC661">
        <v>0</v>
      </c>
      <c r="AD661">
        <v>0</v>
      </c>
      <c r="AE661">
        <v>5.4</v>
      </c>
      <c r="AF661">
        <v>0.4</v>
      </c>
      <c r="AG661">
        <v>0</v>
      </c>
      <c r="AH661">
        <v>0</v>
      </c>
      <c r="AI661">
        <v>0</v>
      </c>
      <c r="AJ661">
        <f t="shared" si="267"/>
        <v>5.8000000000000007</v>
      </c>
      <c r="AK661">
        <v>0</v>
      </c>
      <c r="AL661">
        <v>0.622</v>
      </c>
      <c r="AM661">
        <f t="shared" si="269"/>
        <v>0.38000000000000006</v>
      </c>
      <c r="AN661">
        <v>19267</v>
      </c>
      <c r="AO661">
        <v>19267</v>
      </c>
      <c r="AP661" s="3">
        <f t="shared" si="244"/>
        <v>31075.806451612909</v>
      </c>
      <c r="AQ661" s="3">
        <f t="shared" si="268"/>
        <v>31075.806451612909</v>
      </c>
      <c r="AR661">
        <f t="shared" si="243"/>
        <v>0.15263157894736842</v>
      </c>
      <c r="AS661">
        <f t="shared" si="254"/>
        <v>0.32199999999999995</v>
      </c>
      <c r="AT661">
        <f t="shared" si="262"/>
        <v>10006</v>
      </c>
      <c r="AU661">
        <f t="shared" si="263"/>
        <v>1802</v>
      </c>
      <c r="AV661">
        <f t="shared" si="255"/>
        <v>5765</v>
      </c>
      <c r="AW661">
        <f t="shared" si="256"/>
        <v>2165</v>
      </c>
      <c r="AX661" s="3">
        <f t="shared" si="257"/>
        <v>23145.806451612909</v>
      </c>
      <c r="AY661">
        <f t="shared" si="258"/>
        <v>5003</v>
      </c>
      <c r="AZ661">
        <f t="shared" si="259"/>
        <v>2230</v>
      </c>
      <c r="BA661" s="3">
        <f t="shared" si="260"/>
        <v>23842.806451612909</v>
      </c>
    </row>
    <row r="662" spans="1:53" x14ac:dyDescent="0.2">
      <c r="A662">
        <v>2000</v>
      </c>
      <c r="B662" t="s">
        <v>77</v>
      </c>
      <c r="C662" t="s">
        <v>57</v>
      </c>
      <c r="D662">
        <v>10.7</v>
      </c>
      <c r="E662">
        <v>0</v>
      </c>
      <c r="F662">
        <v>11.2</v>
      </c>
      <c r="G662">
        <v>0</v>
      </c>
      <c r="H662">
        <v>5.7</v>
      </c>
      <c r="I662">
        <v>0</v>
      </c>
      <c r="J662">
        <v>0</v>
      </c>
      <c r="K662">
        <f t="shared" si="261"/>
        <v>27.599999999999998</v>
      </c>
      <c r="L662">
        <v>0</v>
      </c>
      <c r="M662">
        <v>0</v>
      </c>
      <c r="N662">
        <v>0</v>
      </c>
      <c r="O662">
        <f t="shared" si="264"/>
        <v>0</v>
      </c>
      <c r="P662" s="1">
        <v>0</v>
      </c>
      <c r="Q662">
        <v>0</v>
      </c>
      <c r="R662">
        <v>3.7</v>
      </c>
      <c r="S662">
        <f t="shared" si="265"/>
        <v>3.7</v>
      </c>
      <c r="T662">
        <v>0</v>
      </c>
      <c r="U662">
        <v>0.5</v>
      </c>
      <c r="V662">
        <v>0</v>
      </c>
      <c r="W662">
        <v>0</v>
      </c>
      <c r="X662">
        <v>0</v>
      </c>
      <c r="Y662">
        <v>0.1</v>
      </c>
      <c r="Z662">
        <v>0</v>
      </c>
      <c r="AA662">
        <f t="shared" si="266"/>
        <v>0.6</v>
      </c>
      <c r="AB662">
        <v>0</v>
      </c>
      <c r="AC662">
        <v>0</v>
      </c>
      <c r="AD662">
        <v>0</v>
      </c>
      <c r="AE662">
        <v>6.2</v>
      </c>
      <c r="AF662">
        <v>1.3</v>
      </c>
      <c r="AG662">
        <v>0</v>
      </c>
      <c r="AH662">
        <v>0</v>
      </c>
      <c r="AI662">
        <v>0</v>
      </c>
      <c r="AJ662">
        <f t="shared" si="267"/>
        <v>7.5</v>
      </c>
      <c r="AK662">
        <v>0.9</v>
      </c>
      <c r="AL662">
        <v>0.59699999999999998</v>
      </c>
      <c r="AM662">
        <f t="shared" si="269"/>
        <v>0.39400000000000007</v>
      </c>
      <c r="AN662">
        <v>18320</v>
      </c>
      <c r="AO662">
        <v>18320</v>
      </c>
      <c r="AP662" s="3">
        <f t="shared" si="244"/>
        <v>30231.023102310239</v>
      </c>
      <c r="AQ662" s="3">
        <f t="shared" si="268"/>
        <v>30231.023102310239</v>
      </c>
      <c r="AR662">
        <f t="shared" si="243"/>
        <v>0.19035532994923854</v>
      </c>
      <c r="AS662">
        <f t="shared" si="254"/>
        <v>0.31900000000000001</v>
      </c>
      <c r="AT662">
        <f t="shared" si="262"/>
        <v>9644</v>
      </c>
      <c r="AU662">
        <f t="shared" si="263"/>
        <v>2267</v>
      </c>
      <c r="AV662">
        <f t="shared" si="255"/>
        <v>5472</v>
      </c>
      <c r="AW662">
        <f t="shared" si="256"/>
        <v>2726</v>
      </c>
      <c r="AX662" s="3">
        <f t="shared" si="257"/>
        <v>22033.023102310239</v>
      </c>
      <c r="AY662">
        <f t="shared" si="258"/>
        <v>4822</v>
      </c>
      <c r="AZ662">
        <f t="shared" si="259"/>
        <v>2798</v>
      </c>
      <c r="BA662" s="3">
        <f t="shared" si="260"/>
        <v>22611.023102310239</v>
      </c>
    </row>
    <row r="663" spans="1:53" x14ac:dyDescent="0.2">
      <c r="A663">
        <v>2001</v>
      </c>
      <c r="B663" t="s">
        <v>77</v>
      </c>
      <c r="C663" t="s">
        <v>57</v>
      </c>
      <c r="D663">
        <v>8.1</v>
      </c>
      <c r="E663">
        <v>1.2</v>
      </c>
      <c r="F663">
        <v>0.5</v>
      </c>
      <c r="G663">
        <v>0</v>
      </c>
      <c r="H663">
        <v>0</v>
      </c>
      <c r="I663">
        <v>0</v>
      </c>
      <c r="J663">
        <v>0</v>
      </c>
      <c r="K663">
        <f t="shared" si="261"/>
        <v>9.7999999999999989</v>
      </c>
      <c r="L663">
        <v>0.7</v>
      </c>
      <c r="M663">
        <v>0</v>
      </c>
      <c r="N663">
        <v>1.1000000000000001</v>
      </c>
      <c r="O663">
        <f t="shared" si="264"/>
        <v>1.8</v>
      </c>
      <c r="P663" s="1">
        <v>0.1</v>
      </c>
      <c r="Q663">
        <v>0.7</v>
      </c>
      <c r="R663">
        <v>9.5</v>
      </c>
      <c r="S663">
        <f t="shared" si="265"/>
        <v>10.3</v>
      </c>
      <c r="T663">
        <v>0.1</v>
      </c>
      <c r="U663">
        <v>0</v>
      </c>
      <c r="V663">
        <v>0</v>
      </c>
      <c r="W663">
        <v>0</v>
      </c>
      <c r="X663">
        <v>0</v>
      </c>
      <c r="Y663">
        <v>0.1</v>
      </c>
      <c r="Z663">
        <v>0</v>
      </c>
      <c r="AA663">
        <f t="shared" si="266"/>
        <v>0.2</v>
      </c>
      <c r="AB663">
        <v>0</v>
      </c>
      <c r="AC663">
        <v>0</v>
      </c>
      <c r="AD663">
        <v>0</v>
      </c>
      <c r="AE663">
        <v>1.5</v>
      </c>
      <c r="AF663">
        <v>1.6</v>
      </c>
      <c r="AG663">
        <v>0</v>
      </c>
      <c r="AH663">
        <v>0.3</v>
      </c>
      <c r="AI663">
        <v>0</v>
      </c>
      <c r="AJ663">
        <f t="shared" si="267"/>
        <v>3.4</v>
      </c>
      <c r="AK663">
        <v>0</v>
      </c>
      <c r="AL663">
        <v>0.747</v>
      </c>
      <c r="AM663">
        <f t="shared" si="269"/>
        <v>0.25499999999999995</v>
      </c>
      <c r="AN663">
        <v>45288</v>
      </c>
      <c r="AO663">
        <v>45288</v>
      </c>
      <c r="AP663" s="3">
        <f t="shared" si="244"/>
        <v>60789.261744966432</v>
      </c>
      <c r="AQ663" s="3">
        <f t="shared" si="268"/>
        <v>60789.261744966432</v>
      </c>
      <c r="AR663">
        <f t="shared" si="243"/>
        <v>0.13333333333333336</v>
      </c>
      <c r="AS663">
        <f t="shared" si="254"/>
        <v>0.22099999999999997</v>
      </c>
      <c r="AT663">
        <f t="shared" si="262"/>
        <v>13434</v>
      </c>
      <c r="AU663">
        <f t="shared" si="263"/>
        <v>2067</v>
      </c>
      <c r="AV663">
        <f t="shared" si="255"/>
        <v>10456</v>
      </c>
      <c r="AW663">
        <f t="shared" si="256"/>
        <v>2197</v>
      </c>
      <c r="AX663" s="3">
        <f t="shared" si="257"/>
        <v>48136.261744966432</v>
      </c>
      <c r="AY663">
        <f t="shared" si="258"/>
        <v>6717</v>
      </c>
      <c r="AZ663">
        <f t="shared" si="259"/>
        <v>2360</v>
      </c>
      <c r="BA663" s="3">
        <f t="shared" si="260"/>
        <v>51712.261744966432</v>
      </c>
    </row>
    <row r="664" spans="1:53" x14ac:dyDescent="0.2">
      <c r="A664">
        <v>2002</v>
      </c>
      <c r="B664" t="s">
        <v>77</v>
      </c>
      <c r="C664" t="s">
        <v>57</v>
      </c>
      <c r="D664">
        <v>18.2</v>
      </c>
      <c r="E664">
        <v>0</v>
      </c>
      <c r="F664">
        <v>2.5</v>
      </c>
      <c r="G664">
        <v>12.7</v>
      </c>
      <c r="H664">
        <v>4.4000000000000004</v>
      </c>
      <c r="I664">
        <v>1.3</v>
      </c>
      <c r="J664">
        <v>0</v>
      </c>
      <c r="K664">
        <f t="shared" si="261"/>
        <v>39.099999999999994</v>
      </c>
      <c r="L664">
        <v>0.1</v>
      </c>
      <c r="M664">
        <v>0</v>
      </c>
      <c r="N664">
        <v>1.6</v>
      </c>
      <c r="O664">
        <f t="shared" si="264"/>
        <v>1.7000000000000002</v>
      </c>
      <c r="P664" s="1">
        <v>0</v>
      </c>
      <c r="Q664">
        <v>0</v>
      </c>
      <c r="R664">
        <v>3.7</v>
      </c>
      <c r="S664">
        <f t="shared" si="265"/>
        <v>3.7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f t="shared" si="266"/>
        <v>0</v>
      </c>
      <c r="AB664">
        <v>0</v>
      </c>
      <c r="AC664">
        <v>0</v>
      </c>
      <c r="AD664">
        <v>0</v>
      </c>
      <c r="AE664">
        <v>8.6</v>
      </c>
      <c r="AF664">
        <v>0.5</v>
      </c>
      <c r="AG664">
        <v>0</v>
      </c>
      <c r="AH664">
        <v>0</v>
      </c>
      <c r="AI664">
        <v>0</v>
      </c>
      <c r="AJ664">
        <f t="shared" si="267"/>
        <v>9.1</v>
      </c>
      <c r="AK664">
        <v>0</v>
      </c>
      <c r="AL664">
        <v>0.46600000000000003</v>
      </c>
      <c r="AM664">
        <f t="shared" si="269"/>
        <v>0.53600000000000003</v>
      </c>
      <c r="AN664">
        <v>68620</v>
      </c>
      <c r="AO664">
        <v>68620</v>
      </c>
      <c r="AP664" s="3">
        <f t="shared" si="244"/>
        <v>147887.93103448278</v>
      </c>
      <c r="AQ664" s="3">
        <f t="shared" si="268"/>
        <v>147887.93103448278</v>
      </c>
      <c r="AR664">
        <f t="shared" si="243"/>
        <v>0.16977611940298507</v>
      </c>
      <c r="AS664">
        <f t="shared" si="254"/>
        <v>0.44500000000000001</v>
      </c>
      <c r="AT664">
        <f t="shared" si="262"/>
        <v>65810</v>
      </c>
      <c r="AU664">
        <f t="shared" si="263"/>
        <v>13458</v>
      </c>
      <c r="AV664">
        <f t="shared" si="255"/>
        <v>36898</v>
      </c>
      <c r="AW664">
        <f t="shared" si="256"/>
        <v>18199</v>
      </c>
      <c r="AX664" s="3">
        <f t="shared" si="257"/>
        <v>92790.931034482783</v>
      </c>
      <c r="AY664">
        <f t="shared" si="258"/>
        <v>32905</v>
      </c>
      <c r="AZ664">
        <f t="shared" si="259"/>
        <v>18853</v>
      </c>
      <c r="BA664" s="3">
        <f t="shared" si="260"/>
        <v>96129.931034482783</v>
      </c>
    </row>
    <row r="665" spans="1:53" x14ac:dyDescent="0.2">
      <c r="A665">
        <v>2003</v>
      </c>
      <c r="B665" t="s">
        <v>77</v>
      </c>
      <c r="C665" t="s">
        <v>57</v>
      </c>
      <c r="D665">
        <v>9.8000000000000007</v>
      </c>
      <c r="E665">
        <v>0.8</v>
      </c>
      <c r="F665">
        <v>1.6</v>
      </c>
      <c r="G665">
        <v>8</v>
      </c>
      <c r="H665">
        <v>2.5</v>
      </c>
      <c r="I665">
        <v>0</v>
      </c>
      <c r="J665">
        <v>0</v>
      </c>
      <c r="K665">
        <f t="shared" si="261"/>
        <v>22.700000000000003</v>
      </c>
      <c r="L665">
        <v>2.4</v>
      </c>
      <c r="M665">
        <v>0</v>
      </c>
      <c r="N665">
        <v>0.5</v>
      </c>
      <c r="O665">
        <f t="shared" si="264"/>
        <v>2.9</v>
      </c>
      <c r="P665" s="1">
        <v>0</v>
      </c>
      <c r="Q665">
        <v>0</v>
      </c>
      <c r="R665">
        <v>7</v>
      </c>
      <c r="S665">
        <f t="shared" si="265"/>
        <v>7</v>
      </c>
      <c r="T665">
        <v>0.2</v>
      </c>
      <c r="U665">
        <v>0</v>
      </c>
      <c r="V665">
        <v>0.1</v>
      </c>
      <c r="W665">
        <v>0</v>
      </c>
      <c r="X665">
        <v>0</v>
      </c>
      <c r="Y665">
        <v>0.5</v>
      </c>
      <c r="Z665">
        <v>0</v>
      </c>
      <c r="AA665">
        <f t="shared" si="266"/>
        <v>0.8</v>
      </c>
      <c r="AB665">
        <v>0</v>
      </c>
      <c r="AC665">
        <v>0</v>
      </c>
      <c r="AD665">
        <v>0</v>
      </c>
      <c r="AE665">
        <v>4.5</v>
      </c>
      <c r="AF665">
        <v>2.2999999999999998</v>
      </c>
      <c r="AG665">
        <v>0</v>
      </c>
      <c r="AH665">
        <v>0</v>
      </c>
      <c r="AI665">
        <v>0</v>
      </c>
      <c r="AJ665">
        <f t="shared" si="267"/>
        <v>6.8</v>
      </c>
      <c r="AK665">
        <v>0</v>
      </c>
      <c r="AL665">
        <v>0.59899999999999998</v>
      </c>
      <c r="AM665">
        <f t="shared" si="269"/>
        <v>0.40200000000000002</v>
      </c>
      <c r="AN665">
        <v>42586</v>
      </c>
      <c r="AO665">
        <v>42586</v>
      </c>
      <c r="AP665" s="3">
        <f t="shared" si="244"/>
        <v>71214.046822742472</v>
      </c>
      <c r="AQ665" s="3">
        <f t="shared" si="268"/>
        <v>71214.046822742472</v>
      </c>
      <c r="AR665">
        <f t="shared" si="243"/>
        <v>0.1691542288557214</v>
      </c>
      <c r="AS665">
        <f t="shared" si="254"/>
        <v>0.33399999999999996</v>
      </c>
      <c r="AT665">
        <f t="shared" si="262"/>
        <v>23785</v>
      </c>
      <c r="AU665">
        <f t="shared" si="263"/>
        <v>4843</v>
      </c>
      <c r="AV665">
        <f t="shared" si="255"/>
        <v>15703</v>
      </c>
      <c r="AW665">
        <f t="shared" si="256"/>
        <v>5668</v>
      </c>
      <c r="AX665" s="3">
        <f t="shared" si="257"/>
        <v>49843.046822742472</v>
      </c>
      <c r="AY665">
        <f t="shared" si="258"/>
        <v>11893</v>
      </c>
      <c r="AZ665">
        <f t="shared" si="259"/>
        <v>6057</v>
      </c>
      <c r="BA665" s="3">
        <f t="shared" si="260"/>
        <v>53264.046822742472</v>
      </c>
    </row>
    <row r="666" spans="1:53" x14ac:dyDescent="0.2">
      <c r="A666">
        <v>2004</v>
      </c>
      <c r="B666" t="s">
        <v>77</v>
      </c>
      <c r="C666" t="s">
        <v>57</v>
      </c>
      <c r="D666">
        <v>18.100000000000001</v>
      </c>
      <c r="E666">
        <v>0</v>
      </c>
      <c r="F666">
        <v>2.2000000000000002</v>
      </c>
      <c r="G666">
        <v>9.3000000000000007</v>
      </c>
      <c r="H666">
        <v>4.4000000000000004</v>
      </c>
      <c r="I666">
        <v>0.8</v>
      </c>
      <c r="J666">
        <v>0</v>
      </c>
      <c r="K666">
        <f t="shared" si="261"/>
        <v>34.799999999999997</v>
      </c>
      <c r="L666">
        <v>0</v>
      </c>
      <c r="M666">
        <v>0</v>
      </c>
      <c r="N666">
        <v>4.7</v>
      </c>
      <c r="O666">
        <f t="shared" si="264"/>
        <v>4.7</v>
      </c>
      <c r="P666" s="1">
        <v>0</v>
      </c>
      <c r="Q666">
        <v>0</v>
      </c>
      <c r="R666">
        <v>5.4</v>
      </c>
      <c r="S666">
        <f t="shared" si="265"/>
        <v>5.4</v>
      </c>
      <c r="T666">
        <v>0.3</v>
      </c>
      <c r="U666">
        <v>0</v>
      </c>
      <c r="V666">
        <v>0</v>
      </c>
      <c r="W666">
        <v>0</v>
      </c>
      <c r="X666">
        <v>0</v>
      </c>
      <c r="Y666">
        <v>1</v>
      </c>
      <c r="Z666">
        <v>0</v>
      </c>
      <c r="AA666">
        <f t="shared" si="266"/>
        <v>1.3</v>
      </c>
      <c r="AB666">
        <v>0</v>
      </c>
      <c r="AC666">
        <v>0</v>
      </c>
      <c r="AD666">
        <v>0</v>
      </c>
      <c r="AE666">
        <v>11.8</v>
      </c>
      <c r="AF666">
        <v>2.7</v>
      </c>
      <c r="AG666">
        <v>0</v>
      </c>
      <c r="AH666">
        <v>0</v>
      </c>
      <c r="AI666">
        <v>0</v>
      </c>
      <c r="AJ666">
        <f t="shared" si="267"/>
        <v>14.5</v>
      </c>
      <c r="AK666">
        <v>0</v>
      </c>
      <c r="AL666">
        <v>0.39299999999999996</v>
      </c>
      <c r="AM666">
        <f t="shared" si="269"/>
        <v>0.60699999999999998</v>
      </c>
      <c r="AN666">
        <v>47461</v>
      </c>
      <c r="AO666">
        <v>47461</v>
      </c>
      <c r="AP666" s="3">
        <f t="shared" si="244"/>
        <v>120765.90330788803</v>
      </c>
      <c r="AQ666" s="3">
        <f t="shared" si="268"/>
        <v>120765.90330788803</v>
      </c>
      <c r="AR666">
        <f t="shared" si="243"/>
        <v>0.23887973640856672</v>
      </c>
      <c r="AS666">
        <f t="shared" ref="AS666:AS697" si="270">SUM(K666,O666,S666,AA666)/100</f>
        <v>0.46199999999999997</v>
      </c>
      <c r="AT666">
        <f t="shared" si="262"/>
        <v>55794</v>
      </c>
      <c r="AU666">
        <f t="shared" si="263"/>
        <v>17511</v>
      </c>
      <c r="AV666">
        <f t="shared" si="255"/>
        <v>34781</v>
      </c>
      <c r="AW666">
        <f t="shared" si="256"/>
        <v>23174</v>
      </c>
      <c r="AX666" s="3">
        <f t="shared" si="257"/>
        <v>62810.903307888031</v>
      </c>
      <c r="AY666">
        <f t="shared" si="258"/>
        <v>27897</v>
      </c>
      <c r="AZ666">
        <f t="shared" si="259"/>
        <v>25030</v>
      </c>
      <c r="BA666" s="3">
        <f t="shared" si="260"/>
        <v>67838.903307888031</v>
      </c>
    </row>
    <row r="667" spans="1:53" x14ac:dyDescent="0.2">
      <c r="A667">
        <v>2005</v>
      </c>
      <c r="B667" t="s">
        <v>77</v>
      </c>
      <c r="C667" t="s">
        <v>57</v>
      </c>
      <c r="D667">
        <v>14.8</v>
      </c>
      <c r="E667">
        <v>0</v>
      </c>
      <c r="F667">
        <v>1.8</v>
      </c>
      <c r="G667">
        <v>12.3</v>
      </c>
      <c r="H667">
        <v>4.8</v>
      </c>
      <c r="I667">
        <v>0.4</v>
      </c>
      <c r="J667">
        <v>3.2</v>
      </c>
      <c r="K667">
        <f t="shared" si="261"/>
        <v>37.300000000000004</v>
      </c>
      <c r="L667">
        <v>0</v>
      </c>
      <c r="M667">
        <v>0</v>
      </c>
      <c r="N667">
        <v>1.6</v>
      </c>
      <c r="O667">
        <f t="shared" si="264"/>
        <v>1.6</v>
      </c>
      <c r="P667" s="1">
        <v>0</v>
      </c>
      <c r="Q667">
        <v>0</v>
      </c>
      <c r="R667">
        <v>14.5</v>
      </c>
      <c r="S667">
        <f t="shared" si="265"/>
        <v>14.5</v>
      </c>
      <c r="T667">
        <v>0.2</v>
      </c>
      <c r="U667">
        <v>0</v>
      </c>
      <c r="V667">
        <v>0</v>
      </c>
      <c r="W667">
        <v>0</v>
      </c>
      <c r="X667">
        <v>0</v>
      </c>
      <c r="Y667">
        <v>0.4</v>
      </c>
      <c r="Z667">
        <v>0</v>
      </c>
      <c r="AA667">
        <f t="shared" si="266"/>
        <v>0.60000000000000009</v>
      </c>
      <c r="AB667">
        <v>0</v>
      </c>
      <c r="AC667">
        <v>0</v>
      </c>
      <c r="AD667">
        <v>0</v>
      </c>
      <c r="AE667">
        <v>7</v>
      </c>
      <c r="AF667">
        <v>3.7</v>
      </c>
      <c r="AG667">
        <v>0</v>
      </c>
      <c r="AH667">
        <v>0</v>
      </c>
      <c r="AI667">
        <v>0</v>
      </c>
      <c r="AJ667">
        <f t="shared" si="267"/>
        <v>10.7</v>
      </c>
      <c r="AK667">
        <v>0</v>
      </c>
      <c r="AL667">
        <v>0.35100000000000003</v>
      </c>
      <c r="AM667">
        <f t="shared" si="269"/>
        <v>0.64699999999999991</v>
      </c>
      <c r="AN667">
        <v>74720</v>
      </c>
      <c r="AO667">
        <v>74720</v>
      </c>
      <c r="AP667" s="3">
        <f t="shared" si="244"/>
        <v>211671.38810198294</v>
      </c>
      <c r="AQ667" s="3">
        <f t="shared" si="268"/>
        <v>211671.38810198294</v>
      </c>
      <c r="AR667">
        <f t="shared" si="243"/>
        <v>0.1653786707882535</v>
      </c>
      <c r="AS667">
        <f t="shared" si="270"/>
        <v>0.54</v>
      </c>
      <c r="AT667">
        <f t="shared" si="262"/>
        <v>114303</v>
      </c>
      <c r="AU667">
        <f t="shared" si="263"/>
        <v>22649</v>
      </c>
      <c r="AV667">
        <f t="shared" si="255"/>
        <v>74826</v>
      </c>
      <c r="AW667">
        <f t="shared" si="256"/>
        <v>31832</v>
      </c>
      <c r="AX667" s="3">
        <f t="shared" si="257"/>
        <v>105013.38810198294</v>
      </c>
      <c r="AY667">
        <f t="shared" si="258"/>
        <v>57151</v>
      </c>
      <c r="AZ667">
        <f t="shared" si="259"/>
        <v>35943</v>
      </c>
      <c r="BA667" s="3">
        <f t="shared" si="260"/>
        <v>118577.38810198294</v>
      </c>
    </row>
    <row r="668" spans="1:53" x14ac:dyDescent="0.2">
      <c r="A668">
        <v>2006</v>
      </c>
      <c r="B668" t="s">
        <v>77</v>
      </c>
      <c r="C668" t="s">
        <v>57</v>
      </c>
      <c r="D668">
        <v>12</v>
      </c>
      <c r="E668">
        <v>0</v>
      </c>
      <c r="F668">
        <v>2.7</v>
      </c>
      <c r="G668">
        <v>13.1</v>
      </c>
      <c r="H668">
        <v>7.8</v>
      </c>
      <c r="I668">
        <v>0.3</v>
      </c>
      <c r="J668">
        <v>1</v>
      </c>
      <c r="K668">
        <f t="shared" si="261"/>
        <v>36.899999999999991</v>
      </c>
      <c r="L668">
        <v>0</v>
      </c>
      <c r="M668">
        <v>0</v>
      </c>
      <c r="N668">
        <v>1.8</v>
      </c>
      <c r="O668">
        <f t="shared" si="264"/>
        <v>1.8</v>
      </c>
      <c r="P668" s="1">
        <v>0</v>
      </c>
      <c r="Q668">
        <v>0</v>
      </c>
      <c r="R668">
        <v>10.3</v>
      </c>
      <c r="S668">
        <f t="shared" si="265"/>
        <v>10.3</v>
      </c>
      <c r="T668">
        <v>0.2</v>
      </c>
      <c r="U668">
        <v>0</v>
      </c>
      <c r="V668">
        <v>0</v>
      </c>
      <c r="W668">
        <v>0</v>
      </c>
      <c r="X668">
        <v>0</v>
      </c>
      <c r="Y668">
        <v>0.7</v>
      </c>
      <c r="Z668">
        <v>0</v>
      </c>
      <c r="AA668">
        <f t="shared" si="266"/>
        <v>0.89999999999999991</v>
      </c>
      <c r="AB668">
        <v>0</v>
      </c>
      <c r="AC668">
        <v>0</v>
      </c>
      <c r="AD668">
        <v>0</v>
      </c>
      <c r="AE668">
        <v>7.1</v>
      </c>
      <c r="AF668">
        <v>3.1</v>
      </c>
      <c r="AG668">
        <v>0</v>
      </c>
      <c r="AH668">
        <v>0</v>
      </c>
      <c r="AI668">
        <v>0</v>
      </c>
      <c r="AJ668">
        <f t="shared" si="267"/>
        <v>10.199999999999999</v>
      </c>
      <c r="AK668">
        <v>0.8</v>
      </c>
      <c r="AL668">
        <v>0.38900000000000001</v>
      </c>
      <c r="AM668">
        <f t="shared" si="269"/>
        <v>0.60099999999999998</v>
      </c>
      <c r="AN668">
        <v>138964</v>
      </c>
      <c r="AO668">
        <v>138964</v>
      </c>
      <c r="AP668" s="3">
        <f t="shared" si="244"/>
        <v>348280.70175438595</v>
      </c>
      <c r="AQ668" s="3">
        <f t="shared" si="268"/>
        <v>348280.70175438595</v>
      </c>
      <c r="AR668">
        <f t="shared" si="243"/>
        <v>0.16971713810316139</v>
      </c>
      <c r="AS668">
        <f t="shared" si="270"/>
        <v>0.49899999999999983</v>
      </c>
      <c r="AT668">
        <f t="shared" si="262"/>
        <v>173792</v>
      </c>
      <c r="AU668">
        <f t="shared" si="263"/>
        <v>35525</v>
      </c>
      <c r="AV668">
        <f t="shared" si="255"/>
        <v>109534</v>
      </c>
      <c r="AW668">
        <f t="shared" si="256"/>
        <v>48608</v>
      </c>
      <c r="AX668" s="3">
        <f t="shared" si="257"/>
        <v>190138.70175438595</v>
      </c>
      <c r="AY668">
        <f t="shared" si="258"/>
        <v>86896</v>
      </c>
      <c r="AZ668">
        <f t="shared" si="259"/>
        <v>53217</v>
      </c>
      <c r="BA668" s="3">
        <f t="shared" si="260"/>
        <v>208167.70175438595</v>
      </c>
    </row>
    <row r="669" spans="1:53" x14ac:dyDescent="0.2">
      <c r="A669">
        <v>2007</v>
      </c>
      <c r="B669" t="s">
        <v>77</v>
      </c>
      <c r="C669" t="s">
        <v>57</v>
      </c>
      <c r="D669">
        <v>7.6</v>
      </c>
      <c r="E669">
        <v>0.3</v>
      </c>
      <c r="F669">
        <v>10.4</v>
      </c>
      <c r="G669">
        <v>3.4</v>
      </c>
      <c r="H669">
        <v>10.7</v>
      </c>
      <c r="I669">
        <v>0</v>
      </c>
      <c r="J669">
        <v>1</v>
      </c>
      <c r="K669">
        <f t="shared" si="261"/>
        <v>33.4</v>
      </c>
      <c r="L669">
        <v>0</v>
      </c>
      <c r="M669">
        <v>0</v>
      </c>
      <c r="N669">
        <v>0</v>
      </c>
      <c r="O669">
        <f t="shared" si="264"/>
        <v>0</v>
      </c>
      <c r="P669" s="1">
        <v>0</v>
      </c>
      <c r="Q669">
        <v>0.4</v>
      </c>
      <c r="R669">
        <v>3.7</v>
      </c>
      <c r="S669">
        <f t="shared" si="265"/>
        <v>4.1000000000000005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f t="shared" si="266"/>
        <v>0</v>
      </c>
      <c r="AB669">
        <v>0</v>
      </c>
      <c r="AC669">
        <v>0</v>
      </c>
      <c r="AD669">
        <v>0</v>
      </c>
      <c r="AE669">
        <v>5.2</v>
      </c>
      <c r="AF669">
        <v>4.9000000000000004</v>
      </c>
      <c r="AG669">
        <v>0</v>
      </c>
      <c r="AH669">
        <v>0</v>
      </c>
      <c r="AI669">
        <v>0</v>
      </c>
      <c r="AJ669">
        <f t="shared" si="267"/>
        <v>10.100000000000001</v>
      </c>
      <c r="AK669">
        <v>0</v>
      </c>
      <c r="AL669">
        <v>0.52300000000000002</v>
      </c>
      <c r="AM669">
        <f t="shared" si="269"/>
        <v>0.47600000000000009</v>
      </c>
      <c r="AN669">
        <v>64434</v>
      </c>
      <c r="AO669">
        <v>64434</v>
      </c>
      <c r="AP669" s="3">
        <f t="shared" si="244"/>
        <v>122965.64885496185</v>
      </c>
      <c r="AQ669" s="3">
        <f t="shared" si="268"/>
        <v>122965.64885496185</v>
      </c>
      <c r="AR669">
        <f t="shared" si="243"/>
        <v>0.21218487394957983</v>
      </c>
      <c r="AS669">
        <f t="shared" si="270"/>
        <v>0.375</v>
      </c>
      <c r="AT669">
        <f t="shared" si="262"/>
        <v>46112</v>
      </c>
      <c r="AU669">
        <f t="shared" si="263"/>
        <v>12420</v>
      </c>
      <c r="AV669">
        <f t="shared" si="255"/>
        <v>25577</v>
      </c>
      <c r="AW669">
        <f t="shared" si="256"/>
        <v>15739</v>
      </c>
      <c r="AX669" s="3">
        <f t="shared" si="257"/>
        <v>81649.648854961852</v>
      </c>
      <c r="AY669">
        <f t="shared" si="258"/>
        <v>23056</v>
      </c>
      <c r="AZ669">
        <f t="shared" si="259"/>
        <v>16146</v>
      </c>
      <c r="BA669" s="3">
        <f t="shared" si="260"/>
        <v>83763.648854961852</v>
      </c>
    </row>
    <row r="670" spans="1:53" x14ac:dyDescent="0.2">
      <c r="A670">
        <v>2008</v>
      </c>
      <c r="B670" t="s">
        <v>77</v>
      </c>
      <c r="C670" t="s">
        <v>57</v>
      </c>
      <c r="D670">
        <v>8.8000000000000007</v>
      </c>
      <c r="E670">
        <v>0</v>
      </c>
      <c r="F670">
        <v>0.6</v>
      </c>
      <c r="G670">
        <v>8</v>
      </c>
      <c r="H670">
        <v>8.1999999999999993</v>
      </c>
      <c r="I670">
        <v>0</v>
      </c>
      <c r="J670">
        <v>1.6</v>
      </c>
      <c r="K670">
        <f t="shared" si="261"/>
        <v>27.2</v>
      </c>
      <c r="L670">
        <v>0</v>
      </c>
      <c r="M670">
        <v>0</v>
      </c>
      <c r="N670">
        <v>0</v>
      </c>
      <c r="O670">
        <f t="shared" si="264"/>
        <v>0</v>
      </c>
      <c r="P670" s="1">
        <v>0</v>
      </c>
      <c r="Q670">
        <v>0</v>
      </c>
      <c r="R670">
        <v>8.1</v>
      </c>
      <c r="S670">
        <f t="shared" si="265"/>
        <v>8.1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f t="shared" si="266"/>
        <v>0</v>
      </c>
      <c r="AB670">
        <v>0</v>
      </c>
      <c r="AC670">
        <v>0</v>
      </c>
      <c r="AD670">
        <v>0</v>
      </c>
      <c r="AE670">
        <v>2.8</v>
      </c>
      <c r="AF670">
        <v>3</v>
      </c>
      <c r="AG670">
        <v>0</v>
      </c>
      <c r="AH670">
        <v>0</v>
      </c>
      <c r="AI670">
        <v>0</v>
      </c>
      <c r="AJ670">
        <f t="shared" si="267"/>
        <v>5.8</v>
      </c>
      <c r="AK670">
        <v>0</v>
      </c>
      <c r="AL670">
        <v>0.58899999999999997</v>
      </c>
      <c r="AM670">
        <f t="shared" si="269"/>
        <v>0.41100000000000003</v>
      </c>
      <c r="AN670">
        <v>89098</v>
      </c>
      <c r="AO670">
        <v>89098</v>
      </c>
      <c r="AP670" s="3">
        <f t="shared" si="244"/>
        <v>151269.94906621394</v>
      </c>
      <c r="AQ670" s="3">
        <f t="shared" si="268"/>
        <v>151269.94906621394</v>
      </c>
      <c r="AR670">
        <f t="shared" si="243"/>
        <v>0.14111922141119218</v>
      </c>
      <c r="AS670">
        <f t="shared" si="270"/>
        <v>0.35299999999999998</v>
      </c>
      <c r="AT670">
        <f t="shared" si="262"/>
        <v>53398</v>
      </c>
      <c r="AU670">
        <f t="shared" si="263"/>
        <v>8774</v>
      </c>
      <c r="AV670">
        <f t="shared" si="255"/>
        <v>32826</v>
      </c>
      <c r="AW670">
        <f t="shared" si="256"/>
        <v>10618</v>
      </c>
      <c r="AX670" s="3">
        <f t="shared" si="257"/>
        <v>107825.94906621394</v>
      </c>
      <c r="AY670">
        <f t="shared" si="258"/>
        <v>26699</v>
      </c>
      <c r="AZ670">
        <f t="shared" si="259"/>
        <v>11168</v>
      </c>
      <c r="BA670" s="3">
        <f t="shared" si="260"/>
        <v>113402.94906621394</v>
      </c>
    </row>
    <row r="671" spans="1:53" x14ac:dyDescent="0.2">
      <c r="A671">
        <v>2009</v>
      </c>
      <c r="B671" t="s">
        <v>77</v>
      </c>
      <c r="C671" t="s">
        <v>57</v>
      </c>
      <c r="D671">
        <v>8.8000000000000007</v>
      </c>
      <c r="E671">
        <v>0</v>
      </c>
      <c r="F671">
        <v>3.1</v>
      </c>
      <c r="G671">
        <v>6.3</v>
      </c>
      <c r="H671">
        <v>3.9</v>
      </c>
      <c r="I671">
        <v>0.7</v>
      </c>
      <c r="J671">
        <v>2.2999999999999998</v>
      </c>
      <c r="K671">
        <f t="shared" si="261"/>
        <v>25.099999999999998</v>
      </c>
      <c r="L671">
        <v>0</v>
      </c>
      <c r="M671">
        <v>0</v>
      </c>
      <c r="N671">
        <v>0.7</v>
      </c>
      <c r="O671">
        <f t="shared" si="264"/>
        <v>0.7</v>
      </c>
      <c r="P671" s="1">
        <v>0</v>
      </c>
      <c r="Q671">
        <v>0</v>
      </c>
      <c r="R671">
        <v>9</v>
      </c>
      <c r="S671">
        <f t="shared" si="265"/>
        <v>9</v>
      </c>
      <c r="T671">
        <v>0.1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0.1</v>
      </c>
      <c r="AA671">
        <f t="shared" si="266"/>
        <v>0.2</v>
      </c>
      <c r="AB671">
        <v>0</v>
      </c>
      <c r="AC671">
        <v>0</v>
      </c>
      <c r="AD671">
        <v>0</v>
      </c>
      <c r="AE671">
        <v>9.6999999999999993</v>
      </c>
      <c r="AF671">
        <v>6</v>
      </c>
      <c r="AG671">
        <v>0</v>
      </c>
      <c r="AH671">
        <v>0</v>
      </c>
      <c r="AI671">
        <v>0</v>
      </c>
      <c r="AJ671">
        <f t="shared" si="267"/>
        <v>15.7</v>
      </c>
      <c r="AK671">
        <v>0.2</v>
      </c>
      <c r="AL671">
        <v>0.49</v>
      </c>
      <c r="AM671">
        <f t="shared" si="269"/>
        <v>0.50700000000000001</v>
      </c>
      <c r="AN671">
        <v>58719</v>
      </c>
      <c r="AO671">
        <v>58719</v>
      </c>
      <c r="AP671" s="3">
        <f t="shared" si="244"/>
        <v>119105.476673428</v>
      </c>
      <c r="AQ671" s="3">
        <f t="shared" si="268"/>
        <v>119105.476673428</v>
      </c>
      <c r="AR671">
        <f t="shared" si="243"/>
        <v>0.30966469428007887</v>
      </c>
      <c r="AS671">
        <f t="shared" si="270"/>
        <v>0.35</v>
      </c>
      <c r="AT671">
        <f t="shared" si="262"/>
        <v>41687</v>
      </c>
      <c r="AU671">
        <f t="shared" si="263"/>
        <v>18700</v>
      </c>
      <c r="AV671">
        <f t="shared" si="255"/>
        <v>26739</v>
      </c>
      <c r="AW671">
        <f t="shared" si="256"/>
        <v>22311</v>
      </c>
      <c r="AX671" s="3">
        <f t="shared" si="257"/>
        <v>70055.476673427998</v>
      </c>
      <c r="AY671">
        <f t="shared" si="258"/>
        <v>20843</v>
      </c>
      <c r="AZ671">
        <f t="shared" si="259"/>
        <v>23735</v>
      </c>
      <c r="BA671" s="3">
        <f t="shared" si="260"/>
        <v>74527.476673427998</v>
      </c>
    </row>
    <row r="672" spans="1:53" x14ac:dyDescent="0.2">
      <c r="A672">
        <v>2010</v>
      </c>
      <c r="B672" t="s">
        <v>77</v>
      </c>
      <c r="C672" t="s">
        <v>57</v>
      </c>
      <c r="D672">
        <v>9.6999999999999993</v>
      </c>
      <c r="E672">
        <v>0</v>
      </c>
      <c r="F672">
        <v>2</v>
      </c>
      <c r="G672">
        <v>10.4</v>
      </c>
      <c r="H672">
        <v>3.2</v>
      </c>
      <c r="I672">
        <v>0</v>
      </c>
      <c r="J672">
        <v>0.6</v>
      </c>
      <c r="K672">
        <f t="shared" si="261"/>
        <v>25.900000000000002</v>
      </c>
      <c r="L672">
        <v>0</v>
      </c>
      <c r="M672">
        <v>0</v>
      </c>
      <c r="N672">
        <v>0.4</v>
      </c>
      <c r="O672">
        <f t="shared" si="264"/>
        <v>0.4</v>
      </c>
      <c r="P672" s="1">
        <v>0</v>
      </c>
      <c r="Q672">
        <v>0</v>
      </c>
      <c r="R672">
        <v>9.9</v>
      </c>
      <c r="S672">
        <f t="shared" si="265"/>
        <v>9.9</v>
      </c>
      <c r="T672">
        <v>0.2</v>
      </c>
      <c r="U672">
        <v>0.1</v>
      </c>
      <c r="V672">
        <v>0.1</v>
      </c>
      <c r="W672">
        <v>0</v>
      </c>
      <c r="X672">
        <v>0</v>
      </c>
      <c r="Y672">
        <v>1.2</v>
      </c>
      <c r="Z672">
        <v>0</v>
      </c>
      <c r="AA672">
        <f t="shared" si="266"/>
        <v>1.6</v>
      </c>
      <c r="AB672">
        <v>0</v>
      </c>
      <c r="AC672">
        <v>0</v>
      </c>
      <c r="AD672">
        <v>0</v>
      </c>
      <c r="AE672">
        <v>9.3000000000000007</v>
      </c>
      <c r="AF672">
        <v>1.9</v>
      </c>
      <c r="AG672">
        <v>0</v>
      </c>
      <c r="AH672">
        <v>0.3</v>
      </c>
      <c r="AI672">
        <v>0</v>
      </c>
      <c r="AJ672">
        <f t="shared" si="267"/>
        <v>11.500000000000002</v>
      </c>
      <c r="AK672">
        <v>1.2</v>
      </c>
      <c r="AL672">
        <v>0.495</v>
      </c>
      <c r="AM672">
        <f t="shared" si="269"/>
        <v>0.49299999999999999</v>
      </c>
      <c r="AN672">
        <v>93041</v>
      </c>
      <c r="AO672">
        <v>93041</v>
      </c>
      <c r="AP672" s="3">
        <f t="shared" si="244"/>
        <v>183512.8205128205</v>
      </c>
      <c r="AQ672" s="3">
        <f t="shared" si="268"/>
        <v>183512.8205128205</v>
      </c>
      <c r="AR672">
        <f t="shared" si="243"/>
        <v>0.23326572008113594</v>
      </c>
      <c r="AS672">
        <f t="shared" si="270"/>
        <v>0.37800000000000006</v>
      </c>
      <c r="AT672">
        <f t="shared" si="262"/>
        <v>69368</v>
      </c>
      <c r="AU672">
        <f t="shared" si="263"/>
        <v>21104</v>
      </c>
      <c r="AV672">
        <f t="shared" si="255"/>
        <v>45603</v>
      </c>
      <c r="AW672">
        <f t="shared" si="256"/>
        <v>25498</v>
      </c>
      <c r="AX672" s="3">
        <f t="shared" si="257"/>
        <v>112411.8205128205</v>
      </c>
      <c r="AY672">
        <f t="shared" si="258"/>
        <v>34684</v>
      </c>
      <c r="AZ672">
        <f t="shared" si="259"/>
        <v>27517</v>
      </c>
      <c r="BA672" s="3">
        <f t="shared" si="260"/>
        <v>121311.8205128205</v>
      </c>
    </row>
    <row r="673" spans="1:53" x14ac:dyDescent="0.2">
      <c r="A673">
        <v>2011</v>
      </c>
      <c r="B673" t="s">
        <v>77</v>
      </c>
      <c r="C673" t="s">
        <v>57</v>
      </c>
      <c r="D673">
        <v>8.1999999999999993</v>
      </c>
      <c r="E673">
        <v>0.1</v>
      </c>
      <c r="F673">
        <v>2.7</v>
      </c>
      <c r="G673">
        <v>7.5</v>
      </c>
      <c r="H673">
        <v>4.9000000000000004</v>
      </c>
      <c r="I673">
        <v>1.3</v>
      </c>
      <c r="J673">
        <v>0.7</v>
      </c>
      <c r="K673">
        <f t="shared" si="261"/>
        <v>25.4</v>
      </c>
      <c r="L673">
        <v>0</v>
      </c>
      <c r="M673">
        <v>0</v>
      </c>
      <c r="N673">
        <v>0</v>
      </c>
      <c r="O673">
        <f t="shared" si="264"/>
        <v>0</v>
      </c>
      <c r="P673" s="1">
        <v>0</v>
      </c>
      <c r="Q673">
        <v>1.2</v>
      </c>
      <c r="R673">
        <v>8.8000000000000007</v>
      </c>
      <c r="S673">
        <f t="shared" si="265"/>
        <v>10</v>
      </c>
      <c r="T673">
        <v>0.5</v>
      </c>
      <c r="U673">
        <v>0</v>
      </c>
      <c r="V673">
        <v>0</v>
      </c>
      <c r="W673">
        <v>0</v>
      </c>
      <c r="X673">
        <v>0</v>
      </c>
      <c r="Y673">
        <v>0.3</v>
      </c>
      <c r="Z673">
        <v>0.2</v>
      </c>
      <c r="AA673">
        <f t="shared" si="266"/>
        <v>1</v>
      </c>
      <c r="AB673">
        <v>0</v>
      </c>
      <c r="AC673">
        <v>0</v>
      </c>
      <c r="AD673">
        <v>0</v>
      </c>
      <c r="AE673">
        <v>9.1</v>
      </c>
      <c r="AF673">
        <v>2.8</v>
      </c>
      <c r="AG673">
        <v>0</v>
      </c>
      <c r="AH673">
        <v>0</v>
      </c>
      <c r="AI673">
        <v>0</v>
      </c>
      <c r="AJ673">
        <f t="shared" si="267"/>
        <v>11.899999999999999</v>
      </c>
      <c r="AK673">
        <v>0.1</v>
      </c>
      <c r="AL673">
        <v>0.51700000000000002</v>
      </c>
      <c r="AM673">
        <f t="shared" si="269"/>
        <v>0.48299999999999998</v>
      </c>
      <c r="AN673">
        <v>119027</v>
      </c>
      <c r="AO673">
        <v>119027</v>
      </c>
      <c r="AP673" s="3">
        <f t="shared" si="244"/>
        <v>230226.30560928432</v>
      </c>
      <c r="AQ673" s="3">
        <f t="shared" si="268"/>
        <v>230226.30560928432</v>
      </c>
      <c r="AR673">
        <f t="shared" si="243"/>
        <v>0.24637681159420285</v>
      </c>
      <c r="AS673">
        <f t="shared" si="270"/>
        <v>0.36399999999999999</v>
      </c>
      <c r="AT673">
        <f t="shared" si="262"/>
        <v>83802</v>
      </c>
      <c r="AU673">
        <f t="shared" si="263"/>
        <v>27397</v>
      </c>
      <c r="AV673">
        <f t="shared" si="255"/>
        <v>54564</v>
      </c>
      <c r="AW673">
        <f t="shared" si="256"/>
        <v>32868</v>
      </c>
      <c r="AX673" s="3">
        <f t="shared" si="257"/>
        <v>142794.30560928432</v>
      </c>
      <c r="AY673">
        <f t="shared" si="258"/>
        <v>41901</v>
      </c>
      <c r="AZ673">
        <f t="shared" si="259"/>
        <v>35237</v>
      </c>
      <c r="BA673" s="3">
        <f t="shared" si="260"/>
        <v>153088.30560928432</v>
      </c>
    </row>
    <row r="674" spans="1:53" x14ac:dyDescent="0.2">
      <c r="A674">
        <v>2012</v>
      </c>
      <c r="B674" t="s">
        <v>77</v>
      </c>
      <c r="C674" t="s">
        <v>57</v>
      </c>
      <c r="D674">
        <v>6.4</v>
      </c>
      <c r="E674">
        <v>0</v>
      </c>
      <c r="F674">
        <v>6.8</v>
      </c>
      <c r="G674">
        <v>7</v>
      </c>
      <c r="H674">
        <v>5.3</v>
      </c>
      <c r="I674">
        <v>1</v>
      </c>
      <c r="J674">
        <v>1.3</v>
      </c>
      <c r="K674">
        <f t="shared" si="261"/>
        <v>27.8</v>
      </c>
      <c r="L674">
        <v>0</v>
      </c>
      <c r="M674">
        <v>0</v>
      </c>
      <c r="N674">
        <v>1.3</v>
      </c>
      <c r="O674">
        <f t="shared" si="264"/>
        <v>1.3</v>
      </c>
      <c r="P674" s="1">
        <v>0</v>
      </c>
      <c r="Q674">
        <v>0.4</v>
      </c>
      <c r="R674">
        <v>10.4</v>
      </c>
      <c r="S674">
        <f t="shared" si="265"/>
        <v>10.8</v>
      </c>
      <c r="T674">
        <v>0.2</v>
      </c>
      <c r="U674">
        <v>0.2</v>
      </c>
      <c r="V674">
        <v>0.2</v>
      </c>
      <c r="W674">
        <v>0</v>
      </c>
      <c r="X674">
        <v>0</v>
      </c>
      <c r="Y674">
        <v>0</v>
      </c>
      <c r="Z674">
        <v>1.2</v>
      </c>
      <c r="AA674">
        <f t="shared" si="266"/>
        <v>1.8</v>
      </c>
      <c r="AB674">
        <v>0</v>
      </c>
      <c r="AC674">
        <v>0</v>
      </c>
      <c r="AD674">
        <v>0</v>
      </c>
      <c r="AE674">
        <v>4.2</v>
      </c>
      <c r="AF674">
        <v>4.5999999999999996</v>
      </c>
      <c r="AG674">
        <v>0</v>
      </c>
      <c r="AH674">
        <v>0</v>
      </c>
      <c r="AI674">
        <v>0</v>
      </c>
      <c r="AJ674">
        <f t="shared" si="267"/>
        <v>8.8000000000000007</v>
      </c>
      <c r="AK674">
        <v>0</v>
      </c>
      <c r="AL674">
        <v>0.49299999999999999</v>
      </c>
      <c r="AM674">
        <f t="shared" si="269"/>
        <v>0.50499999999999989</v>
      </c>
      <c r="AN674">
        <v>48157</v>
      </c>
      <c r="AO674">
        <v>48157</v>
      </c>
      <c r="AP674" s="3">
        <f t="shared" si="244"/>
        <v>97286.868686868664</v>
      </c>
      <c r="AQ674" s="3">
        <f t="shared" si="268"/>
        <v>97286.868686868664</v>
      </c>
      <c r="AR674">
        <f t="shared" si="243"/>
        <v>0.1742574257425743</v>
      </c>
      <c r="AS674">
        <f t="shared" si="270"/>
        <v>0.41700000000000004</v>
      </c>
      <c r="AT674">
        <f t="shared" si="262"/>
        <v>40569</v>
      </c>
      <c r="AU674">
        <f t="shared" si="263"/>
        <v>8561</v>
      </c>
      <c r="AV674">
        <f t="shared" si="255"/>
        <v>27046</v>
      </c>
      <c r="AW674">
        <f t="shared" si="256"/>
        <v>10602</v>
      </c>
      <c r="AX674" s="3">
        <f t="shared" si="257"/>
        <v>59638.868686868664</v>
      </c>
      <c r="AY674">
        <f t="shared" si="258"/>
        <v>20284</v>
      </c>
      <c r="AZ674">
        <f t="shared" si="259"/>
        <v>11623</v>
      </c>
      <c r="BA674" s="3">
        <f t="shared" si="260"/>
        <v>65379.868686868664</v>
      </c>
    </row>
    <row r="675" spans="1:53" x14ac:dyDescent="0.2">
      <c r="A675">
        <v>2013</v>
      </c>
      <c r="B675" t="s">
        <v>77</v>
      </c>
      <c r="C675" t="s">
        <v>57</v>
      </c>
      <c r="D675">
        <v>7.3</v>
      </c>
      <c r="E675">
        <v>0.1</v>
      </c>
      <c r="F675">
        <v>1.1000000000000001</v>
      </c>
      <c r="G675">
        <v>7.4</v>
      </c>
      <c r="H675">
        <v>3.8</v>
      </c>
      <c r="I675">
        <v>0.2</v>
      </c>
      <c r="J675">
        <v>0.9</v>
      </c>
      <c r="K675">
        <f t="shared" si="261"/>
        <v>20.799999999999997</v>
      </c>
      <c r="L675">
        <v>0</v>
      </c>
      <c r="M675">
        <v>0</v>
      </c>
      <c r="N675">
        <v>0.3</v>
      </c>
      <c r="O675">
        <f t="shared" si="264"/>
        <v>0.3</v>
      </c>
      <c r="P675" s="1">
        <v>0</v>
      </c>
      <c r="Q675">
        <v>1.6</v>
      </c>
      <c r="R675">
        <v>10.3</v>
      </c>
      <c r="S675">
        <f t="shared" si="265"/>
        <v>11.9</v>
      </c>
      <c r="T675">
        <v>0.6</v>
      </c>
      <c r="U675">
        <v>0</v>
      </c>
      <c r="V675">
        <v>0</v>
      </c>
      <c r="W675">
        <v>0</v>
      </c>
      <c r="X675">
        <v>0</v>
      </c>
      <c r="Y675">
        <v>0.3</v>
      </c>
      <c r="Z675">
        <v>0.4</v>
      </c>
      <c r="AA675">
        <f t="shared" si="266"/>
        <v>1.2999999999999998</v>
      </c>
      <c r="AB675">
        <v>0</v>
      </c>
      <c r="AC675">
        <v>0</v>
      </c>
      <c r="AD675">
        <v>0</v>
      </c>
      <c r="AE675">
        <v>2.4</v>
      </c>
      <c r="AF675">
        <v>2</v>
      </c>
      <c r="AG675">
        <v>0</v>
      </c>
      <c r="AH675">
        <v>0</v>
      </c>
      <c r="AI675">
        <v>0</v>
      </c>
      <c r="AJ675">
        <f t="shared" si="267"/>
        <v>4.4000000000000004</v>
      </c>
      <c r="AK675">
        <v>0.9</v>
      </c>
      <c r="AL675">
        <v>0.60399999999999998</v>
      </c>
      <c r="AM675">
        <f t="shared" si="269"/>
        <v>0.38700000000000001</v>
      </c>
      <c r="AN675">
        <v>87495</v>
      </c>
      <c r="AO675">
        <v>87495</v>
      </c>
      <c r="AP675" s="3">
        <f t="shared" si="244"/>
        <v>142732.46329526918</v>
      </c>
      <c r="AQ675" s="3">
        <f t="shared" si="268"/>
        <v>142732.46329526918</v>
      </c>
      <c r="AR675">
        <f t="shared" si="243"/>
        <v>0.11369509043927649</v>
      </c>
      <c r="AS675">
        <f t="shared" si="270"/>
        <v>0.34299999999999997</v>
      </c>
      <c r="AT675">
        <f t="shared" si="262"/>
        <v>48957</v>
      </c>
      <c r="AU675">
        <f t="shared" si="263"/>
        <v>6280</v>
      </c>
      <c r="AV675">
        <f t="shared" si="255"/>
        <v>34113</v>
      </c>
      <c r="AW675">
        <f t="shared" si="256"/>
        <v>7274</v>
      </c>
      <c r="AX675" s="3">
        <f t="shared" si="257"/>
        <v>101345.46329526918</v>
      </c>
      <c r="AY675">
        <f t="shared" si="258"/>
        <v>24479</v>
      </c>
      <c r="AZ675">
        <f t="shared" si="259"/>
        <v>7919</v>
      </c>
      <c r="BA675" s="3">
        <f t="shared" si="260"/>
        <v>110334.46329526918</v>
      </c>
    </row>
    <row r="676" spans="1:53" x14ac:dyDescent="0.2">
      <c r="A676">
        <v>2014</v>
      </c>
      <c r="B676" t="s">
        <v>77</v>
      </c>
      <c r="C676" t="s">
        <v>57</v>
      </c>
      <c r="D676">
        <v>10.7</v>
      </c>
      <c r="E676">
        <v>0.2</v>
      </c>
      <c r="F676">
        <v>2.5</v>
      </c>
      <c r="G676">
        <v>7</v>
      </c>
      <c r="H676">
        <v>2.9</v>
      </c>
      <c r="I676">
        <v>3.2</v>
      </c>
      <c r="J676">
        <v>1.6</v>
      </c>
      <c r="K676">
        <f t="shared" si="261"/>
        <v>28.099999999999998</v>
      </c>
      <c r="L676">
        <v>0</v>
      </c>
      <c r="M676">
        <v>0</v>
      </c>
      <c r="N676">
        <v>0.2</v>
      </c>
      <c r="O676">
        <f t="shared" si="264"/>
        <v>0.2</v>
      </c>
      <c r="P676" s="1">
        <v>0</v>
      </c>
      <c r="Q676">
        <v>3</v>
      </c>
      <c r="R676">
        <v>5.3</v>
      </c>
      <c r="S676">
        <f t="shared" si="265"/>
        <v>8.3000000000000007</v>
      </c>
      <c r="T676">
        <v>1.9</v>
      </c>
      <c r="U676">
        <v>0.4</v>
      </c>
      <c r="V676">
        <v>0.1</v>
      </c>
      <c r="W676">
        <v>0</v>
      </c>
      <c r="X676">
        <v>0</v>
      </c>
      <c r="Y676">
        <v>0.5</v>
      </c>
      <c r="Z676">
        <v>0.4</v>
      </c>
      <c r="AA676">
        <f t="shared" si="266"/>
        <v>3.3</v>
      </c>
      <c r="AB676">
        <v>0</v>
      </c>
      <c r="AC676">
        <v>0</v>
      </c>
      <c r="AD676">
        <v>0</v>
      </c>
      <c r="AE676">
        <v>7.9</v>
      </c>
      <c r="AF676">
        <v>1.8</v>
      </c>
      <c r="AG676">
        <v>0</v>
      </c>
      <c r="AH676">
        <v>0</v>
      </c>
      <c r="AI676">
        <v>0</v>
      </c>
      <c r="AJ676">
        <f t="shared" si="267"/>
        <v>9.7000000000000011</v>
      </c>
      <c r="AK676">
        <v>0.9</v>
      </c>
      <c r="AL676">
        <v>0.496</v>
      </c>
      <c r="AM676">
        <f t="shared" si="269"/>
        <v>0.49600000000000011</v>
      </c>
      <c r="AN676">
        <v>42273</v>
      </c>
      <c r="AO676">
        <v>42273</v>
      </c>
      <c r="AP676" s="3">
        <f t="shared" si="244"/>
        <v>83875.000000000015</v>
      </c>
      <c r="AQ676" s="3">
        <f t="shared" si="268"/>
        <v>83875.000000000015</v>
      </c>
      <c r="AR676">
        <f t="shared" ref="AR676:AR739" si="271">(AJ676/100)/AM676</f>
        <v>0.19556451612903225</v>
      </c>
      <c r="AS676">
        <f t="shared" si="270"/>
        <v>0.39899999999999991</v>
      </c>
      <c r="AT676">
        <f t="shared" si="262"/>
        <v>33466</v>
      </c>
      <c r="AU676">
        <f t="shared" si="263"/>
        <v>8136</v>
      </c>
      <c r="AV676">
        <f t="shared" si="255"/>
        <v>21682</v>
      </c>
      <c r="AW676">
        <f t="shared" si="256"/>
        <v>10038</v>
      </c>
      <c r="AX676" s="3">
        <f t="shared" si="257"/>
        <v>52155.000000000015</v>
      </c>
      <c r="AY676">
        <f t="shared" si="258"/>
        <v>16733</v>
      </c>
      <c r="AZ676">
        <f t="shared" si="259"/>
        <v>10837</v>
      </c>
      <c r="BA676" s="3">
        <f t="shared" si="260"/>
        <v>56305.000000000015</v>
      </c>
    </row>
    <row r="677" spans="1:53" x14ac:dyDescent="0.2">
      <c r="A677">
        <v>2015</v>
      </c>
      <c r="B677" t="s">
        <v>77</v>
      </c>
      <c r="C677" t="s">
        <v>57</v>
      </c>
      <c r="D677">
        <v>6.7</v>
      </c>
      <c r="E677">
        <v>0.1</v>
      </c>
      <c r="F677">
        <v>0.5</v>
      </c>
      <c r="G677">
        <v>3.7</v>
      </c>
      <c r="H677">
        <v>1.6</v>
      </c>
      <c r="I677">
        <v>0.6</v>
      </c>
      <c r="J677">
        <v>1.2</v>
      </c>
      <c r="K677">
        <f t="shared" si="261"/>
        <v>14.399999999999999</v>
      </c>
      <c r="L677">
        <v>0</v>
      </c>
      <c r="M677">
        <v>0</v>
      </c>
      <c r="N677">
        <v>0.7</v>
      </c>
      <c r="O677">
        <f t="shared" si="264"/>
        <v>0.7</v>
      </c>
      <c r="P677" s="1">
        <v>0</v>
      </c>
      <c r="Q677">
        <v>0.5</v>
      </c>
      <c r="R677">
        <v>8.4</v>
      </c>
      <c r="S677">
        <f t="shared" si="265"/>
        <v>8.9</v>
      </c>
      <c r="T677">
        <v>2.2999999999999998</v>
      </c>
      <c r="U677">
        <v>0.5</v>
      </c>
      <c r="V677">
        <v>0</v>
      </c>
      <c r="W677">
        <v>0</v>
      </c>
      <c r="X677">
        <v>0</v>
      </c>
      <c r="Y677">
        <v>0.8</v>
      </c>
      <c r="Z677">
        <v>0.5</v>
      </c>
      <c r="AA677">
        <f t="shared" si="266"/>
        <v>4.0999999999999996</v>
      </c>
      <c r="AB677">
        <v>0</v>
      </c>
      <c r="AC677">
        <v>0</v>
      </c>
      <c r="AD677">
        <v>0</v>
      </c>
      <c r="AE677">
        <v>2.9</v>
      </c>
      <c r="AF677">
        <v>3.1</v>
      </c>
      <c r="AG677">
        <v>0</v>
      </c>
      <c r="AH677">
        <v>0.1</v>
      </c>
      <c r="AI677">
        <v>0</v>
      </c>
      <c r="AJ677">
        <f t="shared" si="267"/>
        <v>6.1</v>
      </c>
      <c r="AK677">
        <v>1.4</v>
      </c>
      <c r="AL677">
        <v>0.64500000000000002</v>
      </c>
      <c r="AM677">
        <f t="shared" si="269"/>
        <v>0.34200000000000003</v>
      </c>
      <c r="AN677">
        <v>147925</v>
      </c>
      <c r="AO677">
        <v>147925</v>
      </c>
      <c r="AP677" s="3">
        <f t="shared" si="244"/>
        <v>224810.0303951368</v>
      </c>
      <c r="AQ677" s="3">
        <f t="shared" si="268"/>
        <v>224810.0303951368</v>
      </c>
      <c r="AR677">
        <f t="shared" si="271"/>
        <v>0.17836257309941519</v>
      </c>
      <c r="AS677">
        <f t="shared" si="270"/>
        <v>0.28100000000000003</v>
      </c>
      <c r="AT677">
        <f t="shared" si="262"/>
        <v>63172</v>
      </c>
      <c r="AU677">
        <f t="shared" si="263"/>
        <v>13713</v>
      </c>
      <c r="AV677">
        <f t="shared" si="255"/>
        <v>46985</v>
      </c>
      <c r="AW677">
        <f t="shared" si="256"/>
        <v>15086</v>
      </c>
      <c r="AX677" s="3">
        <f t="shared" si="257"/>
        <v>162739.0303951368</v>
      </c>
      <c r="AY677">
        <f t="shared" si="258"/>
        <v>31586</v>
      </c>
      <c r="AZ677">
        <f t="shared" si="259"/>
        <v>16393</v>
      </c>
      <c r="BA677" s="3">
        <f t="shared" si="260"/>
        <v>176831.0303951368</v>
      </c>
    </row>
    <row r="678" spans="1:53" x14ac:dyDescent="0.2">
      <c r="A678">
        <v>2016</v>
      </c>
      <c r="B678" t="s">
        <v>77</v>
      </c>
      <c r="C678" t="s">
        <v>57</v>
      </c>
      <c r="D678">
        <v>9.6999999999999993</v>
      </c>
      <c r="E678">
        <v>0.5</v>
      </c>
      <c r="F678">
        <v>2.6</v>
      </c>
      <c r="G678">
        <v>8.8000000000000007</v>
      </c>
      <c r="H678">
        <v>3.1</v>
      </c>
      <c r="I678">
        <v>1.8</v>
      </c>
      <c r="J678">
        <v>1</v>
      </c>
      <c r="K678">
        <f t="shared" si="261"/>
        <v>27.500000000000004</v>
      </c>
      <c r="L678">
        <v>0</v>
      </c>
      <c r="M678">
        <v>0</v>
      </c>
      <c r="N678">
        <v>0.5</v>
      </c>
      <c r="O678">
        <f t="shared" si="264"/>
        <v>0.5</v>
      </c>
      <c r="P678" s="1">
        <v>0</v>
      </c>
      <c r="Q678">
        <v>0.4</v>
      </c>
      <c r="R678">
        <v>6.1</v>
      </c>
      <c r="S678">
        <f t="shared" si="265"/>
        <v>6.5</v>
      </c>
      <c r="T678">
        <v>0.2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0.2</v>
      </c>
      <c r="AA678">
        <f t="shared" si="266"/>
        <v>0.4</v>
      </c>
      <c r="AB678">
        <v>0</v>
      </c>
      <c r="AC678">
        <v>0</v>
      </c>
      <c r="AD678">
        <v>0</v>
      </c>
      <c r="AE678">
        <v>2.5</v>
      </c>
      <c r="AF678">
        <v>1.9</v>
      </c>
      <c r="AG678">
        <v>0</v>
      </c>
      <c r="AH678">
        <v>0.3</v>
      </c>
      <c r="AI678">
        <v>0</v>
      </c>
      <c r="AJ678">
        <f t="shared" si="267"/>
        <v>4.7</v>
      </c>
      <c r="AK678">
        <v>0</v>
      </c>
      <c r="AL678">
        <v>0.60299999999999998</v>
      </c>
      <c r="AM678">
        <f t="shared" si="269"/>
        <v>0.39600000000000002</v>
      </c>
      <c r="AN678">
        <v>92020</v>
      </c>
      <c r="AO678">
        <v>92020</v>
      </c>
      <c r="AP678" s="3">
        <f t="shared" ref="AP678:AP719" si="272">AN678/(1-AM678)</f>
        <v>152350.99337748345</v>
      </c>
      <c r="AQ678" s="3">
        <f t="shared" si="268"/>
        <v>152350.99337748345</v>
      </c>
      <c r="AR678">
        <f t="shared" si="271"/>
        <v>0.11868686868686869</v>
      </c>
      <c r="AS678">
        <f t="shared" si="270"/>
        <v>0.34899999999999998</v>
      </c>
      <c r="AT678">
        <f t="shared" ref="AT678:AT709" si="273">ROUND(AS678*AP678,0)</f>
        <v>53170</v>
      </c>
      <c r="AU678">
        <f t="shared" ref="AU678:AU709" si="274">ROUND((AJ678/100)*AP678,0)</f>
        <v>7160</v>
      </c>
      <c r="AV678">
        <f t="shared" si="255"/>
        <v>32222</v>
      </c>
      <c r="AW678">
        <f t="shared" si="256"/>
        <v>8672</v>
      </c>
      <c r="AX678" s="3">
        <f t="shared" si="257"/>
        <v>111456.99337748345</v>
      </c>
      <c r="AY678">
        <f t="shared" si="258"/>
        <v>26585</v>
      </c>
      <c r="AZ678">
        <f t="shared" si="259"/>
        <v>9079</v>
      </c>
      <c r="BA678" s="3">
        <f t="shared" si="260"/>
        <v>116686.99337748345</v>
      </c>
    </row>
    <row r="679" spans="1:53" x14ac:dyDescent="0.2">
      <c r="A679">
        <v>2017</v>
      </c>
      <c r="B679" t="s">
        <v>77</v>
      </c>
      <c r="C679" t="s">
        <v>57</v>
      </c>
      <c r="D679">
        <v>12.1</v>
      </c>
      <c r="E679">
        <v>0</v>
      </c>
      <c r="F679">
        <v>2.8</v>
      </c>
      <c r="G679">
        <v>7.4</v>
      </c>
      <c r="H679">
        <v>3.3</v>
      </c>
      <c r="I679">
        <v>1.6</v>
      </c>
      <c r="J679">
        <v>1.9</v>
      </c>
      <c r="K679">
        <f t="shared" si="261"/>
        <v>29.099999999999998</v>
      </c>
      <c r="L679">
        <v>0</v>
      </c>
      <c r="M679">
        <v>0</v>
      </c>
      <c r="N679">
        <v>0</v>
      </c>
      <c r="O679">
        <f t="shared" si="264"/>
        <v>0</v>
      </c>
      <c r="P679" s="1">
        <v>0</v>
      </c>
      <c r="Q679">
        <v>0.2</v>
      </c>
      <c r="R679">
        <v>11.1</v>
      </c>
      <c r="S679">
        <f t="shared" si="265"/>
        <v>11.299999999999999</v>
      </c>
      <c r="T679">
        <v>0.3</v>
      </c>
      <c r="U679">
        <v>0.3</v>
      </c>
      <c r="V679">
        <v>0</v>
      </c>
      <c r="W679">
        <v>0</v>
      </c>
      <c r="X679">
        <v>0</v>
      </c>
      <c r="Y679">
        <v>0</v>
      </c>
      <c r="Z679">
        <v>0.5</v>
      </c>
      <c r="AA679">
        <f t="shared" si="266"/>
        <v>1.1000000000000001</v>
      </c>
      <c r="AB679">
        <v>0</v>
      </c>
      <c r="AC679">
        <v>0</v>
      </c>
      <c r="AD679">
        <v>0</v>
      </c>
      <c r="AE679">
        <v>2.5</v>
      </c>
      <c r="AF679">
        <v>1.7</v>
      </c>
      <c r="AG679">
        <v>0</v>
      </c>
      <c r="AH679">
        <v>0.1</v>
      </c>
      <c r="AI679">
        <v>0</v>
      </c>
      <c r="AJ679">
        <f t="shared" si="267"/>
        <v>4.3</v>
      </c>
      <c r="AK679">
        <v>0.5</v>
      </c>
      <c r="AL679">
        <v>0.53900000000000003</v>
      </c>
      <c r="AM679">
        <f t="shared" si="269"/>
        <v>0.45799999999999996</v>
      </c>
      <c r="AN679">
        <v>70182</v>
      </c>
      <c r="AO679">
        <v>70182</v>
      </c>
      <c r="AP679" s="3">
        <f t="shared" si="272"/>
        <v>129487.0848708487</v>
      </c>
      <c r="AQ679" s="3">
        <f t="shared" si="268"/>
        <v>129487.0848708487</v>
      </c>
      <c r="AR679">
        <f t="shared" si="271"/>
        <v>9.3886462882096067E-2</v>
      </c>
      <c r="AS679">
        <f t="shared" si="270"/>
        <v>0.41499999999999998</v>
      </c>
      <c r="AT679">
        <f t="shared" si="273"/>
        <v>53737</v>
      </c>
      <c r="AU679">
        <f t="shared" si="274"/>
        <v>5568</v>
      </c>
      <c r="AV679">
        <f t="shared" si="255"/>
        <v>34897</v>
      </c>
      <c r="AW679">
        <f t="shared" si="256"/>
        <v>6953</v>
      </c>
      <c r="AX679" s="3">
        <f t="shared" si="257"/>
        <v>87637.084870848703</v>
      </c>
      <c r="AY679">
        <f t="shared" si="258"/>
        <v>26869</v>
      </c>
      <c r="AZ679">
        <f t="shared" si="259"/>
        <v>7543</v>
      </c>
      <c r="BA679" s="3">
        <f t="shared" si="260"/>
        <v>95075.084870848703</v>
      </c>
    </row>
    <row r="680" spans="1:53" x14ac:dyDescent="0.2">
      <c r="A680">
        <v>2018</v>
      </c>
      <c r="B680" t="s">
        <v>77</v>
      </c>
      <c r="C680" t="s">
        <v>57</v>
      </c>
      <c r="D680">
        <v>4.4000000000000004</v>
      </c>
      <c r="E680">
        <v>0</v>
      </c>
      <c r="F680">
        <v>1</v>
      </c>
      <c r="G680">
        <v>3.3</v>
      </c>
      <c r="H680">
        <v>2.6</v>
      </c>
      <c r="I680">
        <v>0.9</v>
      </c>
      <c r="J680">
        <v>1.9</v>
      </c>
      <c r="K680">
        <f t="shared" si="261"/>
        <v>14.1</v>
      </c>
      <c r="L680">
        <v>0</v>
      </c>
      <c r="M680">
        <v>0</v>
      </c>
      <c r="N680">
        <v>0.1</v>
      </c>
      <c r="O680">
        <f t="shared" si="264"/>
        <v>0.1</v>
      </c>
      <c r="P680" s="1">
        <v>0</v>
      </c>
      <c r="Q680">
        <v>1.4</v>
      </c>
      <c r="R680">
        <v>10.4</v>
      </c>
      <c r="S680">
        <f t="shared" si="265"/>
        <v>11.8</v>
      </c>
      <c r="T680">
        <v>0.2</v>
      </c>
      <c r="U680">
        <v>0.1</v>
      </c>
      <c r="V680">
        <v>0</v>
      </c>
      <c r="W680">
        <v>0</v>
      </c>
      <c r="X680">
        <v>0</v>
      </c>
      <c r="Y680">
        <v>0.5</v>
      </c>
      <c r="Z680">
        <v>0.4</v>
      </c>
      <c r="AA680">
        <f t="shared" si="266"/>
        <v>1.2000000000000002</v>
      </c>
      <c r="AB680">
        <v>0</v>
      </c>
      <c r="AC680">
        <v>0</v>
      </c>
      <c r="AD680">
        <v>0</v>
      </c>
      <c r="AE680">
        <v>4.9000000000000004</v>
      </c>
      <c r="AF680">
        <v>2.5</v>
      </c>
      <c r="AG680">
        <v>0</v>
      </c>
      <c r="AH680">
        <v>0</v>
      </c>
      <c r="AI680">
        <v>0</v>
      </c>
      <c r="AJ680">
        <f t="shared" si="267"/>
        <v>7.4</v>
      </c>
      <c r="AK680">
        <v>0.2</v>
      </c>
      <c r="AL680">
        <v>0.65099999999999991</v>
      </c>
      <c r="AM680">
        <f t="shared" si="269"/>
        <v>0.34600000000000003</v>
      </c>
      <c r="AN680">
        <v>37005</v>
      </c>
      <c r="AO680">
        <v>37005</v>
      </c>
      <c r="AP680" s="3">
        <f t="shared" si="272"/>
        <v>56582.568807339456</v>
      </c>
      <c r="AQ680" s="3">
        <f t="shared" si="268"/>
        <v>56582.568807339456</v>
      </c>
      <c r="AR680">
        <f t="shared" si="271"/>
        <v>0.2138728323699422</v>
      </c>
      <c r="AS680">
        <f t="shared" si="270"/>
        <v>0.27200000000000002</v>
      </c>
      <c r="AT680">
        <f t="shared" si="273"/>
        <v>15390</v>
      </c>
      <c r="AU680">
        <f t="shared" si="274"/>
        <v>4187</v>
      </c>
      <c r="AV680">
        <f t="shared" si="255"/>
        <v>11401</v>
      </c>
      <c r="AW680">
        <f t="shared" si="256"/>
        <v>4592</v>
      </c>
      <c r="AX680" s="3">
        <f t="shared" si="257"/>
        <v>40589.568807339456</v>
      </c>
      <c r="AY680">
        <f t="shared" si="258"/>
        <v>7695</v>
      </c>
      <c r="AZ680">
        <f t="shared" si="259"/>
        <v>4969</v>
      </c>
      <c r="BA680" s="3">
        <f t="shared" si="260"/>
        <v>43918.568807339456</v>
      </c>
    </row>
    <row r="681" spans="1:53" x14ac:dyDescent="0.2">
      <c r="A681">
        <v>2019</v>
      </c>
      <c r="B681" t="s">
        <v>77</v>
      </c>
      <c r="C681" t="s">
        <v>57</v>
      </c>
      <c r="D681">
        <v>1.8</v>
      </c>
      <c r="E681">
        <v>1.2</v>
      </c>
      <c r="F681">
        <v>0.5</v>
      </c>
      <c r="G681">
        <v>0.2</v>
      </c>
      <c r="H681">
        <v>1.4</v>
      </c>
      <c r="I681">
        <v>0.4</v>
      </c>
      <c r="J681">
        <v>0.2</v>
      </c>
      <c r="K681">
        <f t="shared" si="261"/>
        <v>5.7</v>
      </c>
      <c r="L681">
        <v>0</v>
      </c>
      <c r="M681">
        <v>0</v>
      </c>
      <c r="N681">
        <v>1.2</v>
      </c>
      <c r="O681">
        <f t="shared" si="264"/>
        <v>1.2</v>
      </c>
      <c r="P681" s="1">
        <v>0</v>
      </c>
      <c r="Q681">
        <v>0.5</v>
      </c>
      <c r="R681">
        <v>5.3</v>
      </c>
      <c r="S681">
        <f t="shared" si="265"/>
        <v>5.8</v>
      </c>
      <c r="T681">
        <v>0.3</v>
      </c>
      <c r="U681">
        <v>0.1</v>
      </c>
      <c r="V681">
        <v>0</v>
      </c>
      <c r="W681">
        <v>0</v>
      </c>
      <c r="X681">
        <v>0</v>
      </c>
      <c r="Y681">
        <v>0.2</v>
      </c>
      <c r="Z681">
        <v>0.3</v>
      </c>
      <c r="AA681">
        <f t="shared" si="266"/>
        <v>0.90000000000000013</v>
      </c>
      <c r="AB681">
        <v>0</v>
      </c>
      <c r="AC681">
        <v>0</v>
      </c>
      <c r="AD681">
        <v>0</v>
      </c>
      <c r="AE681">
        <v>3.4</v>
      </c>
      <c r="AF681">
        <v>2.7</v>
      </c>
      <c r="AG681">
        <v>0</v>
      </c>
      <c r="AH681">
        <v>0</v>
      </c>
      <c r="AI681">
        <v>0</v>
      </c>
      <c r="AJ681">
        <f t="shared" si="267"/>
        <v>6.1</v>
      </c>
      <c r="AK681">
        <v>0.9</v>
      </c>
      <c r="AL681">
        <v>0.79500000000000004</v>
      </c>
      <c r="AM681">
        <f t="shared" si="269"/>
        <v>0.19699999999999995</v>
      </c>
      <c r="AN681">
        <v>140921</v>
      </c>
      <c r="AO681">
        <v>140921</v>
      </c>
      <c r="AP681" s="3">
        <f t="shared" si="272"/>
        <v>175493.15068493149</v>
      </c>
      <c r="AQ681" s="3">
        <f t="shared" si="268"/>
        <v>175493.15068493149</v>
      </c>
      <c r="AR681">
        <f t="shared" si="271"/>
        <v>0.30964467005076146</v>
      </c>
      <c r="AS681">
        <f t="shared" si="270"/>
        <v>0.13600000000000001</v>
      </c>
      <c r="AT681">
        <f t="shared" si="273"/>
        <v>23867</v>
      </c>
      <c r="AU681">
        <f t="shared" si="274"/>
        <v>10705</v>
      </c>
      <c r="AV681">
        <f t="shared" si="255"/>
        <v>18866</v>
      </c>
      <c r="AW681">
        <f t="shared" si="256"/>
        <v>11058</v>
      </c>
      <c r="AX681" s="3">
        <f t="shared" si="257"/>
        <v>145569.15068493149</v>
      </c>
      <c r="AY681">
        <f t="shared" si="258"/>
        <v>11934</v>
      </c>
      <c r="AZ681">
        <f t="shared" si="259"/>
        <v>11547</v>
      </c>
      <c r="BA681" s="3">
        <f t="shared" si="260"/>
        <v>152012.15068493149</v>
      </c>
    </row>
    <row r="682" spans="1:53" x14ac:dyDescent="0.2">
      <c r="A682">
        <v>2020</v>
      </c>
      <c r="B682" t="s">
        <v>77</v>
      </c>
      <c r="C682" t="s">
        <v>57</v>
      </c>
      <c r="D682">
        <v>4.7</v>
      </c>
      <c r="E682">
        <v>0.1</v>
      </c>
      <c r="F682">
        <v>1.3</v>
      </c>
      <c r="G682">
        <v>0.2</v>
      </c>
      <c r="H682">
        <v>0.4</v>
      </c>
      <c r="I682">
        <v>0.3</v>
      </c>
      <c r="J682">
        <v>0.8</v>
      </c>
      <c r="K682">
        <f t="shared" ref="K682:K745" si="275">SUM(D682:J682)</f>
        <v>7.8</v>
      </c>
      <c r="L682">
        <v>0</v>
      </c>
      <c r="M682">
        <v>0</v>
      </c>
      <c r="N682">
        <v>0</v>
      </c>
      <c r="O682">
        <f t="shared" si="264"/>
        <v>0</v>
      </c>
      <c r="P682" s="1">
        <v>0</v>
      </c>
      <c r="Q682">
        <v>0.9</v>
      </c>
      <c r="R682">
        <v>3.6</v>
      </c>
      <c r="S682">
        <f t="shared" si="265"/>
        <v>4.5</v>
      </c>
      <c r="T682">
        <v>0</v>
      </c>
      <c r="U682">
        <v>0.1</v>
      </c>
      <c r="V682">
        <v>0</v>
      </c>
      <c r="W682">
        <v>0</v>
      </c>
      <c r="X682">
        <v>0</v>
      </c>
      <c r="Y682">
        <v>0</v>
      </c>
      <c r="Z682">
        <v>0.1</v>
      </c>
      <c r="AA682">
        <f t="shared" si="266"/>
        <v>0.2</v>
      </c>
      <c r="AB682">
        <v>0</v>
      </c>
      <c r="AC682">
        <v>0</v>
      </c>
      <c r="AD682">
        <v>0</v>
      </c>
      <c r="AE682">
        <v>9</v>
      </c>
      <c r="AF682">
        <v>5.3</v>
      </c>
      <c r="AG682">
        <v>0</v>
      </c>
      <c r="AH682">
        <v>0</v>
      </c>
      <c r="AI682">
        <v>0</v>
      </c>
      <c r="AJ682">
        <f t="shared" si="267"/>
        <v>14.3</v>
      </c>
      <c r="AK682">
        <v>1.1000000000000001</v>
      </c>
      <c r="AL682">
        <v>0.72099999999999997</v>
      </c>
      <c r="AM682">
        <f t="shared" si="269"/>
        <v>0.26800000000000002</v>
      </c>
      <c r="AN682">
        <v>119896</v>
      </c>
      <c r="AO682">
        <v>119896</v>
      </c>
      <c r="AP682" s="3">
        <f t="shared" si="272"/>
        <v>163792.34972677595</v>
      </c>
      <c r="AQ682" s="3">
        <f t="shared" si="268"/>
        <v>163792.34972677595</v>
      </c>
      <c r="AR682">
        <f t="shared" si="271"/>
        <v>0.53358208955223885</v>
      </c>
      <c r="AS682">
        <f t="shared" si="270"/>
        <v>0.125</v>
      </c>
      <c r="AT682">
        <f t="shared" si="273"/>
        <v>20474</v>
      </c>
      <c r="AU682">
        <f t="shared" si="274"/>
        <v>23422</v>
      </c>
      <c r="AV682">
        <f t="shared" si="255"/>
        <v>14086</v>
      </c>
      <c r="AW682">
        <f t="shared" si="256"/>
        <v>24466</v>
      </c>
      <c r="AX682" s="3">
        <f t="shared" si="257"/>
        <v>125240.34972677595</v>
      </c>
      <c r="AY682">
        <f t="shared" si="258"/>
        <v>10237</v>
      </c>
      <c r="AZ682">
        <f t="shared" si="259"/>
        <v>25095</v>
      </c>
      <c r="BA682" s="3">
        <f t="shared" si="260"/>
        <v>128460.34972677595</v>
      </c>
    </row>
    <row r="683" spans="1:53" x14ac:dyDescent="0.2">
      <c r="A683">
        <v>2021</v>
      </c>
      <c r="B683" t="s">
        <v>77</v>
      </c>
      <c r="C683" t="s">
        <v>57</v>
      </c>
      <c r="D683">
        <v>4.2</v>
      </c>
      <c r="E683">
        <v>0.3</v>
      </c>
      <c r="F683">
        <v>2.5</v>
      </c>
      <c r="G683">
        <v>0.2</v>
      </c>
      <c r="H683">
        <v>1.3</v>
      </c>
      <c r="I683">
        <v>1.1000000000000001</v>
      </c>
      <c r="J683">
        <v>0.5</v>
      </c>
      <c r="K683">
        <f t="shared" si="275"/>
        <v>10.1</v>
      </c>
      <c r="L683">
        <v>0</v>
      </c>
      <c r="M683">
        <v>0</v>
      </c>
      <c r="N683">
        <v>0.9</v>
      </c>
      <c r="O683">
        <f t="shared" si="264"/>
        <v>0.9</v>
      </c>
      <c r="P683" s="1">
        <v>0</v>
      </c>
      <c r="Q683">
        <v>0.8</v>
      </c>
      <c r="R683">
        <v>3.5</v>
      </c>
      <c r="S683">
        <f t="shared" si="265"/>
        <v>4.3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f t="shared" si="266"/>
        <v>0</v>
      </c>
      <c r="AB683">
        <v>0</v>
      </c>
      <c r="AC683">
        <v>0</v>
      </c>
      <c r="AD683">
        <v>0</v>
      </c>
      <c r="AE683">
        <v>5.8</v>
      </c>
      <c r="AF683">
        <v>3.3</v>
      </c>
      <c r="AG683">
        <v>0</v>
      </c>
      <c r="AH683">
        <v>0</v>
      </c>
      <c r="AI683">
        <v>0</v>
      </c>
      <c r="AJ683">
        <f t="shared" si="267"/>
        <v>9.1</v>
      </c>
      <c r="AK683">
        <v>3</v>
      </c>
      <c r="AL683">
        <v>0.72599999999999998</v>
      </c>
      <c r="AM683">
        <f t="shared" si="269"/>
        <v>0.24400000000000002</v>
      </c>
      <c r="AN683">
        <v>144228</v>
      </c>
      <c r="AO683">
        <v>144228</v>
      </c>
      <c r="AP683" s="3">
        <f t="shared" si="272"/>
        <v>190777.77777777778</v>
      </c>
      <c r="AQ683" s="3">
        <f t="shared" si="268"/>
        <v>190777.77777777778</v>
      </c>
      <c r="AR683">
        <f t="shared" si="271"/>
        <v>0.37295081967213112</v>
      </c>
      <c r="AS683">
        <f t="shared" si="270"/>
        <v>0.153</v>
      </c>
      <c r="AT683">
        <f t="shared" si="273"/>
        <v>29189</v>
      </c>
      <c r="AU683">
        <f t="shared" si="274"/>
        <v>17361</v>
      </c>
      <c r="AV683">
        <f t="shared" si="255"/>
        <v>19555</v>
      </c>
      <c r="AW683">
        <f t="shared" si="256"/>
        <v>18396</v>
      </c>
      <c r="AX683" s="3">
        <f t="shared" si="257"/>
        <v>152826.77777777778</v>
      </c>
      <c r="AY683">
        <f t="shared" si="258"/>
        <v>14595</v>
      </c>
      <c r="AZ683">
        <f t="shared" si="259"/>
        <v>18929</v>
      </c>
      <c r="BA683" s="3">
        <f t="shared" si="260"/>
        <v>157253.77777777778</v>
      </c>
    </row>
    <row r="684" spans="1:53" x14ac:dyDescent="0.2">
      <c r="A684">
        <v>2022</v>
      </c>
      <c r="B684" t="s">
        <v>77</v>
      </c>
      <c r="C684" t="s">
        <v>57</v>
      </c>
      <c r="D684">
        <v>6</v>
      </c>
      <c r="E684">
        <v>0</v>
      </c>
      <c r="F684">
        <v>1.9</v>
      </c>
      <c r="G684">
        <v>0</v>
      </c>
      <c r="H684">
        <v>2.9</v>
      </c>
      <c r="I684">
        <v>0</v>
      </c>
      <c r="J684">
        <v>0.5</v>
      </c>
      <c r="K684">
        <f t="shared" si="275"/>
        <v>11.3</v>
      </c>
      <c r="L684">
        <v>0</v>
      </c>
      <c r="M684">
        <v>0</v>
      </c>
      <c r="N684">
        <v>0.9</v>
      </c>
      <c r="O684">
        <f t="shared" si="264"/>
        <v>0.9</v>
      </c>
      <c r="P684" s="1">
        <v>0</v>
      </c>
      <c r="Q684">
        <v>0.9</v>
      </c>
      <c r="R684">
        <v>6</v>
      </c>
      <c r="S684">
        <f t="shared" si="265"/>
        <v>6.9</v>
      </c>
      <c r="T684">
        <v>0.6</v>
      </c>
      <c r="U684">
        <v>0</v>
      </c>
      <c r="V684">
        <v>0</v>
      </c>
      <c r="W684">
        <v>0</v>
      </c>
      <c r="X684">
        <v>0</v>
      </c>
      <c r="Y684">
        <v>0.1</v>
      </c>
      <c r="Z684">
        <v>0.2</v>
      </c>
      <c r="AA684">
        <f t="shared" si="266"/>
        <v>0.89999999999999991</v>
      </c>
      <c r="AB684">
        <v>0</v>
      </c>
      <c r="AC684">
        <v>0</v>
      </c>
      <c r="AD684">
        <v>0</v>
      </c>
      <c r="AE684">
        <v>6.2</v>
      </c>
      <c r="AF684">
        <v>5.0999999999999996</v>
      </c>
      <c r="AG684">
        <v>0</v>
      </c>
      <c r="AH684">
        <v>0</v>
      </c>
      <c r="AI684">
        <v>0</v>
      </c>
      <c r="AJ684">
        <f t="shared" si="267"/>
        <v>11.3</v>
      </c>
      <c r="AK684">
        <v>0.6</v>
      </c>
      <c r="AL684">
        <v>0.68099999999999994</v>
      </c>
      <c r="AM684">
        <f t="shared" si="269"/>
        <v>0.31299999999999994</v>
      </c>
      <c r="AN684">
        <v>75199</v>
      </c>
      <c r="AO684">
        <v>75199</v>
      </c>
      <c r="AP684" s="3">
        <f t="shared" si="272"/>
        <v>109459.97088791848</v>
      </c>
      <c r="AQ684" s="3">
        <f t="shared" si="268"/>
        <v>109459.97088791848</v>
      </c>
      <c r="AR684">
        <f t="shared" si="271"/>
        <v>0.36102236421725248</v>
      </c>
      <c r="AS684">
        <f t="shared" si="270"/>
        <v>0.2</v>
      </c>
      <c r="AT684">
        <f t="shared" si="273"/>
        <v>21892</v>
      </c>
      <c r="AU684">
        <f t="shared" si="274"/>
        <v>12369</v>
      </c>
      <c r="AV684">
        <f t="shared" si="255"/>
        <v>15708</v>
      </c>
      <c r="AW684">
        <f t="shared" si="256"/>
        <v>13242</v>
      </c>
      <c r="AX684" s="3">
        <f t="shared" si="257"/>
        <v>80509.970887918476</v>
      </c>
      <c r="AY684">
        <f t="shared" si="258"/>
        <v>10946</v>
      </c>
      <c r="AZ684">
        <f t="shared" si="259"/>
        <v>13915</v>
      </c>
      <c r="BA684" s="3">
        <f t="shared" si="260"/>
        <v>84598.970887918476</v>
      </c>
    </row>
    <row r="685" spans="1:53" x14ac:dyDescent="0.2">
      <c r="A685">
        <v>2023</v>
      </c>
      <c r="B685" t="s">
        <v>77</v>
      </c>
      <c r="C685" t="s">
        <v>57</v>
      </c>
      <c r="D685">
        <v>2.6</v>
      </c>
      <c r="E685">
        <v>0</v>
      </c>
      <c r="F685">
        <v>0.5</v>
      </c>
      <c r="G685">
        <v>0.3</v>
      </c>
      <c r="H685">
        <v>3.4</v>
      </c>
      <c r="I685">
        <v>0</v>
      </c>
      <c r="J685">
        <v>0.8</v>
      </c>
      <c r="K685">
        <f t="shared" si="275"/>
        <v>7.6</v>
      </c>
      <c r="L685">
        <v>0</v>
      </c>
      <c r="M685">
        <v>0</v>
      </c>
      <c r="N685">
        <v>0.3</v>
      </c>
      <c r="O685">
        <f t="shared" si="264"/>
        <v>0.3</v>
      </c>
      <c r="P685" s="1">
        <v>0</v>
      </c>
      <c r="Q685">
        <v>1.2</v>
      </c>
      <c r="R685">
        <v>4.3</v>
      </c>
      <c r="S685">
        <f t="shared" si="265"/>
        <v>5.5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f t="shared" si="266"/>
        <v>0</v>
      </c>
      <c r="AB685">
        <v>0</v>
      </c>
      <c r="AC685">
        <v>0</v>
      </c>
      <c r="AD685">
        <v>0</v>
      </c>
      <c r="AE685">
        <v>2.2000000000000002</v>
      </c>
      <c r="AF685">
        <v>2.5</v>
      </c>
      <c r="AG685">
        <v>0</v>
      </c>
      <c r="AH685">
        <v>0</v>
      </c>
      <c r="AI685">
        <v>0</v>
      </c>
      <c r="AJ685">
        <f t="shared" si="267"/>
        <v>4.7</v>
      </c>
      <c r="AK685">
        <v>1.1000000000000001</v>
      </c>
      <c r="AL685">
        <v>0.80599999999999994</v>
      </c>
      <c r="AM685">
        <f t="shared" si="269"/>
        <v>0.18100000000000002</v>
      </c>
      <c r="AN685">
        <v>562968</v>
      </c>
      <c r="AO685">
        <v>562968</v>
      </c>
      <c r="AP685" s="3">
        <f t="shared" si="272"/>
        <v>687384.61538461538</v>
      </c>
      <c r="AQ685" s="3">
        <f t="shared" si="268"/>
        <v>687384.61538461538</v>
      </c>
      <c r="AR685">
        <f t="shared" si="271"/>
        <v>0.25966850828729277</v>
      </c>
      <c r="AS685">
        <f t="shared" si="270"/>
        <v>0.13399999999999998</v>
      </c>
      <c r="AT685">
        <f t="shared" si="273"/>
        <v>92110</v>
      </c>
      <c r="AU685">
        <f t="shared" si="274"/>
        <v>32307</v>
      </c>
      <c r="AV685">
        <f t="shared" si="255"/>
        <v>65989</v>
      </c>
      <c r="AW685">
        <f t="shared" si="256"/>
        <v>33725</v>
      </c>
      <c r="AX685" s="3">
        <f t="shared" si="257"/>
        <v>587670.61538461538</v>
      </c>
      <c r="AY685">
        <f t="shared" si="258"/>
        <v>46055</v>
      </c>
      <c r="AZ685">
        <f t="shared" si="259"/>
        <v>34807</v>
      </c>
      <c r="BA685" s="3">
        <f t="shared" si="260"/>
        <v>606522.61538461538</v>
      </c>
    </row>
    <row r="686" spans="1:53" x14ac:dyDescent="0.2">
      <c r="A686">
        <v>1990</v>
      </c>
      <c r="B686" t="s">
        <v>79</v>
      </c>
      <c r="C686" t="s">
        <v>57</v>
      </c>
      <c r="D686">
        <v>0.1</v>
      </c>
      <c r="E686">
        <v>0.1</v>
      </c>
      <c r="F686">
        <v>0</v>
      </c>
      <c r="G686">
        <v>0</v>
      </c>
      <c r="H686">
        <v>0.1</v>
      </c>
      <c r="I686">
        <v>4.5</v>
      </c>
      <c r="J686">
        <v>0</v>
      </c>
      <c r="K686">
        <f t="shared" si="275"/>
        <v>4.8</v>
      </c>
      <c r="L686">
        <v>0.1</v>
      </c>
      <c r="M686">
        <v>0</v>
      </c>
      <c r="N686">
        <v>0</v>
      </c>
      <c r="O686">
        <f t="shared" si="264"/>
        <v>0.1</v>
      </c>
      <c r="P686" s="1">
        <v>0.2</v>
      </c>
      <c r="Q686">
        <v>0</v>
      </c>
      <c r="R686">
        <v>2.2999999999999998</v>
      </c>
      <c r="S686">
        <f t="shared" si="265"/>
        <v>2.5</v>
      </c>
      <c r="T686">
        <v>2.1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4.9000000000000004</v>
      </c>
      <c r="AA686">
        <f t="shared" si="266"/>
        <v>7</v>
      </c>
      <c r="AB686">
        <v>0</v>
      </c>
      <c r="AC686">
        <v>0</v>
      </c>
      <c r="AD686">
        <v>0</v>
      </c>
      <c r="AE686">
        <v>13.6</v>
      </c>
      <c r="AF686">
        <v>13</v>
      </c>
      <c r="AG686">
        <v>0</v>
      </c>
      <c r="AH686">
        <v>0</v>
      </c>
      <c r="AI686">
        <v>0</v>
      </c>
      <c r="AJ686">
        <f t="shared" si="267"/>
        <v>26.6</v>
      </c>
      <c r="AK686">
        <v>1.7</v>
      </c>
      <c r="AL686">
        <v>0.57299999999999995</v>
      </c>
      <c r="AM686">
        <f t="shared" si="269"/>
        <v>0.41000000000000009</v>
      </c>
      <c r="AN686">
        <v>3017</v>
      </c>
      <c r="AO686" t="s">
        <v>13</v>
      </c>
      <c r="AP686" s="3">
        <f t="shared" si="272"/>
        <v>5113.5593220338997</v>
      </c>
      <c r="AQ686" t="s">
        <v>13</v>
      </c>
      <c r="AR686">
        <f t="shared" si="271"/>
        <v>0.64878048780487796</v>
      </c>
      <c r="AS686">
        <f t="shared" si="270"/>
        <v>0.14399999999999999</v>
      </c>
      <c r="AT686">
        <f t="shared" si="273"/>
        <v>736</v>
      </c>
      <c r="AU686">
        <f t="shared" si="274"/>
        <v>1360</v>
      </c>
      <c r="AV686">
        <f t="shared" si="255"/>
        <v>614</v>
      </c>
      <c r="AW686">
        <f t="shared" si="256"/>
        <v>1398</v>
      </c>
      <c r="AX686" s="3">
        <f t="shared" si="257"/>
        <v>3101.5593220338997</v>
      </c>
      <c r="AY686">
        <f t="shared" si="258"/>
        <v>368</v>
      </c>
      <c r="AZ686">
        <f t="shared" si="259"/>
        <v>1474</v>
      </c>
      <c r="BA686" s="3">
        <f t="shared" si="260"/>
        <v>3271.5593220338997</v>
      </c>
    </row>
    <row r="687" spans="1:53" x14ac:dyDescent="0.2">
      <c r="A687">
        <v>1991</v>
      </c>
      <c r="B687" t="s">
        <v>79</v>
      </c>
      <c r="C687" t="s">
        <v>57</v>
      </c>
      <c r="D687">
        <v>0.2</v>
      </c>
      <c r="E687">
        <v>0.6</v>
      </c>
      <c r="F687">
        <v>0</v>
      </c>
      <c r="G687">
        <v>0</v>
      </c>
      <c r="H687">
        <v>0.2</v>
      </c>
      <c r="I687">
        <v>4.5</v>
      </c>
      <c r="J687">
        <v>0</v>
      </c>
      <c r="K687">
        <f t="shared" si="275"/>
        <v>5.5</v>
      </c>
      <c r="L687">
        <v>0.2</v>
      </c>
      <c r="M687">
        <v>0</v>
      </c>
      <c r="N687">
        <v>0</v>
      </c>
      <c r="O687">
        <f t="shared" si="264"/>
        <v>0.2</v>
      </c>
      <c r="P687" s="1">
        <v>0.3</v>
      </c>
      <c r="Q687">
        <v>0.6</v>
      </c>
      <c r="R687">
        <v>5.3</v>
      </c>
      <c r="S687">
        <f t="shared" si="265"/>
        <v>6.1999999999999993</v>
      </c>
      <c r="T687">
        <v>0.8</v>
      </c>
      <c r="U687">
        <v>0</v>
      </c>
      <c r="V687">
        <v>0</v>
      </c>
      <c r="W687">
        <v>0.2</v>
      </c>
      <c r="X687">
        <v>0</v>
      </c>
      <c r="Y687">
        <v>0.1</v>
      </c>
      <c r="Z687">
        <v>1.5</v>
      </c>
      <c r="AA687">
        <f t="shared" si="266"/>
        <v>2.6</v>
      </c>
      <c r="AB687">
        <v>0</v>
      </c>
      <c r="AC687">
        <v>0</v>
      </c>
      <c r="AD687">
        <v>0</v>
      </c>
      <c r="AE687">
        <v>12.9</v>
      </c>
      <c r="AF687">
        <v>7.1</v>
      </c>
      <c r="AG687">
        <v>0</v>
      </c>
      <c r="AH687">
        <v>0</v>
      </c>
      <c r="AI687">
        <v>0</v>
      </c>
      <c r="AJ687">
        <f t="shared" si="267"/>
        <v>20</v>
      </c>
      <c r="AK687">
        <v>0.9</v>
      </c>
      <c r="AL687">
        <v>0.64400000000000002</v>
      </c>
      <c r="AM687">
        <f t="shared" si="269"/>
        <v>0.34499999999999997</v>
      </c>
      <c r="AN687">
        <v>3258</v>
      </c>
      <c r="AO687" t="s">
        <v>13</v>
      </c>
      <c r="AP687" s="3">
        <f t="shared" si="272"/>
        <v>4974.0458015267177</v>
      </c>
      <c r="AQ687" t="s">
        <v>13</v>
      </c>
      <c r="AR687">
        <f t="shared" si="271"/>
        <v>0.57971014492753636</v>
      </c>
      <c r="AS687">
        <f t="shared" si="270"/>
        <v>0.14499999999999999</v>
      </c>
      <c r="AT687">
        <f t="shared" si="273"/>
        <v>721</v>
      </c>
      <c r="AU687">
        <f t="shared" si="274"/>
        <v>995</v>
      </c>
      <c r="AV687">
        <f t="shared" si="255"/>
        <v>584</v>
      </c>
      <c r="AW687">
        <f t="shared" si="256"/>
        <v>1027</v>
      </c>
      <c r="AX687" s="3">
        <f t="shared" si="257"/>
        <v>3363.0458015267177</v>
      </c>
      <c r="AY687">
        <f t="shared" si="258"/>
        <v>361</v>
      </c>
      <c r="AZ687">
        <f t="shared" si="259"/>
        <v>1079</v>
      </c>
      <c r="BA687" s="3">
        <f t="shared" si="260"/>
        <v>3534.0458015267177</v>
      </c>
    </row>
    <row r="688" spans="1:53" x14ac:dyDescent="0.2">
      <c r="A688">
        <v>1992</v>
      </c>
      <c r="B688" t="s">
        <v>79</v>
      </c>
      <c r="C688" t="s">
        <v>57</v>
      </c>
      <c r="D688">
        <v>0</v>
      </c>
      <c r="E688">
        <v>0</v>
      </c>
      <c r="F688">
        <v>0</v>
      </c>
      <c r="G688">
        <v>5.5</v>
      </c>
      <c r="H688">
        <v>0</v>
      </c>
      <c r="I688">
        <v>5.5</v>
      </c>
      <c r="J688">
        <v>0</v>
      </c>
      <c r="K688">
        <f t="shared" si="275"/>
        <v>11</v>
      </c>
      <c r="L688">
        <v>2.6</v>
      </c>
      <c r="M688">
        <v>0</v>
      </c>
      <c r="N688">
        <v>0</v>
      </c>
      <c r="O688">
        <f t="shared" si="264"/>
        <v>2.6</v>
      </c>
      <c r="P688" s="1">
        <v>0</v>
      </c>
      <c r="Q688">
        <v>0.8</v>
      </c>
      <c r="R688">
        <v>8.3000000000000007</v>
      </c>
      <c r="S688">
        <f t="shared" si="265"/>
        <v>9.1000000000000014</v>
      </c>
      <c r="T688">
        <v>5.3</v>
      </c>
      <c r="U688">
        <v>0</v>
      </c>
      <c r="V688">
        <v>0.6</v>
      </c>
      <c r="W688">
        <v>0</v>
      </c>
      <c r="X688">
        <v>0</v>
      </c>
      <c r="Y688">
        <v>0</v>
      </c>
      <c r="Z688">
        <v>6.9</v>
      </c>
      <c r="AA688">
        <f t="shared" si="266"/>
        <v>12.8</v>
      </c>
      <c r="AB688">
        <v>0</v>
      </c>
      <c r="AC688">
        <v>0</v>
      </c>
      <c r="AD688">
        <v>0</v>
      </c>
      <c r="AE688">
        <v>6.2</v>
      </c>
      <c r="AF688">
        <v>7.4</v>
      </c>
      <c r="AG688">
        <v>0</v>
      </c>
      <c r="AH688">
        <v>0</v>
      </c>
      <c r="AI688">
        <v>0</v>
      </c>
      <c r="AJ688">
        <f t="shared" si="267"/>
        <v>13.600000000000001</v>
      </c>
      <c r="AK688">
        <v>0.4</v>
      </c>
      <c r="AL688">
        <v>0.504</v>
      </c>
      <c r="AM688">
        <f t="shared" si="269"/>
        <v>0.4910000000000001</v>
      </c>
      <c r="AN688">
        <v>5061</v>
      </c>
      <c r="AO688" t="s">
        <v>13</v>
      </c>
      <c r="AP688" s="3">
        <f t="shared" si="272"/>
        <v>9943.0255402750518</v>
      </c>
      <c r="AQ688" t="s">
        <v>13</v>
      </c>
      <c r="AR688">
        <f t="shared" si="271"/>
        <v>0.27698574338085535</v>
      </c>
      <c r="AS688">
        <f t="shared" si="270"/>
        <v>0.35499999999999998</v>
      </c>
      <c r="AT688">
        <f t="shared" si="273"/>
        <v>3530</v>
      </c>
      <c r="AU688">
        <f t="shared" si="274"/>
        <v>1352</v>
      </c>
      <c r="AV688">
        <f t="shared" si="255"/>
        <v>2983</v>
      </c>
      <c r="AW688">
        <f t="shared" si="256"/>
        <v>1467</v>
      </c>
      <c r="AX688" s="3">
        <f t="shared" si="257"/>
        <v>5493.0255402750518</v>
      </c>
      <c r="AY688">
        <f t="shared" si="258"/>
        <v>1765</v>
      </c>
      <c r="AZ688">
        <f t="shared" si="259"/>
        <v>1724</v>
      </c>
      <c r="BA688" s="3">
        <f t="shared" si="260"/>
        <v>6454.0255402750518</v>
      </c>
    </row>
    <row r="689" spans="1:53" x14ac:dyDescent="0.2">
      <c r="A689">
        <v>1993</v>
      </c>
      <c r="B689" t="s">
        <v>79</v>
      </c>
      <c r="C689" t="s">
        <v>57</v>
      </c>
      <c r="D689">
        <v>0</v>
      </c>
      <c r="E689">
        <v>0</v>
      </c>
      <c r="F689">
        <v>0</v>
      </c>
      <c r="G689">
        <v>3.2</v>
      </c>
      <c r="H689">
        <v>0</v>
      </c>
      <c r="I689">
        <v>5.7</v>
      </c>
      <c r="J689">
        <v>1.2</v>
      </c>
      <c r="K689">
        <f t="shared" si="275"/>
        <v>10.1</v>
      </c>
      <c r="L689">
        <v>0</v>
      </c>
      <c r="M689">
        <v>0.2</v>
      </c>
      <c r="N689">
        <v>0</v>
      </c>
      <c r="O689">
        <f t="shared" si="264"/>
        <v>0.2</v>
      </c>
      <c r="P689" s="1">
        <v>0</v>
      </c>
      <c r="Q689">
        <v>1.2</v>
      </c>
      <c r="R689">
        <v>7</v>
      </c>
      <c r="S689">
        <f t="shared" si="265"/>
        <v>8.1999999999999993</v>
      </c>
      <c r="T689">
        <v>1.9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3.2</v>
      </c>
      <c r="AA689">
        <f t="shared" si="266"/>
        <v>5.0999999999999996</v>
      </c>
      <c r="AB689">
        <v>0</v>
      </c>
      <c r="AC689">
        <v>0</v>
      </c>
      <c r="AD689">
        <v>0</v>
      </c>
      <c r="AE689">
        <v>9.4</v>
      </c>
      <c r="AF689">
        <v>5.3</v>
      </c>
      <c r="AG689">
        <v>0</v>
      </c>
      <c r="AH689">
        <v>0</v>
      </c>
      <c r="AI689">
        <v>0</v>
      </c>
      <c r="AJ689">
        <f t="shared" si="267"/>
        <v>14.7</v>
      </c>
      <c r="AK689">
        <v>0</v>
      </c>
      <c r="AL689">
        <v>0.61799999999999999</v>
      </c>
      <c r="AM689">
        <f t="shared" si="269"/>
        <v>0.38299999999999995</v>
      </c>
      <c r="AN689">
        <v>5028</v>
      </c>
      <c r="AO689" t="s">
        <v>13</v>
      </c>
      <c r="AP689" s="3">
        <f t="shared" si="272"/>
        <v>8149.1085899513773</v>
      </c>
      <c r="AQ689" t="s">
        <v>13</v>
      </c>
      <c r="AR689">
        <f t="shared" si="271"/>
        <v>0.38381201044386426</v>
      </c>
      <c r="AS689">
        <f t="shared" si="270"/>
        <v>0.23600000000000002</v>
      </c>
      <c r="AT689">
        <f t="shared" si="273"/>
        <v>1923</v>
      </c>
      <c r="AU689">
        <f t="shared" si="274"/>
        <v>1198</v>
      </c>
      <c r="AV689">
        <f t="shared" si="255"/>
        <v>1512</v>
      </c>
      <c r="AW689">
        <f t="shared" si="256"/>
        <v>1277</v>
      </c>
      <c r="AX689" s="3">
        <f t="shared" si="257"/>
        <v>5360.1085899513773</v>
      </c>
      <c r="AY689">
        <f t="shared" si="258"/>
        <v>962</v>
      </c>
      <c r="AZ689">
        <f t="shared" si="259"/>
        <v>1383</v>
      </c>
      <c r="BA689" s="3">
        <f t="shared" si="260"/>
        <v>5804.1085899513773</v>
      </c>
    </row>
    <row r="690" spans="1:53" x14ac:dyDescent="0.2">
      <c r="A690">
        <v>1994</v>
      </c>
      <c r="B690" t="s">
        <v>79</v>
      </c>
      <c r="C690" t="s">
        <v>57</v>
      </c>
      <c r="D690">
        <v>0</v>
      </c>
      <c r="E690">
        <v>0</v>
      </c>
      <c r="F690">
        <v>0</v>
      </c>
      <c r="G690">
        <v>0.3</v>
      </c>
      <c r="H690">
        <v>0</v>
      </c>
      <c r="I690">
        <v>4</v>
      </c>
      <c r="J690">
        <v>0.4</v>
      </c>
      <c r="K690">
        <f t="shared" si="275"/>
        <v>4.7</v>
      </c>
      <c r="L690">
        <v>0</v>
      </c>
      <c r="M690">
        <v>0.2</v>
      </c>
      <c r="N690">
        <v>0</v>
      </c>
      <c r="O690">
        <f t="shared" si="264"/>
        <v>0.2</v>
      </c>
      <c r="P690" s="1">
        <v>0</v>
      </c>
      <c r="Q690">
        <v>0</v>
      </c>
      <c r="R690">
        <v>3.5</v>
      </c>
      <c r="S690">
        <f t="shared" si="265"/>
        <v>3.5</v>
      </c>
      <c r="T690">
        <v>0.4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f t="shared" si="266"/>
        <v>0.4</v>
      </c>
      <c r="AB690">
        <v>0</v>
      </c>
      <c r="AC690">
        <v>0</v>
      </c>
      <c r="AD690">
        <v>0</v>
      </c>
      <c r="AE690">
        <v>1.3</v>
      </c>
      <c r="AF690">
        <v>8</v>
      </c>
      <c r="AG690">
        <v>0</v>
      </c>
      <c r="AH690">
        <v>0</v>
      </c>
      <c r="AI690">
        <v>0</v>
      </c>
      <c r="AJ690">
        <f t="shared" si="267"/>
        <v>9.3000000000000007</v>
      </c>
      <c r="AK690">
        <v>0.2</v>
      </c>
      <c r="AL690">
        <v>0.81599999999999995</v>
      </c>
      <c r="AM690">
        <f t="shared" si="269"/>
        <v>0.18100000000000002</v>
      </c>
      <c r="AN690">
        <v>9510</v>
      </c>
      <c r="AO690" t="s">
        <v>13</v>
      </c>
      <c r="AP690" s="3">
        <f t="shared" si="272"/>
        <v>11611.721611721612</v>
      </c>
      <c r="AQ690" t="s">
        <v>13</v>
      </c>
      <c r="AR690">
        <f t="shared" si="271"/>
        <v>0.51381215469613262</v>
      </c>
      <c r="AS690">
        <f t="shared" si="270"/>
        <v>8.8000000000000009E-2</v>
      </c>
      <c r="AT690">
        <f t="shared" si="273"/>
        <v>1022</v>
      </c>
      <c r="AU690">
        <f t="shared" si="274"/>
        <v>1080</v>
      </c>
      <c r="AV690">
        <f t="shared" si="255"/>
        <v>749</v>
      </c>
      <c r="AW690">
        <f t="shared" si="256"/>
        <v>1108</v>
      </c>
      <c r="AX690" s="3">
        <f t="shared" si="257"/>
        <v>9754.7216117216121</v>
      </c>
      <c r="AY690">
        <f t="shared" si="258"/>
        <v>511</v>
      </c>
      <c r="AZ690">
        <f t="shared" si="259"/>
        <v>1132</v>
      </c>
      <c r="BA690" s="3">
        <f t="shared" si="260"/>
        <v>9968.7216117216121</v>
      </c>
    </row>
    <row r="691" spans="1:53" x14ac:dyDescent="0.2">
      <c r="A691">
        <v>1995</v>
      </c>
      <c r="B691" t="s">
        <v>79</v>
      </c>
      <c r="C691" t="s">
        <v>57</v>
      </c>
      <c r="D691">
        <v>0</v>
      </c>
      <c r="E691">
        <v>0</v>
      </c>
      <c r="F691">
        <v>0</v>
      </c>
      <c r="G691">
        <v>0.3</v>
      </c>
      <c r="H691">
        <v>0.6</v>
      </c>
      <c r="I691">
        <v>1.7</v>
      </c>
      <c r="J691">
        <v>0.5</v>
      </c>
      <c r="K691">
        <f t="shared" si="275"/>
        <v>3.0999999999999996</v>
      </c>
      <c r="L691">
        <v>0</v>
      </c>
      <c r="M691">
        <v>0</v>
      </c>
      <c r="N691">
        <v>0</v>
      </c>
      <c r="O691">
        <f t="shared" si="264"/>
        <v>0</v>
      </c>
      <c r="P691" s="1">
        <v>0</v>
      </c>
      <c r="Q691">
        <v>1.3</v>
      </c>
      <c r="R691">
        <v>3.1</v>
      </c>
      <c r="S691">
        <f t="shared" si="265"/>
        <v>4.4000000000000004</v>
      </c>
      <c r="T691">
        <v>0.1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0.3</v>
      </c>
      <c r="AA691">
        <f t="shared" si="266"/>
        <v>0.4</v>
      </c>
      <c r="AB691">
        <v>0</v>
      </c>
      <c r="AC691">
        <v>0</v>
      </c>
      <c r="AD691">
        <v>0</v>
      </c>
      <c r="AE691">
        <v>3.4</v>
      </c>
      <c r="AF691">
        <v>3.6</v>
      </c>
      <c r="AG691">
        <v>0</v>
      </c>
      <c r="AH691">
        <v>0</v>
      </c>
      <c r="AI691">
        <v>0</v>
      </c>
      <c r="AJ691">
        <f t="shared" si="267"/>
        <v>7</v>
      </c>
      <c r="AK691">
        <v>0</v>
      </c>
      <c r="AL691">
        <v>0.85</v>
      </c>
      <c r="AM691">
        <f t="shared" si="269"/>
        <v>0.14899999999999999</v>
      </c>
      <c r="AN691">
        <v>10624</v>
      </c>
      <c r="AO691" t="s">
        <v>13</v>
      </c>
      <c r="AP691" s="3">
        <f t="shared" si="272"/>
        <v>12484.136310223266</v>
      </c>
      <c r="AQ691" t="s">
        <v>13</v>
      </c>
      <c r="AR691">
        <f t="shared" si="271"/>
        <v>0.46979865771812085</v>
      </c>
      <c r="AS691">
        <f t="shared" si="270"/>
        <v>7.9000000000000001E-2</v>
      </c>
      <c r="AT691">
        <f t="shared" si="273"/>
        <v>986</v>
      </c>
      <c r="AU691">
        <f t="shared" si="274"/>
        <v>874</v>
      </c>
      <c r="AV691">
        <f t="shared" si="255"/>
        <v>793</v>
      </c>
      <c r="AW691">
        <f t="shared" si="256"/>
        <v>889</v>
      </c>
      <c r="AX691" s="3">
        <f t="shared" si="257"/>
        <v>10802.136310223266</v>
      </c>
      <c r="AY691">
        <f t="shared" si="258"/>
        <v>493</v>
      </c>
      <c r="AZ691">
        <f t="shared" si="259"/>
        <v>911</v>
      </c>
      <c r="BA691" s="3">
        <f t="shared" si="260"/>
        <v>11080.136310223266</v>
      </c>
    </row>
    <row r="692" spans="1:53" x14ac:dyDescent="0.2">
      <c r="A692">
        <v>1996</v>
      </c>
      <c r="B692" t="s">
        <v>79</v>
      </c>
      <c r="C692" t="s">
        <v>57</v>
      </c>
      <c r="D692">
        <v>0</v>
      </c>
      <c r="E692">
        <v>0</v>
      </c>
      <c r="F692">
        <v>0</v>
      </c>
      <c r="G692">
        <v>0.8</v>
      </c>
      <c r="H692">
        <v>0</v>
      </c>
      <c r="I692">
        <v>0.5</v>
      </c>
      <c r="J692">
        <v>0</v>
      </c>
      <c r="K692">
        <f t="shared" si="275"/>
        <v>1.3</v>
      </c>
      <c r="L692">
        <v>0</v>
      </c>
      <c r="M692">
        <v>0</v>
      </c>
      <c r="N692">
        <v>0</v>
      </c>
      <c r="O692">
        <f t="shared" si="264"/>
        <v>0</v>
      </c>
      <c r="P692" s="1">
        <v>0</v>
      </c>
      <c r="Q692">
        <v>0.7</v>
      </c>
      <c r="R692">
        <v>0</v>
      </c>
      <c r="S692">
        <f t="shared" si="265"/>
        <v>0.7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f t="shared" si="266"/>
        <v>0</v>
      </c>
      <c r="AB692">
        <v>0</v>
      </c>
      <c r="AC692">
        <v>0</v>
      </c>
      <c r="AD692">
        <v>0</v>
      </c>
      <c r="AE692">
        <v>18.399999999999999</v>
      </c>
      <c r="AF692">
        <v>0.1</v>
      </c>
      <c r="AG692">
        <v>0</v>
      </c>
      <c r="AH692">
        <v>0</v>
      </c>
      <c r="AI692">
        <v>0</v>
      </c>
      <c r="AJ692">
        <f t="shared" si="267"/>
        <v>18.5</v>
      </c>
      <c r="AK692">
        <v>0</v>
      </c>
      <c r="AL692">
        <v>0.79400000000000004</v>
      </c>
      <c r="AM692">
        <f t="shared" si="269"/>
        <v>0.20499999999999999</v>
      </c>
      <c r="AN692">
        <v>17777</v>
      </c>
      <c r="AO692" t="s">
        <v>13</v>
      </c>
      <c r="AP692" s="3">
        <f t="shared" si="272"/>
        <v>22361.006289308174</v>
      </c>
      <c r="AQ692" t="s">
        <v>13</v>
      </c>
      <c r="AR692">
        <f t="shared" si="271"/>
        <v>0.90243902439024393</v>
      </c>
      <c r="AS692">
        <f t="shared" si="270"/>
        <v>0.02</v>
      </c>
      <c r="AT692">
        <f t="shared" si="273"/>
        <v>447</v>
      </c>
      <c r="AU692">
        <f t="shared" si="274"/>
        <v>4137</v>
      </c>
      <c r="AV692">
        <f t="shared" si="255"/>
        <v>302</v>
      </c>
      <c r="AW692">
        <f t="shared" si="256"/>
        <v>4164</v>
      </c>
      <c r="AX692" s="3">
        <f t="shared" si="257"/>
        <v>17895.006289308174</v>
      </c>
      <c r="AY692">
        <f t="shared" si="258"/>
        <v>224</v>
      </c>
      <c r="AZ692">
        <f t="shared" si="259"/>
        <v>4179</v>
      </c>
      <c r="BA692" s="3">
        <f t="shared" si="260"/>
        <v>17958.006289308174</v>
      </c>
    </row>
    <row r="693" spans="1:53" x14ac:dyDescent="0.2">
      <c r="A693">
        <v>1997</v>
      </c>
      <c r="B693" t="s">
        <v>79</v>
      </c>
      <c r="C693" t="s">
        <v>57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f t="shared" si="275"/>
        <v>0</v>
      </c>
      <c r="L693">
        <v>0</v>
      </c>
      <c r="M693">
        <v>1.1000000000000001</v>
      </c>
      <c r="N693">
        <v>0</v>
      </c>
      <c r="O693">
        <f t="shared" si="264"/>
        <v>1.1000000000000001</v>
      </c>
      <c r="P693" s="1">
        <v>0</v>
      </c>
      <c r="Q693">
        <v>2.8</v>
      </c>
      <c r="R693">
        <v>4.8</v>
      </c>
      <c r="S693">
        <f t="shared" si="265"/>
        <v>7.6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11.1</v>
      </c>
      <c r="AA693">
        <f t="shared" si="266"/>
        <v>11.1</v>
      </c>
      <c r="AB693">
        <v>0</v>
      </c>
      <c r="AC693">
        <v>0</v>
      </c>
      <c r="AD693">
        <v>0</v>
      </c>
      <c r="AE693">
        <v>1.8</v>
      </c>
      <c r="AF693">
        <v>6.2</v>
      </c>
      <c r="AG693">
        <v>0</v>
      </c>
      <c r="AH693">
        <v>0</v>
      </c>
      <c r="AI693">
        <v>0</v>
      </c>
      <c r="AJ693">
        <f t="shared" si="267"/>
        <v>8</v>
      </c>
      <c r="AK693">
        <v>0</v>
      </c>
      <c r="AL693">
        <v>0.72099999999999997</v>
      </c>
      <c r="AM693">
        <f t="shared" si="269"/>
        <v>0.27800000000000002</v>
      </c>
      <c r="AN693">
        <v>9612</v>
      </c>
      <c r="AO693" t="s">
        <v>13</v>
      </c>
      <c r="AP693" s="3">
        <f t="shared" si="272"/>
        <v>13313.019390581718</v>
      </c>
      <c r="AQ693" t="s">
        <v>13</v>
      </c>
      <c r="AR693">
        <f t="shared" si="271"/>
        <v>0.28776978417266186</v>
      </c>
      <c r="AS693">
        <f t="shared" si="270"/>
        <v>0.19799999999999998</v>
      </c>
      <c r="AT693">
        <f t="shared" si="273"/>
        <v>2636</v>
      </c>
      <c r="AU693">
        <f t="shared" si="274"/>
        <v>1065</v>
      </c>
      <c r="AV693">
        <f t="shared" si="255"/>
        <v>2636</v>
      </c>
      <c r="AW693">
        <f t="shared" si="256"/>
        <v>1065</v>
      </c>
      <c r="AX693" s="3">
        <f t="shared" si="257"/>
        <v>9612.0193905817177</v>
      </c>
      <c r="AY693">
        <f t="shared" si="258"/>
        <v>1318</v>
      </c>
      <c r="AZ693">
        <f t="shared" si="259"/>
        <v>1196</v>
      </c>
      <c r="BA693" s="3">
        <f t="shared" si="260"/>
        <v>10799.019390581718</v>
      </c>
    </row>
    <row r="694" spans="1:53" x14ac:dyDescent="0.2">
      <c r="A694">
        <v>1998</v>
      </c>
      <c r="B694" t="s">
        <v>79</v>
      </c>
      <c r="C694" t="s">
        <v>57</v>
      </c>
      <c r="D694">
        <v>0</v>
      </c>
      <c r="E694">
        <v>0</v>
      </c>
      <c r="F694">
        <v>0</v>
      </c>
      <c r="G694">
        <v>0</v>
      </c>
      <c r="H694">
        <v>6.1</v>
      </c>
      <c r="I694">
        <v>0</v>
      </c>
      <c r="J694">
        <v>0</v>
      </c>
      <c r="K694">
        <f t="shared" si="275"/>
        <v>6.1</v>
      </c>
      <c r="L694">
        <v>0</v>
      </c>
      <c r="M694">
        <v>0</v>
      </c>
      <c r="N694">
        <v>0</v>
      </c>
      <c r="O694">
        <f t="shared" si="264"/>
        <v>0</v>
      </c>
      <c r="P694" s="1">
        <v>0</v>
      </c>
      <c r="Q694">
        <v>0.9</v>
      </c>
      <c r="R694">
        <v>2.9</v>
      </c>
      <c r="S694">
        <f t="shared" si="265"/>
        <v>3.8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f t="shared" si="266"/>
        <v>0</v>
      </c>
      <c r="AB694">
        <v>0</v>
      </c>
      <c r="AC694">
        <v>0</v>
      </c>
      <c r="AD694">
        <v>0</v>
      </c>
      <c r="AE694">
        <v>9.9</v>
      </c>
      <c r="AF694">
        <v>16.899999999999999</v>
      </c>
      <c r="AG694">
        <v>0</v>
      </c>
      <c r="AH694">
        <v>0</v>
      </c>
      <c r="AI694">
        <v>0</v>
      </c>
      <c r="AJ694">
        <f t="shared" si="267"/>
        <v>26.799999999999997</v>
      </c>
      <c r="AK694">
        <v>0</v>
      </c>
      <c r="AL694">
        <v>0.63400000000000001</v>
      </c>
      <c r="AM694">
        <f t="shared" si="269"/>
        <v>0.36699999999999994</v>
      </c>
      <c r="AN694">
        <v>1547</v>
      </c>
      <c r="AO694" t="s">
        <v>13</v>
      </c>
      <c r="AP694" s="3">
        <f t="shared" si="272"/>
        <v>2443.9178515007898</v>
      </c>
      <c r="AQ694" t="s">
        <v>13</v>
      </c>
      <c r="AR694">
        <f t="shared" si="271"/>
        <v>0.73024523160762944</v>
      </c>
      <c r="AS694">
        <f t="shared" si="270"/>
        <v>9.8999999999999991E-2</v>
      </c>
      <c r="AT694">
        <f t="shared" si="273"/>
        <v>242</v>
      </c>
      <c r="AU694">
        <f t="shared" si="274"/>
        <v>655</v>
      </c>
      <c r="AV694">
        <f t="shared" si="255"/>
        <v>167</v>
      </c>
      <c r="AW694">
        <f t="shared" si="256"/>
        <v>677</v>
      </c>
      <c r="AX694" s="3">
        <f t="shared" si="257"/>
        <v>1599.9178515007898</v>
      </c>
      <c r="AY694">
        <f t="shared" si="258"/>
        <v>121</v>
      </c>
      <c r="AZ694">
        <f t="shared" si="259"/>
        <v>691</v>
      </c>
      <c r="BA694" s="3">
        <f t="shared" si="260"/>
        <v>1631.9178515007898</v>
      </c>
    </row>
    <row r="695" spans="1:53" x14ac:dyDescent="0.2">
      <c r="A695">
        <v>1999</v>
      </c>
      <c r="B695" t="s">
        <v>79</v>
      </c>
      <c r="C695" t="s">
        <v>57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f t="shared" si="275"/>
        <v>0</v>
      </c>
      <c r="L695">
        <v>0</v>
      </c>
      <c r="M695">
        <v>0</v>
      </c>
      <c r="N695">
        <v>0</v>
      </c>
      <c r="O695">
        <f t="shared" si="264"/>
        <v>0</v>
      </c>
      <c r="P695" s="1">
        <v>0</v>
      </c>
      <c r="Q695">
        <v>0</v>
      </c>
      <c r="R695">
        <v>0.8</v>
      </c>
      <c r="S695">
        <f t="shared" si="265"/>
        <v>0.8</v>
      </c>
      <c r="T695">
        <v>0.8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f t="shared" si="266"/>
        <v>0.8</v>
      </c>
      <c r="AB695">
        <v>0</v>
      </c>
      <c r="AC695">
        <v>0</v>
      </c>
      <c r="AD695">
        <v>0</v>
      </c>
      <c r="AE695">
        <v>6.9</v>
      </c>
      <c r="AF695">
        <v>2.2000000000000002</v>
      </c>
      <c r="AG695">
        <v>0</v>
      </c>
      <c r="AH695">
        <v>0</v>
      </c>
      <c r="AI695">
        <v>0</v>
      </c>
      <c r="AJ695">
        <f t="shared" si="267"/>
        <v>9.1000000000000014</v>
      </c>
      <c r="AK695">
        <v>0</v>
      </c>
      <c r="AL695">
        <v>0.89300000000000002</v>
      </c>
      <c r="AM695">
        <f t="shared" si="269"/>
        <v>0.10700000000000003</v>
      </c>
      <c r="AN695">
        <v>8130</v>
      </c>
      <c r="AO695" t="s">
        <v>13</v>
      </c>
      <c r="AP695" s="3">
        <f t="shared" si="272"/>
        <v>9104.1433370660689</v>
      </c>
      <c r="AQ695" t="s">
        <v>13</v>
      </c>
      <c r="AR695">
        <f t="shared" si="271"/>
        <v>0.85046728971962604</v>
      </c>
      <c r="AS695">
        <f t="shared" si="270"/>
        <v>1.6E-2</v>
      </c>
      <c r="AT695">
        <f t="shared" si="273"/>
        <v>146</v>
      </c>
      <c r="AU695">
        <f t="shared" si="274"/>
        <v>828</v>
      </c>
      <c r="AV695">
        <f t="shared" si="255"/>
        <v>146</v>
      </c>
      <c r="AW695">
        <f t="shared" si="256"/>
        <v>828</v>
      </c>
      <c r="AX695" s="3">
        <f t="shared" si="257"/>
        <v>8130.1433370660689</v>
      </c>
      <c r="AY695">
        <f t="shared" si="258"/>
        <v>73</v>
      </c>
      <c r="AZ695">
        <f t="shared" si="259"/>
        <v>835</v>
      </c>
      <c r="BA695" s="3">
        <f t="shared" si="260"/>
        <v>8196.1433370660689</v>
      </c>
    </row>
    <row r="696" spans="1:53" x14ac:dyDescent="0.2">
      <c r="A696">
        <v>2000</v>
      </c>
      <c r="B696" t="s">
        <v>79</v>
      </c>
      <c r="C696" t="s">
        <v>57</v>
      </c>
      <c r="D696">
        <v>0</v>
      </c>
      <c r="E696">
        <v>0</v>
      </c>
      <c r="F696">
        <v>0</v>
      </c>
      <c r="G696">
        <v>0</v>
      </c>
      <c r="H696">
        <v>2.4</v>
      </c>
      <c r="I696">
        <v>0</v>
      </c>
      <c r="J696">
        <v>0</v>
      </c>
      <c r="K696">
        <f t="shared" si="275"/>
        <v>2.4</v>
      </c>
      <c r="L696">
        <v>0</v>
      </c>
      <c r="M696">
        <v>0</v>
      </c>
      <c r="N696">
        <v>0</v>
      </c>
      <c r="O696">
        <f t="shared" si="264"/>
        <v>0</v>
      </c>
      <c r="P696" s="1">
        <v>0</v>
      </c>
      <c r="Q696">
        <v>0</v>
      </c>
      <c r="R696">
        <v>4.4000000000000004</v>
      </c>
      <c r="S696">
        <f t="shared" si="265"/>
        <v>4.4000000000000004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f t="shared" si="266"/>
        <v>0</v>
      </c>
      <c r="AB696">
        <v>0</v>
      </c>
      <c r="AC696">
        <v>0</v>
      </c>
      <c r="AD696">
        <v>0</v>
      </c>
      <c r="AE696">
        <v>7.9</v>
      </c>
      <c r="AF696">
        <v>5.3</v>
      </c>
      <c r="AG696">
        <v>0</v>
      </c>
      <c r="AH696">
        <v>0</v>
      </c>
      <c r="AI696">
        <v>0</v>
      </c>
      <c r="AJ696">
        <f t="shared" si="267"/>
        <v>13.2</v>
      </c>
      <c r="AK696">
        <v>0</v>
      </c>
      <c r="AL696">
        <v>0.79900000000000004</v>
      </c>
      <c r="AM696">
        <f t="shared" si="269"/>
        <v>0.2</v>
      </c>
      <c r="AN696">
        <v>8183</v>
      </c>
      <c r="AO696" t="s">
        <v>13</v>
      </c>
      <c r="AP696" s="3">
        <f t="shared" si="272"/>
        <v>10228.75</v>
      </c>
      <c r="AQ696" t="s">
        <v>13</v>
      </c>
      <c r="AR696">
        <f t="shared" si="271"/>
        <v>0.66</v>
      </c>
      <c r="AS696">
        <f t="shared" si="270"/>
        <v>6.8000000000000005E-2</v>
      </c>
      <c r="AT696">
        <f t="shared" si="273"/>
        <v>696</v>
      </c>
      <c r="AU696">
        <f t="shared" si="274"/>
        <v>1350</v>
      </c>
      <c r="AV696">
        <f t="shared" si="255"/>
        <v>573</v>
      </c>
      <c r="AW696">
        <f t="shared" si="256"/>
        <v>1367</v>
      </c>
      <c r="AX696" s="3">
        <f t="shared" si="257"/>
        <v>8288.75</v>
      </c>
      <c r="AY696">
        <f t="shared" si="258"/>
        <v>348</v>
      </c>
      <c r="AZ696">
        <f t="shared" si="259"/>
        <v>1399</v>
      </c>
      <c r="BA696" s="3">
        <f t="shared" si="260"/>
        <v>8481.75</v>
      </c>
    </row>
    <row r="697" spans="1:53" x14ac:dyDescent="0.2">
      <c r="A697">
        <v>2001</v>
      </c>
      <c r="B697" t="s">
        <v>79</v>
      </c>
      <c r="C697" t="s">
        <v>57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0.1</v>
      </c>
      <c r="J697">
        <v>0</v>
      </c>
      <c r="K697">
        <f t="shared" si="275"/>
        <v>0.1</v>
      </c>
      <c r="L697">
        <v>0</v>
      </c>
      <c r="M697">
        <v>0</v>
      </c>
      <c r="N697">
        <v>0</v>
      </c>
      <c r="O697">
        <f t="shared" si="264"/>
        <v>0</v>
      </c>
      <c r="P697" s="1">
        <v>0</v>
      </c>
      <c r="Q697">
        <v>0</v>
      </c>
      <c r="R697">
        <v>4.2</v>
      </c>
      <c r="S697">
        <f t="shared" si="265"/>
        <v>4.2</v>
      </c>
      <c r="T697">
        <v>0.8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f t="shared" si="266"/>
        <v>0.8</v>
      </c>
      <c r="AB697">
        <v>0</v>
      </c>
      <c r="AC697">
        <v>0</v>
      </c>
      <c r="AD697">
        <v>0</v>
      </c>
      <c r="AE697">
        <v>6.7</v>
      </c>
      <c r="AF697">
        <v>4.4000000000000004</v>
      </c>
      <c r="AG697">
        <v>0</v>
      </c>
      <c r="AH697">
        <v>0</v>
      </c>
      <c r="AI697">
        <v>0</v>
      </c>
      <c r="AJ697">
        <f t="shared" si="267"/>
        <v>11.100000000000001</v>
      </c>
      <c r="AK697">
        <v>0</v>
      </c>
      <c r="AL697">
        <v>0.83799999999999997</v>
      </c>
      <c r="AM697">
        <f t="shared" si="269"/>
        <v>0.16200000000000003</v>
      </c>
      <c r="AN697">
        <v>8984</v>
      </c>
      <c r="AO697" t="s">
        <v>13</v>
      </c>
      <c r="AP697" s="3">
        <f t="shared" si="272"/>
        <v>10720.763723150358</v>
      </c>
      <c r="AQ697" t="s">
        <v>13</v>
      </c>
      <c r="AR697">
        <f t="shared" si="271"/>
        <v>0.68518518518518512</v>
      </c>
      <c r="AS697">
        <f t="shared" si="270"/>
        <v>5.0999999999999997E-2</v>
      </c>
      <c r="AT697">
        <f t="shared" si="273"/>
        <v>547</v>
      </c>
      <c r="AU697">
        <f t="shared" si="274"/>
        <v>1190</v>
      </c>
      <c r="AV697">
        <f t="shared" si="255"/>
        <v>541</v>
      </c>
      <c r="AW697">
        <f t="shared" si="256"/>
        <v>1191</v>
      </c>
      <c r="AX697" s="3">
        <f t="shared" si="257"/>
        <v>8988.7637231503577</v>
      </c>
      <c r="AY697">
        <f t="shared" si="258"/>
        <v>273</v>
      </c>
      <c r="AZ697">
        <f t="shared" si="259"/>
        <v>1222</v>
      </c>
      <c r="BA697" s="3">
        <f t="shared" si="260"/>
        <v>9225.7637231503577</v>
      </c>
    </row>
    <row r="698" spans="1:53" x14ac:dyDescent="0.2">
      <c r="A698">
        <v>2002</v>
      </c>
      <c r="B698" t="s">
        <v>79</v>
      </c>
      <c r="C698" t="s">
        <v>57</v>
      </c>
      <c r="D698">
        <v>0</v>
      </c>
      <c r="E698">
        <v>0</v>
      </c>
      <c r="F698">
        <v>0</v>
      </c>
      <c r="G698">
        <v>1.4</v>
      </c>
      <c r="H698">
        <v>0.4</v>
      </c>
      <c r="I698">
        <v>0.6</v>
      </c>
      <c r="J698">
        <v>0</v>
      </c>
      <c r="K698">
        <f t="shared" si="275"/>
        <v>2.4</v>
      </c>
      <c r="L698">
        <v>0</v>
      </c>
      <c r="M698">
        <v>0.2</v>
      </c>
      <c r="N698">
        <v>0</v>
      </c>
      <c r="O698">
        <f t="shared" si="264"/>
        <v>0.2</v>
      </c>
      <c r="P698">
        <v>0</v>
      </c>
      <c r="Q698">
        <v>0</v>
      </c>
      <c r="R698">
        <v>1.1000000000000001</v>
      </c>
      <c r="S698">
        <f t="shared" si="265"/>
        <v>1.1000000000000001</v>
      </c>
      <c r="T698">
        <v>0.7</v>
      </c>
      <c r="U698">
        <v>0.2</v>
      </c>
      <c r="V698">
        <v>0.2</v>
      </c>
      <c r="W698">
        <v>0</v>
      </c>
      <c r="X698">
        <v>0</v>
      </c>
      <c r="Y698">
        <v>0</v>
      </c>
      <c r="Z698">
        <v>0</v>
      </c>
      <c r="AA698">
        <f t="shared" si="266"/>
        <v>1.0999999999999999</v>
      </c>
      <c r="AB698">
        <v>0</v>
      </c>
      <c r="AC698">
        <v>0</v>
      </c>
      <c r="AD698">
        <v>0</v>
      </c>
      <c r="AE698">
        <v>4</v>
      </c>
      <c r="AF698">
        <v>2.5</v>
      </c>
      <c r="AG698">
        <v>0</v>
      </c>
      <c r="AH698">
        <v>0</v>
      </c>
      <c r="AI698">
        <v>0</v>
      </c>
      <c r="AJ698">
        <f t="shared" si="267"/>
        <v>6.5</v>
      </c>
      <c r="AK698">
        <v>0</v>
      </c>
      <c r="AL698">
        <v>0.88700000000000001</v>
      </c>
      <c r="AM698">
        <f t="shared" si="269"/>
        <v>0.113</v>
      </c>
      <c r="AN698">
        <v>12885</v>
      </c>
      <c r="AO698" t="s">
        <v>13</v>
      </c>
      <c r="AP698" s="3">
        <f t="shared" si="272"/>
        <v>14526.493799323562</v>
      </c>
      <c r="AQ698" t="s">
        <v>13</v>
      </c>
      <c r="AR698">
        <f t="shared" si="271"/>
        <v>0.5752212389380531</v>
      </c>
      <c r="AS698">
        <f t="shared" ref="AS698:AS729" si="276">SUM(K698,O698,S698,AA698)/100</f>
        <v>4.8000000000000001E-2</v>
      </c>
      <c r="AT698">
        <f t="shared" si="273"/>
        <v>697</v>
      </c>
      <c r="AU698">
        <f t="shared" si="274"/>
        <v>944</v>
      </c>
      <c r="AV698">
        <f t="shared" si="255"/>
        <v>523</v>
      </c>
      <c r="AW698">
        <f t="shared" si="256"/>
        <v>956</v>
      </c>
      <c r="AX698" s="3">
        <f t="shared" si="257"/>
        <v>13047.493799323562</v>
      </c>
      <c r="AY698">
        <f t="shared" si="258"/>
        <v>349</v>
      </c>
      <c r="AZ698">
        <f t="shared" si="259"/>
        <v>968</v>
      </c>
      <c r="BA698" s="3">
        <f t="shared" si="260"/>
        <v>13209.493799323562</v>
      </c>
    </row>
    <row r="699" spans="1:53" x14ac:dyDescent="0.2">
      <c r="A699">
        <v>2003</v>
      </c>
      <c r="B699" t="s">
        <v>79</v>
      </c>
      <c r="C699" t="s">
        <v>57</v>
      </c>
      <c r="D699">
        <v>0.1</v>
      </c>
      <c r="E699">
        <v>0</v>
      </c>
      <c r="F699">
        <v>0</v>
      </c>
      <c r="G699">
        <v>2.9</v>
      </c>
      <c r="H699">
        <v>0</v>
      </c>
      <c r="I699">
        <v>0.9</v>
      </c>
      <c r="J699">
        <v>0.6</v>
      </c>
      <c r="K699">
        <f t="shared" si="275"/>
        <v>4.5</v>
      </c>
      <c r="L699">
        <v>0</v>
      </c>
      <c r="M699">
        <v>0</v>
      </c>
      <c r="N699">
        <v>0</v>
      </c>
      <c r="O699">
        <f t="shared" si="264"/>
        <v>0</v>
      </c>
      <c r="P699">
        <v>0</v>
      </c>
      <c r="Q699">
        <v>0</v>
      </c>
      <c r="R699">
        <v>2.6</v>
      </c>
      <c r="S699">
        <f t="shared" si="265"/>
        <v>2.6</v>
      </c>
      <c r="T699">
        <v>0.6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f t="shared" si="266"/>
        <v>0.6</v>
      </c>
      <c r="AB699">
        <v>0</v>
      </c>
      <c r="AC699">
        <v>0</v>
      </c>
      <c r="AD699">
        <v>0</v>
      </c>
      <c r="AE699">
        <v>0.6</v>
      </c>
      <c r="AF699">
        <v>6.7</v>
      </c>
      <c r="AG699">
        <v>0</v>
      </c>
      <c r="AH699">
        <v>0</v>
      </c>
      <c r="AI699">
        <v>0</v>
      </c>
      <c r="AJ699">
        <f t="shared" si="267"/>
        <v>7.3</v>
      </c>
      <c r="AK699">
        <v>0</v>
      </c>
      <c r="AL699">
        <v>0.85</v>
      </c>
      <c r="AM699">
        <f t="shared" si="269"/>
        <v>0.15</v>
      </c>
      <c r="AN699">
        <v>14490</v>
      </c>
      <c r="AO699" t="s">
        <v>13</v>
      </c>
      <c r="AP699" s="3">
        <f t="shared" si="272"/>
        <v>17047.058823529413</v>
      </c>
      <c r="AQ699" t="s">
        <v>13</v>
      </c>
      <c r="AR699">
        <f t="shared" si="271"/>
        <v>0.48666666666666664</v>
      </c>
      <c r="AS699">
        <f t="shared" si="276"/>
        <v>7.6999999999999999E-2</v>
      </c>
      <c r="AT699">
        <f t="shared" si="273"/>
        <v>1313</v>
      </c>
      <c r="AU699">
        <f t="shared" si="274"/>
        <v>1244</v>
      </c>
      <c r="AV699">
        <f t="shared" si="255"/>
        <v>929</v>
      </c>
      <c r="AW699">
        <f t="shared" si="256"/>
        <v>1274</v>
      </c>
      <c r="AX699" s="3">
        <f t="shared" si="257"/>
        <v>14844.058823529413</v>
      </c>
      <c r="AY699">
        <f t="shared" si="258"/>
        <v>656</v>
      </c>
      <c r="AZ699">
        <f t="shared" si="259"/>
        <v>1296</v>
      </c>
      <c r="BA699" s="3">
        <f t="shared" si="260"/>
        <v>15095.058823529413</v>
      </c>
    </row>
    <row r="700" spans="1:53" x14ac:dyDescent="0.2">
      <c r="A700">
        <v>2004</v>
      </c>
      <c r="B700" t="s">
        <v>79</v>
      </c>
      <c r="C700" t="s">
        <v>57</v>
      </c>
      <c r="D700">
        <v>0</v>
      </c>
      <c r="E700">
        <v>0</v>
      </c>
      <c r="F700">
        <v>0</v>
      </c>
      <c r="G700">
        <v>2.2999999999999998</v>
      </c>
      <c r="H700">
        <v>0</v>
      </c>
      <c r="I700">
        <v>2</v>
      </c>
      <c r="J700">
        <v>0</v>
      </c>
      <c r="K700">
        <f t="shared" si="275"/>
        <v>4.3</v>
      </c>
      <c r="L700">
        <v>0</v>
      </c>
      <c r="M700">
        <v>0</v>
      </c>
      <c r="N700">
        <v>0</v>
      </c>
      <c r="O700">
        <f t="shared" si="264"/>
        <v>0</v>
      </c>
      <c r="P700">
        <v>0</v>
      </c>
      <c r="Q700">
        <v>0</v>
      </c>
      <c r="R700">
        <v>3.8</v>
      </c>
      <c r="S700">
        <f t="shared" si="265"/>
        <v>3.8</v>
      </c>
      <c r="T700">
        <v>1.1000000000000001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f t="shared" si="266"/>
        <v>1.1000000000000001</v>
      </c>
      <c r="AB700">
        <v>0</v>
      </c>
      <c r="AC700">
        <v>0</v>
      </c>
      <c r="AD700">
        <v>0</v>
      </c>
      <c r="AE700">
        <v>23.6</v>
      </c>
      <c r="AF700">
        <v>0</v>
      </c>
      <c r="AG700">
        <v>0</v>
      </c>
      <c r="AH700">
        <v>0</v>
      </c>
      <c r="AI700">
        <v>0</v>
      </c>
      <c r="AJ700">
        <f t="shared" si="267"/>
        <v>23.6</v>
      </c>
      <c r="AK700">
        <v>0</v>
      </c>
      <c r="AL700">
        <v>0.67299999999999993</v>
      </c>
      <c r="AM700">
        <f t="shared" si="269"/>
        <v>0.32800000000000007</v>
      </c>
      <c r="AN700">
        <v>10153</v>
      </c>
      <c r="AO700" t="s">
        <v>13</v>
      </c>
      <c r="AP700" s="3">
        <f t="shared" si="272"/>
        <v>15108.630952380954</v>
      </c>
      <c r="AQ700" t="s">
        <v>13</v>
      </c>
      <c r="AR700">
        <f t="shared" si="271"/>
        <v>0.71951219512195108</v>
      </c>
      <c r="AS700">
        <f t="shared" si="276"/>
        <v>9.1999999999999998E-2</v>
      </c>
      <c r="AT700">
        <f t="shared" si="273"/>
        <v>1390</v>
      </c>
      <c r="AU700">
        <f t="shared" si="274"/>
        <v>3566</v>
      </c>
      <c r="AV700">
        <f t="shared" si="255"/>
        <v>1065</v>
      </c>
      <c r="AW700">
        <f t="shared" si="256"/>
        <v>3650</v>
      </c>
      <c r="AX700" s="3">
        <f t="shared" si="257"/>
        <v>10393.630952380954</v>
      </c>
      <c r="AY700">
        <f t="shared" si="258"/>
        <v>695</v>
      </c>
      <c r="AZ700">
        <f t="shared" si="259"/>
        <v>3747</v>
      </c>
      <c r="BA700" s="3">
        <f t="shared" si="260"/>
        <v>10666.630952380954</v>
      </c>
    </row>
    <row r="701" spans="1:53" x14ac:dyDescent="0.2">
      <c r="A701">
        <v>2005</v>
      </c>
      <c r="B701" t="s">
        <v>79</v>
      </c>
      <c r="C701" t="s">
        <v>57</v>
      </c>
      <c r="D701">
        <v>0</v>
      </c>
      <c r="E701">
        <v>0</v>
      </c>
      <c r="F701">
        <v>0</v>
      </c>
      <c r="G701">
        <v>1.3</v>
      </c>
      <c r="H701">
        <v>0</v>
      </c>
      <c r="I701">
        <v>3.8</v>
      </c>
      <c r="J701">
        <v>0</v>
      </c>
      <c r="K701">
        <f t="shared" si="275"/>
        <v>5.0999999999999996</v>
      </c>
      <c r="L701">
        <v>0</v>
      </c>
      <c r="M701">
        <v>0</v>
      </c>
      <c r="N701">
        <v>0</v>
      </c>
      <c r="O701">
        <f t="shared" si="264"/>
        <v>0</v>
      </c>
      <c r="P701">
        <v>0</v>
      </c>
      <c r="Q701">
        <v>0</v>
      </c>
      <c r="R701">
        <v>8</v>
      </c>
      <c r="S701">
        <f t="shared" si="265"/>
        <v>8</v>
      </c>
      <c r="T701">
        <v>0.6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f t="shared" si="266"/>
        <v>0.6</v>
      </c>
      <c r="AB701">
        <v>0</v>
      </c>
      <c r="AC701">
        <v>0</v>
      </c>
      <c r="AD701">
        <v>0</v>
      </c>
      <c r="AE701">
        <v>14.4</v>
      </c>
      <c r="AF701">
        <v>14.6</v>
      </c>
      <c r="AG701">
        <v>0</v>
      </c>
      <c r="AH701">
        <v>0</v>
      </c>
      <c r="AI701">
        <v>0</v>
      </c>
      <c r="AJ701">
        <f t="shared" si="267"/>
        <v>29</v>
      </c>
      <c r="AK701">
        <v>0</v>
      </c>
      <c r="AL701">
        <v>0.57399999999999995</v>
      </c>
      <c r="AM701">
        <f t="shared" si="269"/>
        <v>0.42699999999999994</v>
      </c>
      <c r="AN701">
        <v>3248</v>
      </c>
      <c r="AO701" t="s">
        <v>13</v>
      </c>
      <c r="AP701" s="3">
        <f t="shared" si="272"/>
        <v>5668.4118673647463</v>
      </c>
      <c r="AQ701" t="s">
        <v>13</v>
      </c>
      <c r="AR701">
        <f t="shared" si="271"/>
        <v>0.67915690866510547</v>
      </c>
      <c r="AS701">
        <f t="shared" si="276"/>
        <v>0.13699999999999998</v>
      </c>
      <c r="AT701">
        <f t="shared" si="273"/>
        <v>777</v>
      </c>
      <c r="AU701">
        <f t="shared" si="274"/>
        <v>1644</v>
      </c>
      <c r="AV701">
        <f t="shared" si="255"/>
        <v>632</v>
      </c>
      <c r="AW701">
        <f t="shared" si="256"/>
        <v>1693</v>
      </c>
      <c r="AX701" s="3">
        <f t="shared" si="257"/>
        <v>3343.4118673647463</v>
      </c>
      <c r="AY701">
        <f t="shared" si="258"/>
        <v>388</v>
      </c>
      <c r="AZ701">
        <f t="shared" si="259"/>
        <v>1775</v>
      </c>
      <c r="BA701" s="3">
        <f t="shared" si="260"/>
        <v>3505.4118673647463</v>
      </c>
    </row>
    <row r="702" spans="1:53" x14ac:dyDescent="0.2">
      <c r="A702">
        <v>2006</v>
      </c>
      <c r="B702" t="s">
        <v>79</v>
      </c>
      <c r="C702" t="s">
        <v>57</v>
      </c>
      <c r="D702">
        <v>0</v>
      </c>
      <c r="E702">
        <v>0</v>
      </c>
      <c r="F702">
        <v>0</v>
      </c>
      <c r="G702">
        <v>1.8</v>
      </c>
      <c r="H702">
        <v>0</v>
      </c>
      <c r="I702">
        <v>1.6</v>
      </c>
      <c r="J702">
        <v>0</v>
      </c>
      <c r="K702">
        <f t="shared" si="275"/>
        <v>3.4000000000000004</v>
      </c>
      <c r="L702">
        <v>0</v>
      </c>
      <c r="M702">
        <v>0</v>
      </c>
      <c r="N702">
        <v>0</v>
      </c>
      <c r="O702">
        <f t="shared" si="264"/>
        <v>0</v>
      </c>
      <c r="P702">
        <v>0</v>
      </c>
      <c r="Q702">
        <v>0</v>
      </c>
      <c r="R702">
        <v>2.8</v>
      </c>
      <c r="S702">
        <f t="shared" si="265"/>
        <v>2.8</v>
      </c>
      <c r="T702">
        <v>0.5</v>
      </c>
      <c r="U702">
        <v>0</v>
      </c>
      <c r="V702">
        <v>0</v>
      </c>
      <c r="W702">
        <v>0.7</v>
      </c>
      <c r="X702">
        <v>0</v>
      </c>
      <c r="Y702">
        <v>0</v>
      </c>
      <c r="Z702">
        <v>0</v>
      </c>
      <c r="AA702">
        <f t="shared" si="266"/>
        <v>1.2</v>
      </c>
      <c r="AB702">
        <v>0</v>
      </c>
      <c r="AC702">
        <v>0</v>
      </c>
      <c r="AD702">
        <v>0</v>
      </c>
      <c r="AE702">
        <v>13.8</v>
      </c>
      <c r="AF702">
        <v>9.6</v>
      </c>
      <c r="AG702">
        <v>0</v>
      </c>
      <c r="AH702">
        <v>0</v>
      </c>
      <c r="AI702">
        <v>0</v>
      </c>
      <c r="AJ702">
        <f t="shared" si="267"/>
        <v>23.4</v>
      </c>
      <c r="AK702">
        <v>0</v>
      </c>
      <c r="AL702">
        <v>0.69099999999999995</v>
      </c>
      <c r="AM702">
        <f t="shared" si="269"/>
        <v>0.308</v>
      </c>
      <c r="AN702">
        <v>5087</v>
      </c>
      <c r="AO702" t="s">
        <v>13</v>
      </c>
      <c r="AP702" s="3">
        <f t="shared" si="272"/>
        <v>7351.1560693641622</v>
      </c>
      <c r="AQ702" t="s">
        <v>13</v>
      </c>
      <c r="AR702">
        <f t="shared" si="271"/>
        <v>0.75974025974025972</v>
      </c>
      <c r="AS702">
        <f t="shared" si="276"/>
        <v>7.400000000000001E-2</v>
      </c>
      <c r="AT702">
        <f t="shared" si="273"/>
        <v>544</v>
      </c>
      <c r="AU702">
        <f t="shared" si="274"/>
        <v>1720</v>
      </c>
      <c r="AV702">
        <f t="shared" si="255"/>
        <v>419</v>
      </c>
      <c r="AW702">
        <f t="shared" si="256"/>
        <v>1752</v>
      </c>
      <c r="AX702" s="3">
        <f t="shared" si="257"/>
        <v>5180.1560693641622</v>
      </c>
      <c r="AY702">
        <f t="shared" si="258"/>
        <v>272</v>
      </c>
      <c r="AZ702">
        <f t="shared" si="259"/>
        <v>1789</v>
      </c>
      <c r="BA702" s="3">
        <f t="shared" si="260"/>
        <v>5290.1560693641622</v>
      </c>
    </row>
    <row r="703" spans="1:53" x14ac:dyDescent="0.2">
      <c r="A703">
        <v>2007</v>
      </c>
      <c r="B703" t="s">
        <v>79</v>
      </c>
      <c r="C703" t="s">
        <v>57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6.7</v>
      </c>
      <c r="J703">
        <v>0</v>
      </c>
      <c r="K703">
        <f t="shared" si="275"/>
        <v>6.7</v>
      </c>
      <c r="L703">
        <v>0</v>
      </c>
      <c r="M703">
        <v>0</v>
      </c>
      <c r="N703">
        <v>0</v>
      </c>
      <c r="O703">
        <f t="shared" si="264"/>
        <v>0</v>
      </c>
      <c r="P703">
        <v>0</v>
      </c>
      <c r="Q703">
        <v>0</v>
      </c>
      <c r="R703">
        <v>0</v>
      </c>
      <c r="S703">
        <f t="shared" si="265"/>
        <v>0</v>
      </c>
      <c r="T703">
        <v>1.2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f t="shared" si="266"/>
        <v>1.2</v>
      </c>
      <c r="AB703">
        <v>0</v>
      </c>
      <c r="AC703">
        <v>0</v>
      </c>
      <c r="AD703">
        <v>0</v>
      </c>
      <c r="AE703">
        <v>31.3</v>
      </c>
      <c r="AF703">
        <v>21.2</v>
      </c>
      <c r="AG703">
        <v>0</v>
      </c>
      <c r="AH703">
        <v>0</v>
      </c>
      <c r="AI703">
        <v>0</v>
      </c>
      <c r="AJ703">
        <f t="shared" si="267"/>
        <v>52.5</v>
      </c>
      <c r="AK703">
        <v>0</v>
      </c>
      <c r="AL703">
        <v>0.39600000000000002</v>
      </c>
      <c r="AM703">
        <f t="shared" si="269"/>
        <v>0.60400000000000009</v>
      </c>
      <c r="AN703">
        <v>1010</v>
      </c>
      <c r="AO703" t="s">
        <v>13</v>
      </c>
      <c r="AP703" s="3">
        <f t="shared" si="272"/>
        <v>2550.5050505050513</v>
      </c>
      <c r="AQ703" t="s">
        <v>13</v>
      </c>
      <c r="AR703">
        <f t="shared" si="271"/>
        <v>0.86920529801324498</v>
      </c>
      <c r="AS703">
        <f t="shared" si="276"/>
        <v>7.9000000000000001E-2</v>
      </c>
      <c r="AT703">
        <f t="shared" si="273"/>
        <v>201</v>
      </c>
      <c r="AU703">
        <f t="shared" si="274"/>
        <v>1339</v>
      </c>
      <c r="AV703">
        <f t="shared" si="255"/>
        <v>116</v>
      </c>
      <c r="AW703">
        <f t="shared" si="256"/>
        <v>1387</v>
      </c>
      <c r="AX703" s="3">
        <f t="shared" si="257"/>
        <v>1047.5050505050513</v>
      </c>
      <c r="AY703">
        <f t="shared" si="258"/>
        <v>101</v>
      </c>
      <c r="AZ703">
        <f t="shared" si="259"/>
        <v>1396</v>
      </c>
      <c r="BA703" s="3">
        <f t="shared" si="260"/>
        <v>1053.5050505050513</v>
      </c>
    </row>
    <row r="704" spans="1:53" x14ac:dyDescent="0.2">
      <c r="A704">
        <v>2008</v>
      </c>
      <c r="B704" t="s">
        <v>79</v>
      </c>
      <c r="C704" t="s">
        <v>57</v>
      </c>
      <c r="D704">
        <v>0</v>
      </c>
      <c r="E704">
        <v>0</v>
      </c>
      <c r="F704">
        <v>0</v>
      </c>
      <c r="G704">
        <v>1.4</v>
      </c>
      <c r="H704">
        <v>0.8</v>
      </c>
      <c r="I704">
        <v>0</v>
      </c>
      <c r="J704">
        <v>0</v>
      </c>
      <c r="K704">
        <f t="shared" si="275"/>
        <v>2.2000000000000002</v>
      </c>
      <c r="L704">
        <v>0</v>
      </c>
      <c r="M704">
        <v>0</v>
      </c>
      <c r="N704">
        <v>0</v>
      </c>
      <c r="O704">
        <f t="shared" si="264"/>
        <v>0</v>
      </c>
      <c r="P704">
        <v>0</v>
      </c>
      <c r="Q704">
        <v>0</v>
      </c>
      <c r="R704">
        <v>4.4000000000000004</v>
      </c>
      <c r="S704">
        <f t="shared" si="265"/>
        <v>4.4000000000000004</v>
      </c>
      <c r="T704">
        <v>2.2000000000000002</v>
      </c>
      <c r="U704">
        <v>0.4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f t="shared" si="266"/>
        <v>2.6</v>
      </c>
      <c r="AB704">
        <v>0</v>
      </c>
      <c r="AC704">
        <v>0</v>
      </c>
      <c r="AD704">
        <v>0</v>
      </c>
      <c r="AE704">
        <v>11.3</v>
      </c>
      <c r="AF704">
        <v>3.6</v>
      </c>
      <c r="AG704">
        <v>0</v>
      </c>
      <c r="AH704">
        <v>0.5</v>
      </c>
      <c r="AI704">
        <v>0</v>
      </c>
      <c r="AJ704">
        <f t="shared" si="267"/>
        <v>15.4</v>
      </c>
      <c r="AK704">
        <v>0</v>
      </c>
      <c r="AL704">
        <v>0.755</v>
      </c>
      <c r="AM704">
        <f t="shared" si="269"/>
        <v>0.24599999999999997</v>
      </c>
      <c r="AN704">
        <v>4411</v>
      </c>
      <c r="AO704" t="s">
        <v>13</v>
      </c>
      <c r="AP704" s="3">
        <f t="shared" si="272"/>
        <v>5850.1326259946945</v>
      </c>
      <c r="AQ704" t="s">
        <v>13</v>
      </c>
      <c r="AR704">
        <f t="shared" si="271"/>
        <v>0.6260162601626017</v>
      </c>
      <c r="AS704">
        <f t="shared" si="276"/>
        <v>9.2000000000000012E-2</v>
      </c>
      <c r="AT704">
        <f t="shared" si="273"/>
        <v>538</v>
      </c>
      <c r="AU704">
        <f t="shared" si="274"/>
        <v>901</v>
      </c>
      <c r="AV704">
        <f t="shared" si="255"/>
        <v>474</v>
      </c>
      <c r="AW704">
        <f t="shared" si="256"/>
        <v>912</v>
      </c>
      <c r="AX704" s="3">
        <f t="shared" si="257"/>
        <v>4464.1326259946945</v>
      </c>
      <c r="AY704">
        <f t="shared" si="258"/>
        <v>269</v>
      </c>
      <c r="AZ704">
        <f t="shared" si="259"/>
        <v>947</v>
      </c>
      <c r="BA704" s="3">
        <f t="shared" si="260"/>
        <v>4634.1326259946945</v>
      </c>
    </row>
    <row r="705" spans="1:53" x14ac:dyDescent="0.2">
      <c r="A705">
        <v>2009</v>
      </c>
      <c r="B705" t="s">
        <v>79</v>
      </c>
      <c r="C705" t="s">
        <v>57</v>
      </c>
      <c r="D705">
        <v>0</v>
      </c>
      <c r="E705">
        <v>0</v>
      </c>
      <c r="F705">
        <v>0</v>
      </c>
      <c r="G705">
        <v>0.4</v>
      </c>
      <c r="H705">
        <v>0</v>
      </c>
      <c r="I705">
        <v>0</v>
      </c>
      <c r="J705">
        <v>0</v>
      </c>
      <c r="K705">
        <f t="shared" si="275"/>
        <v>0.4</v>
      </c>
      <c r="L705">
        <v>0</v>
      </c>
      <c r="M705">
        <v>0</v>
      </c>
      <c r="N705">
        <v>0</v>
      </c>
      <c r="O705">
        <f t="shared" si="264"/>
        <v>0</v>
      </c>
      <c r="P705">
        <v>0</v>
      </c>
      <c r="Q705">
        <v>0</v>
      </c>
      <c r="R705">
        <v>8.5</v>
      </c>
      <c r="S705">
        <f t="shared" si="265"/>
        <v>8.5</v>
      </c>
      <c r="T705">
        <v>3.6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2.4</v>
      </c>
      <c r="AA705">
        <f t="shared" si="266"/>
        <v>6</v>
      </c>
      <c r="AB705">
        <v>0</v>
      </c>
      <c r="AC705">
        <v>0</v>
      </c>
      <c r="AD705">
        <v>0</v>
      </c>
      <c r="AE705">
        <v>18.899999999999999</v>
      </c>
      <c r="AF705">
        <v>20.2</v>
      </c>
      <c r="AG705">
        <v>0</v>
      </c>
      <c r="AH705">
        <v>0</v>
      </c>
      <c r="AI705">
        <v>0</v>
      </c>
      <c r="AJ705">
        <f t="shared" si="267"/>
        <v>39.099999999999994</v>
      </c>
      <c r="AK705">
        <v>0</v>
      </c>
      <c r="AL705">
        <v>0.45899999999999996</v>
      </c>
      <c r="AM705">
        <f t="shared" si="269"/>
        <v>0.53999999999999992</v>
      </c>
      <c r="AN705">
        <v>538</v>
      </c>
      <c r="AO705" t="s">
        <v>13</v>
      </c>
      <c r="AP705" s="3">
        <f t="shared" si="272"/>
        <v>1169.5652173913043</v>
      </c>
      <c r="AQ705" t="s">
        <v>13</v>
      </c>
      <c r="AR705">
        <f t="shared" si="271"/>
        <v>0.72407407407407409</v>
      </c>
      <c r="AS705">
        <f t="shared" si="276"/>
        <v>0.14899999999999999</v>
      </c>
      <c r="AT705">
        <f t="shared" si="273"/>
        <v>174</v>
      </c>
      <c r="AU705">
        <f t="shared" si="274"/>
        <v>457</v>
      </c>
      <c r="AV705">
        <f t="shared" si="255"/>
        <v>172</v>
      </c>
      <c r="AW705">
        <f t="shared" si="256"/>
        <v>458</v>
      </c>
      <c r="AX705" s="3">
        <f t="shared" si="257"/>
        <v>539.56521739130426</v>
      </c>
      <c r="AY705">
        <f t="shared" si="258"/>
        <v>87</v>
      </c>
      <c r="AZ705">
        <f t="shared" si="259"/>
        <v>497</v>
      </c>
      <c r="BA705" s="3">
        <f t="shared" si="260"/>
        <v>585.56521739130426</v>
      </c>
    </row>
    <row r="706" spans="1:53" x14ac:dyDescent="0.2">
      <c r="A706">
        <v>2010</v>
      </c>
      <c r="B706" t="s">
        <v>79</v>
      </c>
      <c r="C706" t="s">
        <v>57</v>
      </c>
      <c r="D706">
        <v>0.4</v>
      </c>
      <c r="E706">
        <v>0</v>
      </c>
      <c r="F706">
        <v>0</v>
      </c>
      <c r="G706">
        <v>1.6</v>
      </c>
      <c r="H706">
        <v>0.2</v>
      </c>
      <c r="I706">
        <v>0</v>
      </c>
      <c r="J706">
        <v>0.1</v>
      </c>
      <c r="K706">
        <f t="shared" si="275"/>
        <v>2.3000000000000003</v>
      </c>
      <c r="L706">
        <v>0</v>
      </c>
      <c r="M706">
        <v>0</v>
      </c>
      <c r="N706">
        <v>0</v>
      </c>
      <c r="O706">
        <f t="shared" si="264"/>
        <v>0</v>
      </c>
      <c r="P706">
        <v>0</v>
      </c>
      <c r="Q706">
        <v>0</v>
      </c>
      <c r="R706">
        <v>1.9</v>
      </c>
      <c r="S706">
        <f t="shared" si="265"/>
        <v>1.9</v>
      </c>
      <c r="T706">
        <v>0.8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0.2</v>
      </c>
      <c r="AA706">
        <f t="shared" si="266"/>
        <v>1</v>
      </c>
      <c r="AB706">
        <v>0</v>
      </c>
      <c r="AC706">
        <v>0</v>
      </c>
      <c r="AD706">
        <v>0</v>
      </c>
      <c r="AE706">
        <v>4.5999999999999996</v>
      </c>
      <c r="AF706">
        <v>0</v>
      </c>
      <c r="AG706">
        <v>0</v>
      </c>
      <c r="AH706">
        <v>0</v>
      </c>
      <c r="AI706">
        <v>0</v>
      </c>
      <c r="AJ706">
        <f t="shared" si="267"/>
        <v>4.5999999999999996</v>
      </c>
      <c r="AK706">
        <v>0</v>
      </c>
      <c r="AL706">
        <v>0.90300000000000002</v>
      </c>
      <c r="AM706">
        <f t="shared" si="269"/>
        <v>9.799999999999999E-2</v>
      </c>
      <c r="AN706">
        <v>5258</v>
      </c>
      <c r="AO706" t="s">
        <v>13</v>
      </c>
      <c r="AP706" s="3">
        <f t="shared" si="272"/>
        <v>5829.2682926829266</v>
      </c>
      <c r="AQ706" t="s">
        <v>13</v>
      </c>
      <c r="AR706">
        <f t="shared" si="271"/>
        <v>0.46938775510204084</v>
      </c>
      <c r="AS706">
        <f t="shared" si="276"/>
        <v>5.2000000000000005E-2</v>
      </c>
      <c r="AT706">
        <f t="shared" si="273"/>
        <v>303</v>
      </c>
      <c r="AU706">
        <f t="shared" si="274"/>
        <v>268</v>
      </c>
      <c r="AV706">
        <f t="shared" si="255"/>
        <v>236</v>
      </c>
      <c r="AW706">
        <f t="shared" si="256"/>
        <v>271</v>
      </c>
      <c r="AX706" s="3">
        <f t="shared" si="257"/>
        <v>5322.2682926829266</v>
      </c>
      <c r="AY706">
        <f t="shared" si="258"/>
        <v>152</v>
      </c>
      <c r="AZ706">
        <f t="shared" si="259"/>
        <v>275</v>
      </c>
      <c r="BA706" s="3">
        <f t="shared" si="260"/>
        <v>5402.2682926829266</v>
      </c>
    </row>
    <row r="707" spans="1:53" x14ac:dyDescent="0.2">
      <c r="A707">
        <v>2011</v>
      </c>
      <c r="B707" t="s">
        <v>79</v>
      </c>
      <c r="C707" t="s">
        <v>57</v>
      </c>
      <c r="D707">
        <v>0</v>
      </c>
      <c r="E707">
        <v>0</v>
      </c>
      <c r="F707">
        <v>0</v>
      </c>
      <c r="G707">
        <v>0.8</v>
      </c>
      <c r="H707">
        <v>0</v>
      </c>
      <c r="I707">
        <v>0</v>
      </c>
      <c r="J707">
        <v>0.6</v>
      </c>
      <c r="K707">
        <f t="shared" si="275"/>
        <v>1.4</v>
      </c>
      <c r="L707">
        <v>0</v>
      </c>
      <c r="M707">
        <v>0</v>
      </c>
      <c r="N707">
        <v>0</v>
      </c>
      <c r="O707">
        <f t="shared" si="264"/>
        <v>0</v>
      </c>
      <c r="P707">
        <v>0</v>
      </c>
      <c r="Q707">
        <v>0.4</v>
      </c>
      <c r="R707">
        <v>5</v>
      </c>
      <c r="S707">
        <f t="shared" si="265"/>
        <v>5.4</v>
      </c>
      <c r="T707">
        <v>2.1</v>
      </c>
      <c r="U707">
        <v>0.2</v>
      </c>
      <c r="V707">
        <v>0</v>
      </c>
      <c r="W707">
        <v>0</v>
      </c>
      <c r="X707">
        <v>0</v>
      </c>
      <c r="Y707">
        <v>0</v>
      </c>
      <c r="Z707">
        <v>1</v>
      </c>
      <c r="AA707">
        <f t="shared" si="266"/>
        <v>3.3000000000000003</v>
      </c>
      <c r="AB707">
        <v>0</v>
      </c>
      <c r="AC707">
        <v>0</v>
      </c>
      <c r="AD707">
        <v>0</v>
      </c>
      <c r="AE707">
        <v>3.8</v>
      </c>
      <c r="AF707">
        <v>2.5</v>
      </c>
      <c r="AG707">
        <v>0</v>
      </c>
      <c r="AH707">
        <v>0</v>
      </c>
      <c r="AI707">
        <v>0</v>
      </c>
      <c r="AJ707">
        <f t="shared" si="267"/>
        <v>6.3</v>
      </c>
      <c r="AK707">
        <v>0</v>
      </c>
      <c r="AL707">
        <v>0.83599999999999997</v>
      </c>
      <c r="AM707">
        <f t="shared" si="269"/>
        <v>0.16400000000000003</v>
      </c>
      <c r="AN707">
        <v>2731</v>
      </c>
      <c r="AO707" t="s">
        <v>13</v>
      </c>
      <c r="AP707" s="3">
        <f t="shared" si="272"/>
        <v>3266.7464114832537</v>
      </c>
      <c r="AQ707" t="s">
        <v>13</v>
      </c>
      <c r="AR707">
        <f t="shared" si="271"/>
        <v>0.38414634146341453</v>
      </c>
      <c r="AS707">
        <f t="shared" si="276"/>
        <v>0.10100000000000002</v>
      </c>
      <c r="AT707">
        <f t="shared" si="273"/>
        <v>330</v>
      </c>
      <c r="AU707">
        <f t="shared" si="274"/>
        <v>206</v>
      </c>
      <c r="AV707">
        <f t="shared" ref="AV707:AV770" si="277">ROUND((((K707*0.5)+O707+S707+AA707)/100)*AP707,0)</f>
        <v>307</v>
      </c>
      <c r="AW707">
        <f t="shared" ref="AW707:AW770" si="278">ROUND((AU707/(AP707-AT707))*(AP707-AV707),0)</f>
        <v>208</v>
      </c>
      <c r="AX707" s="3">
        <f t="shared" ref="AX707:AX770" si="279">AP707-AV707-AW707</f>
        <v>2751.7464114832537</v>
      </c>
      <c r="AY707">
        <f t="shared" ref="AY707:AY770" si="280">ROUND((0.5*AS707)*AP707,0)</f>
        <v>165</v>
      </c>
      <c r="AZ707">
        <f t="shared" ref="AZ707:AZ770" si="281">ROUND((AU707/(AP707-AT707))*(AP707-AY707),0)</f>
        <v>218</v>
      </c>
      <c r="BA707" s="3">
        <f t="shared" ref="BA707:BA770" si="282">AP707-AZ707-AY707</f>
        <v>2883.7464114832537</v>
      </c>
    </row>
    <row r="708" spans="1:53" x14ac:dyDescent="0.2">
      <c r="A708">
        <v>2012</v>
      </c>
      <c r="B708" t="s">
        <v>79</v>
      </c>
      <c r="C708" t="s">
        <v>57</v>
      </c>
      <c r="D708">
        <v>0</v>
      </c>
      <c r="E708">
        <v>0</v>
      </c>
      <c r="F708">
        <v>0</v>
      </c>
      <c r="G708">
        <v>0.6</v>
      </c>
      <c r="H708">
        <v>1</v>
      </c>
      <c r="I708">
        <v>0</v>
      </c>
      <c r="J708">
        <v>0</v>
      </c>
      <c r="K708">
        <f t="shared" si="275"/>
        <v>1.6</v>
      </c>
      <c r="L708">
        <v>0</v>
      </c>
      <c r="M708">
        <v>0</v>
      </c>
      <c r="N708">
        <v>0</v>
      </c>
      <c r="O708">
        <f t="shared" si="264"/>
        <v>0</v>
      </c>
      <c r="P708">
        <v>0</v>
      </c>
      <c r="Q708">
        <v>0.6</v>
      </c>
      <c r="R708">
        <v>4.4000000000000004</v>
      </c>
      <c r="S708">
        <f t="shared" si="265"/>
        <v>5</v>
      </c>
      <c r="T708">
        <v>8.1999999999999993</v>
      </c>
      <c r="U708">
        <v>0</v>
      </c>
      <c r="V708">
        <v>0.5</v>
      </c>
      <c r="W708">
        <v>0</v>
      </c>
      <c r="X708">
        <v>0</v>
      </c>
      <c r="Y708">
        <v>0</v>
      </c>
      <c r="Z708">
        <v>0</v>
      </c>
      <c r="AA708">
        <f t="shared" si="266"/>
        <v>8.6999999999999993</v>
      </c>
      <c r="AB708">
        <v>0</v>
      </c>
      <c r="AC708">
        <v>0</v>
      </c>
      <c r="AD708">
        <v>0</v>
      </c>
      <c r="AE708">
        <v>17</v>
      </c>
      <c r="AF708">
        <v>0.9</v>
      </c>
      <c r="AG708">
        <v>0</v>
      </c>
      <c r="AH708">
        <v>0</v>
      </c>
      <c r="AI708">
        <v>0</v>
      </c>
      <c r="AJ708">
        <f t="shared" si="267"/>
        <v>17.899999999999999</v>
      </c>
      <c r="AK708">
        <v>0</v>
      </c>
      <c r="AL708">
        <v>0.66799999999999993</v>
      </c>
      <c r="AM708">
        <f t="shared" si="269"/>
        <v>0.33200000000000002</v>
      </c>
      <c r="AN708">
        <v>5702</v>
      </c>
      <c r="AO708" t="s">
        <v>13</v>
      </c>
      <c r="AP708" s="3">
        <f t="shared" si="272"/>
        <v>8535.9281437125755</v>
      </c>
      <c r="AQ708" t="s">
        <v>13</v>
      </c>
      <c r="AR708">
        <f t="shared" si="271"/>
        <v>0.53915662650602403</v>
      </c>
      <c r="AS708">
        <f t="shared" si="276"/>
        <v>0.153</v>
      </c>
      <c r="AT708">
        <f t="shared" si="273"/>
        <v>1306</v>
      </c>
      <c r="AU708">
        <f t="shared" si="274"/>
        <v>1528</v>
      </c>
      <c r="AV708">
        <f t="shared" si="277"/>
        <v>1238</v>
      </c>
      <c r="AW708">
        <f t="shared" si="278"/>
        <v>1542</v>
      </c>
      <c r="AX708" s="3">
        <f t="shared" si="279"/>
        <v>5755.9281437125755</v>
      </c>
      <c r="AY708">
        <f t="shared" si="280"/>
        <v>653</v>
      </c>
      <c r="AZ708">
        <f t="shared" si="281"/>
        <v>1666</v>
      </c>
      <c r="BA708" s="3">
        <f t="shared" si="282"/>
        <v>6216.9281437125755</v>
      </c>
    </row>
    <row r="709" spans="1:53" x14ac:dyDescent="0.2">
      <c r="A709">
        <v>2013</v>
      </c>
      <c r="B709" t="s">
        <v>79</v>
      </c>
      <c r="C709" t="s">
        <v>57</v>
      </c>
      <c r="D709">
        <v>0</v>
      </c>
      <c r="E709">
        <v>0</v>
      </c>
      <c r="F709">
        <v>0</v>
      </c>
      <c r="G709">
        <v>1.2</v>
      </c>
      <c r="H709">
        <v>0</v>
      </c>
      <c r="I709">
        <v>0.2</v>
      </c>
      <c r="J709">
        <v>0</v>
      </c>
      <c r="K709">
        <f t="shared" si="275"/>
        <v>1.4</v>
      </c>
      <c r="L709">
        <v>0</v>
      </c>
      <c r="M709">
        <v>0</v>
      </c>
      <c r="N709">
        <v>0.2</v>
      </c>
      <c r="O709">
        <f t="shared" si="264"/>
        <v>0.2</v>
      </c>
      <c r="P709">
        <v>0</v>
      </c>
      <c r="Q709">
        <v>0.5</v>
      </c>
      <c r="R709">
        <v>4.5999999999999996</v>
      </c>
      <c r="S709">
        <f t="shared" si="265"/>
        <v>5.0999999999999996</v>
      </c>
      <c r="T709">
        <v>3.3</v>
      </c>
      <c r="U709">
        <v>0.2</v>
      </c>
      <c r="V709">
        <v>0</v>
      </c>
      <c r="W709">
        <v>0</v>
      </c>
      <c r="X709">
        <v>0</v>
      </c>
      <c r="Y709">
        <v>0</v>
      </c>
      <c r="Z709">
        <v>0.8</v>
      </c>
      <c r="AA709">
        <f t="shared" si="266"/>
        <v>4.3</v>
      </c>
      <c r="AB709">
        <v>0</v>
      </c>
      <c r="AC709">
        <v>0</v>
      </c>
      <c r="AD709">
        <v>0</v>
      </c>
      <c r="AE709">
        <v>1.6</v>
      </c>
      <c r="AF709">
        <v>0</v>
      </c>
      <c r="AG709">
        <v>0</v>
      </c>
      <c r="AH709">
        <v>0</v>
      </c>
      <c r="AI709">
        <v>0</v>
      </c>
      <c r="AJ709">
        <f t="shared" si="267"/>
        <v>1.6</v>
      </c>
      <c r="AK709">
        <v>0</v>
      </c>
      <c r="AL709">
        <v>0.873</v>
      </c>
      <c r="AM709">
        <f t="shared" si="269"/>
        <v>0.12599999999999997</v>
      </c>
      <c r="AN709">
        <v>3445</v>
      </c>
      <c r="AO709" t="s">
        <v>13</v>
      </c>
      <c r="AP709" s="3">
        <f t="shared" si="272"/>
        <v>3941.6475972540047</v>
      </c>
      <c r="AQ709" t="s">
        <v>13</v>
      </c>
      <c r="AR709">
        <f t="shared" si="271"/>
        <v>0.126984126984127</v>
      </c>
      <c r="AS709">
        <f t="shared" si="276"/>
        <v>0.11</v>
      </c>
      <c r="AT709">
        <f t="shared" si="273"/>
        <v>434</v>
      </c>
      <c r="AU709">
        <f t="shared" si="274"/>
        <v>63</v>
      </c>
      <c r="AV709">
        <f t="shared" si="277"/>
        <v>406</v>
      </c>
      <c r="AW709">
        <f t="shared" si="278"/>
        <v>64</v>
      </c>
      <c r="AX709" s="3">
        <f t="shared" si="279"/>
        <v>3471.6475972540047</v>
      </c>
      <c r="AY709">
        <f t="shared" si="280"/>
        <v>217</v>
      </c>
      <c r="AZ709">
        <f t="shared" si="281"/>
        <v>67</v>
      </c>
      <c r="BA709" s="3">
        <f t="shared" si="282"/>
        <v>3657.6475972540047</v>
      </c>
    </row>
    <row r="710" spans="1:53" x14ac:dyDescent="0.2">
      <c r="A710">
        <v>2014</v>
      </c>
      <c r="B710" t="s">
        <v>79</v>
      </c>
      <c r="C710" t="s">
        <v>57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2.1</v>
      </c>
      <c r="J710">
        <v>0</v>
      </c>
      <c r="K710">
        <f t="shared" si="275"/>
        <v>2.1</v>
      </c>
      <c r="L710">
        <v>0.1</v>
      </c>
      <c r="M710">
        <v>0</v>
      </c>
      <c r="N710">
        <v>0</v>
      </c>
      <c r="O710">
        <f t="shared" si="264"/>
        <v>0.1</v>
      </c>
      <c r="P710">
        <v>0</v>
      </c>
      <c r="Q710">
        <v>1.7</v>
      </c>
      <c r="R710">
        <v>1</v>
      </c>
      <c r="S710">
        <f t="shared" si="265"/>
        <v>2.7</v>
      </c>
      <c r="T710">
        <v>1.8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f t="shared" si="266"/>
        <v>1.8</v>
      </c>
      <c r="AB710">
        <v>0</v>
      </c>
      <c r="AC710">
        <v>0</v>
      </c>
      <c r="AD710">
        <v>0</v>
      </c>
      <c r="AE710">
        <v>9.1</v>
      </c>
      <c r="AF710">
        <v>1</v>
      </c>
      <c r="AG710">
        <v>0</v>
      </c>
      <c r="AH710">
        <v>0</v>
      </c>
      <c r="AI710">
        <v>0</v>
      </c>
      <c r="AJ710">
        <f t="shared" si="267"/>
        <v>10.1</v>
      </c>
      <c r="AK710">
        <v>0</v>
      </c>
      <c r="AL710">
        <v>0.83299999999999996</v>
      </c>
      <c r="AM710">
        <f t="shared" si="269"/>
        <v>0.16800000000000001</v>
      </c>
      <c r="AN710">
        <v>7122</v>
      </c>
      <c r="AO710" t="s">
        <v>13</v>
      </c>
      <c r="AP710" s="3">
        <f t="shared" si="272"/>
        <v>8560.0961538461543</v>
      </c>
      <c r="AQ710" t="s">
        <v>13</v>
      </c>
      <c r="AR710">
        <f t="shared" si="271"/>
        <v>0.60119047619047616</v>
      </c>
      <c r="AS710">
        <f t="shared" si="276"/>
        <v>6.7000000000000004E-2</v>
      </c>
      <c r="AT710">
        <f t="shared" ref="AT710:AT741" si="283">ROUND(AS710*AP710,0)</f>
        <v>574</v>
      </c>
      <c r="AU710">
        <f t="shared" ref="AU710:AU741" si="284">ROUND((AJ710/100)*AP710,0)</f>
        <v>865</v>
      </c>
      <c r="AV710">
        <f t="shared" si="277"/>
        <v>484</v>
      </c>
      <c r="AW710">
        <f t="shared" si="278"/>
        <v>875</v>
      </c>
      <c r="AX710" s="3">
        <f t="shared" si="279"/>
        <v>7201.0961538461543</v>
      </c>
      <c r="AY710">
        <f t="shared" si="280"/>
        <v>287</v>
      </c>
      <c r="AZ710">
        <f t="shared" si="281"/>
        <v>896</v>
      </c>
      <c r="BA710" s="3">
        <f t="shared" si="282"/>
        <v>7377.0961538461543</v>
      </c>
    </row>
    <row r="711" spans="1:53" x14ac:dyDescent="0.2">
      <c r="A711">
        <v>2015</v>
      </c>
      <c r="B711" t="s">
        <v>79</v>
      </c>
      <c r="C711" t="s">
        <v>57</v>
      </c>
      <c r="D711">
        <v>0</v>
      </c>
      <c r="E711">
        <v>0</v>
      </c>
      <c r="F711">
        <v>0</v>
      </c>
      <c r="G711">
        <v>0.3</v>
      </c>
      <c r="H711">
        <v>0.2</v>
      </c>
      <c r="I711">
        <v>0.3</v>
      </c>
      <c r="J711">
        <v>0</v>
      </c>
      <c r="K711">
        <f t="shared" si="275"/>
        <v>0.8</v>
      </c>
      <c r="L711">
        <v>0</v>
      </c>
      <c r="M711">
        <v>0</v>
      </c>
      <c r="N711">
        <v>0</v>
      </c>
      <c r="O711">
        <f t="shared" si="264"/>
        <v>0</v>
      </c>
      <c r="P711">
        <v>0</v>
      </c>
      <c r="Q711">
        <v>0.9</v>
      </c>
      <c r="R711">
        <v>3.8</v>
      </c>
      <c r="S711">
        <f t="shared" si="265"/>
        <v>4.7</v>
      </c>
      <c r="T711">
        <v>0.9</v>
      </c>
      <c r="U711">
        <v>0.2</v>
      </c>
      <c r="V711">
        <v>0</v>
      </c>
      <c r="W711">
        <v>0</v>
      </c>
      <c r="X711">
        <v>0</v>
      </c>
      <c r="Y711">
        <v>0.2</v>
      </c>
      <c r="Z711">
        <v>0.4</v>
      </c>
      <c r="AA711">
        <f t="shared" si="266"/>
        <v>1.7000000000000002</v>
      </c>
      <c r="AB711">
        <v>0</v>
      </c>
      <c r="AC711">
        <v>0</v>
      </c>
      <c r="AD711">
        <v>0</v>
      </c>
      <c r="AE711">
        <v>10</v>
      </c>
      <c r="AF711">
        <v>0</v>
      </c>
      <c r="AG711">
        <v>0</v>
      </c>
      <c r="AH711">
        <v>0</v>
      </c>
      <c r="AI711">
        <v>0</v>
      </c>
      <c r="AJ711">
        <f t="shared" si="267"/>
        <v>10</v>
      </c>
      <c r="AK711">
        <v>0</v>
      </c>
      <c r="AL711">
        <v>0.82900000000000007</v>
      </c>
      <c r="AM711">
        <f t="shared" si="269"/>
        <v>0.17199999999999999</v>
      </c>
      <c r="AN711">
        <v>4836</v>
      </c>
      <c r="AO711" t="s">
        <v>13</v>
      </c>
      <c r="AP711" s="3">
        <f t="shared" si="272"/>
        <v>5840.579710144927</v>
      </c>
      <c r="AQ711" t="s">
        <v>13</v>
      </c>
      <c r="AR711">
        <f t="shared" si="271"/>
        <v>0.58139534883720934</v>
      </c>
      <c r="AS711">
        <f t="shared" si="276"/>
        <v>7.2000000000000008E-2</v>
      </c>
      <c r="AT711">
        <f t="shared" si="283"/>
        <v>421</v>
      </c>
      <c r="AU711">
        <f t="shared" si="284"/>
        <v>584</v>
      </c>
      <c r="AV711">
        <f t="shared" si="277"/>
        <v>397</v>
      </c>
      <c r="AW711">
        <f t="shared" si="278"/>
        <v>587</v>
      </c>
      <c r="AX711" s="3">
        <f t="shared" si="279"/>
        <v>4856.579710144927</v>
      </c>
      <c r="AY711">
        <f t="shared" si="280"/>
        <v>210</v>
      </c>
      <c r="AZ711">
        <f t="shared" si="281"/>
        <v>607</v>
      </c>
      <c r="BA711" s="3">
        <f t="shared" si="282"/>
        <v>5023.579710144927</v>
      </c>
    </row>
    <row r="712" spans="1:53" x14ac:dyDescent="0.2">
      <c r="A712">
        <v>2016</v>
      </c>
      <c r="B712" t="s">
        <v>79</v>
      </c>
      <c r="C712" t="s">
        <v>57</v>
      </c>
      <c r="D712">
        <v>0.3</v>
      </c>
      <c r="E712">
        <v>0</v>
      </c>
      <c r="F712">
        <v>0</v>
      </c>
      <c r="G712">
        <v>1.7</v>
      </c>
      <c r="H712">
        <v>0</v>
      </c>
      <c r="I712">
        <v>1</v>
      </c>
      <c r="J712">
        <v>0</v>
      </c>
      <c r="K712">
        <f t="shared" si="275"/>
        <v>3</v>
      </c>
      <c r="L712">
        <v>0</v>
      </c>
      <c r="M712">
        <v>0</v>
      </c>
      <c r="N712">
        <v>0</v>
      </c>
      <c r="O712">
        <f t="shared" si="264"/>
        <v>0</v>
      </c>
      <c r="P712">
        <v>0</v>
      </c>
      <c r="Q712">
        <v>0.8</v>
      </c>
      <c r="R712">
        <v>10.8</v>
      </c>
      <c r="S712">
        <f t="shared" si="265"/>
        <v>11.600000000000001</v>
      </c>
      <c r="T712">
        <v>1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f t="shared" si="266"/>
        <v>1</v>
      </c>
      <c r="AB712">
        <v>0</v>
      </c>
      <c r="AC712">
        <v>0</v>
      </c>
      <c r="AD712">
        <v>0</v>
      </c>
      <c r="AE712">
        <v>10</v>
      </c>
      <c r="AF712">
        <v>0</v>
      </c>
      <c r="AG712">
        <v>0</v>
      </c>
      <c r="AH712">
        <v>0</v>
      </c>
      <c r="AI712">
        <v>0</v>
      </c>
      <c r="AJ712">
        <f t="shared" si="267"/>
        <v>10</v>
      </c>
      <c r="AK712">
        <v>0</v>
      </c>
      <c r="AL712">
        <v>0.745</v>
      </c>
      <c r="AM712">
        <f t="shared" si="269"/>
        <v>0.25600000000000001</v>
      </c>
      <c r="AN712">
        <v>2180</v>
      </c>
      <c r="AO712" t="s">
        <v>13</v>
      </c>
      <c r="AP712" s="3">
        <f t="shared" si="272"/>
        <v>2930.1075268817203</v>
      </c>
      <c r="AQ712" t="s">
        <v>13</v>
      </c>
      <c r="AR712">
        <f t="shared" si="271"/>
        <v>0.390625</v>
      </c>
      <c r="AS712">
        <f t="shared" si="276"/>
        <v>0.15600000000000003</v>
      </c>
      <c r="AT712">
        <f t="shared" si="283"/>
        <v>457</v>
      </c>
      <c r="AU712">
        <f t="shared" si="284"/>
        <v>293</v>
      </c>
      <c r="AV712">
        <f t="shared" si="277"/>
        <v>413</v>
      </c>
      <c r="AW712">
        <f t="shared" si="278"/>
        <v>298</v>
      </c>
      <c r="AX712" s="3">
        <f t="shared" si="279"/>
        <v>2219.1075268817203</v>
      </c>
      <c r="AY712">
        <f t="shared" si="280"/>
        <v>229</v>
      </c>
      <c r="AZ712">
        <f t="shared" si="281"/>
        <v>320</v>
      </c>
      <c r="BA712" s="3">
        <f t="shared" si="282"/>
        <v>2381.1075268817203</v>
      </c>
    </row>
    <row r="713" spans="1:53" x14ac:dyDescent="0.2">
      <c r="A713">
        <v>2017</v>
      </c>
      <c r="B713" t="s">
        <v>79</v>
      </c>
      <c r="C713" t="s">
        <v>57</v>
      </c>
      <c r="D713">
        <v>0</v>
      </c>
      <c r="E713">
        <v>0</v>
      </c>
      <c r="F713">
        <v>0</v>
      </c>
      <c r="G713">
        <v>1</v>
      </c>
      <c r="H713">
        <v>0</v>
      </c>
      <c r="I713">
        <v>1.2</v>
      </c>
      <c r="J713">
        <v>0</v>
      </c>
      <c r="K713">
        <f t="shared" si="275"/>
        <v>2.2000000000000002</v>
      </c>
      <c r="L713">
        <v>0</v>
      </c>
      <c r="M713">
        <v>0</v>
      </c>
      <c r="N713">
        <v>0</v>
      </c>
      <c r="O713">
        <f t="shared" si="264"/>
        <v>0</v>
      </c>
      <c r="P713">
        <v>0</v>
      </c>
      <c r="Q713">
        <v>0.2</v>
      </c>
      <c r="R713">
        <v>3.6</v>
      </c>
      <c r="S713">
        <f t="shared" si="265"/>
        <v>3.8000000000000003</v>
      </c>
      <c r="T713">
        <v>1.8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f t="shared" si="266"/>
        <v>1.8</v>
      </c>
      <c r="AB713">
        <v>0</v>
      </c>
      <c r="AC713">
        <v>0</v>
      </c>
      <c r="AD713">
        <v>0</v>
      </c>
      <c r="AE713">
        <v>7.6</v>
      </c>
      <c r="AF713">
        <v>0</v>
      </c>
      <c r="AG713">
        <v>0</v>
      </c>
      <c r="AH713">
        <v>0</v>
      </c>
      <c r="AI713">
        <v>0</v>
      </c>
      <c r="AJ713">
        <f t="shared" si="267"/>
        <v>7.6</v>
      </c>
      <c r="AK713">
        <v>0</v>
      </c>
      <c r="AL713">
        <v>0.84499999999999997</v>
      </c>
      <c r="AM713">
        <f t="shared" si="269"/>
        <v>0.154</v>
      </c>
      <c r="AN713">
        <v>1702</v>
      </c>
      <c r="AO713" t="s">
        <v>13</v>
      </c>
      <c r="AP713" s="3">
        <f t="shared" si="272"/>
        <v>2011.8203309692672</v>
      </c>
      <c r="AQ713" t="s">
        <v>13</v>
      </c>
      <c r="AR713">
        <f t="shared" si="271"/>
        <v>0.4935064935064935</v>
      </c>
      <c r="AS713">
        <f t="shared" si="276"/>
        <v>7.8E-2</v>
      </c>
      <c r="AT713">
        <f t="shared" si="283"/>
        <v>157</v>
      </c>
      <c r="AU713">
        <f t="shared" si="284"/>
        <v>153</v>
      </c>
      <c r="AV713">
        <f t="shared" si="277"/>
        <v>135</v>
      </c>
      <c r="AW713">
        <f t="shared" si="278"/>
        <v>155</v>
      </c>
      <c r="AX713" s="3">
        <f t="shared" si="279"/>
        <v>1721.8203309692672</v>
      </c>
      <c r="AY713">
        <f t="shared" si="280"/>
        <v>78</v>
      </c>
      <c r="AZ713">
        <f t="shared" si="281"/>
        <v>160</v>
      </c>
      <c r="BA713" s="3">
        <f t="shared" si="282"/>
        <v>1773.8203309692672</v>
      </c>
    </row>
    <row r="714" spans="1:53" x14ac:dyDescent="0.2">
      <c r="A714">
        <v>2018</v>
      </c>
      <c r="B714" t="s">
        <v>79</v>
      </c>
      <c r="C714" t="s">
        <v>57</v>
      </c>
      <c r="D714">
        <v>0</v>
      </c>
      <c r="E714">
        <v>0</v>
      </c>
      <c r="F714">
        <v>0</v>
      </c>
      <c r="G714">
        <v>0</v>
      </c>
      <c r="H714">
        <v>0.2</v>
      </c>
      <c r="I714">
        <v>0.7</v>
      </c>
      <c r="J714">
        <v>0</v>
      </c>
      <c r="K714">
        <f t="shared" si="275"/>
        <v>0.89999999999999991</v>
      </c>
      <c r="L714">
        <v>0</v>
      </c>
      <c r="M714">
        <v>0</v>
      </c>
      <c r="N714">
        <v>0</v>
      </c>
      <c r="O714">
        <f t="shared" ref="O714:O777" si="285">SUM(L714:N714)</f>
        <v>0</v>
      </c>
      <c r="P714">
        <v>0</v>
      </c>
      <c r="Q714">
        <v>0.8</v>
      </c>
      <c r="R714">
        <v>3.4</v>
      </c>
      <c r="S714">
        <f t="shared" ref="S714:S777" si="286">SUM(P714:R714)</f>
        <v>4.2</v>
      </c>
      <c r="T714">
        <v>1</v>
      </c>
      <c r="U714">
        <v>0</v>
      </c>
      <c r="V714">
        <v>0</v>
      </c>
      <c r="W714">
        <v>0</v>
      </c>
      <c r="X714">
        <v>0</v>
      </c>
      <c r="Y714">
        <v>0.1</v>
      </c>
      <c r="Z714">
        <v>0.2</v>
      </c>
      <c r="AA714">
        <f t="shared" ref="AA714:AA777" si="287">SUM(T714:Z714)</f>
        <v>1.3</v>
      </c>
      <c r="AB714">
        <v>0</v>
      </c>
      <c r="AC714">
        <v>0</v>
      </c>
      <c r="AD714">
        <v>0</v>
      </c>
      <c r="AE714">
        <v>11.5</v>
      </c>
      <c r="AF714">
        <v>0</v>
      </c>
      <c r="AG714">
        <v>0</v>
      </c>
      <c r="AH714">
        <v>0</v>
      </c>
      <c r="AI714">
        <v>0</v>
      </c>
      <c r="AJ714">
        <f t="shared" ref="AJ714:AJ777" si="288">SUM(AB714:AI714)</f>
        <v>11.5</v>
      </c>
      <c r="AK714">
        <v>0</v>
      </c>
      <c r="AL714">
        <v>0.82200000000000006</v>
      </c>
      <c r="AM714">
        <f t="shared" si="269"/>
        <v>0.17899999999999999</v>
      </c>
      <c r="AN714">
        <v>1627</v>
      </c>
      <c r="AO714" t="s">
        <v>13</v>
      </c>
      <c r="AP714" s="3">
        <f t="shared" si="272"/>
        <v>1981.7295980511572</v>
      </c>
      <c r="AQ714" t="s">
        <v>13</v>
      </c>
      <c r="AR714">
        <f t="shared" si="271"/>
        <v>0.64245810055865926</v>
      </c>
      <c r="AS714">
        <f t="shared" si="276"/>
        <v>6.4000000000000001E-2</v>
      </c>
      <c r="AT714">
        <f t="shared" si="283"/>
        <v>127</v>
      </c>
      <c r="AU714">
        <f t="shared" si="284"/>
        <v>228</v>
      </c>
      <c r="AV714">
        <f t="shared" si="277"/>
        <v>118</v>
      </c>
      <c r="AW714">
        <f t="shared" si="278"/>
        <v>229</v>
      </c>
      <c r="AX714" s="3">
        <f t="shared" si="279"/>
        <v>1634.7295980511572</v>
      </c>
      <c r="AY714">
        <f t="shared" si="280"/>
        <v>63</v>
      </c>
      <c r="AZ714">
        <f t="shared" si="281"/>
        <v>236</v>
      </c>
      <c r="BA714" s="3">
        <f t="shared" si="282"/>
        <v>1682.7295980511572</v>
      </c>
    </row>
    <row r="715" spans="1:53" x14ac:dyDescent="0.2">
      <c r="A715">
        <v>2019</v>
      </c>
      <c r="B715" t="s">
        <v>79</v>
      </c>
      <c r="C715" t="s">
        <v>57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f t="shared" si="275"/>
        <v>0</v>
      </c>
      <c r="L715">
        <v>0</v>
      </c>
      <c r="M715">
        <v>0</v>
      </c>
      <c r="N715">
        <v>0</v>
      </c>
      <c r="O715">
        <f t="shared" si="285"/>
        <v>0</v>
      </c>
      <c r="P715">
        <v>0</v>
      </c>
      <c r="Q715">
        <v>0.4</v>
      </c>
      <c r="R715">
        <v>0.8</v>
      </c>
      <c r="S715">
        <f t="shared" si="286"/>
        <v>1.2000000000000002</v>
      </c>
      <c r="T715">
        <v>0.7</v>
      </c>
      <c r="U715">
        <v>0.5</v>
      </c>
      <c r="V715">
        <v>0</v>
      </c>
      <c r="W715">
        <v>0</v>
      </c>
      <c r="X715">
        <v>0</v>
      </c>
      <c r="Y715">
        <v>0</v>
      </c>
      <c r="Z715">
        <v>0.2</v>
      </c>
      <c r="AA715">
        <f t="shared" si="287"/>
        <v>1.4</v>
      </c>
      <c r="AB715">
        <v>0</v>
      </c>
      <c r="AC715">
        <v>0</v>
      </c>
      <c r="AD715">
        <v>0</v>
      </c>
      <c r="AE715">
        <v>1.2</v>
      </c>
      <c r="AF715">
        <v>0</v>
      </c>
      <c r="AG715">
        <v>0</v>
      </c>
      <c r="AH715">
        <v>0</v>
      </c>
      <c r="AI715">
        <v>0</v>
      </c>
      <c r="AJ715">
        <f t="shared" si="288"/>
        <v>1.2</v>
      </c>
      <c r="AK715">
        <v>0</v>
      </c>
      <c r="AL715">
        <v>0.96200000000000008</v>
      </c>
      <c r="AM715">
        <f t="shared" si="269"/>
        <v>3.7999999999999999E-2</v>
      </c>
      <c r="AN715">
        <v>3859</v>
      </c>
      <c r="AO715" t="s">
        <v>13</v>
      </c>
      <c r="AP715" s="3">
        <f t="shared" si="272"/>
        <v>4011.4345114345115</v>
      </c>
      <c r="AQ715" t="s">
        <v>13</v>
      </c>
      <c r="AR715">
        <f t="shared" si="271"/>
        <v>0.31578947368421056</v>
      </c>
      <c r="AS715">
        <f t="shared" si="276"/>
        <v>2.6000000000000002E-2</v>
      </c>
      <c r="AT715">
        <f t="shared" si="283"/>
        <v>104</v>
      </c>
      <c r="AU715">
        <f t="shared" si="284"/>
        <v>48</v>
      </c>
      <c r="AV715">
        <f t="shared" si="277"/>
        <v>104</v>
      </c>
      <c r="AW715">
        <f t="shared" si="278"/>
        <v>48</v>
      </c>
      <c r="AX715" s="3">
        <f t="shared" si="279"/>
        <v>3859.4345114345115</v>
      </c>
      <c r="AY715">
        <f t="shared" si="280"/>
        <v>52</v>
      </c>
      <c r="AZ715">
        <f t="shared" si="281"/>
        <v>49</v>
      </c>
      <c r="BA715" s="3">
        <f t="shared" si="282"/>
        <v>3910.4345114345115</v>
      </c>
    </row>
    <row r="716" spans="1:53" x14ac:dyDescent="0.2">
      <c r="A716">
        <v>2020</v>
      </c>
      <c r="B716" t="s">
        <v>79</v>
      </c>
      <c r="C716" t="s">
        <v>57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f t="shared" si="275"/>
        <v>0</v>
      </c>
      <c r="L716">
        <v>0</v>
      </c>
      <c r="M716">
        <v>0</v>
      </c>
      <c r="N716">
        <v>0</v>
      </c>
      <c r="O716">
        <f t="shared" si="285"/>
        <v>0</v>
      </c>
      <c r="P716">
        <v>0</v>
      </c>
      <c r="Q716">
        <v>0.9</v>
      </c>
      <c r="R716">
        <v>1.2</v>
      </c>
      <c r="S716">
        <f t="shared" si="286"/>
        <v>2.1</v>
      </c>
      <c r="T716">
        <v>0.2</v>
      </c>
      <c r="U716">
        <v>0.2</v>
      </c>
      <c r="V716">
        <v>0</v>
      </c>
      <c r="W716">
        <v>0</v>
      </c>
      <c r="X716">
        <v>0</v>
      </c>
      <c r="Y716">
        <v>0</v>
      </c>
      <c r="Z716">
        <v>0.6</v>
      </c>
      <c r="AA716">
        <f t="shared" si="287"/>
        <v>1</v>
      </c>
      <c r="AB716">
        <v>0</v>
      </c>
      <c r="AC716">
        <v>0</v>
      </c>
      <c r="AD716">
        <v>0</v>
      </c>
      <c r="AE716">
        <v>23.3</v>
      </c>
      <c r="AF716">
        <v>2.6</v>
      </c>
      <c r="AG716">
        <v>0</v>
      </c>
      <c r="AH716">
        <v>0</v>
      </c>
      <c r="AI716">
        <v>0</v>
      </c>
      <c r="AJ716">
        <f t="shared" si="288"/>
        <v>25.900000000000002</v>
      </c>
      <c r="AK716">
        <v>0</v>
      </c>
      <c r="AL716">
        <v>0.71099999999999997</v>
      </c>
      <c r="AM716">
        <f t="shared" si="269"/>
        <v>0.28999999999999998</v>
      </c>
      <c r="AN716">
        <v>3955</v>
      </c>
      <c r="AO716" t="s">
        <v>13</v>
      </c>
      <c r="AP716" s="3">
        <f t="shared" si="272"/>
        <v>5570.422535211268</v>
      </c>
      <c r="AQ716" t="s">
        <v>13</v>
      </c>
      <c r="AR716">
        <f t="shared" si="271"/>
        <v>0.89310344827586219</v>
      </c>
      <c r="AS716">
        <f t="shared" si="276"/>
        <v>3.1E-2</v>
      </c>
      <c r="AT716">
        <f t="shared" si="283"/>
        <v>173</v>
      </c>
      <c r="AU716">
        <f t="shared" si="284"/>
        <v>1443</v>
      </c>
      <c r="AV716">
        <f t="shared" si="277"/>
        <v>173</v>
      </c>
      <c r="AW716">
        <f t="shared" si="278"/>
        <v>1443</v>
      </c>
      <c r="AX716" s="3">
        <f t="shared" si="279"/>
        <v>3954.422535211268</v>
      </c>
      <c r="AY716">
        <f t="shared" si="280"/>
        <v>86</v>
      </c>
      <c r="AZ716">
        <f t="shared" si="281"/>
        <v>1466</v>
      </c>
      <c r="BA716" s="3">
        <f t="shared" si="282"/>
        <v>4018.422535211268</v>
      </c>
    </row>
    <row r="717" spans="1:53" x14ac:dyDescent="0.2">
      <c r="A717">
        <v>2021</v>
      </c>
      <c r="B717" t="s">
        <v>79</v>
      </c>
      <c r="C717" t="s">
        <v>57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f t="shared" si="275"/>
        <v>0</v>
      </c>
      <c r="L717">
        <v>0</v>
      </c>
      <c r="M717">
        <v>0</v>
      </c>
      <c r="N717">
        <v>0</v>
      </c>
      <c r="O717">
        <f t="shared" si="285"/>
        <v>0</v>
      </c>
      <c r="P717">
        <v>0</v>
      </c>
      <c r="Q717">
        <v>0.7</v>
      </c>
      <c r="R717">
        <v>0.6</v>
      </c>
      <c r="S717">
        <f t="shared" si="286"/>
        <v>1.2999999999999998</v>
      </c>
      <c r="T717">
        <v>0.1</v>
      </c>
      <c r="U717">
        <v>0.2</v>
      </c>
      <c r="V717">
        <v>0</v>
      </c>
      <c r="W717">
        <v>0</v>
      </c>
      <c r="X717">
        <v>0</v>
      </c>
      <c r="Y717">
        <v>0</v>
      </c>
      <c r="Z717">
        <v>0.1</v>
      </c>
      <c r="AA717">
        <f t="shared" si="287"/>
        <v>0.4</v>
      </c>
      <c r="AB717">
        <v>0</v>
      </c>
      <c r="AC717">
        <v>0</v>
      </c>
      <c r="AD717">
        <v>0</v>
      </c>
      <c r="AE717">
        <v>4.0999999999999996</v>
      </c>
      <c r="AF717">
        <v>0</v>
      </c>
      <c r="AG717">
        <v>0</v>
      </c>
      <c r="AH717">
        <v>0</v>
      </c>
      <c r="AI717">
        <v>0</v>
      </c>
      <c r="AJ717">
        <f t="shared" si="288"/>
        <v>4.0999999999999996</v>
      </c>
      <c r="AK717">
        <v>0</v>
      </c>
      <c r="AL717">
        <v>0.94200000000000006</v>
      </c>
      <c r="AM717">
        <f t="shared" si="269"/>
        <v>5.7999999999999989E-2</v>
      </c>
      <c r="AN717">
        <v>4010</v>
      </c>
      <c r="AO717" t="s">
        <v>13</v>
      </c>
      <c r="AP717" s="3">
        <f t="shared" si="272"/>
        <v>4256.9002123142245</v>
      </c>
      <c r="AQ717" t="s">
        <v>13</v>
      </c>
      <c r="AR717">
        <f t="shared" si="271"/>
        <v>0.70689655172413801</v>
      </c>
      <c r="AS717">
        <f t="shared" si="276"/>
        <v>1.6999999999999998E-2</v>
      </c>
      <c r="AT717">
        <f t="shared" si="283"/>
        <v>72</v>
      </c>
      <c r="AU717">
        <f t="shared" si="284"/>
        <v>175</v>
      </c>
      <c r="AV717">
        <f t="shared" si="277"/>
        <v>72</v>
      </c>
      <c r="AW717">
        <f t="shared" si="278"/>
        <v>175</v>
      </c>
      <c r="AX717" s="3">
        <f t="shared" si="279"/>
        <v>4009.9002123142245</v>
      </c>
      <c r="AY717">
        <f t="shared" si="280"/>
        <v>36</v>
      </c>
      <c r="AZ717">
        <f t="shared" si="281"/>
        <v>177</v>
      </c>
      <c r="BA717" s="3">
        <f t="shared" si="282"/>
        <v>4043.9002123142245</v>
      </c>
    </row>
    <row r="718" spans="1:53" x14ac:dyDescent="0.2">
      <c r="A718">
        <v>2022</v>
      </c>
      <c r="B718" t="s">
        <v>79</v>
      </c>
      <c r="C718" t="s">
        <v>57</v>
      </c>
      <c r="D718">
        <v>0</v>
      </c>
      <c r="E718">
        <v>0</v>
      </c>
      <c r="F718">
        <v>0</v>
      </c>
      <c r="G718">
        <v>0</v>
      </c>
      <c r="H718">
        <v>0.1</v>
      </c>
      <c r="I718">
        <v>0</v>
      </c>
      <c r="J718">
        <v>0</v>
      </c>
      <c r="K718">
        <f t="shared" si="275"/>
        <v>0.1</v>
      </c>
      <c r="L718">
        <v>0</v>
      </c>
      <c r="M718">
        <v>0</v>
      </c>
      <c r="N718">
        <v>0</v>
      </c>
      <c r="O718">
        <f t="shared" si="285"/>
        <v>0</v>
      </c>
      <c r="P718">
        <v>0</v>
      </c>
      <c r="Q718">
        <v>0.3</v>
      </c>
      <c r="R718">
        <v>0.6</v>
      </c>
      <c r="S718">
        <f t="shared" si="286"/>
        <v>0.89999999999999991</v>
      </c>
      <c r="T718">
        <v>0</v>
      </c>
      <c r="U718">
        <v>0.4</v>
      </c>
      <c r="V718">
        <v>0</v>
      </c>
      <c r="W718">
        <v>0</v>
      </c>
      <c r="X718">
        <v>0</v>
      </c>
      <c r="Y718">
        <v>0</v>
      </c>
      <c r="Z718">
        <v>0.1</v>
      </c>
      <c r="AA718">
        <f t="shared" si="287"/>
        <v>0.5</v>
      </c>
      <c r="AB718">
        <v>0</v>
      </c>
      <c r="AC718">
        <v>0</v>
      </c>
      <c r="AD718">
        <v>0</v>
      </c>
      <c r="AE718">
        <v>1.3</v>
      </c>
      <c r="AF718">
        <v>0.2</v>
      </c>
      <c r="AG718">
        <v>0</v>
      </c>
      <c r="AH718">
        <v>0</v>
      </c>
      <c r="AI718">
        <v>0</v>
      </c>
      <c r="AJ718">
        <f t="shared" si="288"/>
        <v>1.5</v>
      </c>
      <c r="AK718">
        <v>0</v>
      </c>
      <c r="AL718">
        <v>0.97</v>
      </c>
      <c r="AM718">
        <f t="shared" si="269"/>
        <v>0.03</v>
      </c>
      <c r="AN718">
        <v>7438</v>
      </c>
      <c r="AO718" t="s">
        <v>13</v>
      </c>
      <c r="AP718" s="3">
        <f t="shared" si="272"/>
        <v>7668.0412371134025</v>
      </c>
      <c r="AQ718" t="s">
        <v>13</v>
      </c>
      <c r="AR718">
        <f t="shared" si="271"/>
        <v>0.5</v>
      </c>
      <c r="AS718">
        <f t="shared" si="276"/>
        <v>1.4999999999999999E-2</v>
      </c>
      <c r="AT718">
        <f t="shared" si="283"/>
        <v>115</v>
      </c>
      <c r="AU718">
        <f t="shared" si="284"/>
        <v>115</v>
      </c>
      <c r="AV718">
        <f t="shared" si="277"/>
        <v>111</v>
      </c>
      <c r="AW718">
        <f t="shared" si="278"/>
        <v>115</v>
      </c>
      <c r="AX718" s="3">
        <f t="shared" si="279"/>
        <v>7442.0412371134025</v>
      </c>
      <c r="AY718">
        <f t="shared" si="280"/>
        <v>58</v>
      </c>
      <c r="AZ718">
        <f t="shared" si="281"/>
        <v>116</v>
      </c>
      <c r="BA718" s="3">
        <f t="shared" si="282"/>
        <v>7494.0412371134025</v>
      </c>
    </row>
    <row r="719" spans="1:53" x14ac:dyDescent="0.2">
      <c r="A719">
        <v>2023</v>
      </c>
      <c r="B719" t="s">
        <v>79</v>
      </c>
      <c r="C719" t="s">
        <v>57</v>
      </c>
      <c r="D719">
        <v>0.1</v>
      </c>
      <c r="E719">
        <v>0</v>
      </c>
      <c r="F719">
        <v>0</v>
      </c>
      <c r="G719">
        <v>0</v>
      </c>
      <c r="H719">
        <v>0.2</v>
      </c>
      <c r="I719">
        <v>0.1</v>
      </c>
      <c r="J719">
        <v>0.2</v>
      </c>
      <c r="K719">
        <f t="shared" si="275"/>
        <v>0.60000000000000009</v>
      </c>
      <c r="L719">
        <v>0</v>
      </c>
      <c r="M719">
        <v>0</v>
      </c>
      <c r="N719">
        <v>0</v>
      </c>
      <c r="O719">
        <f t="shared" si="285"/>
        <v>0</v>
      </c>
      <c r="P719">
        <v>0</v>
      </c>
      <c r="Q719">
        <v>1</v>
      </c>
      <c r="R719">
        <v>0.7</v>
      </c>
      <c r="S719">
        <f t="shared" si="286"/>
        <v>1.7</v>
      </c>
      <c r="T719">
        <v>0.2</v>
      </c>
      <c r="U719">
        <v>0.3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f t="shared" si="287"/>
        <v>0.5</v>
      </c>
      <c r="AB719">
        <v>0</v>
      </c>
      <c r="AC719">
        <v>0</v>
      </c>
      <c r="AD719">
        <v>0</v>
      </c>
      <c r="AE719">
        <v>1.4</v>
      </c>
      <c r="AF719">
        <v>0</v>
      </c>
      <c r="AG719">
        <v>0</v>
      </c>
      <c r="AH719">
        <v>0</v>
      </c>
      <c r="AI719">
        <v>0</v>
      </c>
      <c r="AJ719">
        <f t="shared" si="288"/>
        <v>1.4</v>
      </c>
      <c r="AK719">
        <v>0</v>
      </c>
      <c r="AL719">
        <v>0.95900000000000007</v>
      </c>
      <c r="AM719">
        <f t="shared" si="269"/>
        <v>4.2000000000000003E-2</v>
      </c>
      <c r="AN719">
        <v>4482</v>
      </c>
      <c r="AO719" t="s">
        <v>13</v>
      </c>
      <c r="AP719" s="3">
        <f t="shared" si="272"/>
        <v>4678.4968684759915</v>
      </c>
      <c r="AQ719" t="s">
        <v>13</v>
      </c>
      <c r="AR719">
        <f t="shared" si="271"/>
        <v>0.33333333333333326</v>
      </c>
      <c r="AS719">
        <f t="shared" si="276"/>
        <v>2.7999999999999997E-2</v>
      </c>
      <c r="AT719">
        <f t="shared" si="283"/>
        <v>131</v>
      </c>
      <c r="AU719">
        <f t="shared" si="284"/>
        <v>65</v>
      </c>
      <c r="AV719">
        <f t="shared" si="277"/>
        <v>117</v>
      </c>
      <c r="AW719">
        <f t="shared" si="278"/>
        <v>65</v>
      </c>
      <c r="AX719" s="3">
        <f t="shared" si="279"/>
        <v>4496.4968684759915</v>
      </c>
      <c r="AY719">
        <f t="shared" si="280"/>
        <v>65</v>
      </c>
      <c r="AZ719">
        <f t="shared" si="281"/>
        <v>66</v>
      </c>
      <c r="BA719" s="3">
        <f t="shared" si="282"/>
        <v>4547.4968684759915</v>
      </c>
    </row>
    <row r="720" spans="1:53" x14ac:dyDescent="0.2">
      <c r="A720">
        <v>1983</v>
      </c>
      <c r="B720" t="s">
        <v>80</v>
      </c>
      <c r="C720" t="s">
        <v>63</v>
      </c>
      <c r="D720">
        <v>0</v>
      </c>
      <c r="E720">
        <v>0</v>
      </c>
      <c r="F720">
        <v>0</v>
      </c>
      <c r="G720">
        <v>1.8</v>
      </c>
      <c r="H720">
        <v>0</v>
      </c>
      <c r="I720">
        <v>13.6</v>
      </c>
      <c r="J720">
        <v>0</v>
      </c>
      <c r="K720">
        <f t="shared" si="275"/>
        <v>15.4</v>
      </c>
      <c r="L720">
        <v>0</v>
      </c>
      <c r="M720">
        <v>0</v>
      </c>
      <c r="N720">
        <v>0</v>
      </c>
      <c r="O720">
        <f t="shared" si="285"/>
        <v>0</v>
      </c>
      <c r="P720">
        <v>1.8</v>
      </c>
      <c r="Q720">
        <v>4.8</v>
      </c>
      <c r="R720">
        <v>7.6</v>
      </c>
      <c r="S720">
        <f t="shared" si="286"/>
        <v>14.2</v>
      </c>
      <c r="T720">
        <v>3.1</v>
      </c>
      <c r="U720">
        <v>0</v>
      </c>
      <c r="V720">
        <v>0.1</v>
      </c>
      <c r="W720">
        <v>0</v>
      </c>
      <c r="X720">
        <v>0</v>
      </c>
      <c r="Y720">
        <v>6.4</v>
      </c>
      <c r="Z720">
        <v>58.2</v>
      </c>
      <c r="AA720">
        <f t="shared" si="287"/>
        <v>67.800000000000011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1.4</v>
      </c>
      <c r="AI720">
        <v>0</v>
      </c>
      <c r="AJ720">
        <f t="shared" si="288"/>
        <v>1.4</v>
      </c>
      <c r="AK720">
        <v>0</v>
      </c>
      <c r="AL720">
        <v>1.1000000000000001E-2</v>
      </c>
      <c r="AM720">
        <f t="shared" si="269"/>
        <v>0.98799999999999988</v>
      </c>
      <c r="AN720">
        <v>1066</v>
      </c>
      <c r="AO720" t="s">
        <v>13</v>
      </c>
      <c r="AP720" s="3">
        <f t="shared" ref="AP720" si="289">AN720/(1-AM720)</f>
        <v>88833.333333332426</v>
      </c>
      <c r="AQ720" t="s">
        <v>13</v>
      </c>
      <c r="AR720">
        <f t="shared" si="271"/>
        <v>1.417004048582996E-2</v>
      </c>
      <c r="AS720">
        <f t="shared" si="276"/>
        <v>0.97400000000000009</v>
      </c>
      <c r="AT720">
        <f t="shared" si="283"/>
        <v>86524</v>
      </c>
      <c r="AU720">
        <f t="shared" si="284"/>
        <v>1244</v>
      </c>
      <c r="AV720">
        <f t="shared" si="277"/>
        <v>79683</v>
      </c>
      <c r="AW720">
        <f t="shared" si="278"/>
        <v>4929</v>
      </c>
      <c r="AX720" s="3">
        <f t="shared" si="279"/>
        <v>4221.3333333324263</v>
      </c>
      <c r="AY720">
        <f t="shared" si="280"/>
        <v>43262</v>
      </c>
      <c r="AZ720">
        <f t="shared" si="281"/>
        <v>24549</v>
      </c>
      <c r="BA720" s="3">
        <f t="shared" si="282"/>
        <v>21022.333333332426</v>
      </c>
    </row>
    <row r="721" spans="1:53" x14ac:dyDescent="0.2">
      <c r="A721">
        <v>1984</v>
      </c>
      <c r="B721" t="s">
        <v>80</v>
      </c>
      <c r="C721" t="s">
        <v>63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32.299999999999997</v>
      </c>
      <c r="J721">
        <v>0</v>
      </c>
      <c r="K721">
        <f t="shared" si="275"/>
        <v>32.299999999999997</v>
      </c>
      <c r="L721">
        <v>0</v>
      </c>
      <c r="M721">
        <v>0</v>
      </c>
      <c r="N721">
        <v>0</v>
      </c>
      <c r="O721">
        <f t="shared" si="285"/>
        <v>0</v>
      </c>
      <c r="P721">
        <v>0</v>
      </c>
      <c r="Q721">
        <v>2.2000000000000002</v>
      </c>
      <c r="R721">
        <v>1.3</v>
      </c>
      <c r="S721">
        <f t="shared" si="286"/>
        <v>3.5</v>
      </c>
      <c r="T721">
        <v>0</v>
      </c>
      <c r="U721">
        <v>0</v>
      </c>
      <c r="V721">
        <v>1.4</v>
      </c>
      <c r="W721">
        <v>0</v>
      </c>
      <c r="X721">
        <v>0</v>
      </c>
      <c r="Y721">
        <v>13.7</v>
      </c>
      <c r="Z721">
        <v>25.5</v>
      </c>
      <c r="AA721">
        <f t="shared" si="287"/>
        <v>40.6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18.399999999999999</v>
      </c>
      <c r="AI721">
        <v>0</v>
      </c>
      <c r="AJ721">
        <f t="shared" si="288"/>
        <v>18.399999999999999</v>
      </c>
      <c r="AK721">
        <v>0.4</v>
      </c>
      <c r="AL721">
        <v>4.7E-2</v>
      </c>
      <c r="AM721">
        <f t="shared" si="269"/>
        <v>0.94799999999999995</v>
      </c>
      <c r="AN721">
        <v>313</v>
      </c>
      <c r="AO721" t="s">
        <v>13</v>
      </c>
      <c r="AP721" s="3">
        <f t="shared" ref="AP721:AP759" si="290">AN721/(1-AM721)</f>
        <v>6019.2307692307641</v>
      </c>
      <c r="AQ721" t="s">
        <v>13</v>
      </c>
      <c r="AR721">
        <f t="shared" si="271"/>
        <v>0.19409282700421943</v>
      </c>
      <c r="AS721">
        <f t="shared" si="276"/>
        <v>0.76400000000000001</v>
      </c>
      <c r="AT721">
        <f t="shared" si="283"/>
        <v>4599</v>
      </c>
      <c r="AU721">
        <f t="shared" si="284"/>
        <v>1108</v>
      </c>
      <c r="AV721">
        <f t="shared" si="277"/>
        <v>3627</v>
      </c>
      <c r="AW721">
        <f t="shared" si="278"/>
        <v>1866</v>
      </c>
      <c r="AX721" s="3">
        <f t="shared" si="279"/>
        <v>526.23076923076405</v>
      </c>
      <c r="AY721">
        <f t="shared" si="280"/>
        <v>2299</v>
      </c>
      <c r="AZ721">
        <f t="shared" si="281"/>
        <v>2902</v>
      </c>
      <c r="BA721" s="3">
        <f t="shared" si="282"/>
        <v>818.23076923076405</v>
      </c>
    </row>
    <row r="722" spans="1:53" x14ac:dyDescent="0.2">
      <c r="A722">
        <v>1985</v>
      </c>
      <c r="B722" t="s">
        <v>80</v>
      </c>
      <c r="C722" t="s">
        <v>63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31.4</v>
      </c>
      <c r="J722">
        <v>3.7</v>
      </c>
      <c r="K722">
        <f t="shared" si="275"/>
        <v>35.1</v>
      </c>
      <c r="L722">
        <v>0</v>
      </c>
      <c r="M722">
        <v>0</v>
      </c>
      <c r="N722">
        <v>0</v>
      </c>
      <c r="O722">
        <f t="shared" si="285"/>
        <v>0</v>
      </c>
      <c r="P722">
        <v>0</v>
      </c>
      <c r="Q722">
        <v>4.9000000000000004</v>
      </c>
      <c r="R722">
        <v>0</v>
      </c>
      <c r="S722">
        <f t="shared" si="286"/>
        <v>4.9000000000000004</v>
      </c>
      <c r="T722">
        <v>0</v>
      </c>
      <c r="U722">
        <v>0</v>
      </c>
      <c r="V722">
        <v>7.4</v>
      </c>
      <c r="W722">
        <v>0</v>
      </c>
      <c r="X722">
        <v>0</v>
      </c>
      <c r="Y722">
        <v>17.2</v>
      </c>
      <c r="Z722">
        <v>22.4</v>
      </c>
      <c r="AA722">
        <f t="shared" si="287"/>
        <v>47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9.1</v>
      </c>
      <c r="AI722">
        <v>0</v>
      </c>
      <c r="AJ722">
        <f t="shared" si="288"/>
        <v>9.1</v>
      </c>
      <c r="AK722">
        <v>0</v>
      </c>
      <c r="AL722">
        <v>3.9E-2</v>
      </c>
      <c r="AM722">
        <f t="shared" ref="AM722:AM785" si="291">SUM(AB722:AI722,T722:Z722,P722:R722,L722:N722,D722:J722)/100</f>
        <v>0.96100000000000008</v>
      </c>
      <c r="AN722">
        <v>112</v>
      </c>
      <c r="AO722" t="s">
        <v>13</v>
      </c>
      <c r="AP722" s="3">
        <f t="shared" si="290"/>
        <v>2871.7948717948775</v>
      </c>
      <c r="AQ722" t="s">
        <v>13</v>
      </c>
      <c r="AR722">
        <f t="shared" si="271"/>
        <v>9.46930280957336E-2</v>
      </c>
      <c r="AS722">
        <f t="shared" si="276"/>
        <v>0.87</v>
      </c>
      <c r="AT722">
        <f t="shared" si="283"/>
        <v>2498</v>
      </c>
      <c r="AU722">
        <f t="shared" si="284"/>
        <v>261</v>
      </c>
      <c r="AV722">
        <f t="shared" si="277"/>
        <v>1994</v>
      </c>
      <c r="AW722">
        <f t="shared" si="278"/>
        <v>613</v>
      </c>
      <c r="AX722" s="3">
        <f t="shared" si="279"/>
        <v>264.79487179487751</v>
      </c>
      <c r="AY722">
        <f t="shared" si="280"/>
        <v>1249</v>
      </c>
      <c r="AZ722">
        <f t="shared" si="281"/>
        <v>1133</v>
      </c>
      <c r="BA722" s="3">
        <f t="shared" si="282"/>
        <v>489.79487179487751</v>
      </c>
    </row>
    <row r="723" spans="1:53" x14ac:dyDescent="0.2">
      <c r="A723">
        <v>1986</v>
      </c>
      <c r="B723" t="s">
        <v>80</v>
      </c>
      <c r="C723" t="s">
        <v>63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16.600000000000001</v>
      </c>
      <c r="J723">
        <v>0</v>
      </c>
      <c r="K723">
        <f t="shared" si="275"/>
        <v>16.600000000000001</v>
      </c>
      <c r="L723">
        <v>0</v>
      </c>
      <c r="M723">
        <v>0</v>
      </c>
      <c r="N723">
        <v>0</v>
      </c>
      <c r="O723">
        <f t="shared" si="285"/>
        <v>0</v>
      </c>
      <c r="P723">
        <v>0</v>
      </c>
      <c r="Q723">
        <v>1.8</v>
      </c>
      <c r="R723">
        <v>13</v>
      </c>
      <c r="S723">
        <f t="shared" si="286"/>
        <v>14.8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10.9</v>
      </c>
      <c r="Z723">
        <v>19.5</v>
      </c>
      <c r="AA723">
        <f t="shared" si="287"/>
        <v>30.4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21</v>
      </c>
      <c r="AI723">
        <v>0</v>
      </c>
      <c r="AJ723">
        <f t="shared" si="288"/>
        <v>21</v>
      </c>
      <c r="AK723">
        <v>0</v>
      </c>
      <c r="AL723">
        <v>0.17100000000000001</v>
      </c>
      <c r="AM723">
        <f t="shared" si="291"/>
        <v>0.82799999999999985</v>
      </c>
      <c r="AN723">
        <v>302</v>
      </c>
      <c r="AO723" t="s">
        <v>13</v>
      </c>
      <c r="AP723" s="3">
        <f t="shared" si="290"/>
        <v>1755.8139534883705</v>
      </c>
      <c r="AQ723" t="s">
        <v>13</v>
      </c>
      <c r="AR723">
        <f t="shared" si="271"/>
        <v>0.25362318840579712</v>
      </c>
      <c r="AS723">
        <f t="shared" si="276"/>
        <v>0.61799999999999999</v>
      </c>
      <c r="AT723">
        <f t="shared" si="283"/>
        <v>1085</v>
      </c>
      <c r="AU723">
        <f t="shared" si="284"/>
        <v>369</v>
      </c>
      <c r="AV723">
        <f t="shared" si="277"/>
        <v>939</v>
      </c>
      <c r="AW723">
        <f t="shared" si="278"/>
        <v>449</v>
      </c>
      <c r="AX723" s="3">
        <f t="shared" si="279"/>
        <v>367.81395348837054</v>
      </c>
      <c r="AY723">
        <f t="shared" si="280"/>
        <v>543</v>
      </c>
      <c r="AZ723">
        <f t="shared" si="281"/>
        <v>667</v>
      </c>
      <c r="BA723" s="3">
        <f t="shared" si="282"/>
        <v>545.81395348837054</v>
      </c>
    </row>
    <row r="724" spans="1:53" x14ac:dyDescent="0.2">
      <c r="A724">
        <v>1987</v>
      </c>
      <c r="B724" t="s">
        <v>80</v>
      </c>
      <c r="C724" t="s">
        <v>63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14.3</v>
      </c>
      <c r="J724">
        <v>0</v>
      </c>
      <c r="K724">
        <f t="shared" si="275"/>
        <v>14.3</v>
      </c>
      <c r="L724">
        <v>2.6</v>
      </c>
      <c r="M724">
        <v>1</v>
      </c>
      <c r="N724">
        <v>0</v>
      </c>
      <c r="O724">
        <f t="shared" si="285"/>
        <v>3.6</v>
      </c>
      <c r="P724">
        <v>1.2</v>
      </c>
      <c r="Q724">
        <v>0.7</v>
      </c>
      <c r="R724">
        <v>11.3</v>
      </c>
      <c r="S724">
        <f t="shared" si="286"/>
        <v>13.200000000000001</v>
      </c>
      <c r="T724">
        <v>3.5</v>
      </c>
      <c r="U724">
        <v>0</v>
      </c>
      <c r="V724">
        <v>2.1</v>
      </c>
      <c r="W724">
        <v>0</v>
      </c>
      <c r="X724">
        <v>0</v>
      </c>
      <c r="Y724">
        <v>1.1000000000000001</v>
      </c>
      <c r="Z724">
        <v>22.8</v>
      </c>
      <c r="AA724">
        <f t="shared" si="287"/>
        <v>29.5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27</v>
      </c>
      <c r="AI724">
        <v>2.2000000000000002</v>
      </c>
      <c r="AJ724">
        <f t="shared" si="288"/>
        <v>29.2</v>
      </c>
      <c r="AK724">
        <v>0</v>
      </c>
      <c r="AL724">
        <v>0.10199999999999999</v>
      </c>
      <c r="AM724">
        <f t="shared" si="291"/>
        <v>0.89800000000000002</v>
      </c>
      <c r="AN724">
        <v>85</v>
      </c>
      <c r="AO724" t="s">
        <v>13</v>
      </c>
      <c r="AP724" s="3">
        <f t="shared" si="290"/>
        <v>833.33333333333348</v>
      </c>
      <c r="AQ724" t="s">
        <v>13</v>
      </c>
      <c r="AR724">
        <f t="shared" si="271"/>
        <v>0.32516703786191536</v>
      </c>
      <c r="AS724">
        <f t="shared" si="276"/>
        <v>0.60599999999999998</v>
      </c>
      <c r="AT724">
        <f t="shared" si="283"/>
        <v>505</v>
      </c>
      <c r="AU724">
        <f t="shared" si="284"/>
        <v>243</v>
      </c>
      <c r="AV724">
        <f t="shared" si="277"/>
        <v>445</v>
      </c>
      <c r="AW724">
        <f t="shared" si="278"/>
        <v>287</v>
      </c>
      <c r="AX724" s="3">
        <f t="shared" si="279"/>
        <v>101.33333333333348</v>
      </c>
      <c r="AY724">
        <f t="shared" si="280"/>
        <v>253</v>
      </c>
      <c r="AZ724">
        <f t="shared" si="281"/>
        <v>430</v>
      </c>
      <c r="BA724" s="3">
        <f t="shared" si="282"/>
        <v>150.33333333333348</v>
      </c>
    </row>
    <row r="725" spans="1:53" x14ac:dyDescent="0.2">
      <c r="A725">
        <v>1988</v>
      </c>
      <c r="B725" t="s">
        <v>80</v>
      </c>
      <c r="C725" t="s">
        <v>63</v>
      </c>
      <c r="D725">
        <v>0</v>
      </c>
      <c r="E725">
        <v>0</v>
      </c>
      <c r="F725">
        <v>0</v>
      </c>
      <c r="G725">
        <v>0.7</v>
      </c>
      <c r="H725">
        <v>0</v>
      </c>
      <c r="I725">
        <v>4.7</v>
      </c>
      <c r="J725">
        <v>0</v>
      </c>
      <c r="K725">
        <f t="shared" si="275"/>
        <v>5.4</v>
      </c>
      <c r="L725">
        <v>1.7</v>
      </c>
      <c r="M725">
        <v>0.6</v>
      </c>
      <c r="N725">
        <v>0</v>
      </c>
      <c r="O725">
        <f t="shared" si="285"/>
        <v>2.2999999999999998</v>
      </c>
      <c r="P725">
        <v>3</v>
      </c>
      <c r="Q725">
        <v>3.2</v>
      </c>
      <c r="R725">
        <v>34.200000000000003</v>
      </c>
      <c r="S725">
        <f t="shared" si="286"/>
        <v>40.400000000000006</v>
      </c>
      <c r="T725">
        <v>6.7</v>
      </c>
      <c r="U725">
        <v>0</v>
      </c>
      <c r="V725">
        <v>0</v>
      </c>
      <c r="W725">
        <v>0</v>
      </c>
      <c r="X725">
        <v>0</v>
      </c>
      <c r="Y725">
        <v>4.0999999999999996</v>
      </c>
      <c r="Z725">
        <v>16.7</v>
      </c>
      <c r="AA725">
        <f t="shared" si="287"/>
        <v>27.5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6.3</v>
      </c>
      <c r="AI725">
        <v>0</v>
      </c>
      <c r="AJ725">
        <f t="shared" si="288"/>
        <v>6.3</v>
      </c>
      <c r="AK725">
        <v>0</v>
      </c>
      <c r="AL725">
        <v>0.18</v>
      </c>
      <c r="AM725">
        <f t="shared" si="291"/>
        <v>0.81900000000000006</v>
      </c>
      <c r="AN725">
        <v>1342</v>
      </c>
      <c r="AO725" t="s">
        <v>13</v>
      </c>
      <c r="AP725" s="3">
        <f t="shared" si="290"/>
        <v>7414.3646408839804</v>
      </c>
      <c r="AQ725" t="s">
        <v>13</v>
      </c>
      <c r="AR725">
        <f t="shared" si="271"/>
        <v>7.6923076923076913E-2</v>
      </c>
      <c r="AS725">
        <f t="shared" si="276"/>
        <v>0.75600000000000012</v>
      </c>
      <c r="AT725">
        <f t="shared" si="283"/>
        <v>5605</v>
      </c>
      <c r="AU725">
        <f t="shared" si="284"/>
        <v>467</v>
      </c>
      <c r="AV725">
        <f t="shared" si="277"/>
        <v>5405</v>
      </c>
      <c r="AW725">
        <f t="shared" si="278"/>
        <v>519</v>
      </c>
      <c r="AX725" s="3">
        <f t="shared" si="279"/>
        <v>1490.3646408839804</v>
      </c>
      <c r="AY725">
        <f t="shared" si="280"/>
        <v>2803</v>
      </c>
      <c r="AZ725">
        <f t="shared" si="281"/>
        <v>1190</v>
      </c>
      <c r="BA725" s="3">
        <f t="shared" si="282"/>
        <v>3421.3646408839804</v>
      </c>
    </row>
    <row r="726" spans="1:53" x14ac:dyDescent="0.2">
      <c r="A726">
        <v>1989</v>
      </c>
      <c r="B726" t="s">
        <v>80</v>
      </c>
      <c r="C726" t="s">
        <v>63</v>
      </c>
      <c r="D726">
        <v>0</v>
      </c>
      <c r="E726">
        <v>0</v>
      </c>
      <c r="F726">
        <v>0</v>
      </c>
      <c r="G726">
        <v>0.4</v>
      </c>
      <c r="H726">
        <v>0</v>
      </c>
      <c r="I726">
        <v>5.5</v>
      </c>
      <c r="J726">
        <v>5.8</v>
      </c>
      <c r="K726">
        <f t="shared" si="275"/>
        <v>11.7</v>
      </c>
      <c r="L726">
        <v>0</v>
      </c>
      <c r="M726">
        <v>0.6</v>
      </c>
      <c r="N726">
        <v>0</v>
      </c>
      <c r="O726">
        <f t="shared" si="285"/>
        <v>0.6</v>
      </c>
      <c r="P726">
        <v>0</v>
      </c>
      <c r="Q726">
        <v>3.3</v>
      </c>
      <c r="R726">
        <v>3</v>
      </c>
      <c r="S726">
        <f t="shared" si="286"/>
        <v>6.3</v>
      </c>
      <c r="T726">
        <v>15.1</v>
      </c>
      <c r="U726">
        <v>0.2</v>
      </c>
      <c r="V726">
        <v>0</v>
      </c>
      <c r="W726">
        <v>0.2</v>
      </c>
      <c r="X726">
        <v>2.1</v>
      </c>
      <c r="Y726">
        <v>9.6</v>
      </c>
      <c r="Z726">
        <v>19</v>
      </c>
      <c r="AA726">
        <f t="shared" si="287"/>
        <v>46.199999999999996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27.4</v>
      </c>
      <c r="AI726">
        <v>0.4</v>
      </c>
      <c r="AJ726">
        <f t="shared" si="288"/>
        <v>27.799999999999997</v>
      </c>
      <c r="AK726">
        <v>0</v>
      </c>
      <c r="AL726">
        <v>7.400000000000001E-2</v>
      </c>
      <c r="AM726">
        <f t="shared" si="291"/>
        <v>0.92599999999999993</v>
      </c>
      <c r="AN726">
        <v>2332</v>
      </c>
      <c r="AO726" t="s">
        <v>13</v>
      </c>
      <c r="AP726" s="3">
        <f t="shared" si="290"/>
        <v>31513.513513513484</v>
      </c>
      <c r="AQ726" t="s">
        <v>13</v>
      </c>
      <c r="AR726">
        <f t="shared" si="271"/>
        <v>0.30021598272138228</v>
      </c>
      <c r="AS726">
        <f t="shared" si="276"/>
        <v>0.64800000000000002</v>
      </c>
      <c r="AT726">
        <f t="shared" si="283"/>
        <v>20421</v>
      </c>
      <c r="AU726">
        <f t="shared" si="284"/>
        <v>8761</v>
      </c>
      <c r="AV726">
        <f t="shared" si="277"/>
        <v>18577</v>
      </c>
      <c r="AW726">
        <f t="shared" si="278"/>
        <v>10217</v>
      </c>
      <c r="AX726" s="3">
        <f t="shared" si="279"/>
        <v>2719.5135135134842</v>
      </c>
      <c r="AY726">
        <f t="shared" si="280"/>
        <v>10210</v>
      </c>
      <c r="AZ726">
        <f t="shared" si="281"/>
        <v>16826</v>
      </c>
      <c r="BA726" s="3">
        <f t="shared" si="282"/>
        <v>4477.5135135134842</v>
      </c>
    </row>
    <row r="727" spans="1:53" x14ac:dyDescent="0.2">
      <c r="A727">
        <v>1990</v>
      </c>
      <c r="B727" t="s">
        <v>80</v>
      </c>
      <c r="C727" t="s">
        <v>63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23.6</v>
      </c>
      <c r="J727">
        <v>5.6</v>
      </c>
      <c r="K727">
        <f t="shared" si="275"/>
        <v>29.200000000000003</v>
      </c>
      <c r="L727">
        <v>0.2</v>
      </c>
      <c r="M727">
        <v>0</v>
      </c>
      <c r="N727">
        <v>0</v>
      </c>
      <c r="O727">
        <f t="shared" si="285"/>
        <v>0.2</v>
      </c>
      <c r="P727">
        <v>0</v>
      </c>
      <c r="Q727">
        <v>0.2</v>
      </c>
      <c r="R727">
        <v>3.5</v>
      </c>
      <c r="S727">
        <f t="shared" si="286"/>
        <v>3.7</v>
      </c>
      <c r="T727">
        <v>10.6</v>
      </c>
      <c r="U727">
        <v>0.1</v>
      </c>
      <c r="V727">
        <v>0</v>
      </c>
      <c r="W727">
        <v>0</v>
      </c>
      <c r="X727">
        <v>0</v>
      </c>
      <c r="Y727">
        <v>2</v>
      </c>
      <c r="Z727">
        <v>13.1</v>
      </c>
      <c r="AA727">
        <f t="shared" si="287"/>
        <v>25.799999999999997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33.5</v>
      </c>
      <c r="AI727">
        <v>0</v>
      </c>
      <c r="AJ727">
        <f t="shared" si="288"/>
        <v>33.5</v>
      </c>
      <c r="AK727">
        <v>0</v>
      </c>
      <c r="AL727">
        <v>7.6999999999999999E-2</v>
      </c>
      <c r="AM727">
        <f t="shared" si="291"/>
        <v>0.92400000000000004</v>
      </c>
      <c r="AN727">
        <v>994</v>
      </c>
      <c r="AO727" t="s">
        <v>13</v>
      </c>
      <c r="AP727" s="3">
        <f t="shared" si="290"/>
        <v>13078.947368421061</v>
      </c>
      <c r="AQ727" t="s">
        <v>13</v>
      </c>
      <c r="AR727">
        <f t="shared" si="271"/>
        <v>0.36255411255411257</v>
      </c>
      <c r="AS727">
        <f t="shared" si="276"/>
        <v>0.58899999999999997</v>
      </c>
      <c r="AT727">
        <f t="shared" si="283"/>
        <v>7704</v>
      </c>
      <c r="AU727">
        <f t="shared" si="284"/>
        <v>4381</v>
      </c>
      <c r="AV727">
        <f t="shared" si="277"/>
        <v>5794</v>
      </c>
      <c r="AW727">
        <f t="shared" si="278"/>
        <v>5938</v>
      </c>
      <c r="AX727" s="3">
        <f t="shared" si="279"/>
        <v>1346.9473684210607</v>
      </c>
      <c r="AY727">
        <f t="shared" si="280"/>
        <v>3852</v>
      </c>
      <c r="AZ727">
        <f t="shared" si="281"/>
        <v>7521</v>
      </c>
      <c r="BA727" s="3">
        <f t="shared" si="282"/>
        <v>1705.9473684210607</v>
      </c>
    </row>
    <row r="728" spans="1:53" x14ac:dyDescent="0.2">
      <c r="A728">
        <v>1991</v>
      </c>
      <c r="B728" t="s">
        <v>80</v>
      </c>
      <c r="C728" t="s">
        <v>63</v>
      </c>
      <c r="D728">
        <v>0</v>
      </c>
      <c r="E728">
        <v>0</v>
      </c>
      <c r="F728">
        <v>0</v>
      </c>
      <c r="G728">
        <v>2.2000000000000002</v>
      </c>
      <c r="H728">
        <v>0</v>
      </c>
      <c r="I728">
        <v>8.8000000000000007</v>
      </c>
      <c r="J728">
        <v>1.9</v>
      </c>
      <c r="K728">
        <f t="shared" si="275"/>
        <v>12.9</v>
      </c>
      <c r="L728">
        <v>0</v>
      </c>
      <c r="M728">
        <v>0</v>
      </c>
      <c r="N728">
        <v>0</v>
      </c>
      <c r="O728">
        <f t="shared" si="285"/>
        <v>0</v>
      </c>
      <c r="P728">
        <v>0</v>
      </c>
      <c r="Q728">
        <v>2.1</v>
      </c>
      <c r="R728">
        <v>3.3</v>
      </c>
      <c r="S728">
        <f t="shared" si="286"/>
        <v>5.4</v>
      </c>
      <c r="T728">
        <v>17</v>
      </c>
      <c r="U728">
        <v>0.8</v>
      </c>
      <c r="V728">
        <v>0</v>
      </c>
      <c r="W728">
        <v>0</v>
      </c>
      <c r="X728">
        <v>0</v>
      </c>
      <c r="Y728">
        <v>2.5</v>
      </c>
      <c r="Z728">
        <v>25.6</v>
      </c>
      <c r="AA728">
        <f t="shared" si="287"/>
        <v>45.900000000000006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17.5</v>
      </c>
      <c r="AI728">
        <v>2.6</v>
      </c>
      <c r="AJ728">
        <f t="shared" si="288"/>
        <v>20.100000000000001</v>
      </c>
      <c r="AK728">
        <v>0</v>
      </c>
      <c r="AL728">
        <v>0.157</v>
      </c>
      <c r="AM728">
        <f t="shared" si="291"/>
        <v>0.84299999999999997</v>
      </c>
      <c r="AN728">
        <v>953</v>
      </c>
      <c r="AO728" t="s">
        <v>13</v>
      </c>
      <c r="AP728" s="3">
        <f t="shared" si="290"/>
        <v>6070.0636942675146</v>
      </c>
      <c r="AQ728" t="s">
        <v>13</v>
      </c>
      <c r="AR728">
        <f t="shared" si="271"/>
        <v>0.23843416370106763</v>
      </c>
      <c r="AS728">
        <f t="shared" si="276"/>
        <v>0.64200000000000002</v>
      </c>
      <c r="AT728">
        <f t="shared" si="283"/>
        <v>3897</v>
      </c>
      <c r="AU728">
        <f t="shared" si="284"/>
        <v>1220</v>
      </c>
      <c r="AV728">
        <f t="shared" si="277"/>
        <v>3505</v>
      </c>
      <c r="AW728">
        <f t="shared" si="278"/>
        <v>1440</v>
      </c>
      <c r="AX728" s="3">
        <f t="shared" si="279"/>
        <v>1125.0636942675146</v>
      </c>
      <c r="AY728">
        <f t="shared" si="280"/>
        <v>1948</v>
      </c>
      <c r="AZ728">
        <f t="shared" si="281"/>
        <v>2314</v>
      </c>
      <c r="BA728" s="3">
        <f t="shared" si="282"/>
        <v>1808.0636942675146</v>
      </c>
    </row>
    <row r="729" spans="1:53" x14ac:dyDescent="0.2">
      <c r="A729">
        <v>1992</v>
      </c>
      <c r="B729" t="s">
        <v>80</v>
      </c>
      <c r="C729" t="s">
        <v>63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7.3</v>
      </c>
      <c r="J729">
        <v>3.8</v>
      </c>
      <c r="K729">
        <f t="shared" si="275"/>
        <v>11.1</v>
      </c>
      <c r="L729">
        <v>0</v>
      </c>
      <c r="M729">
        <v>0.2</v>
      </c>
      <c r="N729">
        <v>0</v>
      </c>
      <c r="O729">
        <f t="shared" si="285"/>
        <v>0.2</v>
      </c>
      <c r="P729">
        <v>0</v>
      </c>
      <c r="Q729">
        <v>2.1</v>
      </c>
      <c r="R729">
        <v>5.4</v>
      </c>
      <c r="S729">
        <f t="shared" si="286"/>
        <v>7.5</v>
      </c>
      <c r="T729">
        <v>6.6</v>
      </c>
      <c r="U729">
        <v>0</v>
      </c>
      <c r="V729">
        <v>0.6</v>
      </c>
      <c r="W729">
        <v>0</v>
      </c>
      <c r="X729">
        <v>0</v>
      </c>
      <c r="Y729">
        <v>7.4</v>
      </c>
      <c r="Z729">
        <v>29.8</v>
      </c>
      <c r="AA729">
        <f t="shared" si="287"/>
        <v>44.4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6.4</v>
      </c>
      <c r="AI729">
        <v>0</v>
      </c>
      <c r="AJ729">
        <f t="shared" si="288"/>
        <v>6.4</v>
      </c>
      <c r="AK729">
        <v>0</v>
      </c>
      <c r="AL729">
        <v>0.30299999999999999</v>
      </c>
      <c r="AM729">
        <f t="shared" si="291"/>
        <v>0.69599999999999995</v>
      </c>
      <c r="AN729">
        <v>106</v>
      </c>
      <c r="AO729" t="s">
        <v>13</v>
      </c>
      <c r="AP729" s="3">
        <f t="shared" si="290"/>
        <v>348.68421052631572</v>
      </c>
      <c r="AQ729" t="s">
        <v>13</v>
      </c>
      <c r="AR729">
        <f t="shared" si="271"/>
        <v>9.195402298850576E-2</v>
      </c>
      <c r="AS729">
        <f t="shared" si="276"/>
        <v>0.63200000000000001</v>
      </c>
      <c r="AT729">
        <f t="shared" si="283"/>
        <v>220</v>
      </c>
      <c r="AU729">
        <f t="shared" si="284"/>
        <v>22</v>
      </c>
      <c r="AV729">
        <f t="shared" si="277"/>
        <v>201</v>
      </c>
      <c r="AW729">
        <f t="shared" si="278"/>
        <v>25</v>
      </c>
      <c r="AX729" s="3">
        <f t="shared" si="279"/>
        <v>122.68421052631572</v>
      </c>
      <c r="AY729">
        <f t="shared" si="280"/>
        <v>110</v>
      </c>
      <c r="AZ729">
        <f t="shared" si="281"/>
        <v>41</v>
      </c>
      <c r="BA729" s="3">
        <f t="shared" si="282"/>
        <v>197.68421052631572</v>
      </c>
    </row>
    <row r="730" spans="1:53" x14ac:dyDescent="0.2">
      <c r="A730">
        <v>1993</v>
      </c>
      <c r="B730" t="s">
        <v>80</v>
      </c>
      <c r="C730" t="s">
        <v>63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15</v>
      </c>
      <c r="J730">
        <v>1.8</v>
      </c>
      <c r="K730">
        <f t="shared" si="275"/>
        <v>16.8</v>
      </c>
      <c r="L730">
        <v>0</v>
      </c>
      <c r="M730">
        <v>0.8</v>
      </c>
      <c r="N730">
        <v>0</v>
      </c>
      <c r="O730">
        <f t="shared" si="285"/>
        <v>0.8</v>
      </c>
      <c r="P730">
        <v>0.4</v>
      </c>
      <c r="Q730">
        <v>2</v>
      </c>
      <c r="R730">
        <v>4.0999999999999996</v>
      </c>
      <c r="S730">
        <f t="shared" si="286"/>
        <v>6.5</v>
      </c>
      <c r="T730">
        <v>3.2</v>
      </c>
      <c r="U730">
        <v>0.7</v>
      </c>
      <c r="V730">
        <v>0</v>
      </c>
      <c r="W730">
        <v>0</v>
      </c>
      <c r="X730">
        <v>0</v>
      </c>
      <c r="Y730">
        <v>1.9</v>
      </c>
      <c r="Z730">
        <v>21.6</v>
      </c>
      <c r="AA730">
        <f t="shared" si="287"/>
        <v>27.400000000000002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17.899999999999999</v>
      </c>
      <c r="AI730">
        <v>0</v>
      </c>
      <c r="AJ730">
        <f t="shared" si="288"/>
        <v>17.899999999999999</v>
      </c>
      <c r="AK730">
        <v>0.7</v>
      </c>
      <c r="AL730">
        <v>0.29600000000000004</v>
      </c>
      <c r="AM730">
        <f t="shared" si="291"/>
        <v>0.69399999999999995</v>
      </c>
      <c r="AN730">
        <v>1655</v>
      </c>
      <c r="AO730" t="s">
        <v>13</v>
      </c>
      <c r="AP730" s="3">
        <f t="shared" si="290"/>
        <v>5408.496732026143</v>
      </c>
      <c r="AQ730" t="s">
        <v>13</v>
      </c>
      <c r="AR730">
        <f t="shared" si="271"/>
        <v>0.25792507204610954</v>
      </c>
      <c r="AS730">
        <f t="shared" ref="AS730:AS759" si="292">SUM(K730,O730,S730,AA730)/100</f>
        <v>0.51500000000000001</v>
      </c>
      <c r="AT730">
        <f t="shared" si="283"/>
        <v>2785</v>
      </c>
      <c r="AU730">
        <f t="shared" si="284"/>
        <v>968</v>
      </c>
      <c r="AV730">
        <f t="shared" si="277"/>
        <v>2331</v>
      </c>
      <c r="AW730">
        <f t="shared" si="278"/>
        <v>1136</v>
      </c>
      <c r="AX730" s="3">
        <f t="shared" si="279"/>
        <v>1941.496732026143</v>
      </c>
      <c r="AY730">
        <f t="shared" si="280"/>
        <v>1393</v>
      </c>
      <c r="AZ730">
        <f t="shared" si="281"/>
        <v>1482</v>
      </c>
      <c r="BA730" s="3">
        <f t="shared" si="282"/>
        <v>2533.496732026143</v>
      </c>
    </row>
    <row r="731" spans="1:53" x14ac:dyDescent="0.2">
      <c r="A731">
        <v>1994</v>
      </c>
      <c r="B731" t="s">
        <v>80</v>
      </c>
      <c r="C731" t="s">
        <v>63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4.4000000000000004</v>
      </c>
      <c r="J731">
        <v>0.5</v>
      </c>
      <c r="K731">
        <f t="shared" si="275"/>
        <v>4.9000000000000004</v>
      </c>
      <c r="L731">
        <v>0</v>
      </c>
      <c r="M731">
        <v>0.1</v>
      </c>
      <c r="N731">
        <v>0</v>
      </c>
      <c r="O731">
        <f t="shared" si="285"/>
        <v>0.1</v>
      </c>
      <c r="P731">
        <v>0</v>
      </c>
      <c r="Q731">
        <v>2.5</v>
      </c>
      <c r="R731">
        <v>2.2999999999999998</v>
      </c>
      <c r="S731">
        <f t="shared" si="286"/>
        <v>4.8</v>
      </c>
      <c r="T731">
        <v>0.6</v>
      </c>
      <c r="U731">
        <v>0</v>
      </c>
      <c r="V731">
        <v>0</v>
      </c>
      <c r="W731">
        <v>0</v>
      </c>
      <c r="X731">
        <v>0</v>
      </c>
      <c r="Y731">
        <v>3</v>
      </c>
      <c r="Z731">
        <v>39.299999999999997</v>
      </c>
      <c r="AA731">
        <f t="shared" si="287"/>
        <v>42.9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13.2</v>
      </c>
      <c r="AI731">
        <v>0.3</v>
      </c>
      <c r="AJ731">
        <f t="shared" si="288"/>
        <v>13.5</v>
      </c>
      <c r="AK731">
        <v>0</v>
      </c>
      <c r="AL731">
        <v>0.33799999999999997</v>
      </c>
      <c r="AM731">
        <f t="shared" si="291"/>
        <v>0.66200000000000003</v>
      </c>
      <c r="AN731">
        <v>1730</v>
      </c>
      <c r="AO731" t="s">
        <v>13</v>
      </c>
      <c r="AP731" s="3">
        <f t="shared" si="290"/>
        <v>5118.3431952662722</v>
      </c>
      <c r="AQ731" t="s">
        <v>13</v>
      </c>
      <c r="AR731">
        <f t="shared" si="271"/>
        <v>0.2039274924471299</v>
      </c>
      <c r="AS731">
        <f t="shared" si="292"/>
        <v>0.52700000000000002</v>
      </c>
      <c r="AT731">
        <f t="shared" si="283"/>
        <v>2697</v>
      </c>
      <c r="AU731">
        <f t="shared" si="284"/>
        <v>691</v>
      </c>
      <c r="AV731">
        <f t="shared" si="277"/>
        <v>2572</v>
      </c>
      <c r="AW731">
        <f t="shared" si="278"/>
        <v>727</v>
      </c>
      <c r="AX731" s="3">
        <f t="shared" si="279"/>
        <v>1819.3431952662722</v>
      </c>
      <c r="AY731">
        <f t="shared" si="280"/>
        <v>1349</v>
      </c>
      <c r="AZ731">
        <f t="shared" si="281"/>
        <v>1076</v>
      </c>
      <c r="BA731" s="3">
        <f t="shared" si="282"/>
        <v>2693.3431952662722</v>
      </c>
    </row>
    <row r="732" spans="1:53" x14ac:dyDescent="0.2">
      <c r="A732">
        <v>1995</v>
      </c>
      <c r="B732" t="s">
        <v>80</v>
      </c>
      <c r="C732" t="s">
        <v>63</v>
      </c>
      <c r="D732">
        <v>0</v>
      </c>
      <c r="E732">
        <v>0</v>
      </c>
      <c r="F732">
        <v>0</v>
      </c>
      <c r="G732">
        <v>0</v>
      </c>
      <c r="H732">
        <v>0.4</v>
      </c>
      <c r="I732">
        <v>8.1</v>
      </c>
      <c r="J732">
        <v>3.1</v>
      </c>
      <c r="K732">
        <f t="shared" si="275"/>
        <v>11.6</v>
      </c>
      <c r="L732">
        <v>0</v>
      </c>
      <c r="M732">
        <v>0.4</v>
      </c>
      <c r="N732">
        <v>0</v>
      </c>
      <c r="O732">
        <f t="shared" si="285"/>
        <v>0.4</v>
      </c>
      <c r="P732">
        <v>0</v>
      </c>
      <c r="Q732">
        <v>0.3</v>
      </c>
      <c r="R732">
        <v>2</v>
      </c>
      <c r="S732">
        <f t="shared" si="286"/>
        <v>2.2999999999999998</v>
      </c>
      <c r="T732">
        <v>2.1</v>
      </c>
      <c r="U732">
        <v>0</v>
      </c>
      <c r="V732">
        <v>0.4</v>
      </c>
      <c r="W732">
        <v>0</v>
      </c>
      <c r="X732">
        <v>0</v>
      </c>
      <c r="Y732">
        <v>0.6</v>
      </c>
      <c r="Z732">
        <v>28</v>
      </c>
      <c r="AA732">
        <f t="shared" si="287"/>
        <v>31.1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28.1</v>
      </c>
      <c r="AI732">
        <v>0</v>
      </c>
      <c r="AJ732">
        <f t="shared" si="288"/>
        <v>28.1</v>
      </c>
      <c r="AK732">
        <v>0.1</v>
      </c>
      <c r="AL732">
        <v>0.26300000000000001</v>
      </c>
      <c r="AM732">
        <f t="shared" si="291"/>
        <v>0.73499999999999988</v>
      </c>
      <c r="AN732">
        <v>817</v>
      </c>
      <c r="AO732" t="s">
        <v>13</v>
      </c>
      <c r="AP732" s="3">
        <f t="shared" si="290"/>
        <v>3083.0188679245271</v>
      </c>
      <c r="AQ732" t="s">
        <v>13</v>
      </c>
      <c r="AR732">
        <f t="shared" si="271"/>
        <v>0.38231292517006815</v>
      </c>
      <c r="AS732">
        <f t="shared" si="292"/>
        <v>0.45400000000000007</v>
      </c>
      <c r="AT732">
        <f t="shared" si="283"/>
        <v>1400</v>
      </c>
      <c r="AU732">
        <f t="shared" si="284"/>
        <v>866</v>
      </c>
      <c r="AV732">
        <f t="shared" si="277"/>
        <v>1221</v>
      </c>
      <c r="AW732">
        <f t="shared" si="278"/>
        <v>958</v>
      </c>
      <c r="AX732" s="3">
        <f t="shared" si="279"/>
        <v>904.01886792452706</v>
      </c>
      <c r="AY732">
        <f t="shared" si="280"/>
        <v>700</v>
      </c>
      <c r="AZ732">
        <f t="shared" si="281"/>
        <v>1226</v>
      </c>
      <c r="BA732" s="3">
        <f t="shared" si="282"/>
        <v>1157.0188679245271</v>
      </c>
    </row>
    <row r="733" spans="1:53" x14ac:dyDescent="0.2">
      <c r="A733">
        <v>1996</v>
      </c>
      <c r="B733" t="s">
        <v>80</v>
      </c>
      <c r="C733" t="s">
        <v>63</v>
      </c>
      <c r="D733">
        <v>0.2</v>
      </c>
      <c r="E733">
        <v>0</v>
      </c>
      <c r="F733">
        <v>0</v>
      </c>
      <c r="G733">
        <v>0</v>
      </c>
      <c r="H733">
        <v>0</v>
      </c>
      <c r="I733">
        <v>0.5</v>
      </c>
      <c r="J733">
        <v>1.2</v>
      </c>
      <c r="K733">
        <f t="shared" si="275"/>
        <v>1.9</v>
      </c>
      <c r="L733">
        <v>0</v>
      </c>
      <c r="M733">
        <v>1.1000000000000001</v>
      </c>
      <c r="N733">
        <v>0</v>
      </c>
      <c r="O733">
        <f t="shared" si="285"/>
        <v>1.1000000000000001</v>
      </c>
      <c r="P733">
        <v>0</v>
      </c>
      <c r="Q733">
        <v>0.1</v>
      </c>
      <c r="R733">
        <v>3.6</v>
      </c>
      <c r="S733">
        <f t="shared" si="286"/>
        <v>3.7</v>
      </c>
      <c r="T733">
        <v>1</v>
      </c>
      <c r="U733">
        <v>0</v>
      </c>
      <c r="V733">
        <v>0.6</v>
      </c>
      <c r="W733">
        <v>0</v>
      </c>
      <c r="X733">
        <v>0</v>
      </c>
      <c r="Y733">
        <v>1.4</v>
      </c>
      <c r="Z733">
        <v>26.4</v>
      </c>
      <c r="AA733">
        <f t="shared" si="287"/>
        <v>29.4</v>
      </c>
      <c r="AB733">
        <v>0</v>
      </c>
      <c r="AC733">
        <v>0</v>
      </c>
      <c r="AD733">
        <v>0</v>
      </c>
      <c r="AE733">
        <v>0</v>
      </c>
      <c r="AF733">
        <v>0.2</v>
      </c>
      <c r="AG733">
        <v>0</v>
      </c>
      <c r="AH733">
        <v>36.9</v>
      </c>
      <c r="AI733">
        <v>0</v>
      </c>
      <c r="AJ733">
        <f t="shared" si="288"/>
        <v>37.1</v>
      </c>
      <c r="AK733">
        <v>0</v>
      </c>
      <c r="AL733">
        <v>0.26800000000000002</v>
      </c>
      <c r="AM733">
        <f t="shared" si="291"/>
        <v>0.73199999999999987</v>
      </c>
      <c r="AN733">
        <v>606</v>
      </c>
      <c r="AO733" t="s">
        <v>13</v>
      </c>
      <c r="AP733" s="3">
        <f t="shared" si="290"/>
        <v>2261.1940298507452</v>
      </c>
      <c r="AQ733" t="s">
        <v>13</v>
      </c>
      <c r="AR733">
        <f t="shared" si="271"/>
        <v>0.50683060109289624</v>
      </c>
      <c r="AS733">
        <f t="shared" si="292"/>
        <v>0.36099999999999999</v>
      </c>
      <c r="AT733">
        <f t="shared" si="283"/>
        <v>816</v>
      </c>
      <c r="AU733">
        <f t="shared" si="284"/>
        <v>839</v>
      </c>
      <c r="AV733">
        <f t="shared" si="277"/>
        <v>795</v>
      </c>
      <c r="AW733">
        <f t="shared" si="278"/>
        <v>851</v>
      </c>
      <c r="AX733" s="3">
        <f t="shared" si="279"/>
        <v>615.19402985074521</v>
      </c>
      <c r="AY733">
        <f t="shared" si="280"/>
        <v>408</v>
      </c>
      <c r="AZ733">
        <f t="shared" si="281"/>
        <v>1076</v>
      </c>
      <c r="BA733" s="3">
        <f t="shared" si="282"/>
        <v>777.19402985074521</v>
      </c>
    </row>
    <row r="734" spans="1:53" x14ac:dyDescent="0.2">
      <c r="A734">
        <v>1997</v>
      </c>
      <c r="B734" t="s">
        <v>80</v>
      </c>
      <c r="C734" t="s">
        <v>63</v>
      </c>
      <c r="D734">
        <v>0</v>
      </c>
      <c r="E734">
        <v>0.5</v>
      </c>
      <c r="F734">
        <v>0</v>
      </c>
      <c r="G734">
        <v>0</v>
      </c>
      <c r="H734">
        <v>0</v>
      </c>
      <c r="I734">
        <v>3.3</v>
      </c>
      <c r="J734">
        <v>2.5</v>
      </c>
      <c r="K734">
        <f t="shared" si="275"/>
        <v>6.3</v>
      </c>
      <c r="L734">
        <v>0</v>
      </c>
      <c r="M734">
        <v>0.3</v>
      </c>
      <c r="N734">
        <v>0</v>
      </c>
      <c r="O734">
        <f t="shared" si="285"/>
        <v>0.3</v>
      </c>
      <c r="P734">
        <v>0</v>
      </c>
      <c r="Q734">
        <v>0.3</v>
      </c>
      <c r="R734">
        <v>3.2</v>
      </c>
      <c r="S734">
        <f t="shared" si="286"/>
        <v>3.5</v>
      </c>
      <c r="T734">
        <v>0.4</v>
      </c>
      <c r="U734">
        <v>0.9</v>
      </c>
      <c r="V734">
        <v>0.3</v>
      </c>
      <c r="W734">
        <v>0</v>
      </c>
      <c r="X734">
        <v>0</v>
      </c>
      <c r="Y734">
        <v>0.3</v>
      </c>
      <c r="Z734">
        <v>29.6</v>
      </c>
      <c r="AA734">
        <f t="shared" si="287"/>
        <v>31.5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16.2</v>
      </c>
      <c r="AI734">
        <v>1.2</v>
      </c>
      <c r="AJ734">
        <f t="shared" si="288"/>
        <v>17.399999999999999</v>
      </c>
      <c r="AK734">
        <v>0</v>
      </c>
      <c r="AL734">
        <v>0.40899999999999997</v>
      </c>
      <c r="AM734">
        <f t="shared" si="291"/>
        <v>0.59</v>
      </c>
      <c r="AN734">
        <v>340</v>
      </c>
      <c r="AO734" t="s">
        <v>13</v>
      </c>
      <c r="AP734" s="3">
        <f t="shared" si="290"/>
        <v>829.26829268292681</v>
      </c>
      <c r="AQ734" t="s">
        <v>13</v>
      </c>
      <c r="AR734">
        <f t="shared" si="271"/>
        <v>0.29491525423728815</v>
      </c>
      <c r="AS734">
        <f t="shared" si="292"/>
        <v>0.41600000000000004</v>
      </c>
      <c r="AT734">
        <f t="shared" si="283"/>
        <v>345</v>
      </c>
      <c r="AU734">
        <f t="shared" si="284"/>
        <v>144</v>
      </c>
      <c r="AV734">
        <f t="shared" si="277"/>
        <v>319</v>
      </c>
      <c r="AW734">
        <f t="shared" si="278"/>
        <v>152</v>
      </c>
      <c r="AX734" s="3">
        <f t="shared" si="279"/>
        <v>358.26829268292681</v>
      </c>
      <c r="AY734">
        <f t="shared" si="280"/>
        <v>172</v>
      </c>
      <c r="AZ734">
        <f t="shared" si="281"/>
        <v>195</v>
      </c>
      <c r="BA734" s="3">
        <f t="shared" si="282"/>
        <v>462.26829268292681</v>
      </c>
    </row>
    <row r="735" spans="1:53" x14ac:dyDescent="0.2">
      <c r="A735">
        <v>1998</v>
      </c>
      <c r="B735" t="s">
        <v>80</v>
      </c>
      <c r="C735" t="s">
        <v>63</v>
      </c>
      <c r="D735">
        <v>0.2</v>
      </c>
      <c r="E735">
        <v>0</v>
      </c>
      <c r="F735">
        <v>0</v>
      </c>
      <c r="G735">
        <v>0</v>
      </c>
      <c r="H735">
        <v>0</v>
      </c>
      <c r="I735">
        <v>0.3</v>
      </c>
      <c r="J735">
        <v>0.7</v>
      </c>
      <c r="K735">
        <f t="shared" si="275"/>
        <v>1.2</v>
      </c>
      <c r="L735">
        <v>0</v>
      </c>
      <c r="M735">
        <v>0</v>
      </c>
      <c r="N735">
        <v>0.4</v>
      </c>
      <c r="O735">
        <f t="shared" si="285"/>
        <v>0.4</v>
      </c>
      <c r="P735">
        <v>0</v>
      </c>
      <c r="Q735">
        <v>0</v>
      </c>
      <c r="R735">
        <v>1.4</v>
      </c>
      <c r="S735">
        <f t="shared" si="286"/>
        <v>1.4</v>
      </c>
      <c r="T735">
        <v>0.6</v>
      </c>
      <c r="U735">
        <v>0</v>
      </c>
      <c r="V735">
        <v>0</v>
      </c>
      <c r="W735">
        <v>0</v>
      </c>
      <c r="X735">
        <v>0</v>
      </c>
      <c r="Y735">
        <v>0.4</v>
      </c>
      <c r="Z735">
        <v>26</v>
      </c>
      <c r="AA735">
        <f t="shared" si="287"/>
        <v>27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29.8</v>
      </c>
      <c r="AI735">
        <v>0.6</v>
      </c>
      <c r="AJ735">
        <f t="shared" si="288"/>
        <v>30.400000000000002</v>
      </c>
      <c r="AK735">
        <v>0</v>
      </c>
      <c r="AL735">
        <v>0.39600000000000002</v>
      </c>
      <c r="AM735">
        <f t="shared" si="291"/>
        <v>0.60400000000000009</v>
      </c>
      <c r="AN735">
        <v>834</v>
      </c>
      <c r="AO735" t="s">
        <v>13</v>
      </c>
      <c r="AP735" s="3">
        <f t="shared" si="290"/>
        <v>2106.0606060606065</v>
      </c>
      <c r="AQ735" t="s">
        <v>13</v>
      </c>
      <c r="AR735">
        <f t="shared" si="271"/>
        <v>0.50331125827814571</v>
      </c>
      <c r="AS735">
        <f t="shared" si="292"/>
        <v>0.3</v>
      </c>
      <c r="AT735">
        <f t="shared" si="283"/>
        <v>632</v>
      </c>
      <c r="AU735">
        <f t="shared" si="284"/>
        <v>640</v>
      </c>
      <c r="AV735">
        <f t="shared" si="277"/>
        <v>619</v>
      </c>
      <c r="AW735">
        <f t="shared" si="278"/>
        <v>646</v>
      </c>
      <c r="AX735" s="3">
        <f t="shared" si="279"/>
        <v>841.06060606060646</v>
      </c>
      <c r="AY735">
        <f t="shared" si="280"/>
        <v>316</v>
      </c>
      <c r="AZ735">
        <f t="shared" si="281"/>
        <v>777</v>
      </c>
      <c r="BA735" s="3">
        <f t="shared" si="282"/>
        <v>1013.0606060606065</v>
      </c>
    </row>
    <row r="736" spans="1:53" x14ac:dyDescent="0.2">
      <c r="A736">
        <v>1999</v>
      </c>
      <c r="B736" t="s">
        <v>80</v>
      </c>
      <c r="C736" t="s">
        <v>63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0.4</v>
      </c>
      <c r="J736">
        <v>2.4</v>
      </c>
      <c r="K736">
        <f t="shared" si="275"/>
        <v>2.8</v>
      </c>
      <c r="L736">
        <v>0</v>
      </c>
      <c r="M736">
        <v>0</v>
      </c>
      <c r="N736">
        <v>0</v>
      </c>
      <c r="O736">
        <f t="shared" si="285"/>
        <v>0</v>
      </c>
      <c r="P736">
        <v>0</v>
      </c>
      <c r="Q736">
        <v>0</v>
      </c>
      <c r="R736">
        <v>3.7</v>
      </c>
      <c r="S736">
        <f t="shared" si="286"/>
        <v>3.7</v>
      </c>
      <c r="T736">
        <v>3.1</v>
      </c>
      <c r="U736">
        <v>0.3</v>
      </c>
      <c r="V736">
        <v>0.2</v>
      </c>
      <c r="W736">
        <v>0</v>
      </c>
      <c r="X736">
        <v>0</v>
      </c>
      <c r="Y736">
        <v>1.1000000000000001</v>
      </c>
      <c r="Z736">
        <v>23.1</v>
      </c>
      <c r="AA736">
        <f t="shared" si="287"/>
        <v>27.8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39.799999999999997</v>
      </c>
      <c r="AI736">
        <v>0</v>
      </c>
      <c r="AJ736">
        <f t="shared" si="288"/>
        <v>39.799999999999997</v>
      </c>
      <c r="AK736">
        <v>0</v>
      </c>
      <c r="AL736">
        <v>0.25900000000000001</v>
      </c>
      <c r="AM736">
        <f t="shared" si="291"/>
        <v>0.7410000000000001</v>
      </c>
      <c r="AN736">
        <v>1399</v>
      </c>
      <c r="AO736" t="s">
        <v>13</v>
      </c>
      <c r="AP736" s="3">
        <f t="shared" si="290"/>
        <v>5401.5444015444036</v>
      </c>
      <c r="AQ736" t="s">
        <v>13</v>
      </c>
      <c r="AR736">
        <f t="shared" si="271"/>
        <v>0.53711201079622117</v>
      </c>
      <c r="AS736">
        <f t="shared" si="292"/>
        <v>0.34299999999999997</v>
      </c>
      <c r="AT736">
        <f t="shared" si="283"/>
        <v>1853</v>
      </c>
      <c r="AU736">
        <f t="shared" si="284"/>
        <v>2150</v>
      </c>
      <c r="AV736">
        <f t="shared" si="277"/>
        <v>1777</v>
      </c>
      <c r="AW736">
        <f t="shared" si="278"/>
        <v>2196</v>
      </c>
      <c r="AX736" s="3">
        <f t="shared" si="279"/>
        <v>1428.5444015444036</v>
      </c>
      <c r="AY736">
        <f t="shared" si="280"/>
        <v>926</v>
      </c>
      <c r="AZ736">
        <f t="shared" si="281"/>
        <v>2712</v>
      </c>
      <c r="BA736" s="3">
        <f t="shared" si="282"/>
        <v>1763.5444015444036</v>
      </c>
    </row>
    <row r="737" spans="1:53" x14ac:dyDescent="0.2">
      <c r="A737">
        <v>2000</v>
      </c>
      <c r="B737" t="s">
        <v>80</v>
      </c>
      <c r="C737" t="s">
        <v>63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13.9</v>
      </c>
      <c r="J737">
        <v>3.1</v>
      </c>
      <c r="K737">
        <f t="shared" si="275"/>
        <v>17</v>
      </c>
      <c r="L737">
        <v>0</v>
      </c>
      <c r="M737">
        <v>0</v>
      </c>
      <c r="N737">
        <v>0</v>
      </c>
      <c r="O737">
        <f t="shared" si="285"/>
        <v>0</v>
      </c>
      <c r="P737">
        <v>0</v>
      </c>
      <c r="Q737">
        <v>0</v>
      </c>
      <c r="R737">
        <v>2.8</v>
      </c>
      <c r="S737">
        <f t="shared" si="286"/>
        <v>2.8</v>
      </c>
      <c r="T737">
        <v>1.2</v>
      </c>
      <c r="U737">
        <v>1.4</v>
      </c>
      <c r="V737">
        <v>0.5</v>
      </c>
      <c r="W737">
        <v>0</v>
      </c>
      <c r="X737">
        <v>0</v>
      </c>
      <c r="Y737">
        <v>2.1</v>
      </c>
      <c r="Z737">
        <v>28.2</v>
      </c>
      <c r="AA737">
        <f t="shared" si="287"/>
        <v>33.4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35.299999999999997</v>
      </c>
      <c r="AI737">
        <v>0</v>
      </c>
      <c r="AJ737">
        <f t="shared" si="288"/>
        <v>35.299999999999997</v>
      </c>
      <c r="AK737">
        <v>0.1</v>
      </c>
      <c r="AL737">
        <v>0.113</v>
      </c>
      <c r="AM737">
        <f t="shared" si="291"/>
        <v>0.88500000000000001</v>
      </c>
      <c r="AN737">
        <v>1253</v>
      </c>
      <c r="AO737" t="s">
        <v>13</v>
      </c>
      <c r="AP737" s="3">
        <f t="shared" si="290"/>
        <v>10895.652173913044</v>
      </c>
      <c r="AQ737" t="s">
        <v>13</v>
      </c>
      <c r="AR737">
        <f t="shared" si="271"/>
        <v>0.39887005649717511</v>
      </c>
      <c r="AS737">
        <f t="shared" si="292"/>
        <v>0.53200000000000003</v>
      </c>
      <c r="AT737">
        <f t="shared" si="283"/>
        <v>5796</v>
      </c>
      <c r="AU737">
        <f t="shared" si="284"/>
        <v>3846</v>
      </c>
      <c r="AV737">
        <f t="shared" si="277"/>
        <v>4870</v>
      </c>
      <c r="AW737">
        <f t="shared" si="278"/>
        <v>4544</v>
      </c>
      <c r="AX737" s="3">
        <f t="shared" si="279"/>
        <v>1481.652173913044</v>
      </c>
      <c r="AY737">
        <f t="shared" si="280"/>
        <v>2898</v>
      </c>
      <c r="AZ737">
        <f t="shared" si="281"/>
        <v>6032</v>
      </c>
      <c r="BA737" s="3">
        <f t="shared" si="282"/>
        <v>1965.652173913044</v>
      </c>
    </row>
    <row r="738" spans="1:53" x14ac:dyDescent="0.2">
      <c r="A738">
        <v>2001</v>
      </c>
      <c r="B738" t="s">
        <v>80</v>
      </c>
      <c r="C738" t="s">
        <v>63</v>
      </c>
      <c r="D738">
        <v>0.2</v>
      </c>
      <c r="E738">
        <v>0</v>
      </c>
      <c r="F738">
        <v>0</v>
      </c>
      <c r="G738">
        <v>0</v>
      </c>
      <c r="H738">
        <v>0</v>
      </c>
      <c r="I738">
        <v>3.2</v>
      </c>
      <c r="J738">
        <v>2.9</v>
      </c>
      <c r="K738">
        <f t="shared" si="275"/>
        <v>6.3000000000000007</v>
      </c>
      <c r="L738">
        <v>0</v>
      </c>
      <c r="M738">
        <v>0</v>
      </c>
      <c r="N738">
        <v>0</v>
      </c>
      <c r="O738">
        <f t="shared" si="285"/>
        <v>0</v>
      </c>
      <c r="P738">
        <v>0</v>
      </c>
      <c r="Q738">
        <v>0</v>
      </c>
      <c r="R738">
        <v>1.3</v>
      </c>
      <c r="S738">
        <f t="shared" si="286"/>
        <v>1.3</v>
      </c>
      <c r="T738">
        <v>3.6</v>
      </c>
      <c r="U738">
        <v>0.4</v>
      </c>
      <c r="V738">
        <v>1</v>
      </c>
      <c r="W738">
        <v>0</v>
      </c>
      <c r="X738">
        <v>0</v>
      </c>
      <c r="Y738">
        <v>0.4</v>
      </c>
      <c r="Z738">
        <v>25.6</v>
      </c>
      <c r="AA738">
        <f t="shared" si="287"/>
        <v>31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25</v>
      </c>
      <c r="AI738">
        <v>0</v>
      </c>
      <c r="AJ738">
        <f t="shared" si="288"/>
        <v>25</v>
      </c>
      <c r="AK738">
        <v>0</v>
      </c>
      <c r="AL738">
        <v>0.36399999999999999</v>
      </c>
      <c r="AM738">
        <f t="shared" si="291"/>
        <v>0.63600000000000001</v>
      </c>
      <c r="AN738">
        <v>1079</v>
      </c>
      <c r="AO738" t="s">
        <v>13</v>
      </c>
      <c r="AP738" s="3">
        <f t="shared" si="290"/>
        <v>2964.2857142857142</v>
      </c>
      <c r="AQ738" t="s">
        <v>13</v>
      </c>
      <c r="AR738">
        <f t="shared" si="271"/>
        <v>0.39308176100628928</v>
      </c>
      <c r="AS738">
        <f t="shared" si="292"/>
        <v>0.38600000000000001</v>
      </c>
      <c r="AT738">
        <f t="shared" si="283"/>
        <v>1144</v>
      </c>
      <c r="AU738">
        <f t="shared" si="284"/>
        <v>741</v>
      </c>
      <c r="AV738">
        <f t="shared" si="277"/>
        <v>1051</v>
      </c>
      <c r="AW738">
        <f t="shared" si="278"/>
        <v>779</v>
      </c>
      <c r="AX738" s="3">
        <f t="shared" si="279"/>
        <v>1134.2857142857142</v>
      </c>
      <c r="AY738">
        <f t="shared" si="280"/>
        <v>572</v>
      </c>
      <c r="AZ738">
        <f t="shared" si="281"/>
        <v>974</v>
      </c>
      <c r="BA738" s="3">
        <f t="shared" si="282"/>
        <v>1418.2857142857142</v>
      </c>
    </row>
    <row r="739" spans="1:53" x14ac:dyDescent="0.2">
      <c r="A739">
        <v>2002</v>
      </c>
      <c r="B739" t="s">
        <v>80</v>
      </c>
      <c r="C739" t="s">
        <v>63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6.8</v>
      </c>
      <c r="J739">
        <v>3.7</v>
      </c>
      <c r="K739">
        <f t="shared" si="275"/>
        <v>10.5</v>
      </c>
      <c r="L739">
        <v>0</v>
      </c>
      <c r="M739">
        <v>0</v>
      </c>
      <c r="N739">
        <v>0</v>
      </c>
      <c r="O739">
        <f t="shared" si="285"/>
        <v>0</v>
      </c>
      <c r="P739">
        <v>0</v>
      </c>
      <c r="Q739">
        <v>0</v>
      </c>
      <c r="R739">
        <v>1</v>
      </c>
      <c r="S739">
        <f t="shared" si="286"/>
        <v>1</v>
      </c>
      <c r="T739">
        <v>3</v>
      </c>
      <c r="U739">
        <v>0.6</v>
      </c>
      <c r="V739">
        <v>0.7</v>
      </c>
      <c r="W739">
        <v>0</v>
      </c>
      <c r="X739">
        <v>0</v>
      </c>
      <c r="Y739">
        <v>0.1</v>
      </c>
      <c r="Z739">
        <v>12.3</v>
      </c>
      <c r="AA739">
        <f t="shared" si="287"/>
        <v>16.7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38.799999999999997</v>
      </c>
      <c r="AI739">
        <v>3</v>
      </c>
      <c r="AJ739">
        <f t="shared" si="288"/>
        <v>41.8</v>
      </c>
      <c r="AK739">
        <v>0</v>
      </c>
      <c r="AL739">
        <v>0.29799999999999999</v>
      </c>
      <c r="AM739">
        <f t="shared" si="291"/>
        <v>0.7</v>
      </c>
      <c r="AN739">
        <v>1542</v>
      </c>
      <c r="AO739" t="s">
        <v>13</v>
      </c>
      <c r="AP739" s="3">
        <f t="shared" si="290"/>
        <v>5139.9999999999991</v>
      </c>
      <c r="AQ739" t="s">
        <v>13</v>
      </c>
      <c r="AR739">
        <f t="shared" si="271"/>
        <v>0.5971428571428572</v>
      </c>
      <c r="AS739">
        <f t="shared" si="292"/>
        <v>0.28199999999999997</v>
      </c>
      <c r="AT739">
        <f t="shared" si="283"/>
        <v>1449</v>
      </c>
      <c r="AU739">
        <f t="shared" si="284"/>
        <v>2149</v>
      </c>
      <c r="AV739">
        <f t="shared" si="277"/>
        <v>1180</v>
      </c>
      <c r="AW739">
        <f t="shared" si="278"/>
        <v>2306</v>
      </c>
      <c r="AX739" s="3">
        <f t="shared" si="279"/>
        <v>1653.9999999999991</v>
      </c>
      <c r="AY739">
        <f t="shared" si="280"/>
        <v>725</v>
      </c>
      <c r="AZ739">
        <f t="shared" si="281"/>
        <v>2571</v>
      </c>
      <c r="BA739" s="3">
        <f t="shared" si="282"/>
        <v>1843.9999999999991</v>
      </c>
    </row>
    <row r="740" spans="1:53" x14ac:dyDescent="0.2">
      <c r="A740">
        <v>2003</v>
      </c>
      <c r="B740" t="s">
        <v>80</v>
      </c>
      <c r="C740" t="s">
        <v>63</v>
      </c>
      <c r="D740">
        <v>0.1</v>
      </c>
      <c r="E740">
        <v>0</v>
      </c>
      <c r="F740">
        <v>0</v>
      </c>
      <c r="G740">
        <v>0</v>
      </c>
      <c r="H740">
        <v>0</v>
      </c>
      <c r="I740">
        <v>5.4</v>
      </c>
      <c r="J740">
        <v>1.1000000000000001</v>
      </c>
      <c r="K740">
        <f t="shared" si="275"/>
        <v>6.6</v>
      </c>
      <c r="L740">
        <v>0</v>
      </c>
      <c r="M740">
        <v>0</v>
      </c>
      <c r="N740">
        <v>0.6</v>
      </c>
      <c r="O740">
        <f t="shared" si="285"/>
        <v>0.6</v>
      </c>
      <c r="P740">
        <v>0</v>
      </c>
      <c r="Q740">
        <v>0</v>
      </c>
      <c r="R740">
        <v>2.1</v>
      </c>
      <c r="S740">
        <f t="shared" si="286"/>
        <v>2.1</v>
      </c>
      <c r="T740">
        <v>4</v>
      </c>
      <c r="U740">
        <v>0</v>
      </c>
      <c r="V740">
        <v>0.8</v>
      </c>
      <c r="W740">
        <v>0</v>
      </c>
      <c r="X740">
        <v>0</v>
      </c>
      <c r="Y740">
        <v>0.4</v>
      </c>
      <c r="Z740">
        <v>14.7</v>
      </c>
      <c r="AA740">
        <f t="shared" si="287"/>
        <v>19.899999999999999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41.1</v>
      </c>
      <c r="AI740">
        <v>1.7</v>
      </c>
      <c r="AJ740">
        <f t="shared" si="288"/>
        <v>42.800000000000004</v>
      </c>
      <c r="AK740">
        <v>0</v>
      </c>
      <c r="AL740">
        <v>0.28199999999999997</v>
      </c>
      <c r="AM740">
        <f t="shared" si="291"/>
        <v>0.71999999999999986</v>
      </c>
      <c r="AN740">
        <v>627</v>
      </c>
      <c r="AO740" t="s">
        <v>13</v>
      </c>
      <c r="AP740" s="3">
        <f t="shared" si="290"/>
        <v>2239.2857142857133</v>
      </c>
      <c r="AQ740" t="s">
        <v>13</v>
      </c>
      <c r="AR740">
        <f t="shared" ref="AR740:AR802" si="293">(AJ740/100)/AM740</f>
        <v>0.59444444444444466</v>
      </c>
      <c r="AS740">
        <f t="shared" si="292"/>
        <v>0.29199999999999998</v>
      </c>
      <c r="AT740">
        <f t="shared" si="283"/>
        <v>654</v>
      </c>
      <c r="AU740">
        <f t="shared" si="284"/>
        <v>958</v>
      </c>
      <c r="AV740">
        <f t="shared" si="277"/>
        <v>580</v>
      </c>
      <c r="AW740">
        <f t="shared" si="278"/>
        <v>1003</v>
      </c>
      <c r="AX740" s="3">
        <f t="shared" si="279"/>
        <v>656.28571428571331</v>
      </c>
      <c r="AY740">
        <f t="shared" si="280"/>
        <v>327</v>
      </c>
      <c r="AZ740">
        <f t="shared" si="281"/>
        <v>1156</v>
      </c>
      <c r="BA740" s="3">
        <f t="shared" si="282"/>
        <v>756.28571428571331</v>
      </c>
    </row>
    <row r="741" spans="1:53" x14ac:dyDescent="0.2">
      <c r="A741">
        <v>2004</v>
      </c>
      <c r="B741" t="s">
        <v>80</v>
      </c>
      <c r="C741" t="s">
        <v>63</v>
      </c>
      <c r="D741">
        <v>0</v>
      </c>
      <c r="E741">
        <v>0.1</v>
      </c>
      <c r="F741">
        <v>0</v>
      </c>
      <c r="G741">
        <v>0</v>
      </c>
      <c r="H741">
        <v>0</v>
      </c>
      <c r="I741">
        <v>6</v>
      </c>
      <c r="J741">
        <v>1.3</v>
      </c>
      <c r="K741">
        <f t="shared" si="275"/>
        <v>7.3999999999999995</v>
      </c>
      <c r="L741">
        <v>0</v>
      </c>
      <c r="M741">
        <v>0</v>
      </c>
      <c r="N741">
        <v>0</v>
      </c>
      <c r="O741">
        <f t="shared" si="285"/>
        <v>0</v>
      </c>
      <c r="P741">
        <v>0</v>
      </c>
      <c r="Q741">
        <v>0</v>
      </c>
      <c r="R741">
        <v>1.2</v>
      </c>
      <c r="S741">
        <f t="shared" si="286"/>
        <v>1.2</v>
      </c>
      <c r="T741">
        <v>6.5</v>
      </c>
      <c r="U741">
        <v>0.8</v>
      </c>
      <c r="V741">
        <v>1</v>
      </c>
      <c r="W741">
        <v>0</v>
      </c>
      <c r="X741">
        <v>0</v>
      </c>
      <c r="Y741">
        <v>0.6</v>
      </c>
      <c r="Z741">
        <v>12.8</v>
      </c>
      <c r="AA741">
        <f t="shared" si="287"/>
        <v>21.700000000000003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28.8</v>
      </c>
      <c r="AI741">
        <v>0</v>
      </c>
      <c r="AJ741">
        <f t="shared" si="288"/>
        <v>28.8</v>
      </c>
      <c r="AK741">
        <v>0.1</v>
      </c>
      <c r="AL741">
        <v>0.40899999999999997</v>
      </c>
      <c r="AM741">
        <f t="shared" si="291"/>
        <v>0.59099999999999997</v>
      </c>
      <c r="AN741">
        <v>2788</v>
      </c>
      <c r="AO741">
        <v>269</v>
      </c>
      <c r="AP741" s="3">
        <f t="shared" si="290"/>
        <v>6816.6259168704155</v>
      </c>
      <c r="AQ741" s="3">
        <f t="shared" ref="AQ741:AQ759" si="294">AO741/(1-AM741)</f>
        <v>657.70171149144244</v>
      </c>
      <c r="AR741">
        <f t="shared" si="293"/>
        <v>0.48730964467005083</v>
      </c>
      <c r="AS741">
        <f t="shared" si="292"/>
        <v>0.30300000000000005</v>
      </c>
      <c r="AT741">
        <f t="shared" si="283"/>
        <v>2065</v>
      </c>
      <c r="AU741">
        <f t="shared" si="284"/>
        <v>1963</v>
      </c>
      <c r="AV741">
        <f t="shared" si="277"/>
        <v>1813</v>
      </c>
      <c r="AW741">
        <f t="shared" si="278"/>
        <v>2067</v>
      </c>
      <c r="AX741" s="3">
        <f t="shared" si="279"/>
        <v>2936.6259168704155</v>
      </c>
      <c r="AY741">
        <f t="shared" si="280"/>
        <v>1033</v>
      </c>
      <c r="AZ741">
        <f t="shared" si="281"/>
        <v>2389</v>
      </c>
      <c r="BA741" s="3">
        <f t="shared" si="282"/>
        <v>3394.6259168704155</v>
      </c>
    </row>
    <row r="742" spans="1:53" x14ac:dyDescent="0.2">
      <c r="A742">
        <v>2005</v>
      </c>
      <c r="B742" t="s">
        <v>80</v>
      </c>
      <c r="C742" t="s">
        <v>63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5.9</v>
      </c>
      <c r="J742">
        <v>2.4</v>
      </c>
      <c r="K742">
        <f t="shared" si="275"/>
        <v>8.3000000000000007</v>
      </c>
      <c r="L742">
        <v>0</v>
      </c>
      <c r="M742">
        <v>0.3</v>
      </c>
      <c r="N742">
        <v>0</v>
      </c>
      <c r="O742">
        <f t="shared" si="285"/>
        <v>0.3</v>
      </c>
      <c r="P742">
        <v>0</v>
      </c>
      <c r="Q742">
        <v>0</v>
      </c>
      <c r="R742">
        <v>4.5999999999999996</v>
      </c>
      <c r="S742">
        <f t="shared" si="286"/>
        <v>4.5999999999999996</v>
      </c>
      <c r="T742">
        <v>3.8</v>
      </c>
      <c r="U742">
        <v>2</v>
      </c>
      <c r="V742">
        <v>0.5</v>
      </c>
      <c r="W742">
        <v>0</v>
      </c>
      <c r="X742">
        <v>0</v>
      </c>
      <c r="Y742">
        <v>0.6</v>
      </c>
      <c r="Z742">
        <v>9.8000000000000007</v>
      </c>
      <c r="AA742">
        <f t="shared" si="287"/>
        <v>16.7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9.5</v>
      </c>
      <c r="AI742">
        <v>0</v>
      </c>
      <c r="AJ742">
        <f t="shared" si="288"/>
        <v>9.5</v>
      </c>
      <c r="AK742">
        <v>0</v>
      </c>
      <c r="AL742">
        <v>0.60599999999999998</v>
      </c>
      <c r="AM742">
        <f t="shared" si="291"/>
        <v>0.39400000000000007</v>
      </c>
      <c r="AN742">
        <v>2165</v>
      </c>
      <c r="AO742">
        <v>936</v>
      </c>
      <c r="AP742" s="3">
        <f t="shared" si="290"/>
        <v>3572.6072607260735</v>
      </c>
      <c r="AQ742" s="3">
        <f t="shared" si="294"/>
        <v>1544.5544554455448</v>
      </c>
      <c r="AR742">
        <f t="shared" si="293"/>
        <v>0.24111675126903548</v>
      </c>
      <c r="AS742">
        <f t="shared" si="292"/>
        <v>0.29899999999999999</v>
      </c>
      <c r="AT742">
        <f t="shared" ref="AT742:AT759" si="295">ROUND(AS742*AP742,0)</f>
        <v>1068</v>
      </c>
      <c r="AU742">
        <f t="shared" ref="AU742:AU759" si="296">ROUND((AJ742/100)*AP742,0)</f>
        <v>339</v>
      </c>
      <c r="AV742">
        <f t="shared" si="277"/>
        <v>920</v>
      </c>
      <c r="AW742">
        <f t="shared" si="278"/>
        <v>359</v>
      </c>
      <c r="AX742" s="3">
        <f t="shared" si="279"/>
        <v>2293.6072607260735</v>
      </c>
      <c r="AY742">
        <f t="shared" si="280"/>
        <v>534</v>
      </c>
      <c r="AZ742">
        <f t="shared" si="281"/>
        <v>411</v>
      </c>
      <c r="BA742" s="3">
        <f t="shared" si="282"/>
        <v>2627.6072607260735</v>
      </c>
    </row>
    <row r="743" spans="1:53" x14ac:dyDescent="0.2">
      <c r="A743">
        <v>2006</v>
      </c>
      <c r="B743" t="s">
        <v>80</v>
      </c>
      <c r="C743" t="s">
        <v>63</v>
      </c>
      <c r="D743">
        <v>0.1</v>
      </c>
      <c r="E743">
        <v>0</v>
      </c>
      <c r="F743">
        <v>0</v>
      </c>
      <c r="G743">
        <v>0</v>
      </c>
      <c r="H743">
        <v>0</v>
      </c>
      <c r="I743">
        <v>6.7</v>
      </c>
      <c r="J743">
        <v>1.6</v>
      </c>
      <c r="K743">
        <f t="shared" si="275"/>
        <v>8.4</v>
      </c>
      <c r="L743">
        <v>0</v>
      </c>
      <c r="M743">
        <v>0</v>
      </c>
      <c r="N743">
        <v>0</v>
      </c>
      <c r="O743">
        <f t="shared" si="285"/>
        <v>0</v>
      </c>
      <c r="P743">
        <v>0</v>
      </c>
      <c r="Q743">
        <v>0</v>
      </c>
      <c r="R743">
        <v>2.6</v>
      </c>
      <c r="S743">
        <f t="shared" si="286"/>
        <v>2.6</v>
      </c>
      <c r="T743">
        <v>5.9</v>
      </c>
      <c r="U743">
        <v>0.4</v>
      </c>
      <c r="V743">
        <v>0.2</v>
      </c>
      <c r="W743">
        <v>0</v>
      </c>
      <c r="X743">
        <v>0</v>
      </c>
      <c r="Y743">
        <v>0.5</v>
      </c>
      <c r="Z743">
        <v>6.6</v>
      </c>
      <c r="AA743">
        <f t="shared" si="287"/>
        <v>13.600000000000001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37.799999999999997</v>
      </c>
      <c r="AI743">
        <v>0</v>
      </c>
      <c r="AJ743">
        <f t="shared" si="288"/>
        <v>37.799999999999997</v>
      </c>
      <c r="AK743">
        <v>0</v>
      </c>
      <c r="AL743">
        <v>0.37799999999999995</v>
      </c>
      <c r="AM743">
        <f t="shared" si="291"/>
        <v>0.62400000000000011</v>
      </c>
      <c r="AN743">
        <v>2179</v>
      </c>
      <c r="AO743">
        <v>222</v>
      </c>
      <c r="AP743" s="3">
        <f t="shared" si="290"/>
        <v>5795.2127659574489</v>
      </c>
      <c r="AQ743" s="3">
        <f t="shared" si="294"/>
        <v>590.42553191489378</v>
      </c>
      <c r="AR743">
        <f t="shared" si="293"/>
        <v>0.60576923076923062</v>
      </c>
      <c r="AS743">
        <f t="shared" si="292"/>
        <v>0.24600000000000002</v>
      </c>
      <c r="AT743">
        <f t="shared" si="295"/>
        <v>1426</v>
      </c>
      <c r="AU743">
        <f t="shared" si="296"/>
        <v>2191</v>
      </c>
      <c r="AV743">
        <f t="shared" si="277"/>
        <v>1182</v>
      </c>
      <c r="AW743">
        <f t="shared" si="278"/>
        <v>2313</v>
      </c>
      <c r="AX743" s="3">
        <f t="shared" si="279"/>
        <v>2300.2127659574489</v>
      </c>
      <c r="AY743">
        <f t="shared" si="280"/>
        <v>713</v>
      </c>
      <c r="AZ743">
        <f t="shared" si="281"/>
        <v>2549</v>
      </c>
      <c r="BA743" s="3">
        <f t="shared" si="282"/>
        <v>2533.2127659574489</v>
      </c>
    </row>
    <row r="744" spans="1:53" x14ac:dyDescent="0.2">
      <c r="A744">
        <v>2007</v>
      </c>
      <c r="B744" t="s">
        <v>80</v>
      </c>
      <c r="C744" t="s">
        <v>63</v>
      </c>
      <c r="D744">
        <v>0</v>
      </c>
      <c r="E744">
        <v>0</v>
      </c>
      <c r="F744">
        <v>0</v>
      </c>
      <c r="G744">
        <v>0.1</v>
      </c>
      <c r="H744">
        <v>0</v>
      </c>
      <c r="I744">
        <v>10.3</v>
      </c>
      <c r="J744">
        <v>1.2</v>
      </c>
      <c r="K744">
        <f t="shared" si="275"/>
        <v>11.6</v>
      </c>
      <c r="L744">
        <v>0</v>
      </c>
      <c r="M744">
        <v>0</v>
      </c>
      <c r="N744">
        <v>0</v>
      </c>
      <c r="O744">
        <f t="shared" si="285"/>
        <v>0</v>
      </c>
      <c r="P744">
        <v>0</v>
      </c>
      <c r="Q744">
        <v>0</v>
      </c>
      <c r="R744">
        <v>1.5</v>
      </c>
      <c r="S744">
        <f t="shared" si="286"/>
        <v>1.5</v>
      </c>
      <c r="T744">
        <v>5</v>
      </c>
      <c r="U744">
        <v>0.4</v>
      </c>
      <c r="V744">
        <v>0.1</v>
      </c>
      <c r="W744">
        <v>0</v>
      </c>
      <c r="X744">
        <v>0</v>
      </c>
      <c r="Y744">
        <v>0.8</v>
      </c>
      <c r="Z744">
        <v>8.5</v>
      </c>
      <c r="AA744">
        <f t="shared" si="287"/>
        <v>14.8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36.200000000000003</v>
      </c>
      <c r="AI744">
        <v>0</v>
      </c>
      <c r="AJ744">
        <f t="shared" si="288"/>
        <v>36.200000000000003</v>
      </c>
      <c r="AK744">
        <v>0</v>
      </c>
      <c r="AL744">
        <v>0.36</v>
      </c>
      <c r="AM744">
        <f t="shared" si="291"/>
        <v>0.64100000000000013</v>
      </c>
      <c r="AN744">
        <v>1744</v>
      </c>
      <c r="AO744">
        <v>741</v>
      </c>
      <c r="AP744" s="3">
        <f t="shared" si="290"/>
        <v>4857.9387186629547</v>
      </c>
      <c r="AQ744" s="3">
        <f t="shared" si="294"/>
        <v>2064.0668523676886</v>
      </c>
      <c r="AR744">
        <f t="shared" si="293"/>
        <v>0.56474258970358815</v>
      </c>
      <c r="AS744">
        <f t="shared" si="292"/>
        <v>0.27899999999999997</v>
      </c>
      <c r="AT744">
        <f t="shared" si="295"/>
        <v>1355</v>
      </c>
      <c r="AU744">
        <f t="shared" si="296"/>
        <v>1759</v>
      </c>
      <c r="AV744">
        <f t="shared" si="277"/>
        <v>1074</v>
      </c>
      <c r="AW744">
        <f t="shared" si="278"/>
        <v>1900</v>
      </c>
      <c r="AX744" s="3">
        <f t="shared" si="279"/>
        <v>1883.9387186629547</v>
      </c>
      <c r="AY744">
        <f t="shared" si="280"/>
        <v>678</v>
      </c>
      <c r="AZ744">
        <f t="shared" si="281"/>
        <v>2099</v>
      </c>
      <c r="BA744" s="3">
        <f t="shared" si="282"/>
        <v>2080.9387186629547</v>
      </c>
    </row>
    <row r="745" spans="1:53" x14ac:dyDescent="0.2">
      <c r="A745">
        <v>2008</v>
      </c>
      <c r="B745" t="s">
        <v>80</v>
      </c>
      <c r="C745" t="s">
        <v>63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5.5</v>
      </c>
      <c r="J745">
        <v>3.3</v>
      </c>
      <c r="K745">
        <f t="shared" si="275"/>
        <v>8.8000000000000007</v>
      </c>
      <c r="L745">
        <v>0</v>
      </c>
      <c r="M745">
        <v>0</v>
      </c>
      <c r="N745">
        <v>0</v>
      </c>
      <c r="O745">
        <f t="shared" si="285"/>
        <v>0</v>
      </c>
      <c r="P745">
        <v>0</v>
      </c>
      <c r="Q745">
        <v>0</v>
      </c>
      <c r="R745">
        <v>6.7</v>
      </c>
      <c r="S745">
        <f t="shared" si="286"/>
        <v>6.7</v>
      </c>
      <c r="T745">
        <v>1.7</v>
      </c>
      <c r="U745">
        <v>0.5</v>
      </c>
      <c r="V745">
        <v>0</v>
      </c>
      <c r="W745">
        <v>0</v>
      </c>
      <c r="X745">
        <v>0</v>
      </c>
      <c r="Y745">
        <v>0</v>
      </c>
      <c r="Z745">
        <v>7.8</v>
      </c>
      <c r="AA745">
        <f t="shared" si="287"/>
        <v>10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49.6</v>
      </c>
      <c r="AI745">
        <v>0</v>
      </c>
      <c r="AJ745">
        <f t="shared" si="288"/>
        <v>49.6</v>
      </c>
      <c r="AK745">
        <v>0</v>
      </c>
      <c r="AL745">
        <v>0.249</v>
      </c>
      <c r="AM745">
        <f t="shared" si="291"/>
        <v>0.75099999999999989</v>
      </c>
      <c r="AN745">
        <v>3399</v>
      </c>
      <c r="AO745">
        <v>1368</v>
      </c>
      <c r="AP745" s="3">
        <f t="shared" si="290"/>
        <v>13650.602409638548</v>
      </c>
      <c r="AQ745" s="3">
        <f t="shared" si="294"/>
        <v>5493.9759036144551</v>
      </c>
      <c r="AR745">
        <f t="shared" si="293"/>
        <v>0.6604527296937418</v>
      </c>
      <c r="AS745">
        <f t="shared" si="292"/>
        <v>0.255</v>
      </c>
      <c r="AT745">
        <f t="shared" si="295"/>
        <v>3481</v>
      </c>
      <c r="AU745">
        <f t="shared" si="296"/>
        <v>6771</v>
      </c>
      <c r="AV745">
        <f t="shared" si="277"/>
        <v>2880</v>
      </c>
      <c r="AW745">
        <f t="shared" si="278"/>
        <v>7171</v>
      </c>
      <c r="AX745" s="3">
        <f t="shared" si="279"/>
        <v>3599.6024096385481</v>
      </c>
      <c r="AY745">
        <f t="shared" si="280"/>
        <v>1740</v>
      </c>
      <c r="AZ745">
        <f t="shared" si="281"/>
        <v>7930</v>
      </c>
      <c r="BA745" s="3">
        <f t="shared" si="282"/>
        <v>3980.6024096385481</v>
      </c>
    </row>
    <row r="746" spans="1:53" x14ac:dyDescent="0.2">
      <c r="A746">
        <v>2009</v>
      </c>
      <c r="B746" t="s">
        <v>80</v>
      </c>
      <c r="C746" t="s">
        <v>63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2.2000000000000002</v>
      </c>
      <c r="J746">
        <v>4.3</v>
      </c>
      <c r="K746">
        <f t="shared" ref="K746:K809" si="297">SUM(D746:J746)</f>
        <v>6.5</v>
      </c>
      <c r="L746">
        <v>0</v>
      </c>
      <c r="M746">
        <v>0</v>
      </c>
      <c r="N746">
        <v>0</v>
      </c>
      <c r="O746">
        <f t="shared" si="285"/>
        <v>0</v>
      </c>
      <c r="P746">
        <v>0</v>
      </c>
      <c r="Q746">
        <v>0</v>
      </c>
      <c r="R746">
        <v>1.1000000000000001</v>
      </c>
      <c r="S746">
        <f t="shared" si="286"/>
        <v>1.1000000000000001</v>
      </c>
      <c r="T746">
        <v>2.4</v>
      </c>
      <c r="U746">
        <v>0.3</v>
      </c>
      <c r="V746">
        <v>0</v>
      </c>
      <c r="W746">
        <v>0</v>
      </c>
      <c r="X746">
        <v>0</v>
      </c>
      <c r="Y746">
        <v>0.6</v>
      </c>
      <c r="Z746">
        <v>8.3000000000000007</v>
      </c>
      <c r="AA746">
        <f t="shared" si="287"/>
        <v>11.600000000000001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39.6</v>
      </c>
      <c r="AI746">
        <v>0</v>
      </c>
      <c r="AJ746">
        <f t="shared" si="288"/>
        <v>39.6</v>
      </c>
      <c r="AK746">
        <v>0</v>
      </c>
      <c r="AL746">
        <v>0.41100000000000003</v>
      </c>
      <c r="AM746">
        <f t="shared" si="291"/>
        <v>0.58800000000000008</v>
      </c>
      <c r="AN746">
        <v>872</v>
      </c>
      <c r="AO746">
        <v>185</v>
      </c>
      <c r="AP746" s="3">
        <f t="shared" si="290"/>
        <v>2116.5048543689322</v>
      </c>
      <c r="AQ746" s="3">
        <f t="shared" si="294"/>
        <v>449.02912621359229</v>
      </c>
      <c r="AR746">
        <f t="shared" si="293"/>
        <v>0.67346938775510201</v>
      </c>
      <c r="AS746">
        <f t="shared" si="292"/>
        <v>0.19200000000000003</v>
      </c>
      <c r="AT746">
        <f t="shared" si="295"/>
        <v>406</v>
      </c>
      <c r="AU746">
        <f t="shared" si="296"/>
        <v>838</v>
      </c>
      <c r="AV746">
        <f t="shared" si="277"/>
        <v>338</v>
      </c>
      <c r="AW746">
        <f t="shared" si="278"/>
        <v>871</v>
      </c>
      <c r="AX746" s="3">
        <f t="shared" si="279"/>
        <v>907.50485436893223</v>
      </c>
      <c r="AY746">
        <f t="shared" si="280"/>
        <v>203</v>
      </c>
      <c r="AZ746">
        <f t="shared" si="281"/>
        <v>937</v>
      </c>
      <c r="BA746" s="3">
        <f t="shared" si="282"/>
        <v>976.50485436893223</v>
      </c>
    </row>
    <row r="747" spans="1:53" x14ac:dyDescent="0.2">
      <c r="A747">
        <v>2010</v>
      </c>
      <c r="B747" t="s">
        <v>80</v>
      </c>
      <c r="C747" t="s">
        <v>63</v>
      </c>
      <c r="D747">
        <v>0</v>
      </c>
      <c r="E747">
        <v>0.2</v>
      </c>
      <c r="F747">
        <v>0</v>
      </c>
      <c r="G747">
        <v>0</v>
      </c>
      <c r="H747">
        <v>0</v>
      </c>
      <c r="I747">
        <v>4.7</v>
      </c>
      <c r="J747">
        <v>4.0999999999999996</v>
      </c>
      <c r="K747">
        <f t="shared" si="297"/>
        <v>9</v>
      </c>
      <c r="L747">
        <v>0</v>
      </c>
      <c r="M747">
        <v>0</v>
      </c>
      <c r="N747">
        <v>0</v>
      </c>
      <c r="O747">
        <f t="shared" si="285"/>
        <v>0</v>
      </c>
      <c r="P747">
        <v>0</v>
      </c>
      <c r="Q747">
        <v>0</v>
      </c>
      <c r="R747">
        <v>1.5</v>
      </c>
      <c r="S747">
        <f t="shared" si="286"/>
        <v>1.5</v>
      </c>
      <c r="T747">
        <v>4.7</v>
      </c>
      <c r="U747">
        <v>0.7</v>
      </c>
      <c r="V747">
        <v>0.1</v>
      </c>
      <c r="W747">
        <v>0</v>
      </c>
      <c r="X747">
        <v>0.4</v>
      </c>
      <c r="Y747">
        <v>0.2</v>
      </c>
      <c r="Z747">
        <v>3.8</v>
      </c>
      <c r="AA747">
        <f t="shared" si="287"/>
        <v>9.9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34.700000000000003</v>
      </c>
      <c r="AI747">
        <v>1.3</v>
      </c>
      <c r="AJ747">
        <f t="shared" si="288"/>
        <v>36</v>
      </c>
      <c r="AK747">
        <v>0</v>
      </c>
      <c r="AL747">
        <v>0.435</v>
      </c>
      <c r="AM747">
        <f t="shared" si="291"/>
        <v>0.56400000000000017</v>
      </c>
      <c r="AN747">
        <v>2195</v>
      </c>
      <c r="AO747">
        <v>481</v>
      </c>
      <c r="AP747" s="3">
        <f t="shared" si="290"/>
        <v>5034.403669724773</v>
      </c>
      <c r="AQ747" s="3">
        <f t="shared" si="294"/>
        <v>1103.2110091743123</v>
      </c>
      <c r="AR747">
        <f t="shared" si="293"/>
        <v>0.63829787234042534</v>
      </c>
      <c r="AS747">
        <f t="shared" si="292"/>
        <v>0.20399999999999999</v>
      </c>
      <c r="AT747">
        <f t="shared" si="295"/>
        <v>1027</v>
      </c>
      <c r="AU747">
        <f t="shared" si="296"/>
        <v>1812</v>
      </c>
      <c r="AV747">
        <f t="shared" si="277"/>
        <v>800</v>
      </c>
      <c r="AW747">
        <f t="shared" si="278"/>
        <v>1915</v>
      </c>
      <c r="AX747" s="3">
        <f t="shared" si="279"/>
        <v>2319.403669724773</v>
      </c>
      <c r="AY747">
        <f t="shared" si="280"/>
        <v>514</v>
      </c>
      <c r="AZ747">
        <f t="shared" si="281"/>
        <v>2044</v>
      </c>
      <c r="BA747" s="3">
        <f t="shared" si="282"/>
        <v>2476.403669724773</v>
      </c>
    </row>
    <row r="748" spans="1:53" x14ac:dyDescent="0.2">
      <c r="A748">
        <v>2011</v>
      </c>
      <c r="B748" t="s">
        <v>80</v>
      </c>
      <c r="C748" t="s">
        <v>63</v>
      </c>
      <c r="D748">
        <v>0</v>
      </c>
      <c r="E748">
        <v>0</v>
      </c>
      <c r="F748">
        <v>0</v>
      </c>
      <c r="G748">
        <v>0.4</v>
      </c>
      <c r="H748">
        <v>0</v>
      </c>
      <c r="I748">
        <v>3.1</v>
      </c>
      <c r="J748">
        <v>3.6</v>
      </c>
      <c r="K748">
        <f t="shared" si="297"/>
        <v>7.1</v>
      </c>
      <c r="L748">
        <v>0</v>
      </c>
      <c r="M748">
        <v>0</v>
      </c>
      <c r="N748">
        <v>0</v>
      </c>
      <c r="O748">
        <f t="shared" si="285"/>
        <v>0</v>
      </c>
      <c r="P748">
        <v>0</v>
      </c>
      <c r="Q748">
        <v>0</v>
      </c>
      <c r="R748">
        <v>1.3</v>
      </c>
      <c r="S748">
        <f t="shared" si="286"/>
        <v>1.3</v>
      </c>
      <c r="T748">
        <v>3.4</v>
      </c>
      <c r="U748">
        <v>0.6</v>
      </c>
      <c r="V748">
        <v>0.6</v>
      </c>
      <c r="W748">
        <v>0</v>
      </c>
      <c r="X748">
        <v>0</v>
      </c>
      <c r="Y748">
        <v>1.5</v>
      </c>
      <c r="Z748">
        <v>6.8</v>
      </c>
      <c r="AA748">
        <f t="shared" si="287"/>
        <v>12.899999999999999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19.3</v>
      </c>
      <c r="AI748">
        <v>1.6</v>
      </c>
      <c r="AJ748">
        <f t="shared" si="288"/>
        <v>20.900000000000002</v>
      </c>
      <c r="AK748">
        <v>0</v>
      </c>
      <c r="AL748">
        <v>0.57999999999999996</v>
      </c>
      <c r="AM748">
        <f t="shared" si="291"/>
        <v>0.42200000000000004</v>
      </c>
      <c r="AN748">
        <v>2264</v>
      </c>
      <c r="AO748">
        <v>302</v>
      </c>
      <c r="AP748" s="3">
        <f t="shared" si="290"/>
        <v>3916.9550173010384</v>
      </c>
      <c r="AQ748" s="3">
        <f t="shared" si="294"/>
        <v>522.49134948096889</v>
      </c>
      <c r="AR748">
        <f t="shared" si="293"/>
        <v>0.49526066350710901</v>
      </c>
      <c r="AS748">
        <f t="shared" si="292"/>
        <v>0.21299999999999997</v>
      </c>
      <c r="AT748">
        <f t="shared" si="295"/>
        <v>834</v>
      </c>
      <c r="AU748">
        <f t="shared" si="296"/>
        <v>819</v>
      </c>
      <c r="AV748">
        <f t="shared" si="277"/>
        <v>695</v>
      </c>
      <c r="AW748">
        <f t="shared" si="278"/>
        <v>856</v>
      </c>
      <c r="AX748" s="3">
        <f t="shared" si="279"/>
        <v>2365.9550173010384</v>
      </c>
      <c r="AY748">
        <f t="shared" si="280"/>
        <v>417</v>
      </c>
      <c r="AZ748">
        <f t="shared" si="281"/>
        <v>930</v>
      </c>
      <c r="BA748" s="3">
        <f t="shared" si="282"/>
        <v>2569.9550173010384</v>
      </c>
    </row>
    <row r="749" spans="1:53" x14ac:dyDescent="0.2">
      <c r="A749">
        <v>2012</v>
      </c>
      <c r="B749" t="s">
        <v>80</v>
      </c>
      <c r="C749" t="s">
        <v>63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1.7</v>
      </c>
      <c r="J749">
        <v>2.1</v>
      </c>
      <c r="K749">
        <f t="shared" si="297"/>
        <v>3.8</v>
      </c>
      <c r="L749">
        <v>0</v>
      </c>
      <c r="M749">
        <v>0</v>
      </c>
      <c r="N749">
        <v>0</v>
      </c>
      <c r="O749">
        <f t="shared" si="285"/>
        <v>0</v>
      </c>
      <c r="P749">
        <v>0</v>
      </c>
      <c r="Q749">
        <v>0</v>
      </c>
      <c r="R749">
        <v>3</v>
      </c>
      <c r="S749">
        <f t="shared" si="286"/>
        <v>3</v>
      </c>
      <c r="T749">
        <v>5.9</v>
      </c>
      <c r="U749">
        <v>0.9</v>
      </c>
      <c r="V749">
        <v>0.4</v>
      </c>
      <c r="W749">
        <v>0</v>
      </c>
      <c r="X749">
        <v>0</v>
      </c>
      <c r="Y749">
        <v>0.5</v>
      </c>
      <c r="Z749">
        <v>5.9</v>
      </c>
      <c r="AA749">
        <f t="shared" si="287"/>
        <v>13.600000000000001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16.7</v>
      </c>
      <c r="AI749">
        <v>3.9</v>
      </c>
      <c r="AJ749">
        <f t="shared" si="288"/>
        <v>20.599999999999998</v>
      </c>
      <c r="AK749">
        <v>0</v>
      </c>
      <c r="AL749">
        <v>0.59200000000000008</v>
      </c>
      <c r="AM749">
        <f t="shared" si="291"/>
        <v>0.41</v>
      </c>
      <c r="AN749">
        <v>2467</v>
      </c>
      <c r="AO749">
        <v>617</v>
      </c>
      <c r="AP749" s="3">
        <f t="shared" si="290"/>
        <v>4181.3559322033889</v>
      </c>
      <c r="AQ749" s="3">
        <f t="shared" si="294"/>
        <v>1045.7627118644066</v>
      </c>
      <c r="AR749">
        <f t="shared" si="293"/>
        <v>0.5024390243902439</v>
      </c>
      <c r="AS749">
        <f t="shared" si="292"/>
        <v>0.20400000000000001</v>
      </c>
      <c r="AT749">
        <f t="shared" si="295"/>
        <v>853</v>
      </c>
      <c r="AU749">
        <f t="shared" si="296"/>
        <v>861</v>
      </c>
      <c r="AV749">
        <f t="shared" si="277"/>
        <v>774</v>
      </c>
      <c r="AW749">
        <f t="shared" si="278"/>
        <v>881</v>
      </c>
      <c r="AX749" s="3">
        <f t="shared" si="279"/>
        <v>2526.3559322033889</v>
      </c>
      <c r="AY749">
        <f t="shared" si="280"/>
        <v>426</v>
      </c>
      <c r="AZ749">
        <f t="shared" si="281"/>
        <v>971</v>
      </c>
      <c r="BA749" s="3">
        <f t="shared" si="282"/>
        <v>2784.3559322033889</v>
      </c>
    </row>
    <row r="750" spans="1:53" x14ac:dyDescent="0.2">
      <c r="A750">
        <v>2013</v>
      </c>
      <c r="B750" t="s">
        <v>80</v>
      </c>
      <c r="C750" t="s">
        <v>63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2.2999999999999998</v>
      </c>
      <c r="J750">
        <v>1.8</v>
      </c>
      <c r="K750">
        <f t="shared" si="297"/>
        <v>4.0999999999999996</v>
      </c>
      <c r="L750">
        <v>0</v>
      </c>
      <c r="M750">
        <v>0</v>
      </c>
      <c r="N750">
        <v>0</v>
      </c>
      <c r="O750">
        <f t="shared" si="285"/>
        <v>0</v>
      </c>
      <c r="P750">
        <v>0</v>
      </c>
      <c r="Q750">
        <v>0</v>
      </c>
      <c r="R750">
        <v>3</v>
      </c>
      <c r="S750">
        <f t="shared" si="286"/>
        <v>3</v>
      </c>
      <c r="T750">
        <v>3.2</v>
      </c>
      <c r="U750">
        <v>0.1</v>
      </c>
      <c r="V750">
        <v>0.2</v>
      </c>
      <c r="W750">
        <v>0</v>
      </c>
      <c r="X750">
        <v>0</v>
      </c>
      <c r="Y750">
        <v>1.3</v>
      </c>
      <c r="Z750">
        <v>4.3</v>
      </c>
      <c r="AA750">
        <f t="shared" si="287"/>
        <v>9.1000000000000014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21.5</v>
      </c>
      <c r="AI750">
        <v>1.6</v>
      </c>
      <c r="AJ750">
        <f t="shared" si="288"/>
        <v>23.1</v>
      </c>
      <c r="AK750">
        <v>0</v>
      </c>
      <c r="AL750">
        <v>0.60499999999999998</v>
      </c>
      <c r="AM750">
        <f t="shared" si="291"/>
        <v>0.39299999999999996</v>
      </c>
      <c r="AN750">
        <v>1671</v>
      </c>
      <c r="AO750">
        <v>738</v>
      </c>
      <c r="AP750" s="3">
        <f t="shared" si="290"/>
        <v>2752.8830313014828</v>
      </c>
      <c r="AQ750" s="3">
        <f t="shared" si="294"/>
        <v>1215.8154859967051</v>
      </c>
      <c r="AR750">
        <f t="shared" si="293"/>
        <v>0.58778625954198482</v>
      </c>
      <c r="AS750">
        <f t="shared" si="292"/>
        <v>0.16200000000000003</v>
      </c>
      <c r="AT750">
        <f t="shared" si="295"/>
        <v>446</v>
      </c>
      <c r="AU750">
        <f t="shared" si="296"/>
        <v>636</v>
      </c>
      <c r="AV750">
        <f t="shared" si="277"/>
        <v>390</v>
      </c>
      <c r="AW750">
        <f t="shared" si="278"/>
        <v>651</v>
      </c>
      <c r="AX750" s="3">
        <f t="shared" si="279"/>
        <v>1711.8830313014828</v>
      </c>
      <c r="AY750">
        <f t="shared" si="280"/>
        <v>223</v>
      </c>
      <c r="AZ750">
        <f t="shared" si="281"/>
        <v>697</v>
      </c>
      <c r="BA750" s="3">
        <f t="shared" si="282"/>
        <v>1832.8830313014828</v>
      </c>
    </row>
    <row r="751" spans="1:53" x14ac:dyDescent="0.2">
      <c r="A751">
        <v>2014</v>
      </c>
      <c r="B751" t="s">
        <v>80</v>
      </c>
      <c r="C751" t="s">
        <v>63</v>
      </c>
      <c r="D751">
        <v>0.5</v>
      </c>
      <c r="E751">
        <v>0</v>
      </c>
      <c r="F751">
        <v>0</v>
      </c>
      <c r="G751">
        <v>0</v>
      </c>
      <c r="H751">
        <v>0</v>
      </c>
      <c r="I751">
        <v>4.7</v>
      </c>
      <c r="J751">
        <v>4.8</v>
      </c>
      <c r="K751">
        <f t="shared" si="297"/>
        <v>10</v>
      </c>
      <c r="L751">
        <v>0</v>
      </c>
      <c r="M751">
        <v>0</v>
      </c>
      <c r="N751">
        <v>0.9</v>
      </c>
      <c r="O751">
        <f t="shared" si="285"/>
        <v>0.9</v>
      </c>
      <c r="P751">
        <v>0</v>
      </c>
      <c r="Q751">
        <v>0</v>
      </c>
      <c r="R751">
        <v>2.1</v>
      </c>
      <c r="S751">
        <f t="shared" si="286"/>
        <v>2.1</v>
      </c>
      <c r="T751">
        <v>6.2</v>
      </c>
      <c r="U751">
        <v>1.7</v>
      </c>
      <c r="V751">
        <v>0</v>
      </c>
      <c r="W751">
        <v>0</v>
      </c>
      <c r="X751">
        <v>0</v>
      </c>
      <c r="Y751">
        <v>0.1</v>
      </c>
      <c r="Z751">
        <v>7.5</v>
      </c>
      <c r="AA751">
        <f t="shared" si="287"/>
        <v>15.5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27.4</v>
      </c>
      <c r="AI751">
        <v>0</v>
      </c>
      <c r="AJ751">
        <f t="shared" si="288"/>
        <v>27.4</v>
      </c>
      <c r="AK751">
        <v>0.1</v>
      </c>
      <c r="AL751">
        <v>0.439</v>
      </c>
      <c r="AM751">
        <f t="shared" si="291"/>
        <v>0.55900000000000005</v>
      </c>
      <c r="AN751">
        <v>1040</v>
      </c>
      <c r="AO751">
        <v>528</v>
      </c>
      <c r="AP751" s="3">
        <f t="shared" si="290"/>
        <v>2358.2766439909301</v>
      </c>
      <c r="AQ751" s="3">
        <f t="shared" si="294"/>
        <v>1197.278911564626</v>
      </c>
      <c r="AR751">
        <f t="shared" si="293"/>
        <v>0.49016100178890865</v>
      </c>
      <c r="AS751">
        <f t="shared" si="292"/>
        <v>0.28499999999999998</v>
      </c>
      <c r="AT751">
        <f t="shared" si="295"/>
        <v>672</v>
      </c>
      <c r="AU751">
        <f t="shared" si="296"/>
        <v>646</v>
      </c>
      <c r="AV751">
        <f t="shared" si="277"/>
        <v>554</v>
      </c>
      <c r="AW751">
        <f t="shared" si="278"/>
        <v>691</v>
      </c>
      <c r="AX751" s="3">
        <f t="shared" si="279"/>
        <v>1113.2766439909301</v>
      </c>
      <c r="AY751">
        <f t="shared" si="280"/>
        <v>336</v>
      </c>
      <c r="AZ751">
        <f t="shared" si="281"/>
        <v>775</v>
      </c>
      <c r="BA751" s="3">
        <f t="shared" si="282"/>
        <v>1247.2766439909301</v>
      </c>
    </row>
    <row r="752" spans="1:53" x14ac:dyDescent="0.2">
      <c r="A752">
        <v>2015</v>
      </c>
      <c r="B752" t="s">
        <v>80</v>
      </c>
      <c r="C752" t="s">
        <v>63</v>
      </c>
      <c r="D752">
        <v>0</v>
      </c>
      <c r="E752">
        <v>0.2</v>
      </c>
      <c r="F752">
        <v>0</v>
      </c>
      <c r="G752">
        <v>0.4</v>
      </c>
      <c r="H752">
        <v>0</v>
      </c>
      <c r="I752">
        <v>1.8</v>
      </c>
      <c r="J752">
        <v>2.4</v>
      </c>
      <c r="K752">
        <f t="shared" si="297"/>
        <v>4.8000000000000007</v>
      </c>
      <c r="L752">
        <v>0</v>
      </c>
      <c r="M752">
        <v>0</v>
      </c>
      <c r="N752">
        <v>0</v>
      </c>
      <c r="O752">
        <f t="shared" si="285"/>
        <v>0</v>
      </c>
      <c r="P752">
        <v>0</v>
      </c>
      <c r="Q752">
        <v>0</v>
      </c>
      <c r="R752">
        <v>2.1</v>
      </c>
      <c r="S752">
        <f t="shared" si="286"/>
        <v>2.1</v>
      </c>
      <c r="T752">
        <v>6.4</v>
      </c>
      <c r="U752">
        <v>0.3</v>
      </c>
      <c r="V752">
        <v>0</v>
      </c>
      <c r="W752">
        <v>0</v>
      </c>
      <c r="X752">
        <v>0</v>
      </c>
      <c r="Y752">
        <v>0.4</v>
      </c>
      <c r="Z752">
        <v>11.3</v>
      </c>
      <c r="AA752">
        <f t="shared" si="287"/>
        <v>18.400000000000002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19.2</v>
      </c>
      <c r="AI752">
        <v>0</v>
      </c>
      <c r="AJ752">
        <f t="shared" si="288"/>
        <v>19.2</v>
      </c>
      <c r="AK752">
        <v>0</v>
      </c>
      <c r="AL752">
        <v>0.55600000000000005</v>
      </c>
      <c r="AM752">
        <f t="shared" si="291"/>
        <v>0.44500000000000001</v>
      </c>
      <c r="AN752">
        <v>1505</v>
      </c>
      <c r="AO752">
        <v>715</v>
      </c>
      <c r="AP752" s="3">
        <f t="shared" si="290"/>
        <v>2711.7117117117118</v>
      </c>
      <c r="AQ752" s="3">
        <f t="shared" si="294"/>
        <v>1288.2882882882884</v>
      </c>
      <c r="AR752">
        <f t="shared" si="293"/>
        <v>0.43146067415730338</v>
      </c>
      <c r="AS752">
        <f t="shared" si="292"/>
        <v>0.25300000000000006</v>
      </c>
      <c r="AT752">
        <f t="shared" si="295"/>
        <v>686</v>
      </c>
      <c r="AU752">
        <f t="shared" si="296"/>
        <v>521</v>
      </c>
      <c r="AV752">
        <f t="shared" si="277"/>
        <v>621</v>
      </c>
      <c r="AW752">
        <f t="shared" si="278"/>
        <v>538</v>
      </c>
      <c r="AX752" s="3">
        <f t="shared" si="279"/>
        <v>1552.7117117117118</v>
      </c>
      <c r="AY752">
        <f t="shared" si="280"/>
        <v>343</v>
      </c>
      <c r="AZ752">
        <f t="shared" si="281"/>
        <v>609</v>
      </c>
      <c r="BA752" s="3">
        <f t="shared" si="282"/>
        <v>1759.7117117117118</v>
      </c>
    </row>
    <row r="753" spans="1:53" x14ac:dyDescent="0.2">
      <c r="A753">
        <v>2016</v>
      </c>
      <c r="B753" t="s">
        <v>80</v>
      </c>
      <c r="C753" t="s">
        <v>63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0.6</v>
      </c>
      <c r="J753">
        <v>1.7</v>
      </c>
      <c r="K753">
        <f t="shared" si="297"/>
        <v>2.2999999999999998</v>
      </c>
      <c r="L753">
        <v>0</v>
      </c>
      <c r="M753">
        <v>0</v>
      </c>
      <c r="N753">
        <v>0</v>
      </c>
      <c r="O753">
        <f t="shared" si="285"/>
        <v>0</v>
      </c>
      <c r="P753">
        <v>0</v>
      </c>
      <c r="Q753">
        <v>0</v>
      </c>
      <c r="R753">
        <v>3.3</v>
      </c>
      <c r="S753">
        <f t="shared" si="286"/>
        <v>3.3</v>
      </c>
      <c r="T753">
        <v>1.5</v>
      </c>
      <c r="U753">
        <v>0.8</v>
      </c>
      <c r="V753">
        <v>0</v>
      </c>
      <c r="W753">
        <v>0</v>
      </c>
      <c r="X753">
        <v>0</v>
      </c>
      <c r="Y753">
        <v>0.1</v>
      </c>
      <c r="Z753">
        <v>7.4</v>
      </c>
      <c r="AA753">
        <f t="shared" si="287"/>
        <v>9.8000000000000007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9.5</v>
      </c>
      <c r="AI753">
        <v>0.1</v>
      </c>
      <c r="AJ753">
        <f t="shared" si="288"/>
        <v>9.6</v>
      </c>
      <c r="AK753">
        <v>0</v>
      </c>
      <c r="AL753">
        <v>0.74900000000000011</v>
      </c>
      <c r="AM753">
        <f t="shared" si="291"/>
        <v>0.25</v>
      </c>
      <c r="AN753">
        <v>964</v>
      </c>
      <c r="AO753">
        <v>796</v>
      </c>
      <c r="AP753" s="3">
        <f t="shared" si="290"/>
        <v>1285.3333333333333</v>
      </c>
      <c r="AQ753" s="3">
        <f t="shared" si="294"/>
        <v>1061.3333333333333</v>
      </c>
      <c r="AR753">
        <f t="shared" si="293"/>
        <v>0.38400000000000001</v>
      </c>
      <c r="AS753">
        <f t="shared" si="292"/>
        <v>0.154</v>
      </c>
      <c r="AT753">
        <f t="shared" si="295"/>
        <v>198</v>
      </c>
      <c r="AU753">
        <f t="shared" si="296"/>
        <v>123</v>
      </c>
      <c r="AV753">
        <f t="shared" si="277"/>
        <v>183</v>
      </c>
      <c r="AW753">
        <f t="shared" si="278"/>
        <v>125</v>
      </c>
      <c r="AX753" s="3">
        <f t="shared" si="279"/>
        <v>977.33333333333326</v>
      </c>
      <c r="AY753">
        <f t="shared" si="280"/>
        <v>99</v>
      </c>
      <c r="AZ753">
        <f t="shared" si="281"/>
        <v>134</v>
      </c>
      <c r="BA753" s="3">
        <f t="shared" si="282"/>
        <v>1052.3333333333333</v>
      </c>
    </row>
    <row r="754" spans="1:53" x14ac:dyDescent="0.2">
      <c r="A754">
        <v>2017</v>
      </c>
      <c r="B754" t="s">
        <v>80</v>
      </c>
      <c r="C754" t="s">
        <v>63</v>
      </c>
      <c r="D754">
        <v>0</v>
      </c>
      <c r="E754">
        <v>0</v>
      </c>
      <c r="F754">
        <v>0</v>
      </c>
      <c r="G754">
        <v>0.2</v>
      </c>
      <c r="H754">
        <v>0</v>
      </c>
      <c r="I754">
        <v>2.9</v>
      </c>
      <c r="J754">
        <v>6.2</v>
      </c>
      <c r="K754">
        <f t="shared" si="297"/>
        <v>9.3000000000000007</v>
      </c>
      <c r="L754">
        <v>0</v>
      </c>
      <c r="M754">
        <v>0</v>
      </c>
      <c r="N754">
        <v>0</v>
      </c>
      <c r="O754">
        <f t="shared" si="285"/>
        <v>0</v>
      </c>
      <c r="P754">
        <v>0</v>
      </c>
      <c r="Q754">
        <v>0</v>
      </c>
      <c r="R754">
        <v>2.9</v>
      </c>
      <c r="S754">
        <f t="shared" si="286"/>
        <v>2.9</v>
      </c>
      <c r="T754">
        <v>4.5</v>
      </c>
      <c r="U754">
        <v>1.8</v>
      </c>
      <c r="V754">
        <v>0</v>
      </c>
      <c r="W754">
        <v>0</v>
      </c>
      <c r="X754">
        <v>0</v>
      </c>
      <c r="Y754">
        <v>0.2</v>
      </c>
      <c r="Z754">
        <v>6.2</v>
      </c>
      <c r="AA754">
        <f t="shared" si="287"/>
        <v>12.7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30.1</v>
      </c>
      <c r="AI754">
        <v>0</v>
      </c>
      <c r="AJ754">
        <f t="shared" si="288"/>
        <v>30.1</v>
      </c>
      <c r="AK754">
        <v>0</v>
      </c>
      <c r="AL754">
        <v>0.44900000000000001</v>
      </c>
      <c r="AM754">
        <f t="shared" si="291"/>
        <v>0.55000000000000004</v>
      </c>
      <c r="AN754">
        <v>1622</v>
      </c>
      <c r="AO754">
        <v>1445</v>
      </c>
      <c r="AP754" s="3">
        <f t="shared" si="290"/>
        <v>3604.4444444444448</v>
      </c>
      <c r="AQ754" s="3">
        <f t="shared" si="294"/>
        <v>3211.1111111111113</v>
      </c>
      <c r="AR754">
        <f t="shared" si="293"/>
        <v>0.54727272727272724</v>
      </c>
      <c r="AS754">
        <f t="shared" si="292"/>
        <v>0.249</v>
      </c>
      <c r="AT754">
        <f t="shared" si="295"/>
        <v>898</v>
      </c>
      <c r="AU754">
        <f t="shared" si="296"/>
        <v>1085</v>
      </c>
      <c r="AV754">
        <f t="shared" si="277"/>
        <v>730</v>
      </c>
      <c r="AW754">
        <f t="shared" si="278"/>
        <v>1152</v>
      </c>
      <c r="AX754" s="3">
        <f t="shared" si="279"/>
        <v>1722.4444444444448</v>
      </c>
      <c r="AY754">
        <f t="shared" si="280"/>
        <v>449</v>
      </c>
      <c r="AZ754">
        <f t="shared" si="281"/>
        <v>1265</v>
      </c>
      <c r="BA754" s="3">
        <f t="shared" si="282"/>
        <v>1890.4444444444448</v>
      </c>
    </row>
    <row r="755" spans="1:53" x14ac:dyDescent="0.2">
      <c r="A755">
        <v>2018</v>
      </c>
      <c r="B755" t="s">
        <v>80</v>
      </c>
      <c r="C755" t="s">
        <v>63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2</v>
      </c>
      <c r="J755">
        <v>1.8</v>
      </c>
      <c r="K755">
        <f t="shared" si="297"/>
        <v>3.8</v>
      </c>
      <c r="L755">
        <v>0</v>
      </c>
      <c r="M755">
        <v>0</v>
      </c>
      <c r="N755">
        <v>0.3</v>
      </c>
      <c r="O755">
        <f t="shared" si="285"/>
        <v>0.3</v>
      </c>
      <c r="P755">
        <v>0</v>
      </c>
      <c r="Q755">
        <v>0</v>
      </c>
      <c r="R755">
        <v>8.1999999999999993</v>
      </c>
      <c r="S755">
        <f t="shared" si="286"/>
        <v>8.1999999999999993</v>
      </c>
      <c r="T755">
        <v>6.4</v>
      </c>
      <c r="U755">
        <v>1</v>
      </c>
      <c r="V755">
        <v>0.1</v>
      </c>
      <c r="W755">
        <v>0</v>
      </c>
      <c r="X755">
        <v>0</v>
      </c>
      <c r="Y755">
        <v>0.2</v>
      </c>
      <c r="Z755">
        <v>7</v>
      </c>
      <c r="AA755">
        <f t="shared" si="287"/>
        <v>14.7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26.2</v>
      </c>
      <c r="AI755">
        <v>0</v>
      </c>
      <c r="AJ755">
        <f t="shared" si="288"/>
        <v>26.2</v>
      </c>
      <c r="AK755">
        <v>0.1</v>
      </c>
      <c r="AL755">
        <v>0.46799999999999997</v>
      </c>
      <c r="AM755">
        <f t="shared" si="291"/>
        <v>0.53200000000000003</v>
      </c>
      <c r="AN755">
        <v>606</v>
      </c>
      <c r="AO755">
        <v>435</v>
      </c>
      <c r="AP755" s="3">
        <f t="shared" si="290"/>
        <v>1294.8717948717949</v>
      </c>
      <c r="AQ755" s="3">
        <f t="shared" si="294"/>
        <v>929.48717948717956</v>
      </c>
      <c r="AR755">
        <f t="shared" si="293"/>
        <v>0.4924812030075188</v>
      </c>
      <c r="AS755">
        <f t="shared" si="292"/>
        <v>0.27</v>
      </c>
      <c r="AT755">
        <f t="shared" si="295"/>
        <v>350</v>
      </c>
      <c r="AU755">
        <f t="shared" si="296"/>
        <v>339</v>
      </c>
      <c r="AV755">
        <f t="shared" si="277"/>
        <v>325</v>
      </c>
      <c r="AW755">
        <f t="shared" si="278"/>
        <v>348</v>
      </c>
      <c r="AX755" s="3">
        <f t="shared" si="279"/>
        <v>621.87179487179492</v>
      </c>
      <c r="AY755">
        <f t="shared" si="280"/>
        <v>175</v>
      </c>
      <c r="AZ755">
        <f t="shared" si="281"/>
        <v>402</v>
      </c>
      <c r="BA755" s="3">
        <f t="shared" si="282"/>
        <v>717.87179487179492</v>
      </c>
    </row>
    <row r="756" spans="1:53" x14ac:dyDescent="0.2">
      <c r="A756">
        <v>2019</v>
      </c>
      <c r="B756" t="s">
        <v>80</v>
      </c>
      <c r="C756" t="s">
        <v>63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0.7</v>
      </c>
      <c r="J756">
        <v>4.3</v>
      </c>
      <c r="K756">
        <f t="shared" si="297"/>
        <v>5</v>
      </c>
      <c r="L756">
        <v>0</v>
      </c>
      <c r="M756">
        <v>0</v>
      </c>
      <c r="N756">
        <v>0.4</v>
      </c>
      <c r="O756">
        <f t="shared" si="285"/>
        <v>0.4</v>
      </c>
      <c r="P756">
        <v>0</v>
      </c>
      <c r="Q756">
        <v>0</v>
      </c>
      <c r="R756">
        <v>1.9</v>
      </c>
      <c r="S756">
        <f t="shared" si="286"/>
        <v>1.9</v>
      </c>
      <c r="T756">
        <v>3.8</v>
      </c>
      <c r="U756">
        <v>0.3</v>
      </c>
      <c r="V756">
        <v>0.2</v>
      </c>
      <c r="W756">
        <v>0</v>
      </c>
      <c r="X756">
        <v>0</v>
      </c>
      <c r="Y756">
        <v>0.8</v>
      </c>
      <c r="Z756">
        <v>9.1</v>
      </c>
      <c r="AA756">
        <f t="shared" si="287"/>
        <v>14.2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42.1</v>
      </c>
      <c r="AI756">
        <v>0</v>
      </c>
      <c r="AJ756">
        <f t="shared" si="288"/>
        <v>42.1</v>
      </c>
      <c r="AK756">
        <v>0</v>
      </c>
      <c r="AL756">
        <v>0.36299999999999999</v>
      </c>
      <c r="AM756">
        <f t="shared" si="291"/>
        <v>0.6359999999999999</v>
      </c>
      <c r="AN756">
        <v>392</v>
      </c>
      <c r="AO756">
        <v>301</v>
      </c>
      <c r="AP756" s="3">
        <f t="shared" si="290"/>
        <v>1076.9230769230767</v>
      </c>
      <c r="AQ756" s="3">
        <f t="shared" si="294"/>
        <v>826.92307692307668</v>
      </c>
      <c r="AR756">
        <f t="shared" si="293"/>
        <v>0.66194968553459133</v>
      </c>
      <c r="AS756">
        <f t="shared" si="292"/>
        <v>0.215</v>
      </c>
      <c r="AT756">
        <f t="shared" si="295"/>
        <v>232</v>
      </c>
      <c r="AU756">
        <f t="shared" si="296"/>
        <v>453</v>
      </c>
      <c r="AV756">
        <f t="shared" si="277"/>
        <v>205</v>
      </c>
      <c r="AW756">
        <f t="shared" si="278"/>
        <v>467</v>
      </c>
      <c r="AX756" s="3">
        <f t="shared" si="279"/>
        <v>404.92307692307668</v>
      </c>
      <c r="AY756">
        <f t="shared" si="280"/>
        <v>116</v>
      </c>
      <c r="AZ756">
        <f t="shared" si="281"/>
        <v>515</v>
      </c>
      <c r="BA756" s="3">
        <f t="shared" si="282"/>
        <v>445.92307692307668</v>
      </c>
    </row>
    <row r="757" spans="1:53" x14ac:dyDescent="0.2">
      <c r="A757">
        <v>2020</v>
      </c>
      <c r="B757" t="s">
        <v>80</v>
      </c>
      <c r="C757" t="s">
        <v>63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f t="shared" si="297"/>
        <v>0</v>
      </c>
      <c r="L757">
        <v>0</v>
      </c>
      <c r="M757">
        <v>0</v>
      </c>
      <c r="N757">
        <v>0</v>
      </c>
      <c r="O757">
        <f t="shared" si="285"/>
        <v>0</v>
      </c>
      <c r="P757">
        <v>0</v>
      </c>
      <c r="Q757">
        <v>0</v>
      </c>
      <c r="R757">
        <v>2.6</v>
      </c>
      <c r="S757">
        <f t="shared" si="286"/>
        <v>2.6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0.3</v>
      </c>
      <c r="Z757">
        <v>10.7</v>
      </c>
      <c r="AA757">
        <f t="shared" si="287"/>
        <v>11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10.4</v>
      </c>
      <c r="AI757">
        <v>0</v>
      </c>
      <c r="AJ757">
        <f t="shared" si="288"/>
        <v>10.4</v>
      </c>
      <c r="AK757">
        <v>0</v>
      </c>
      <c r="AL757">
        <v>0.76</v>
      </c>
      <c r="AM757">
        <f t="shared" si="291"/>
        <v>0.24</v>
      </c>
      <c r="AN757">
        <v>572</v>
      </c>
      <c r="AO757">
        <v>472</v>
      </c>
      <c r="AP757" s="3">
        <f t="shared" si="290"/>
        <v>752.63157894736844</v>
      </c>
      <c r="AQ757" s="3">
        <f t="shared" si="294"/>
        <v>621.0526315789474</v>
      </c>
      <c r="AR757">
        <f t="shared" si="293"/>
        <v>0.4333333333333334</v>
      </c>
      <c r="AS757">
        <f t="shared" si="292"/>
        <v>0.13600000000000001</v>
      </c>
      <c r="AT757">
        <f t="shared" si="295"/>
        <v>102</v>
      </c>
      <c r="AU757">
        <f t="shared" si="296"/>
        <v>78</v>
      </c>
      <c r="AV757">
        <f t="shared" si="277"/>
        <v>102</v>
      </c>
      <c r="AW757">
        <f t="shared" si="278"/>
        <v>78</v>
      </c>
      <c r="AX757" s="3">
        <f t="shared" si="279"/>
        <v>572.63157894736844</v>
      </c>
      <c r="AY757">
        <f t="shared" si="280"/>
        <v>51</v>
      </c>
      <c r="AZ757">
        <f t="shared" si="281"/>
        <v>84</v>
      </c>
      <c r="BA757" s="3">
        <f t="shared" si="282"/>
        <v>617.63157894736844</v>
      </c>
    </row>
    <row r="758" spans="1:53" x14ac:dyDescent="0.2">
      <c r="A758">
        <v>2021</v>
      </c>
      <c r="B758" t="s">
        <v>80</v>
      </c>
      <c r="C758" t="s">
        <v>63</v>
      </c>
      <c r="D758">
        <v>0</v>
      </c>
      <c r="E758">
        <v>0.6</v>
      </c>
      <c r="F758">
        <v>0</v>
      </c>
      <c r="G758">
        <v>0</v>
      </c>
      <c r="H758">
        <v>0</v>
      </c>
      <c r="I758">
        <v>1.4</v>
      </c>
      <c r="J758">
        <v>0.6</v>
      </c>
      <c r="K758">
        <f t="shared" si="297"/>
        <v>2.6</v>
      </c>
      <c r="L758">
        <v>0</v>
      </c>
      <c r="M758">
        <v>0</v>
      </c>
      <c r="N758">
        <v>0</v>
      </c>
      <c r="O758">
        <f t="shared" si="285"/>
        <v>0</v>
      </c>
      <c r="P758">
        <v>0</v>
      </c>
      <c r="Q758">
        <v>0</v>
      </c>
      <c r="R758">
        <v>1.1000000000000001</v>
      </c>
      <c r="S758">
        <f t="shared" si="286"/>
        <v>1.1000000000000001</v>
      </c>
      <c r="T758">
        <v>0.9</v>
      </c>
      <c r="U758">
        <v>0</v>
      </c>
      <c r="V758">
        <v>0</v>
      </c>
      <c r="W758">
        <v>0</v>
      </c>
      <c r="X758">
        <v>0</v>
      </c>
      <c r="Y758">
        <v>0.2</v>
      </c>
      <c r="Z758">
        <v>4.7</v>
      </c>
      <c r="AA758">
        <f t="shared" si="287"/>
        <v>5.8000000000000007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22.6</v>
      </c>
      <c r="AI758">
        <v>1.7</v>
      </c>
      <c r="AJ758">
        <f t="shared" si="288"/>
        <v>24.3</v>
      </c>
      <c r="AK758">
        <v>0</v>
      </c>
      <c r="AL758">
        <v>0.66099999999999992</v>
      </c>
      <c r="AM758">
        <f t="shared" si="291"/>
        <v>0.33800000000000002</v>
      </c>
      <c r="AN758">
        <v>699</v>
      </c>
      <c r="AO758">
        <v>527</v>
      </c>
      <c r="AP758" s="3">
        <f t="shared" si="290"/>
        <v>1055.891238670695</v>
      </c>
      <c r="AQ758" s="3">
        <f t="shared" si="294"/>
        <v>796.07250755287021</v>
      </c>
      <c r="AR758">
        <f t="shared" si="293"/>
        <v>0.71893491124260345</v>
      </c>
      <c r="AS758">
        <f t="shared" si="292"/>
        <v>9.5000000000000001E-2</v>
      </c>
      <c r="AT758">
        <f t="shared" si="295"/>
        <v>100</v>
      </c>
      <c r="AU758">
        <f t="shared" si="296"/>
        <v>257</v>
      </c>
      <c r="AV758">
        <f t="shared" si="277"/>
        <v>87</v>
      </c>
      <c r="AW758">
        <f t="shared" si="278"/>
        <v>260</v>
      </c>
      <c r="AX758" s="3">
        <f t="shared" si="279"/>
        <v>708.89123867069497</v>
      </c>
      <c r="AY758">
        <f t="shared" si="280"/>
        <v>50</v>
      </c>
      <c r="AZ758">
        <f t="shared" si="281"/>
        <v>270</v>
      </c>
      <c r="BA758" s="3">
        <f t="shared" si="282"/>
        <v>735.89123867069497</v>
      </c>
    </row>
    <row r="759" spans="1:53" x14ac:dyDescent="0.2">
      <c r="A759">
        <v>2022</v>
      </c>
      <c r="B759" t="s">
        <v>80</v>
      </c>
      <c r="C759" t="s">
        <v>63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1.3</v>
      </c>
      <c r="J759">
        <v>0.1</v>
      </c>
      <c r="K759">
        <f t="shared" si="297"/>
        <v>1.4000000000000001</v>
      </c>
      <c r="L759">
        <v>0</v>
      </c>
      <c r="M759">
        <v>0</v>
      </c>
      <c r="N759">
        <v>0</v>
      </c>
      <c r="O759">
        <f t="shared" si="285"/>
        <v>0</v>
      </c>
      <c r="P759">
        <v>0</v>
      </c>
      <c r="Q759">
        <v>0</v>
      </c>
      <c r="R759">
        <v>7.1</v>
      </c>
      <c r="S759">
        <f t="shared" si="286"/>
        <v>7.1</v>
      </c>
      <c r="T759">
        <v>4.3</v>
      </c>
      <c r="U759">
        <v>1.5</v>
      </c>
      <c r="V759">
        <v>0</v>
      </c>
      <c r="W759">
        <v>0</v>
      </c>
      <c r="X759">
        <v>0</v>
      </c>
      <c r="Y759">
        <v>0.3</v>
      </c>
      <c r="Z759">
        <v>13.7</v>
      </c>
      <c r="AA759">
        <f t="shared" si="287"/>
        <v>19.799999999999997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34.299999999999997</v>
      </c>
      <c r="AI759">
        <v>1.7</v>
      </c>
      <c r="AJ759">
        <f t="shared" si="288"/>
        <v>36</v>
      </c>
      <c r="AK759">
        <v>0</v>
      </c>
      <c r="AL759">
        <v>0.35600000000000004</v>
      </c>
      <c r="AM759">
        <f t="shared" si="291"/>
        <v>0.64300000000000002</v>
      </c>
      <c r="AN759">
        <v>1129</v>
      </c>
      <c r="AO759">
        <v>543</v>
      </c>
      <c r="AP759" s="3">
        <f t="shared" si="290"/>
        <v>3162.4649859943979</v>
      </c>
      <c r="AQ759" s="3">
        <f t="shared" si="294"/>
        <v>1521.0084033613446</v>
      </c>
      <c r="AR759">
        <f t="shared" si="293"/>
        <v>0.55987558320373243</v>
      </c>
      <c r="AS759">
        <f t="shared" si="292"/>
        <v>0.28299999999999997</v>
      </c>
      <c r="AT759">
        <f t="shared" si="295"/>
        <v>895</v>
      </c>
      <c r="AU759">
        <f t="shared" si="296"/>
        <v>1138</v>
      </c>
      <c r="AV759">
        <f t="shared" si="277"/>
        <v>873</v>
      </c>
      <c r="AW759">
        <f t="shared" si="278"/>
        <v>1149</v>
      </c>
      <c r="AX759" s="3">
        <f t="shared" si="279"/>
        <v>1140.4649859943979</v>
      </c>
      <c r="AY759">
        <f t="shared" si="280"/>
        <v>447</v>
      </c>
      <c r="AZ759">
        <f t="shared" si="281"/>
        <v>1363</v>
      </c>
      <c r="BA759" s="3">
        <f t="shared" si="282"/>
        <v>1352.4649859943979</v>
      </c>
    </row>
    <row r="760" spans="1:53" x14ac:dyDescent="0.2">
      <c r="A760">
        <v>2023</v>
      </c>
      <c r="B760" t="s">
        <v>80</v>
      </c>
      <c r="C760" t="s">
        <v>63</v>
      </c>
      <c r="D760" t="s">
        <v>13</v>
      </c>
      <c r="E760" t="s">
        <v>13</v>
      </c>
      <c r="F760" t="s">
        <v>13</v>
      </c>
      <c r="G760" t="s">
        <v>13</v>
      </c>
      <c r="H760" t="s">
        <v>13</v>
      </c>
      <c r="I760" t="s">
        <v>13</v>
      </c>
      <c r="J760" t="s">
        <v>13</v>
      </c>
      <c r="K760" t="s">
        <v>13</v>
      </c>
      <c r="L760" t="s">
        <v>13</v>
      </c>
      <c r="M760" t="s">
        <v>13</v>
      </c>
      <c r="N760" t="s">
        <v>13</v>
      </c>
      <c r="O760" t="s">
        <v>13</v>
      </c>
      <c r="P760" t="s">
        <v>13</v>
      </c>
      <c r="Q760" t="s">
        <v>13</v>
      </c>
      <c r="R760" t="s">
        <v>13</v>
      </c>
      <c r="S760" t="s">
        <v>13</v>
      </c>
      <c r="T760" t="s">
        <v>13</v>
      </c>
      <c r="U760" t="s">
        <v>13</v>
      </c>
      <c r="V760" t="s">
        <v>13</v>
      </c>
      <c r="W760" t="s">
        <v>13</v>
      </c>
      <c r="X760" t="s">
        <v>13</v>
      </c>
      <c r="Y760" t="s">
        <v>13</v>
      </c>
      <c r="Z760" t="s">
        <v>13</v>
      </c>
      <c r="AA760" t="s">
        <v>13</v>
      </c>
      <c r="AB760" t="s">
        <v>13</v>
      </c>
      <c r="AC760" t="s">
        <v>13</v>
      </c>
      <c r="AD760" t="s">
        <v>13</v>
      </c>
      <c r="AE760" t="s">
        <v>13</v>
      </c>
      <c r="AF760" t="s">
        <v>13</v>
      </c>
      <c r="AG760" t="s">
        <v>13</v>
      </c>
      <c r="AH760" t="s">
        <v>13</v>
      </c>
      <c r="AI760" t="s">
        <v>13</v>
      </c>
      <c r="AJ760" t="s">
        <v>13</v>
      </c>
      <c r="AK760" t="s">
        <v>13</v>
      </c>
      <c r="AL760" t="s">
        <v>13</v>
      </c>
      <c r="AM760" t="s">
        <v>13</v>
      </c>
      <c r="AN760">
        <v>1215</v>
      </c>
      <c r="AO760">
        <v>1003</v>
      </c>
      <c r="AP760" t="s">
        <v>13</v>
      </c>
      <c r="AQ760" t="s">
        <v>13</v>
      </c>
      <c r="AR760" t="s">
        <v>13</v>
      </c>
      <c r="AS760" t="s">
        <v>13</v>
      </c>
      <c r="AT760" t="s">
        <v>13</v>
      </c>
      <c r="AU760" t="s">
        <v>13</v>
      </c>
      <c r="AV760" t="s">
        <v>13</v>
      </c>
      <c r="AW760" t="s">
        <v>13</v>
      </c>
      <c r="AX760" t="s">
        <v>13</v>
      </c>
      <c r="AY760" t="s">
        <v>13</v>
      </c>
      <c r="AZ760" t="s">
        <v>13</v>
      </c>
      <c r="BA760" t="s">
        <v>13</v>
      </c>
    </row>
    <row r="761" spans="1:53" x14ac:dyDescent="0.2">
      <c r="A761">
        <v>1996</v>
      </c>
      <c r="B761" t="s">
        <v>81</v>
      </c>
      <c r="C761" t="s">
        <v>63</v>
      </c>
      <c r="D761">
        <v>5.3</v>
      </c>
      <c r="E761">
        <v>0.1</v>
      </c>
      <c r="F761">
        <v>0.4</v>
      </c>
      <c r="G761">
        <v>0</v>
      </c>
      <c r="H761">
        <v>0</v>
      </c>
      <c r="I761">
        <v>1.8</v>
      </c>
      <c r="J761">
        <v>4.4000000000000004</v>
      </c>
      <c r="K761">
        <f t="shared" si="297"/>
        <v>12</v>
      </c>
      <c r="L761">
        <v>0</v>
      </c>
      <c r="M761">
        <v>7.3</v>
      </c>
      <c r="N761">
        <v>1.1000000000000001</v>
      </c>
      <c r="O761">
        <f t="shared" si="285"/>
        <v>8.4</v>
      </c>
      <c r="P761">
        <v>0</v>
      </c>
      <c r="Q761">
        <v>0.5</v>
      </c>
      <c r="R761">
        <v>17.5</v>
      </c>
      <c r="S761">
        <f t="shared" si="286"/>
        <v>18</v>
      </c>
      <c r="T761">
        <v>0.7</v>
      </c>
      <c r="U761">
        <v>0</v>
      </c>
      <c r="V761">
        <v>0</v>
      </c>
      <c r="W761">
        <v>0</v>
      </c>
      <c r="X761">
        <v>0</v>
      </c>
      <c r="Y761">
        <v>0.2</v>
      </c>
      <c r="Z761">
        <v>10.8</v>
      </c>
      <c r="AA761">
        <f t="shared" si="287"/>
        <v>11.700000000000001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f t="shared" si="288"/>
        <v>0</v>
      </c>
      <c r="AK761">
        <v>0.3</v>
      </c>
      <c r="AL761">
        <v>0.495</v>
      </c>
      <c r="AM761">
        <f t="shared" si="291"/>
        <v>0.50099999999999989</v>
      </c>
      <c r="AN761">
        <v>738</v>
      </c>
      <c r="AO761" t="s">
        <v>13</v>
      </c>
      <c r="AP761" s="3">
        <f t="shared" ref="AP761" si="298">AN761/(1-AM761)</f>
        <v>1478.9579158316631</v>
      </c>
      <c r="AQ761" t="s">
        <v>13</v>
      </c>
      <c r="AR761">
        <f t="shared" si="293"/>
        <v>0</v>
      </c>
      <c r="AS761">
        <f t="shared" ref="AS761:AS787" si="299">SUM(K761,O761,S761,AA761)/100</f>
        <v>0.501</v>
      </c>
      <c r="AT761">
        <f t="shared" ref="AT761:AT787" si="300">ROUND(AS761*AP761,0)</f>
        <v>741</v>
      </c>
      <c r="AU761">
        <f t="shared" ref="AU761:AU787" si="301">ROUND((AJ761/100)*AP761,0)</f>
        <v>0</v>
      </c>
      <c r="AV761">
        <f t="shared" si="277"/>
        <v>652</v>
      </c>
      <c r="AW761">
        <f t="shared" si="278"/>
        <v>0</v>
      </c>
      <c r="AX761" s="3">
        <f t="shared" si="279"/>
        <v>826.95791583166306</v>
      </c>
      <c r="AY761">
        <f t="shared" si="280"/>
        <v>370</v>
      </c>
      <c r="AZ761">
        <f t="shared" si="281"/>
        <v>0</v>
      </c>
      <c r="BA761" s="3">
        <f t="shared" si="282"/>
        <v>1108.9579158316631</v>
      </c>
    </row>
    <row r="762" spans="1:53" x14ac:dyDescent="0.2">
      <c r="A762">
        <v>1997</v>
      </c>
      <c r="B762" t="s">
        <v>81</v>
      </c>
      <c r="C762" t="s">
        <v>63</v>
      </c>
      <c r="D762">
        <v>4.4000000000000004</v>
      </c>
      <c r="E762">
        <v>0.5</v>
      </c>
      <c r="F762">
        <v>1.1000000000000001</v>
      </c>
      <c r="G762">
        <v>0.3</v>
      </c>
      <c r="H762">
        <v>0</v>
      </c>
      <c r="I762">
        <v>2.8</v>
      </c>
      <c r="J762">
        <v>2.7</v>
      </c>
      <c r="K762">
        <f t="shared" si="297"/>
        <v>11.8</v>
      </c>
      <c r="L762">
        <v>1</v>
      </c>
      <c r="M762">
        <v>0.4</v>
      </c>
      <c r="N762">
        <v>0</v>
      </c>
      <c r="O762">
        <f t="shared" si="285"/>
        <v>1.4</v>
      </c>
      <c r="P762">
        <v>0</v>
      </c>
      <c r="Q762">
        <v>1.2</v>
      </c>
      <c r="R762">
        <v>10.8</v>
      </c>
      <c r="S762">
        <f t="shared" si="286"/>
        <v>12</v>
      </c>
      <c r="T762">
        <v>0.8</v>
      </c>
      <c r="U762">
        <v>0</v>
      </c>
      <c r="V762">
        <v>0</v>
      </c>
      <c r="W762">
        <v>0</v>
      </c>
      <c r="X762">
        <v>0</v>
      </c>
      <c r="Y762">
        <v>0.1</v>
      </c>
      <c r="Z762">
        <v>7</v>
      </c>
      <c r="AA762">
        <f t="shared" si="287"/>
        <v>7.9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1.1000000000000001</v>
      </c>
      <c r="AI762">
        <v>0</v>
      </c>
      <c r="AJ762">
        <f t="shared" si="288"/>
        <v>1.1000000000000001</v>
      </c>
      <c r="AK762">
        <v>1.3</v>
      </c>
      <c r="AL762">
        <v>0.64700000000000002</v>
      </c>
      <c r="AM762">
        <f t="shared" si="291"/>
        <v>0.34200000000000003</v>
      </c>
      <c r="AN762">
        <v>797</v>
      </c>
      <c r="AO762" t="s">
        <v>13</v>
      </c>
      <c r="AP762" s="3">
        <f t="shared" ref="AP762:AP825" si="302">AN762/(1-AM762)</f>
        <v>1211.2462006079029</v>
      </c>
      <c r="AQ762" t="s">
        <v>13</v>
      </c>
      <c r="AR762">
        <f t="shared" si="293"/>
        <v>3.2163742690058478E-2</v>
      </c>
      <c r="AS762">
        <f t="shared" si="299"/>
        <v>0.33100000000000002</v>
      </c>
      <c r="AT762">
        <f t="shared" si="300"/>
        <v>401</v>
      </c>
      <c r="AU762">
        <f t="shared" si="301"/>
        <v>13</v>
      </c>
      <c r="AV762">
        <f t="shared" si="277"/>
        <v>329</v>
      </c>
      <c r="AW762">
        <f t="shared" si="278"/>
        <v>14</v>
      </c>
      <c r="AX762" s="3">
        <f t="shared" si="279"/>
        <v>868.24620060790289</v>
      </c>
      <c r="AY762">
        <f t="shared" si="280"/>
        <v>200</v>
      </c>
      <c r="AZ762">
        <f t="shared" si="281"/>
        <v>16</v>
      </c>
      <c r="BA762" s="3">
        <f t="shared" si="282"/>
        <v>995.24620060790289</v>
      </c>
    </row>
    <row r="763" spans="1:53" x14ac:dyDescent="0.2">
      <c r="A763">
        <v>1998</v>
      </c>
      <c r="B763" t="s">
        <v>81</v>
      </c>
      <c r="C763" t="s">
        <v>63</v>
      </c>
      <c r="D763">
        <v>9.1</v>
      </c>
      <c r="E763">
        <v>0.2</v>
      </c>
      <c r="F763">
        <v>0</v>
      </c>
      <c r="G763">
        <v>0</v>
      </c>
      <c r="H763">
        <v>0</v>
      </c>
      <c r="I763">
        <v>1.8</v>
      </c>
      <c r="J763">
        <v>3.6</v>
      </c>
      <c r="K763">
        <f t="shared" si="297"/>
        <v>14.7</v>
      </c>
      <c r="L763">
        <v>0</v>
      </c>
      <c r="M763">
        <v>0.2</v>
      </c>
      <c r="N763">
        <v>0</v>
      </c>
      <c r="O763">
        <f t="shared" si="285"/>
        <v>0.2</v>
      </c>
      <c r="P763">
        <v>0</v>
      </c>
      <c r="Q763">
        <v>0</v>
      </c>
      <c r="R763">
        <v>3.2</v>
      </c>
      <c r="S763">
        <f t="shared" si="286"/>
        <v>3.2</v>
      </c>
      <c r="T763">
        <v>0.2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1.1000000000000001</v>
      </c>
      <c r="AA763">
        <f t="shared" si="287"/>
        <v>1.3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0.1</v>
      </c>
      <c r="AI763">
        <v>0</v>
      </c>
      <c r="AJ763">
        <f t="shared" si="288"/>
        <v>0.1</v>
      </c>
      <c r="AK763">
        <v>1.6</v>
      </c>
      <c r="AL763">
        <v>0.78900000000000003</v>
      </c>
      <c r="AM763">
        <f t="shared" si="291"/>
        <v>0.19500000000000001</v>
      </c>
      <c r="AN763">
        <v>527</v>
      </c>
      <c r="AO763">
        <v>37</v>
      </c>
      <c r="AP763" s="3">
        <f t="shared" si="302"/>
        <v>654.65838509316779</v>
      </c>
      <c r="AQ763" s="3">
        <f t="shared" ref="AQ763:AQ787" si="303">AO763/(1-AM763)</f>
        <v>45.962732919254663</v>
      </c>
      <c r="AR763">
        <f t="shared" si="293"/>
        <v>5.1282051282051282E-3</v>
      </c>
      <c r="AS763">
        <f t="shared" si="299"/>
        <v>0.19399999999999998</v>
      </c>
      <c r="AT763">
        <f t="shared" si="300"/>
        <v>127</v>
      </c>
      <c r="AU763">
        <f t="shared" si="301"/>
        <v>1</v>
      </c>
      <c r="AV763">
        <f t="shared" si="277"/>
        <v>79</v>
      </c>
      <c r="AW763">
        <f t="shared" si="278"/>
        <v>1</v>
      </c>
      <c r="AX763" s="3">
        <f t="shared" si="279"/>
        <v>574.65838509316779</v>
      </c>
      <c r="AY763">
        <f t="shared" si="280"/>
        <v>64</v>
      </c>
      <c r="AZ763">
        <f t="shared" si="281"/>
        <v>1</v>
      </c>
      <c r="BA763" s="3">
        <f t="shared" si="282"/>
        <v>589.65838509316779</v>
      </c>
    </row>
    <row r="764" spans="1:53" x14ac:dyDescent="0.2">
      <c r="A764">
        <v>1999</v>
      </c>
      <c r="B764" t="s">
        <v>81</v>
      </c>
      <c r="C764" t="s">
        <v>63</v>
      </c>
      <c r="D764">
        <v>2</v>
      </c>
      <c r="E764">
        <v>0.2</v>
      </c>
      <c r="F764">
        <v>0</v>
      </c>
      <c r="G764">
        <v>0</v>
      </c>
      <c r="H764">
        <v>0</v>
      </c>
      <c r="I764">
        <v>2.5</v>
      </c>
      <c r="J764">
        <v>5.3</v>
      </c>
      <c r="K764">
        <f t="shared" si="297"/>
        <v>10</v>
      </c>
      <c r="L764">
        <v>0</v>
      </c>
      <c r="M764">
        <v>0</v>
      </c>
      <c r="N764">
        <v>0.7</v>
      </c>
      <c r="O764">
        <f t="shared" si="285"/>
        <v>0.7</v>
      </c>
      <c r="P764">
        <v>0</v>
      </c>
      <c r="Q764">
        <v>0</v>
      </c>
      <c r="R764">
        <v>5.0999999999999996</v>
      </c>
      <c r="S764">
        <f t="shared" si="286"/>
        <v>5.0999999999999996</v>
      </c>
      <c r="T764">
        <v>1.5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1.1000000000000001</v>
      </c>
      <c r="AA764">
        <f t="shared" si="287"/>
        <v>2.6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f t="shared" si="288"/>
        <v>0</v>
      </c>
      <c r="AK764">
        <v>0</v>
      </c>
      <c r="AL764">
        <v>0.81700000000000006</v>
      </c>
      <c r="AM764">
        <f t="shared" si="291"/>
        <v>0.184</v>
      </c>
      <c r="AN764">
        <v>1111</v>
      </c>
      <c r="AO764">
        <v>117</v>
      </c>
      <c r="AP764" s="3">
        <f t="shared" si="302"/>
        <v>1361.5196078431372</v>
      </c>
      <c r="AQ764" s="3">
        <f t="shared" si="303"/>
        <v>143.38235294117646</v>
      </c>
      <c r="AR764">
        <f t="shared" si="293"/>
        <v>0</v>
      </c>
      <c r="AS764">
        <f t="shared" si="299"/>
        <v>0.184</v>
      </c>
      <c r="AT764">
        <f t="shared" si="300"/>
        <v>251</v>
      </c>
      <c r="AU764">
        <f t="shared" si="301"/>
        <v>0</v>
      </c>
      <c r="AV764">
        <f t="shared" si="277"/>
        <v>182</v>
      </c>
      <c r="AW764">
        <f t="shared" si="278"/>
        <v>0</v>
      </c>
      <c r="AX764" s="3">
        <f t="shared" si="279"/>
        <v>1179.5196078431372</v>
      </c>
      <c r="AY764">
        <f t="shared" si="280"/>
        <v>125</v>
      </c>
      <c r="AZ764">
        <f t="shared" si="281"/>
        <v>0</v>
      </c>
      <c r="BA764" s="3">
        <f t="shared" si="282"/>
        <v>1236.5196078431372</v>
      </c>
    </row>
    <row r="765" spans="1:53" x14ac:dyDescent="0.2">
      <c r="A765">
        <v>2000</v>
      </c>
      <c r="B765" t="s">
        <v>81</v>
      </c>
      <c r="C765" t="s">
        <v>63</v>
      </c>
      <c r="D765">
        <v>5.2</v>
      </c>
      <c r="E765">
        <v>0.2</v>
      </c>
      <c r="F765">
        <v>0</v>
      </c>
      <c r="G765">
        <v>0</v>
      </c>
      <c r="H765">
        <v>0</v>
      </c>
      <c r="I765">
        <v>20.9</v>
      </c>
      <c r="J765">
        <v>3.6</v>
      </c>
      <c r="K765">
        <f t="shared" si="297"/>
        <v>29.9</v>
      </c>
      <c r="L765">
        <v>0</v>
      </c>
      <c r="M765">
        <v>0</v>
      </c>
      <c r="N765">
        <v>0</v>
      </c>
      <c r="O765">
        <f t="shared" si="285"/>
        <v>0</v>
      </c>
      <c r="P765">
        <v>0</v>
      </c>
      <c r="Q765">
        <v>0</v>
      </c>
      <c r="R765">
        <v>15.2</v>
      </c>
      <c r="S765">
        <f t="shared" si="286"/>
        <v>15.2</v>
      </c>
      <c r="T765">
        <v>0.2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0.6</v>
      </c>
      <c r="AA765">
        <f t="shared" si="287"/>
        <v>0.8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0.2</v>
      </c>
      <c r="AI765">
        <v>0</v>
      </c>
      <c r="AJ765">
        <f t="shared" si="288"/>
        <v>0.2</v>
      </c>
      <c r="AK765">
        <v>0.6</v>
      </c>
      <c r="AL765">
        <v>0.53100000000000003</v>
      </c>
      <c r="AM765">
        <f t="shared" si="291"/>
        <v>0.46100000000000002</v>
      </c>
      <c r="AN765">
        <v>1615</v>
      </c>
      <c r="AO765">
        <v>313</v>
      </c>
      <c r="AP765" s="3">
        <f t="shared" si="302"/>
        <v>2996.2894248608541</v>
      </c>
      <c r="AQ765" s="3">
        <f t="shared" si="303"/>
        <v>580.70500927643798</v>
      </c>
      <c r="AR765">
        <f t="shared" si="293"/>
        <v>4.3383947939262474E-3</v>
      </c>
      <c r="AS765">
        <f t="shared" si="299"/>
        <v>0.45899999999999991</v>
      </c>
      <c r="AT765">
        <f t="shared" si="300"/>
        <v>1375</v>
      </c>
      <c r="AU765">
        <f t="shared" si="301"/>
        <v>6</v>
      </c>
      <c r="AV765">
        <f t="shared" si="277"/>
        <v>927</v>
      </c>
      <c r="AW765">
        <f t="shared" si="278"/>
        <v>8</v>
      </c>
      <c r="AX765" s="3">
        <f t="shared" si="279"/>
        <v>2061.2894248608541</v>
      </c>
      <c r="AY765">
        <f t="shared" si="280"/>
        <v>688</v>
      </c>
      <c r="AZ765">
        <f t="shared" si="281"/>
        <v>9</v>
      </c>
      <c r="BA765" s="3">
        <f t="shared" si="282"/>
        <v>2299.2894248608541</v>
      </c>
    </row>
    <row r="766" spans="1:53" x14ac:dyDescent="0.2">
      <c r="A766">
        <v>2001</v>
      </c>
      <c r="B766" t="s">
        <v>81</v>
      </c>
      <c r="C766" t="s">
        <v>63</v>
      </c>
      <c r="D766">
        <v>1.9</v>
      </c>
      <c r="E766">
        <v>0</v>
      </c>
      <c r="F766">
        <v>0</v>
      </c>
      <c r="G766">
        <v>0</v>
      </c>
      <c r="H766">
        <v>0</v>
      </c>
      <c r="I766">
        <v>11</v>
      </c>
      <c r="J766">
        <v>4.8</v>
      </c>
      <c r="K766">
        <f t="shared" si="297"/>
        <v>17.7</v>
      </c>
      <c r="L766">
        <v>0</v>
      </c>
      <c r="M766">
        <v>0</v>
      </c>
      <c r="N766">
        <v>0</v>
      </c>
      <c r="O766">
        <f t="shared" si="285"/>
        <v>0</v>
      </c>
      <c r="P766">
        <v>0</v>
      </c>
      <c r="Q766">
        <v>0</v>
      </c>
      <c r="R766">
        <v>5.0999999999999996</v>
      </c>
      <c r="S766">
        <f t="shared" si="286"/>
        <v>5.0999999999999996</v>
      </c>
      <c r="T766">
        <v>1.2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1.3</v>
      </c>
      <c r="AA766">
        <f t="shared" si="287"/>
        <v>2.5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0.7</v>
      </c>
      <c r="AI766">
        <v>0</v>
      </c>
      <c r="AJ766">
        <f t="shared" si="288"/>
        <v>0.7</v>
      </c>
      <c r="AK766">
        <v>0.7</v>
      </c>
      <c r="AL766">
        <v>0.7340000000000001</v>
      </c>
      <c r="AM766">
        <f t="shared" si="291"/>
        <v>0.26</v>
      </c>
      <c r="AN766">
        <v>2629</v>
      </c>
      <c r="AO766">
        <v>473</v>
      </c>
      <c r="AP766" s="3">
        <f t="shared" si="302"/>
        <v>3552.7027027027029</v>
      </c>
      <c r="AQ766" s="3">
        <f t="shared" si="303"/>
        <v>639.18918918918916</v>
      </c>
      <c r="AR766">
        <f t="shared" si="293"/>
        <v>2.6923076923076921E-2</v>
      </c>
      <c r="AS766">
        <f t="shared" si="299"/>
        <v>0.25299999999999995</v>
      </c>
      <c r="AT766">
        <f t="shared" si="300"/>
        <v>899</v>
      </c>
      <c r="AU766">
        <f t="shared" si="301"/>
        <v>25</v>
      </c>
      <c r="AV766">
        <f t="shared" si="277"/>
        <v>584</v>
      </c>
      <c r="AW766">
        <f t="shared" si="278"/>
        <v>28</v>
      </c>
      <c r="AX766" s="3">
        <f t="shared" si="279"/>
        <v>2940.7027027027029</v>
      </c>
      <c r="AY766">
        <f t="shared" si="280"/>
        <v>449</v>
      </c>
      <c r="AZ766">
        <f t="shared" si="281"/>
        <v>29</v>
      </c>
      <c r="BA766" s="3">
        <f t="shared" si="282"/>
        <v>3074.7027027027029</v>
      </c>
    </row>
    <row r="767" spans="1:53" x14ac:dyDescent="0.2">
      <c r="A767">
        <v>2002</v>
      </c>
      <c r="B767" t="s">
        <v>81</v>
      </c>
      <c r="C767" t="s">
        <v>63</v>
      </c>
      <c r="D767">
        <v>6.2</v>
      </c>
      <c r="E767">
        <v>0</v>
      </c>
      <c r="F767">
        <v>0.4</v>
      </c>
      <c r="G767">
        <v>0.9</v>
      </c>
      <c r="H767">
        <v>0</v>
      </c>
      <c r="I767">
        <v>17.100000000000001</v>
      </c>
      <c r="J767">
        <v>2.4</v>
      </c>
      <c r="K767">
        <f t="shared" si="297"/>
        <v>27</v>
      </c>
      <c r="L767">
        <v>0</v>
      </c>
      <c r="M767">
        <v>0</v>
      </c>
      <c r="N767">
        <v>1.2</v>
      </c>
      <c r="O767">
        <f t="shared" si="285"/>
        <v>1.2</v>
      </c>
      <c r="P767">
        <v>0</v>
      </c>
      <c r="Q767">
        <v>0</v>
      </c>
      <c r="R767">
        <v>1.5</v>
      </c>
      <c r="S767">
        <f t="shared" si="286"/>
        <v>1.5</v>
      </c>
      <c r="T767">
        <v>0.3</v>
      </c>
      <c r="U767">
        <v>0.5</v>
      </c>
      <c r="V767">
        <v>0</v>
      </c>
      <c r="W767">
        <v>0</v>
      </c>
      <c r="X767">
        <v>0</v>
      </c>
      <c r="Y767">
        <v>0</v>
      </c>
      <c r="Z767">
        <v>0.7</v>
      </c>
      <c r="AA767">
        <f t="shared" si="287"/>
        <v>1.5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0.2</v>
      </c>
      <c r="AI767">
        <v>0</v>
      </c>
      <c r="AJ767">
        <f t="shared" si="288"/>
        <v>0.2</v>
      </c>
      <c r="AK767">
        <v>3.3</v>
      </c>
      <c r="AL767">
        <v>0.65300000000000002</v>
      </c>
      <c r="AM767">
        <f t="shared" si="291"/>
        <v>0.314</v>
      </c>
      <c r="AN767">
        <v>4366</v>
      </c>
      <c r="AO767">
        <v>415</v>
      </c>
      <c r="AP767" s="3">
        <f t="shared" si="302"/>
        <v>6364.4314868804668</v>
      </c>
      <c r="AQ767" s="3">
        <f t="shared" si="303"/>
        <v>604.95626822157442</v>
      </c>
      <c r="AR767">
        <f t="shared" si="293"/>
        <v>6.369426751592357E-3</v>
      </c>
      <c r="AS767">
        <f t="shared" si="299"/>
        <v>0.312</v>
      </c>
      <c r="AT767">
        <f t="shared" si="300"/>
        <v>1986</v>
      </c>
      <c r="AU767">
        <f t="shared" si="301"/>
        <v>13</v>
      </c>
      <c r="AV767">
        <f t="shared" si="277"/>
        <v>1127</v>
      </c>
      <c r="AW767">
        <f t="shared" si="278"/>
        <v>16</v>
      </c>
      <c r="AX767" s="3">
        <f t="shared" si="279"/>
        <v>5221.4314868804668</v>
      </c>
      <c r="AY767">
        <f t="shared" si="280"/>
        <v>993</v>
      </c>
      <c r="AZ767">
        <f t="shared" si="281"/>
        <v>16</v>
      </c>
      <c r="BA767" s="3">
        <f t="shared" si="282"/>
        <v>5355.4314868804668</v>
      </c>
    </row>
    <row r="768" spans="1:53" x14ac:dyDescent="0.2">
      <c r="A768">
        <v>2003</v>
      </c>
      <c r="B768" t="s">
        <v>81</v>
      </c>
      <c r="C768" t="s">
        <v>63</v>
      </c>
      <c r="D768">
        <v>3.7</v>
      </c>
      <c r="E768">
        <v>0</v>
      </c>
      <c r="F768">
        <v>0</v>
      </c>
      <c r="G768">
        <v>0</v>
      </c>
      <c r="H768">
        <v>0</v>
      </c>
      <c r="I768">
        <v>13.7</v>
      </c>
      <c r="J768">
        <v>3.2</v>
      </c>
      <c r="K768">
        <f t="shared" si="297"/>
        <v>20.599999999999998</v>
      </c>
      <c r="L768">
        <v>0</v>
      </c>
      <c r="M768">
        <v>0</v>
      </c>
      <c r="N768">
        <v>0.6</v>
      </c>
      <c r="O768">
        <f t="shared" si="285"/>
        <v>0.6</v>
      </c>
      <c r="P768">
        <v>0</v>
      </c>
      <c r="Q768">
        <v>0</v>
      </c>
      <c r="R768">
        <v>6.8</v>
      </c>
      <c r="S768">
        <f t="shared" si="286"/>
        <v>6.8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3.2</v>
      </c>
      <c r="AA768">
        <f t="shared" si="287"/>
        <v>3.2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1.3</v>
      </c>
      <c r="AI768">
        <v>0</v>
      </c>
      <c r="AJ768">
        <f t="shared" si="288"/>
        <v>1.3</v>
      </c>
      <c r="AK768">
        <v>0.1</v>
      </c>
      <c r="AL768">
        <v>0.67400000000000004</v>
      </c>
      <c r="AM768">
        <f t="shared" si="291"/>
        <v>0.32500000000000001</v>
      </c>
      <c r="AN768">
        <v>3448</v>
      </c>
      <c r="AO768">
        <v>279</v>
      </c>
      <c r="AP768" s="3">
        <f t="shared" si="302"/>
        <v>5108.1481481481478</v>
      </c>
      <c r="AQ768" s="3">
        <f t="shared" si="303"/>
        <v>413.33333333333331</v>
      </c>
      <c r="AR768">
        <f t="shared" si="293"/>
        <v>0.04</v>
      </c>
      <c r="AS768">
        <f t="shared" si="299"/>
        <v>0.312</v>
      </c>
      <c r="AT768">
        <f t="shared" si="300"/>
        <v>1594</v>
      </c>
      <c r="AU768">
        <f t="shared" si="301"/>
        <v>66</v>
      </c>
      <c r="AV768">
        <f t="shared" si="277"/>
        <v>1068</v>
      </c>
      <c r="AW768">
        <f t="shared" si="278"/>
        <v>76</v>
      </c>
      <c r="AX768" s="3">
        <f t="shared" si="279"/>
        <v>3964.1481481481478</v>
      </c>
      <c r="AY768">
        <f t="shared" si="280"/>
        <v>797</v>
      </c>
      <c r="AZ768">
        <f t="shared" si="281"/>
        <v>81</v>
      </c>
      <c r="BA768" s="3">
        <f t="shared" si="282"/>
        <v>4230.1481481481478</v>
      </c>
    </row>
    <row r="769" spans="1:53" x14ac:dyDescent="0.2">
      <c r="A769">
        <v>2004</v>
      </c>
      <c r="B769" t="s">
        <v>81</v>
      </c>
      <c r="C769" t="s">
        <v>63</v>
      </c>
      <c r="D769">
        <v>1.5</v>
      </c>
      <c r="E769">
        <v>0</v>
      </c>
      <c r="F769">
        <v>0</v>
      </c>
      <c r="G769">
        <v>0.3</v>
      </c>
      <c r="H769">
        <v>0</v>
      </c>
      <c r="I769">
        <v>32.1</v>
      </c>
      <c r="J769">
        <v>5.5</v>
      </c>
      <c r="K769">
        <f t="shared" si="297"/>
        <v>39.4</v>
      </c>
      <c r="L769">
        <v>0</v>
      </c>
      <c r="M769">
        <v>0</v>
      </c>
      <c r="N769">
        <v>0</v>
      </c>
      <c r="O769">
        <f t="shared" si="285"/>
        <v>0</v>
      </c>
      <c r="P769">
        <v>0</v>
      </c>
      <c r="Q769">
        <v>0</v>
      </c>
      <c r="R769">
        <v>9.6999999999999993</v>
      </c>
      <c r="S769">
        <f t="shared" si="286"/>
        <v>9.6999999999999993</v>
      </c>
      <c r="T769">
        <v>3.1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1.6</v>
      </c>
      <c r="AA769">
        <f t="shared" si="287"/>
        <v>4.7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0.4</v>
      </c>
      <c r="AI769">
        <v>0</v>
      </c>
      <c r="AJ769">
        <f t="shared" si="288"/>
        <v>0.4</v>
      </c>
      <c r="AK769">
        <v>0.3</v>
      </c>
      <c r="AL769">
        <v>0.45500000000000002</v>
      </c>
      <c r="AM769">
        <f t="shared" si="291"/>
        <v>0.54200000000000004</v>
      </c>
      <c r="AN769">
        <v>1891</v>
      </c>
      <c r="AO769">
        <v>373</v>
      </c>
      <c r="AP769" s="3">
        <f t="shared" si="302"/>
        <v>4128.8209606986902</v>
      </c>
      <c r="AQ769" s="3">
        <f t="shared" si="303"/>
        <v>814.41048034934499</v>
      </c>
      <c r="AR769">
        <f t="shared" si="293"/>
        <v>7.3800738007380072E-3</v>
      </c>
      <c r="AS769">
        <f t="shared" si="299"/>
        <v>0.53799999999999992</v>
      </c>
      <c r="AT769">
        <f t="shared" si="300"/>
        <v>2221</v>
      </c>
      <c r="AU769">
        <f t="shared" si="301"/>
        <v>17</v>
      </c>
      <c r="AV769">
        <f t="shared" si="277"/>
        <v>1408</v>
      </c>
      <c r="AW769">
        <f t="shared" si="278"/>
        <v>24</v>
      </c>
      <c r="AX769" s="3">
        <f t="shared" si="279"/>
        <v>2696.8209606986902</v>
      </c>
      <c r="AY769">
        <f t="shared" si="280"/>
        <v>1111</v>
      </c>
      <c r="AZ769">
        <f t="shared" si="281"/>
        <v>27</v>
      </c>
      <c r="BA769" s="3">
        <f t="shared" si="282"/>
        <v>2990.8209606986902</v>
      </c>
    </row>
    <row r="770" spans="1:53" x14ac:dyDescent="0.2">
      <c r="A770">
        <v>2005</v>
      </c>
      <c r="B770" t="s">
        <v>81</v>
      </c>
      <c r="C770" t="s">
        <v>63</v>
      </c>
      <c r="D770">
        <v>3.7</v>
      </c>
      <c r="E770">
        <v>0.2</v>
      </c>
      <c r="F770">
        <v>0</v>
      </c>
      <c r="G770">
        <v>0.3</v>
      </c>
      <c r="H770">
        <v>0</v>
      </c>
      <c r="I770">
        <v>32.4</v>
      </c>
      <c r="J770">
        <v>4.7</v>
      </c>
      <c r="K770">
        <f t="shared" si="297"/>
        <v>41.300000000000004</v>
      </c>
      <c r="L770">
        <v>0</v>
      </c>
      <c r="M770">
        <v>0.4</v>
      </c>
      <c r="N770">
        <v>0</v>
      </c>
      <c r="O770">
        <f t="shared" si="285"/>
        <v>0.4</v>
      </c>
      <c r="P770">
        <v>0</v>
      </c>
      <c r="Q770">
        <v>0</v>
      </c>
      <c r="R770">
        <v>9.5</v>
      </c>
      <c r="S770">
        <f t="shared" si="286"/>
        <v>9.5</v>
      </c>
      <c r="T770">
        <v>0.5</v>
      </c>
      <c r="U770">
        <v>0.2</v>
      </c>
      <c r="V770">
        <v>0</v>
      </c>
      <c r="W770">
        <v>0</v>
      </c>
      <c r="X770">
        <v>0</v>
      </c>
      <c r="Y770">
        <v>0.1</v>
      </c>
      <c r="Z770">
        <v>0.4</v>
      </c>
      <c r="AA770">
        <f t="shared" si="287"/>
        <v>1.2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0.7</v>
      </c>
      <c r="AI770">
        <v>0</v>
      </c>
      <c r="AJ770">
        <f t="shared" si="288"/>
        <v>0.7</v>
      </c>
      <c r="AK770">
        <v>1.2</v>
      </c>
      <c r="AL770">
        <v>0.45799999999999996</v>
      </c>
      <c r="AM770">
        <f t="shared" si="291"/>
        <v>0.53100000000000003</v>
      </c>
      <c r="AN770">
        <v>2279</v>
      </c>
      <c r="AO770">
        <v>284</v>
      </c>
      <c r="AP770" s="3">
        <f t="shared" si="302"/>
        <v>4859.2750533049048</v>
      </c>
      <c r="AQ770" s="3">
        <f t="shared" si="303"/>
        <v>605.543710021322</v>
      </c>
      <c r="AR770">
        <f t="shared" si="293"/>
        <v>1.3182674199623351E-2</v>
      </c>
      <c r="AS770">
        <f t="shared" si="299"/>
        <v>0.52400000000000002</v>
      </c>
      <c r="AT770">
        <f t="shared" si="300"/>
        <v>2546</v>
      </c>
      <c r="AU770">
        <f t="shared" si="301"/>
        <v>34</v>
      </c>
      <c r="AV770">
        <f t="shared" si="277"/>
        <v>1543</v>
      </c>
      <c r="AW770">
        <f t="shared" si="278"/>
        <v>49</v>
      </c>
      <c r="AX770" s="3">
        <f t="shared" si="279"/>
        <v>3267.2750533049048</v>
      </c>
      <c r="AY770">
        <f t="shared" si="280"/>
        <v>1273</v>
      </c>
      <c r="AZ770">
        <f t="shared" si="281"/>
        <v>53</v>
      </c>
      <c r="BA770" s="3">
        <f t="shared" si="282"/>
        <v>3533.2750533049048</v>
      </c>
    </row>
    <row r="771" spans="1:53" x14ac:dyDescent="0.2">
      <c r="A771">
        <v>2006</v>
      </c>
      <c r="B771" t="s">
        <v>81</v>
      </c>
      <c r="C771" t="s">
        <v>63</v>
      </c>
      <c r="D771">
        <v>2.2999999999999998</v>
      </c>
      <c r="E771">
        <v>0</v>
      </c>
      <c r="F771">
        <v>1.8</v>
      </c>
      <c r="G771">
        <v>1.2</v>
      </c>
      <c r="H771">
        <v>0</v>
      </c>
      <c r="I771">
        <v>31.9</v>
      </c>
      <c r="J771">
        <v>5</v>
      </c>
      <c r="K771">
        <f t="shared" si="297"/>
        <v>42.199999999999996</v>
      </c>
      <c r="L771">
        <v>0</v>
      </c>
      <c r="M771">
        <v>0</v>
      </c>
      <c r="N771">
        <v>0</v>
      </c>
      <c r="O771">
        <f t="shared" si="285"/>
        <v>0</v>
      </c>
      <c r="P771">
        <v>0</v>
      </c>
      <c r="Q771">
        <v>0</v>
      </c>
      <c r="R771">
        <v>11</v>
      </c>
      <c r="S771">
        <f t="shared" si="286"/>
        <v>11</v>
      </c>
      <c r="T771">
        <v>1.2</v>
      </c>
      <c r="U771">
        <v>0</v>
      </c>
      <c r="V771">
        <v>0</v>
      </c>
      <c r="W771">
        <v>0</v>
      </c>
      <c r="X771">
        <v>0</v>
      </c>
      <c r="Y771">
        <v>0.2</v>
      </c>
      <c r="Z771">
        <v>2.5</v>
      </c>
      <c r="AA771">
        <f t="shared" si="287"/>
        <v>3.9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2.1</v>
      </c>
      <c r="AI771">
        <v>0.1</v>
      </c>
      <c r="AJ771">
        <f t="shared" si="288"/>
        <v>2.2000000000000002</v>
      </c>
      <c r="AK771">
        <v>0.7</v>
      </c>
      <c r="AL771">
        <v>0.40100000000000002</v>
      </c>
      <c r="AM771">
        <f t="shared" si="291"/>
        <v>0.59299999999999997</v>
      </c>
      <c r="AN771">
        <v>1716</v>
      </c>
      <c r="AO771">
        <v>442</v>
      </c>
      <c r="AP771" s="3">
        <f t="shared" si="302"/>
        <v>4216.2162162162158</v>
      </c>
      <c r="AQ771" s="3">
        <f t="shared" si="303"/>
        <v>1085.9950859950859</v>
      </c>
      <c r="AR771">
        <f t="shared" si="293"/>
        <v>3.7099494097807766E-2</v>
      </c>
      <c r="AS771">
        <f t="shared" si="299"/>
        <v>0.57099999999999995</v>
      </c>
      <c r="AT771">
        <f t="shared" si="300"/>
        <v>2407</v>
      </c>
      <c r="AU771">
        <f t="shared" si="301"/>
        <v>93</v>
      </c>
      <c r="AV771">
        <f t="shared" ref="AV771:AV834" si="304">ROUND((((K771*0.5)+O771+S771+AA771)/100)*AP771,0)</f>
        <v>1518</v>
      </c>
      <c r="AW771">
        <f t="shared" ref="AW771:AW834" si="305">ROUND((AU771/(AP771-AT771))*(AP771-AV771),0)</f>
        <v>139</v>
      </c>
      <c r="AX771" s="3">
        <f t="shared" ref="AX771:AX834" si="306">AP771-AV771-AW771</f>
        <v>2559.2162162162158</v>
      </c>
      <c r="AY771">
        <f t="shared" ref="AY771:AY834" si="307">ROUND((0.5*AS771)*AP771,0)</f>
        <v>1204</v>
      </c>
      <c r="AZ771">
        <f t="shared" ref="AZ771:AZ834" si="308">ROUND((AU771/(AP771-AT771))*(AP771-AY771),0)</f>
        <v>155</v>
      </c>
      <c r="BA771" s="3">
        <f t="shared" ref="BA771:BA834" si="309">AP771-AZ771-AY771</f>
        <v>2857.2162162162158</v>
      </c>
    </row>
    <row r="772" spans="1:53" x14ac:dyDescent="0.2">
      <c r="A772">
        <v>2007</v>
      </c>
      <c r="B772" t="s">
        <v>81</v>
      </c>
      <c r="C772" t="s">
        <v>63</v>
      </c>
      <c r="D772">
        <v>5.5</v>
      </c>
      <c r="E772">
        <v>0.2</v>
      </c>
      <c r="F772">
        <v>1.7</v>
      </c>
      <c r="G772">
        <v>0.4</v>
      </c>
      <c r="H772">
        <v>0</v>
      </c>
      <c r="I772">
        <v>23.9</v>
      </c>
      <c r="J772">
        <v>8.9</v>
      </c>
      <c r="K772">
        <f t="shared" si="297"/>
        <v>40.6</v>
      </c>
      <c r="L772">
        <v>0</v>
      </c>
      <c r="M772">
        <v>0.2</v>
      </c>
      <c r="N772">
        <v>0</v>
      </c>
      <c r="O772">
        <f t="shared" si="285"/>
        <v>0.2</v>
      </c>
      <c r="P772">
        <v>0</v>
      </c>
      <c r="Q772">
        <v>0</v>
      </c>
      <c r="R772">
        <v>12.6</v>
      </c>
      <c r="S772">
        <f t="shared" si="286"/>
        <v>12.6</v>
      </c>
      <c r="T772">
        <v>0.3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3.7</v>
      </c>
      <c r="AA772">
        <f t="shared" si="287"/>
        <v>4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0.7</v>
      </c>
      <c r="AI772">
        <v>0.1</v>
      </c>
      <c r="AJ772">
        <f t="shared" si="288"/>
        <v>0.79999999999999993</v>
      </c>
      <c r="AK772">
        <v>0.2</v>
      </c>
      <c r="AL772">
        <v>0.41399999999999998</v>
      </c>
      <c r="AM772">
        <f t="shared" si="291"/>
        <v>0.58199999999999996</v>
      </c>
      <c r="AN772">
        <v>1786</v>
      </c>
      <c r="AO772">
        <v>407</v>
      </c>
      <c r="AP772" s="3">
        <f t="shared" si="302"/>
        <v>4272.7272727272721</v>
      </c>
      <c r="AQ772" s="3">
        <f t="shared" si="303"/>
        <v>973.68421052631572</v>
      </c>
      <c r="AR772">
        <f t="shared" si="293"/>
        <v>1.3745704467353953E-2</v>
      </c>
      <c r="AS772">
        <f t="shared" si="299"/>
        <v>0.57400000000000007</v>
      </c>
      <c r="AT772">
        <f t="shared" si="300"/>
        <v>2453</v>
      </c>
      <c r="AU772">
        <f t="shared" si="301"/>
        <v>34</v>
      </c>
      <c r="AV772">
        <f t="shared" si="304"/>
        <v>1585</v>
      </c>
      <c r="AW772">
        <f t="shared" si="305"/>
        <v>50</v>
      </c>
      <c r="AX772" s="3">
        <f t="shared" si="306"/>
        <v>2637.7272727272721</v>
      </c>
      <c r="AY772">
        <f t="shared" si="307"/>
        <v>1226</v>
      </c>
      <c r="AZ772">
        <f t="shared" si="308"/>
        <v>57</v>
      </c>
      <c r="BA772" s="3">
        <f t="shared" si="309"/>
        <v>2989.7272727272721</v>
      </c>
    </row>
    <row r="773" spans="1:53" x14ac:dyDescent="0.2">
      <c r="A773">
        <v>2008</v>
      </c>
      <c r="B773" t="s">
        <v>81</v>
      </c>
      <c r="C773" t="s">
        <v>63</v>
      </c>
      <c r="D773">
        <v>1.5</v>
      </c>
      <c r="E773">
        <v>0.1</v>
      </c>
      <c r="F773">
        <v>0</v>
      </c>
      <c r="G773">
        <v>0.4</v>
      </c>
      <c r="H773">
        <v>0</v>
      </c>
      <c r="I773">
        <v>19.600000000000001</v>
      </c>
      <c r="J773">
        <v>11.9</v>
      </c>
      <c r="K773">
        <f t="shared" si="297"/>
        <v>33.5</v>
      </c>
      <c r="L773">
        <v>0</v>
      </c>
      <c r="M773">
        <v>0</v>
      </c>
      <c r="N773">
        <v>0</v>
      </c>
      <c r="O773">
        <f t="shared" si="285"/>
        <v>0</v>
      </c>
      <c r="P773">
        <v>0</v>
      </c>
      <c r="Q773">
        <v>0</v>
      </c>
      <c r="R773">
        <v>19</v>
      </c>
      <c r="S773">
        <f t="shared" si="286"/>
        <v>19</v>
      </c>
      <c r="T773">
        <v>1.3</v>
      </c>
      <c r="U773">
        <v>0.4</v>
      </c>
      <c r="V773">
        <v>0</v>
      </c>
      <c r="W773">
        <v>0</v>
      </c>
      <c r="X773">
        <v>0</v>
      </c>
      <c r="Y773">
        <v>0</v>
      </c>
      <c r="Z773">
        <v>4.3</v>
      </c>
      <c r="AA773">
        <f t="shared" si="287"/>
        <v>6</v>
      </c>
      <c r="AB773">
        <v>0.2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3</v>
      </c>
      <c r="AI773">
        <v>0.2</v>
      </c>
      <c r="AJ773">
        <f t="shared" si="288"/>
        <v>3.4000000000000004</v>
      </c>
      <c r="AK773">
        <v>0</v>
      </c>
      <c r="AL773">
        <v>0.379</v>
      </c>
      <c r="AM773">
        <f t="shared" si="291"/>
        <v>0.61899999999999999</v>
      </c>
      <c r="AN773">
        <v>1714</v>
      </c>
      <c r="AO773">
        <v>497</v>
      </c>
      <c r="AP773" s="3">
        <f t="shared" si="302"/>
        <v>4498.687664041995</v>
      </c>
      <c r="AQ773" s="3">
        <f t="shared" si="303"/>
        <v>1304.4619422572177</v>
      </c>
      <c r="AR773">
        <f t="shared" si="293"/>
        <v>5.4927302100161557E-2</v>
      </c>
      <c r="AS773">
        <f t="shared" si="299"/>
        <v>0.58499999999999996</v>
      </c>
      <c r="AT773">
        <f t="shared" si="300"/>
        <v>2632</v>
      </c>
      <c r="AU773">
        <f t="shared" si="301"/>
        <v>153</v>
      </c>
      <c r="AV773">
        <f t="shared" si="304"/>
        <v>1878</v>
      </c>
      <c r="AW773">
        <f t="shared" si="305"/>
        <v>215</v>
      </c>
      <c r="AX773" s="3">
        <f t="shared" si="306"/>
        <v>2405.687664041995</v>
      </c>
      <c r="AY773">
        <f t="shared" si="307"/>
        <v>1316</v>
      </c>
      <c r="AZ773">
        <f t="shared" si="308"/>
        <v>261</v>
      </c>
      <c r="BA773" s="3">
        <f t="shared" si="309"/>
        <v>2921.687664041995</v>
      </c>
    </row>
    <row r="774" spans="1:53" x14ac:dyDescent="0.2">
      <c r="A774">
        <v>2009</v>
      </c>
      <c r="B774" t="s">
        <v>81</v>
      </c>
      <c r="C774" t="s">
        <v>63</v>
      </c>
      <c r="D774">
        <v>3.1</v>
      </c>
      <c r="E774">
        <v>0.5</v>
      </c>
      <c r="F774">
        <v>0</v>
      </c>
      <c r="G774">
        <v>0</v>
      </c>
      <c r="H774">
        <v>0</v>
      </c>
      <c r="I774">
        <v>7.3</v>
      </c>
      <c r="J774">
        <v>6.2</v>
      </c>
      <c r="K774">
        <f t="shared" si="297"/>
        <v>17.100000000000001</v>
      </c>
      <c r="L774">
        <v>0</v>
      </c>
      <c r="M774">
        <v>0</v>
      </c>
      <c r="N774">
        <v>0</v>
      </c>
      <c r="O774">
        <f t="shared" si="285"/>
        <v>0</v>
      </c>
      <c r="P774">
        <v>0</v>
      </c>
      <c r="Q774">
        <v>0</v>
      </c>
      <c r="R774">
        <v>22.8</v>
      </c>
      <c r="S774">
        <f t="shared" si="286"/>
        <v>22.8</v>
      </c>
      <c r="T774">
        <v>0.8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2.5</v>
      </c>
      <c r="AA774">
        <f t="shared" si="287"/>
        <v>3.3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1.3</v>
      </c>
      <c r="AI774">
        <v>0</v>
      </c>
      <c r="AJ774">
        <f t="shared" si="288"/>
        <v>1.3</v>
      </c>
      <c r="AK774">
        <v>1.6</v>
      </c>
      <c r="AL774">
        <v>0.53700000000000003</v>
      </c>
      <c r="AM774">
        <f t="shared" si="291"/>
        <v>0.44500000000000001</v>
      </c>
      <c r="AN774">
        <v>2360</v>
      </c>
      <c r="AO774">
        <v>372</v>
      </c>
      <c r="AP774" s="3">
        <f t="shared" si="302"/>
        <v>4252.2522522522531</v>
      </c>
      <c r="AQ774" s="3">
        <f t="shared" si="303"/>
        <v>670.27027027027032</v>
      </c>
      <c r="AR774">
        <f t="shared" si="293"/>
        <v>2.9213483146067417E-2</v>
      </c>
      <c r="AS774">
        <f t="shared" si="299"/>
        <v>0.43200000000000005</v>
      </c>
      <c r="AT774">
        <f t="shared" si="300"/>
        <v>1837</v>
      </c>
      <c r="AU774">
        <f t="shared" si="301"/>
        <v>55</v>
      </c>
      <c r="AV774">
        <f t="shared" si="304"/>
        <v>1473</v>
      </c>
      <c r="AW774">
        <f t="shared" si="305"/>
        <v>63</v>
      </c>
      <c r="AX774" s="3">
        <f t="shared" si="306"/>
        <v>2716.2522522522531</v>
      </c>
      <c r="AY774">
        <f t="shared" si="307"/>
        <v>918</v>
      </c>
      <c r="AZ774">
        <f t="shared" si="308"/>
        <v>76</v>
      </c>
      <c r="BA774" s="3">
        <f t="shared" si="309"/>
        <v>3258.2522522522531</v>
      </c>
    </row>
    <row r="775" spans="1:53" x14ac:dyDescent="0.2">
      <c r="A775">
        <v>2010</v>
      </c>
      <c r="B775" t="s">
        <v>81</v>
      </c>
      <c r="C775" t="s">
        <v>63</v>
      </c>
      <c r="D775">
        <v>3.1</v>
      </c>
      <c r="E775">
        <v>0.3</v>
      </c>
      <c r="F775">
        <v>0</v>
      </c>
      <c r="G775">
        <v>0.7</v>
      </c>
      <c r="H775">
        <v>0</v>
      </c>
      <c r="I775">
        <v>19.3</v>
      </c>
      <c r="J775">
        <v>8.5</v>
      </c>
      <c r="K775">
        <f t="shared" si="297"/>
        <v>31.9</v>
      </c>
      <c r="L775">
        <v>0</v>
      </c>
      <c r="M775">
        <v>0</v>
      </c>
      <c r="N775">
        <v>0.4</v>
      </c>
      <c r="O775">
        <f t="shared" si="285"/>
        <v>0.4</v>
      </c>
      <c r="P775">
        <v>0</v>
      </c>
      <c r="Q775">
        <v>0</v>
      </c>
      <c r="R775">
        <v>5.5</v>
      </c>
      <c r="S775">
        <f t="shared" si="286"/>
        <v>5.5</v>
      </c>
      <c r="T775">
        <v>2.2999999999999998</v>
      </c>
      <c r="U775">
        <v>0.4</v>
      </c>
      <c r="V775">
        <v>0</v>
      </c>
      <c r="W775">
        <v>0</v>
      </c>
      <c r="X775">
        <v>0</v>
      </c>
      <c r="Y775">
        <v>0</v>
      </c>
      <c r="Z775">
        <v>1.4</v>
      </c>
      <c r="AA775">
        <f t="shared" si="287"/>
        <v>4.0999999999999996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0.6</v>
      </c>
      <c r="AI775">
        <v>0</v>
      </c>
      <c r="AJ775">
        <f t="shared" si="288"/>
        <v>0.6</v>
      </c>
      <c r="AK775">
        <v>0.2</v>
      </c>
      <c r="AL775">
        <v>0.57299999999999995</v>
      </c>
      <c r="AM775">
        <f t="shared" si="291"/>
        <v>0.42499999999999999</v>
      </c>
      <c r="AN775">
        <v>2596</v>
      </c>
      <c r="AO775">
        <v>277</v>
      </c>
      <c r="AP775" s="3">
        <f t="shared" si="302"/>
        <v>4514.7826086956529</v>
      </c>
      <c r="AQ775" s="3">
        <f t="shared" si="303"/>
        <v>481.73913043478262</v>
      </c>
      <c r="AR775">
        <f t="shared" si="293"/>
        <v>1.411764705882353E-2</v>
      </c>
      <c r="AS775">
        <f t="shared" si="299"/>
        <v>0.41899999999999998</v>
      </c>
      <c r="AT775">
        <f t="shared" si="300"/>
        <v>1892</v>
      </c>
      <c r="AU775">
        <f t="shared" si="301"/>
        <v>27</v>
      </c>
      <c r="AV775">
        <f t="shared" si="304"/>
        <v>1172</v>
      </c>
      <c r="AW775">
        <f t="shared" si="305"/>
        <v>34</v>
      </c>
      <c r="AX775" s="3">
        <f t="shared" si="306"/>
        <v>3308.7826086956529</v>
      </c>
      <c r="AY775">
        <f t="shared" si="307"/>
        <v>946</v>
      </c>
      <c r="AZ775">
        <f t="shared" si="308"/>
        <v>37</v>
      </c>
      <c r="BA775" s="3">
        <f t="shared" si="309"/>
        <v>3531.7826086956529</v>
      </c>
    </row>
    <row r="776" spans="1:53" x14ac:dyDescent="0.2">
      <c r="A776">
        <v>2011</v>
      </c>
      <c r="B776" t="s">
        <v>81</v>
      </c>
      <c r="C776" t="s">
        <v>63</v>
      </c>
      <c r="D776">
        <v>3.3</v>
      </c>
      <c r="E776">
        <v>0</v>
      </c>
      <c r="F776">
        <v>0</v>
      </c>
      <c r="G776">
        <v>0</v>
      </c>
      <c r="H776">
        <v>0</v>
      </c>
      <c r="I776">
        <v>15.3</v>
      </c>
      <c r="J776">
        <v>6</v>
      </c>
      <c r="K776">
        <f t="shared" si="297"/>
        <v>24.6</v>
      </c>
      <c r="L776">
        <v>0</v>
      </c>
      <c r="M776">
        <v>0.3</v>
      </c>
      <c r="N776">
        <v>0.9</v>
      </c>
      <c r="O776">
        <f t="shared" si="285"/>
        <v>1.2</v>
      </c>
      <c r="P776">
        <v>0</v>
      </c>
      <c r="Q776">
        <v>0</v>
      </c>
      <c r="R776">
        <v>15.8</v>
      </c>
      <c r="S776">
        <f t="shared" si="286"/>
        <v>15.8</v>
      </c>
      <c r="T776">
        <v>1.1000000000000001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1.9</v>
      </c>
      <c r="AA776">
        <f t="shared" si="287"/>
        <v>3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2.5</v>
      </c>
      <c r="AI776">
        <v>0</v>
      </c>
      <c r="AJ776">
        <f t="shared" si="288"/>
        <v>2.5</v>
      </c>
      <c r="AK776">
        <v>0.2</v>
      </c>
      <c r="AL776">
        <v>0.52700000000000002</v>
      </c>
      <c r="AM776">
        <f t="shared" si="291"/>
        <v>0.47100000000000003</v>
      </c>
      <c r="AN776">
        <v>1192</v>
      </c>
      <c r="AO776">
        <v>250</v>
      </c>
      <c r="AP776" s="3">
        <f t="shared" si="302"/>
        <v>2253.3081285444237</v>
      </c>
      <c r="AQ776" s="3">
        <f t="shared" si="303"/>
        <v>472.58979206049156</v>
      </c>
      <c r="AR776">
        <f t="shared" si="293"/>
        <v>5.3078556263269641E-2</v>
      </c>
      <c r="AS776">
        <f t="shared" si="299"/>
        <v>0.44600000000000001</v>
      </c>
      <c r="AT776">
        <f t="shared" si="300"/>
        <v>1005</v>
      </c>
      <c r="AU776">
        <f t="shared" si="301"/>
        <v>56</v>
      </c>
      <c r="AV776">
        <f t="shared" si="304"/>
        <v>728</v>
      </c>
      <c r="AW776">
        <f t="shared" si="305"/>
        <v>68</v>
      </c>
      <c r="AX776" s="3">
        <f t="shared" si="306"/>
        <v>1457.3081285444237</v>
      </c>
      <c r="AY776">
        <f t="shared" si="307"/>
        <v>502</v>
      </c>
      <c r="AZ776">
        <f t="shared" si="308"/>
        <v>79</v>
      </c>
      <c r="BA776" s="3">
        <f t="shared" si="309"/>
        <v>1672.3081285444237</v>
      </c>
    </row>
    <row r="777" spans="1:53" x14ac:dyDescent="0.2">
      <c r="A777">
        <v>2012</v>
      </c>
      <c r="B777" t="s">
        <v>81</v>
      </c>
      <c r="C777" t="s">
        <v>63</v>
      </c>
      <c r="D777">
        <v>4.9000000000000004</v>
      </c>
      <c r="E777">
        <v>0.9</v>
      </c>
      <c r="F777">
        <v>1.6</v>
      </c>
      <c r="G777">
        <v>0</v>
      </c>
      <c r="H777">
        <v>0</v>
      </c>
      <c r="I777">
        <v>14.6</v>
      </c>
      <c r="J777">
        <v>6.4</v>
      </c>
      <c r="K777">
        <f t="shared" si="297"/>
        <v>28.4</v>
      </c>
      <c r="L777">
        <v>0</v>
      </c>
      <c r="M777">
        <v>0</v>
      </c>
      <c r="N777">
        <v>0</v>
      </c>
      <c r="O777">
        <f t="shared" si="285"/>
        <v>0</v>
      </c>
      <c r="P777">
        <v>0</v>
      </c>
      <c r="Q777">
        <v>1.5</v>
      </c>
      <c r="R777">
        <v>16.7</v>
      </c>
      <c r="S777">
        <f t="shared" si="286"/>
        <v>18.2</v>
      </c>
      <c r="T777">
        <v>3.9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7.7</v>
      </c>
      <c r="AA777">
        <f t="shared" si="287"/>
        <v>11.6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3.8</v>
      </c>
      <c r="AI777">
        <v>0</v>
      </c>
      <c r="AJ777">
        <f t="shared" si="288"/>
        <v>3.8</v>
      </c>
      <c r="AK777">
        <v>1.4</v>
      </c>
      <c r="AL777">
        <v>0.36599999999999999</v>
      </c>
      <c r="AM777">
        <f t="shared" si="291"/>
        <v>0.61999999999999988</v>
      </c>
      <c r="AN777">
        <v>1125</v>
      </c>
      <c r="AO777">
        <v>569</v>
      </c>
      <c r="AP777" s="3">
        <f t="shared" si="302"/>
        <v>2960.5263157894728</v>
      </c>
      <c r="AQ777" s="3">
        <f t="shared" si="303"/>
        <v>1497.3684210526312</v>
      </c>
      <c r="AR777">
        <f t="shared" si="293"/>
        <v>6.1290322580645172E-2</v>
      </c>
      <c r="AS777">
        <f t="shared" si="299"/>
        <v>0.58199999999999996</v>
      </c>
      <c r="AT777">
        <f t="shared" si="300"/>
        <v>1723</v>
      </c>
      <c r="AU777">
        <f t="shared" si="301"/>
        <v>113</v>
      </c>
      <c r="AV777">
        <f t="shared" si="304"/>
        <v>1303</v>
      </c>
      <c r="AW777">
        <f t="shared" si="305"/>
        <v>151</v>
      </c>
      <c r="AX777" s="3">
        <f t="shared" si="306"/>
        <v>1506.5263157894728</v>
      </c>
      <c r="AY777">
        <f t="shared" si="307"/>
        <v>862</v>
      </c>
      <c r="AZ777">
        <f t="shared" si="308"/>
        <v>192</v>
      </c>
      <c r="BA777" s="3">
        <f t="shared" si="309"/>
        <v>1906.5263157894728</v>
      </c>
    </row>
    <row r="778" spans="1:53" x14ac:dyDescent="0.2">
      <c r="A778">
        <v>2013</v>
      </c>
      <c r="B778" t="s">
        <v>81</v>
      </c>
      <c r="C778" t="s">
        <v>63</v>
      </c>
      <c r="D778">
        <v>1.1000000000000001</v>
      </c>
      <c r="E778">
        <v>1.7</v>
      </c>
      <c r="F778">
        <v>0.6</v>
      </c>
      <c r="G778">
        <v>0</v>
      </c>
      <c r="H778">
        <v>0</v>
      </c>
      <c r="I778">
        <v>5.6</v>
      </c>
      <c r="J778">
        <v>8.5</v>
      </c>
      <c r="K778">
        <f t="shared" si="297"/>
        <v>17.5</v>
      </c>
      <c r="L778">
        <v>0</v>
      </c>
      <c r="M778">
        <v>0</v>
      </c>
      <c r="N778">
        <v>1.2</v>
      </c>
      <c r="O778">
        <f t="shared" ref="O778:O841" si="310">SUM(L778:N778)</f>
        <v>1.2</v>
      </c>
      <c r="P778">
        <v>0</v>
      </c>
      <c r="Q778">
        <v>0</v>
      </c>
      <c r="R778">
        <v>16.5</v>
      </c>
      <c r="S778">
        <f t="shared" ref="S778:S841" si="311">SUM(P778:R778)</f>
        <v>16.5</v>
      </c>
      <c r="T778">
        <v>1.6</v>
      </c>
      <c r="U778">
        <v>0.4</v>
      </c>
      <c r="V778">
        <v>0</v>
      </c>
      <c r="W778">
        <v>0</v>
      </c>
      <c r="X778">
        <v>0</v>
      </c>
      <c r="Y778">
        <v>0</v>
      </c>
      <c r="Z778">
        <v>2.8</v>
      </c>
      <c r="AA778">
        <f t="shared" ref="AA778:AA841" si="312">SUM(T778:Z778)</f>
        <v>4.8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5.9</v>
      </c>
      <c r="AI778">
        <v>0</v>
      </c>
      <c r="AJ778">
        <f t="shared" ref="AJ778:AJ841" si="313">SUM(AB778:AI778)</f>
        <v>5.9</v>
      </c>
      <c r="AK778">
        <v>0.3</v>
      </c>
      <c r="AL778">
        <v>0.53900000000000003</v>
      </c>
      <c r="AM778">
        <f t="shared" si="291"/>
        <v>0.45899999999999996</v>
      </c>
      <c r="AN778">
        <v>1558</v>
      </c>
      <c r="AO778">
        <v>149</v>
      </c>
      <c r="AP778" s="3">
        <f t="shared" si="302"/>
        <v>2879.8521256931608</v>
      </c>
      <c r="AQ778" s="3">
        <f t="shared" si="303"/>
        <v>275.41589648798521</v>
      </c>
      <c r="AR778">
        <f t="shared" si="293"/>
        <v>0.12854030501089325</v>
      </c>
      <c r="AS778">
        <f t="shared" si="299"/>
        <v>0.4</v>
      </c>
      <c r="AT778">
        <f t="shared" si="300"/>
        <v>1152</v>
      </c>
      <c r="AU778">
        <f t="shared" si="301"/>
        <v>170</v>
      </c>
      <c r="AV778">
        <f t="shared" si="304"/>
        <v>900</v>
      </c>
      <c r="AW778">
        <f t="shared" si="305"/>
        <v>195</v>
      </c>
      <c r="AX778" s="3">
        <f t="shared" si="306"/>
        <v>1784.8521256931608</v>
      </c>
      <c r="AY778">
        <f t="shared" si="307"/>
        <v>576</v>
      </c>
      <c r="AZ778">
        <f t="shared" si="308"/>
        <v>227</v>
      </c>
      <c r="BA778" s="3">
        <f t="shared" si="309"/>
        <v>2076.8521256931608</v>
      </c>
    </row>
    <row r="779" spans="1:53" x14ac:dyDescent="0.2">
      <c r="A779">
        <v>2014</v>
      </c>
      <c r="B779" t="s">
        <v>81</v>
      </c>
      <c r="C779" t="s">
        <v>63</v>
      </c>
      <c r="D779">
        <v>4.5</v>
      </c>
      <c r="E779">
        <v>0.8</v>
      </c>
      <c r="F779">
        <v>0</v>
      </c>
      <c r="G779">
        <v>0.3</v>
      </c>
      <c r="H779">
        <v>0.4</v>
      </c>
      <c r="I779">
        <v>9.1999999999999993</v>
      </c>
      <c r="J779">
        <v>8.1999999999999993</v>
      </c>
      <c r="K779">
        <f t="shared" si="297"/>
        <v>23.4</v>
      </c>
      <c r="L779">
        <v>0</v>
      </c>
      <c r="M779">
        <v>0</v>
      </c>
      <c r="N779">
        <v>3.7</v>
      </c>
      <c r="O779">
        <f t="shared" si="310"/>
        <v>3.7</v>
      </c>
      <c r="P779">
        <v>0</v>
      </c>
      <c r="Q779">
        <v>0</v>
      </c>
      <c r="R779">
        <v>22</v>
      </c>
      <c r="S779">
        <f t="shared" si="311"/>
        <v>22</v>
      </c>
      <c r="T779">
        <v>0.6</v>
      </c>
      <c r="U779">
        <v>0.5</v>
      </c>
      <c r="V779">
        <v>0</v>
      </c>
      <c r="W779">
        <v>0</v>
      </c>
      <c r="X779">
        <v>0</v>
      </c>
      <c r="Y779">
        <v>0</v>
      </c>
      <c r="Z779">
        <v>3.4</v>
      </c>
      <c r="AA779">
        <f t="shared" si="312"/>
        <v>4.5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5</v>
      </c>
      <c r="AI779">
        <v>0</v>
      </c>
      <c r="AJ779">
        <f t="shared" si="313"/>
        <v>5</v>
      </c>
      <c r="AK779">
        <v>0.4</v>
      </c>
      <c r="AL779">
        <v>0.40899999999999997</v>
      </c>
      <c r="AM779">
        <f t="shared" si="291"/>
        <v>0.58599999999999997</v>
      </c>
      <c r="AN779">
        <v>1585</v>
      </c>
      <c r="AO779">
        <v>169</v>
      </c>
      <c r="AP779" s="3">
        <f t="shared" si="302"/>
        <v>3828.5024154589369</v>
      </c>
      <c r="AQ779" s="3">
        <f t="shared" si="303"/>
        <v>408.2125603864734</v>
      </c>
      <c r="AR779">
        <f t="shared" si="293"/>
        <v>8.5324232081911269E-2</v>
      </c>
      <c r="AS779">
        <f t="shared" si="299"/>
        <v>0.53599999999999992</v>
      </c>
      <c r="AT779">
        <f t="shared" si="300"/>
        <v>2052</v>
      </c>
      <c r="AU779">
        <f t="shared" si="301"/>
        <v>191</v>
      </c>
      <c r="AV779">
        <f t="shared" si="304"/>
        <v>1604</v>
      </c>
      <c r="AW779">
        <f t="shared" si="305"/>
        <v>239</v>
      </c>
      <c r="AX779" s="3">
        <f t="shared" si="306"/>
        <v>1985.5024154589369</v>
      </c>
      <c r="AY779">
        <f t="shared" si="307"/>
        <v>1026</v>
      </c>
      <c r="AZ779">
        <f t="shared" si="308"/>
        <v>301</v>
      </c>
      <c r="BA779" s="3">
        <f t="shared" si="309"/>
        <v>2501.5024154589369</v>
      </c>
    </row>
    <row r="780" spans="1:53" x14ac:dyDescent="0.2">
      <c r="A780">
        <v>2015</v>
      </c>
      <c r="B780" t="s">
        <v>81</v>
      </c>
      <c r="C780" t="s">
        <v>63</v>
      </c>
      <c r="D780">
        <v>4.5</v>
      </c>
      <c r="E780">
        <v>0.1</v>
      </c>
      <c r="F780">
        <v>0</v>
      </c>
      <c r="G780">
        <v>0.2</v>
      </c>
      <c r="H780">
        <v>0</v>
      </c>
      <c r="I780">
        <v>3.8</v>
      </c>
      <c r="J780">
        <v>1.4</v>
      </c>
      <c r="K780">
        <f t="shared" si="297"/>
        <v>10</v>
      </c>
      <c r="L780">
        <v>0</v>
      </c>
      <c r="M780">
        <v>0</v>
      </c>
      <c r="N780">
        <v>0.5</v>
      </c>
      <c r="O780">
        <f t="shared" si="310"/>
        <v>0.5</v>
      </c>
      <c r="P780">
        <v>0</v>
      </c>
      <c r="Q780">
        <v>0</v>
      </c>
      <c r="R780">
        <v>11.1</v>
      </c>
      <c r="S780">
        <f t="shared" si="311"/>
        <v>11.1</v>
      </c>
      <c r="T780">
        <v>2.2999999999999998</v>
      </c>
      <c r="U780">
        <v>0.2</v>
      </c>
      <c r="V780">
        <v>0</v>
      </c>
      <c r="W780">
        <v>0</v>
      </c>
      <c r="X780">
        <v>0</v>
      </c>
      <c r="Y780">
        <v>0</v>
      </c>
      <c r="Z780">
        <v>2.1</v>
      </c>
      <c r="AA780">
        <f t="shared" si="312"/>
        <v>4.5999999999999996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1.2</v>
      </c>
      <c r="AI780">
        <v>0</v>
      </c>
      <c r="AJ780">
        <f t="shared" si="313"/>
        <v>1.2</v>
      </c>
      <c r="AK780">
        <v>0.1</v>
      </c>
      <c r="AL780">
        <v>0.72400000000000009</v>
      </c>
      <c r="AM780">
        <f t="shared" si="291"/>
        <v>0.27399999999999997</v>
      </c>
      <c r="AN780">
        <v>1783</v>
      </c>
      <c r="AO780">
        <v>447</v>
      </c>
      <c r="AP780" s="3">
        <f t="shared" si="302"/>
        <v>2455.9228650137743</v>
      </c>
      <c r="AQ780" s="3">
        <f t="shared" si="303"/>
        <v>615.70247933884298</v>
      </c>
      <c r="AR780">
        <f t="shared" si="293"/>
        <v>4.3795620437956213E-2</v>
      </c>
      <c r="AS780">
        <f t="shared" si="299"/>
        <v>0.26200000000000001</v>
      </c>
      <c r="AT780">
        <f t="shared" si="300"/>
        <v>643</v>
      </c>
      <c r="AU780">
        <f t="shared" si="301"/>
        <v>29</v>
      </c>
      <c r="AV780">
        <f t="shared" si="304"/>
        <v>521</v>
      </c>
      <c r="AW780">
        <f t="shared" si="305"/>
        <v>31</v>
      </c>
      <c r="AX780" s="3">
        <f t="shared" si="306"/>
        <v>1903.9228650137743</v>
      </c>
      <c r="AY780">
        <f t="shared" si="307"/>
        <v>322</v>
      </c>
      <c r="AZ780">
        <f t="shared" si="308"/>
        <v>34</v>
      </c>
      <c r="BA780" s="3">
        <f t="shared" si="309"/>
        <v>2099.9228650137743</v>
      </c>
    </row>
    <row r="781" spans="1:53" x14ac:dyDescent="0.2">
      <c r="A781">
        <v>2016</v>
      </c>
      <c r="B781" t="s">
        <v>81</v>
      </c>
      <c r="C781" t="s">
        <v>63</v>
      </c>
      <c r="D781">
        <v>4.0999999999999996</v>
      </c>
      <c r="E781">
        <v>0.3</v>
      </c>
      <c r="F781">
        <v>0</v>
      </c>
      <c r="G781">
        <v>1.3</v>
      </c>
      <c r="H781">
        <v>0</v>
      </c>
      <c r="I781">
        <v>6</v>
      </c>
      <c r="J781">
        <v>1.8</v>
      </c>
      <c r="K781">
        <f t="shared" si="297"/>
        <v>13.5</v>
      </c>
      <c r="L781">
        <v>0</v>
      </c>
      <c r="M781">
        <v>0</v>
      </c>
      <c r="N781">
        <v>0.1</v>
      </c>
      <c r="O781">
        <f t="shared" si="310"/>
        <v>0.1</v>
      </c>
      <c r="P781">
        <v>0</v>
      </c>
      <c r="Q781">
        <v>0</v>
      </c>
      <c r="R781">
        <v>11.3</v>
      </c>
      <c r="S781">
        <f t="shared" si="311"/>
        <v>11.3</v>
      </c>
      <c r="T781">
        <v>0.4</v>
      </c>
      <c r="U781">
        <v>0.1</v>
      </c>
      <c r="V781">
        <v>0</v>
      </c>
      <c r="W781">
        <v>0</v>
      </c>
      <c r="X781">
        <v>0</v>
      </c>
      <c r="Y781">
        <v>0</v>
      </c>
      <c r="Z781">
        <v>0.7</v>
      </c>
      <c r="AA781">
        <f t="shared" si="312"/>
        <v>1.2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3.4</v>
      </c>
      <c r="AI781">
        <v>0</v>
      </c>
      <c r="AJ781">
        <f t="shared" si="313"/>
        <v>3.4</v>
      </c>
      <c r="AK781">
        <v>0.7</v>
      </c>
      <c r="AL781">
        <v>0.69700000000000006</v>
      </c>
      <c r="AM781">
        <f t="shared" si="291"/>
        <v>0.29500000000000004</v>
      </c>
      <c r="AN781">
        <v>1776</v>
      </c>
      <c r="AO781">
        <v>700</v>
      </c>
      <c r="AP781" s="3">
        <f t="shared" si="302"/>
        <v>2519.1489361702129</v>
      </c>
      <c r="AQ781" s="3">
        <f t="shared" si="303"/>
        <v>992.90780141843982</v>
      </c>
      <c r="AR781">
        <f t="shared" si="293"/>
        <v>0.11525423728813558</v>
      </c>
      <c r="AS781">
        <f t="shared" si="299"/>
        <v>0.26099999999999995</v>
      </c>
      <c r="AT781">
        <f t="shared" si="300"/>
        <v>657</v>
      </c>
      <c r="AU781">
        <f t="shared" si="301"/>
        <v>86</v>
      </c>
      <c r="AV781">
        <f t="shared" si="304"/>
        <v>487</v>
      </c>
      <c r="AW781">
        <f t="shared" si="305"/>
        <v>94</v>
      </c>
      <c r="AX781" s="3">
        <f t="shared" si="306"/>
        <v>1938.1489361702129</v>
      </c>
      <c r="AY781">
        <f t="shared" si="307"/>
        <v>329</v>
      </c>
      <c r="AZ781">
        <f t="shared" si="308"/>
        <v>101</v>
      </c>
      <c r="BA781" s="3">
        <f t="shared" si="309"/>
        <v>2089.1489361702129</v>
      </c>
    </row>
    <row r="782" spans="1:53" x14ac:dyDescent="0.2">
      <c r="A782">
        <v>2017</v>
      </c>
      <c r="B782" t="s">
        <v>81</v>
      </c>
      <c r="C782" t="s">
        <v>63</v>
      </c>
      <c r="D782">
        <v>1.2</v>
      </c>
      <c r="E782">
        <v>0.1</v>
      </c>
      <c r="F782">
        <v>0.1</v>
      </c>
      <c r="G782">
        <v>0.5</v>
      </c>
      <c r="H782">
        <v>0.5</v>
      </c>
      <c r="I782">
        <v>10.5</v>
      </c>
      <c r="J782">
        <v>7.8</v>
      </c>
      <c r="K782">
        <f t="shared" si="297"/>
        <v>20.7</v>
      </c>
      <c r="L782">
        <v>0</v>
      </c>
      <c r="M782">
        <v>0</v>
      </c>
      <c r="N782">
        <v>0.9</v>
      </c>
      <c r="O782">
        <f t="shared" si="310"/>
        <v>0.9</v>
      </c>
      <c r="P782">
        <v>0</v>
      </c>
      <c r="Q782">
        <v>0</v>
      </c>
      <c r="R782">
        <v>10.7</v>
      </c>
      <c r="S782">
        <f t="shared" si="311"/>
        <v>10.7</v>
      </c>
      <c r="T782">
        <v>1.1000000000000001</v>
      </c>
      <c r="U782">
        <v>0.2</v>
      </c>
      <c r="V782">
        <v>0</v>
      </c>
      <c r="W782">
        <v>0</v>
      </c>
      <c r="X782">
        <v>0</v>
      </c>
      <c r="Y782">
        <v>0</v>
      </c>
      <c r="Z782">
        <v>0.8</v>
      </c>
      <c r="AA782">
        <f t="shared" si="312"/>
        <v>2.1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2.1</v>
      </c>
      <c r="AI782">
        <v>0</v>
      </c>
      <c r="AJ782">
        <f t="shared" si="313"/>
        <v>2.1</v>
      </c>
      <c r="AK782">
        <v>0.7</v>
      </c>
      <c r="AL782">
        <v>0.629</v>
      </c>
      <c r="AM782">
        <f t="shared" si="291"/>
        <v>0.36499999999999999</v>
      </c>
      <c r="AN782">
        <v>2926</v>
      </c>
      <c r="AO782">
        <v>317</v>
      </c>
      <c r="AP782" s="3">
        <f t="shared" si="302"/>
        <v>4607.8740157480315</v>
      </c>
      <c r="AQ782" s="3">
        <f t="shared" si="303"/>
        <v>499.21259842519686</v>
      </c>
      <c r="AR782">
        <f t="shared" si="293"/>
        <v>5.7534246575342472E-2</v>
      </c>
      <c r="AS782">
        <f t="shared" si="299"/>
        <v>0.34399999999999997</v>
      </c>
      <c r="AT782">
        <f t="shared" si="300"/>
        <v>1585</v>
      </c>
      <c r="AU782">
        <f t="shared" si="301"/>
        <v>97</v>
      </c>
      <c r="AV782">
        <f t="shared" si="304"/>
        <v>1108</v>
      </c>
      <c r="AW782">
        <f t="shared" si="305"/>
        <v>112</v>
      </c>
      <c r="AX782" s="3">
        <f t="shared" si="306"/>
        <v>3387.8740157480315</v>
      </c>
      <c r="AY782">
        <f t="shared" si="307"/>
        <v>793</v>
      </c>
      <c r="AZ782">
        <f t="shared" si="308"/>
        <v>122</v>
      </c>
      <c r="BA782" s="3">
        <f t="shared" si="309"/>
        <v>3692.8740157480315</v>
      </c>
    </row>
    <row r="783" spans="1:53" x14ac:dyDescent="0.2">
      <c r="A783">
        <v>2018</v>
      </c>
      <c r="B783" t="s">
        <v>81</v>
      </c>
      <c r="C783" t="s">
        <v>63</v>
      </c>
      <c r="D783">
        <v>1.6</v>
      </c>
      <c r="E783">
        <v>0.8</v>
      </c>
      <c r="F783">
        <v>0</v>
      </c>
      <c r="G783">
        <v>0</v>
      </c>
      <c r="H783">
        <v>0</v>
      </c>
      <c r="I783">
        <v>3.2</v>
      </c>
      <c r="J783">
        <v>1.9</v>
      </c>
      <c r="K783">
        <f t="shared" si="297"/>
        <v>7.5</v>
      </c>
      <c r="L783">
        <v>0</v>
      </c>
      <c r="M783">
        <v>0.4</v>
      </c>
      <c r="N783">
        <v>2.1</v>
      </c>
      <c r="O783">
        <f t="shared" si="310"/>
        <v>2.5</v>
      </c>
      <c r="P783">
        <v>0</v>
      </c>
      <c r="Q783">
        <v>0</v>
      </c>
      <c r="R783">
        <v>13.2</v>
      </c>
      <c r="S783">
        <f t="shared" si="311"/>
        <v>13.2</v>
      </c>
      <c r="T783">
        <v>0.7</v>
      </c>
      <c r="U783">
        <v>0.1</v>
      </c>
      <c r="V783">
        <v>0</v>
      </c>
      <c r="W783">
        <v>0</v>
      </c>
      <c r="X783">
        <v>0</v>
      </c>
      <c r="Y783">
        <v>0.1</v>
      </c>
      <c r="Z783">
        <v>1.1000000000000001</v>
      </c>
      <c r="AA783">
        <f t="shared" si="312"/>
        <v>2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10.199999999999999</v>
      </c>
      <c r="AI783">
        <v>0</v>
      </c>
      <c r="AJ783">
        <f t="shared" si="313"/>
        <v>10.199999999999999</v>
      </c>
      <c r="AK783">
        <v>0.1</v>
      </c>
      <c r="AL783">
        <v>0.64400000000000002</v>
      </c>
      <c r="AM783">
        <f t="shared" si="291"/>
        <v>0.35399999999999998</v>
      </c>
      <c r="AN783">
        <v>3117</v>
      </c>
      <c r="AO783">
        <v>510</v>
      </c>
      <c r="AP783" s="3">
        <f t="shared" si="302"/>
        <v>4825.0773993808052</v>
      </c>
      <c r="AQ783" s="3">
        <f t="shared" si="303"/>
        <v>789.47368421052624</v>
      </c>
      <c r="AR783">
        <f t="shared" si="293"/>
        <v>0.28813559322033899</v>
      </c>
      <c r="AS783">
        <f t="shared" si="299"/>
        <v>0.252</v>
      </c>
      <c r="AT783">
        <f t="shared" si="300"/>
        <v>1216</v>
      </c>
      <c r="AU783">
        <f t="shared" si="301"/>
        <v>492</v>
      </c>
      <c r="AV783">
        <f t="shared" si="304"/>
        <v>1035</v>
      </c>
      <c r="AW783">
        <f t="shared" si="305"/>
        <v>517</v>
      </c>
      <c r="AX783" s="3">
        <f t="shared" si="306"/>
        <v>3273.0773993808052</v>
      </c>
      <c r="AY783">
        <f t="shared" si="307"/>
        <v>608</v>
      </c>
      <c r="AZ783">
        <f t="shared" si="308"/>
        <v>575</v>
      </c>
      <c r="BA783" s="3">
        <f t="shared" si="309"/>
        <v>3642.0773993808052</v>
      </c>
    </row>
    <row r="784" spans="1:53" x14ac:dyDescent="0.2">
      <c r="A784">
        <v>2019</v>
      </c>
      <c r="B784" t="s">
        <v>81</v>
      </c>
      <c r="C784" t="s">
        <v>63</v>
      </c>
      <c r="D784">
        <v>2.2000000000000002</v>
      </c>
      <c r="E784">
        <v>0.2</v>
      </c>
      <c r="F784">
        <v>0</v>
      </c>
      <c r="G784">
        <v>0.3</v>
      </c>
      <c r="H784">
        <v>0.2</v>
      </c>
      <c r="I784">
        <v>2.6</v>
      </c>
      <c r="J784">
        <v>2.5</v>
      </c>
      <c r="K784">
        <f t="shared" si="297"/>
        <v>8</v>
      </c>
      <c r="L784">
        <v>0</v>
      </c>
      <c r="M784">
        <v>0</v>
      </c>
      <c r="N784">
        <v>0.8</v>
      </c>
      <c r="O784">
        <f t="shared" si="310"/>
        <v>0.8</v>
      </c>
      <c r="P784">
        <v>0</v>
      </c>
      <c r="Q784">
        <v>0</v>
      </c>
      <c r="R784">
        <v>11.5</v>
      </c>
      <c r="S784">
        <f t="shared" si="311"/>
        <v>11.5</v>
      </c>
      <c r="T784">
        <v>0</v>
      </c>
      <c r="U784">
        <v>0.3</v>
      </c>
      <c r="V784">
        <v>0</v>
      </c>
      <c r="W784">
        <v>0</v>
      </c>
      <c r="X784">
        <v>0</v>
      </c>
      <c r="Y784">
        <v>0</v>
      </c>
      <c r="Z784">
        <v>1.5</v>
      </c>
      <c r="AA784">
        <f t="shared" si="312"/>
        <v>1.8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12.1</v>
      </c>
      <c r="AI784">
        <v>0</v>
      </c>
      <c r="AJ784">
        <f t="shared" si="313"/>
        <v>12.1</v>
      </c>
      <c r="AK784">
        <v>0.2</v>
      </c>
      <c r="AL784">
        <v>0.65500000000000003</v>
      </c>
      <c r="AM784">
        <f t="shared" si="291"/>
        <v>0.34200000000000003</v>
      </c>
      <c r="AN784">
        <v>1418</v>
      </c>
      <c r="AO784">
        <v>109</v>
      </c>
      <c r="AP784" s="3">
        <f t="shared" si="302"/>
        <v>2155.0151975683893</v>
      </c>
      <c r="AQ784" s="3">
        <f t="shared" si="303"/>
        <v>165.6534954407295</v>
      </c>
      <c r="AR784">
        <f t="shared" si="293"/>
        <v>0.35380116959064323</v>
      </c>
      <c r="AS784">
        <f t="shared" si="299"/>
        <v>0.221</v>
      </c>
      <c r="AT784">
        <f t="shared" si="300"/>
        <v>476</v>
      </c>
      <c r="AU784">
        <f t="shared" si="301"/>
        <v>261</v>
      </c>
      <c r="AV784">
        <f t="shared" si="304"/>
        <v>390</v>
      </c>
      <c r="AW784">
        <f t="shared" si="305"/>
        <v>274</v>
      </c>
      <c r="AX784" s="3">
        <f t="shared" si="306"/>
        <v>1491.0151975683893</v>
      </c>
      <c r="AY784">
        <f t="shared" si="307"/>
        <v>238</v>
      </c>
      <c r="AZ784">
        <f t="shared" si="308"/>
        <v>298</v>
      </c>
      <c r="BA784" s="3">
        <f t="shared" si="309"/>
        <v>1619.0151975683893</v>
      </c>
    </row>
    <row r="785" spans="1:53" x14ac:dyDescent="0.2">
      <c r="A785">
        <v>2020</v>
      </c>
      <c r="B785" t="s">
        <v>81</v>
      </c>
      <c r="C785" t="s">
        <v>63</v>
      </c>
      <c r="D785">
        <v>3.7</v>
      </c>
      <c r="E785">
        <v>0.9</v>
      </c>
      <c r="F785">
        <v>0.3</v>
      </c>
      <c r="G785">
        <v>0</v>
      </c>
      <c r="H785">
        <v>0</v>
      </c>
      <c r="I785">
        <v>0.8</v>
      </c>
      <c r="J785">
        <v>3.5</v>
      </c>
      <c r="K785">
        <f t="shared" si="297"/>
        <v>9.1999999999999993</v>
      </c>
      <c r="L785">
        <v>0</v>
      </c>
      <c r="M785">
        <v>0</v>
      </c>
      <c r="N785">
        <v>1.2</v>
      </c>
      <c r="O785">
        <f t="shared" si="310"/>
        <v>1.2</v>
      </c>
      <c r="P785">
        <v>0</v>
      </c>
      <c r="Q785">
        <v>0</v>
      </c>
      <c r="R785">
        <v>17.5</v>
      </c>
      <c r="S785">
        <f t="shared" si="311"/>
        <v>17.5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0.1</v>
      </c>
      <c r="Z785">
        <v>1.2</v>
      </c>
      <c r="AA785">
        <f t="shared" si="312"/>
        <v>1.3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12.4</v>
      </c>
      <c r="AI785">
        <v>1.7</v>
      </c>
      <c r="AJ785">
        <f t="shared" si="313"/>
        <v>14.1</v>
      </c>
      <c r="AK785">
        <v>0.1</v>
      </c>
      <c r="AL785">
        <v>0.56499999999999995</v>
      </c>
      <c r="AM785">
        <f t="shared" si="291"/>
        <v>0.433</v>
      </c>
      <c r="AN785">
        <v>1783</v>
      </c>
      <c r="AO785">
        <v>332</v>
      </c>
      <c r="AP785" s="3">
        <f t="shared" si="302"/>
        <v>3144.6208112874783</v>
      </c>
      <c r="AQ785" s="3">
        <f t="shared" si="303"/>
        <v>585.53791887125226</v>
      </c>
      <c r="AR785">
        <f t="shared" si="293"/>
        <v>0.32563510392609696</v>
      </c>
      <c r="AS785">
        <f t="shared" si="299"/>
        <v>0.29199999999999998</v>
      </c>
      <c r="AT785">
        <f t="shared" si="300"/>
        <v>918</v>
      </c>
      <c r="AU785">
        <f t="shared" si="301"/>
        <v>443</v>
      </c>
      <c r="AV785">
        <f t="shared" si="304"/>
        <v>774</v>
      </c>
      <c r="AW785">
        <f t="shared" si="305"/>
        <v>472</v>
      </c>
      <c r="AX785" s="3">
        <f t="shared" si="306"/>
        <v>1898.6208112874783</v>
      </c>
      <c r="AY785">
        <f t="shared" si="307"/>
        <v>459</v>
      </c>
      <c r="AZ785">
        <f t="shared" si="308"/>
        <v>534</v>
      </c>
      <c r="BA785" s="3">
        <f t="shared" si="309"/>
        <v>2151.6208112874783</v>
      </c>
    </row>
    <row r="786" spans="1:53" x14ac:dyDescent="0.2">
      <c r="A786">
        <v>2021</v>
      </c>
      <c r="B786" t="s">
        <v>81</v>
      </c>
      <c r="C786" t="s">
        <v>63</v>
      </c>
      <c r="D786">
        <v>3.5</v>
      </c>
      <c r="E786">
        <v>1.4</v>
      </c>
      <c r="F786">
        <v>0</v>
      </c>
      <c r="G786">
        <v>0.5</v>
      </c>
      <c r="H786">
        <v>0</v>
      </c>
      <c r="I786">
        <v>3.9</v>
      </c>
      <c r="J786">
        <v>2.2999999999999998</v>
      </c>
      <c r="K786">
        <f t="shared" si="297"/>
        <v>11.600000000000001</v>
      </c>
      <c r="L786">
        <v>0</v>
      </c>
      <c r="M786">
        <v>0</v>
      </c>
      <c r="N786">
        <v>0.6</v>
      </c>
      <c r="O786">
        <f t="shared" si="310"/>
        <v>0.6</v>
      </c>
      <c r="P786">
        <v>0</v>
      </c>
      <c r="Q786">
        <v>0</v>
      </c>
      <c r="R786">
        <v>3.9</v>
      </c>
      <c r="S786">
        <f t="shared" si="311"/>
        <v>3.9</v>
      </c>
      <c r="T786">
        <v>0.2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0.8</v>
      </c>
      <c r="AA786">
        <f t="shared" si="312"/>
        <v>1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10</v>
      </c>
      <c r="AI786">
        <v>1.6</v>
      </c>
      <c r="AJ786">
        <f t="shared" si="313"/>
        <v>11.6</v>
      </c>
      <c r="AK786">
        <v>0.7</v>
      </c>
      <c r="AL786">
        <v>0.70700000000000007</v>
      </c>
      <c r="AM786">
        <f t="shared" ref="AM786:AM849" si="314">SUM(AB786:AI786,T786:Z786,P786:R786,L786:N786,D786:J786)/100</f>
        <v>0.28699999999999998</v>
      </c>
      <c r="AN786">
        <v>2332</v>
      </c>
      <c r="AO786">
        <v>210</v>
      </c>
      <c r="AP786" s="3">
        <f t="shared" si="302"/>
        <v>3270.6872370266474</v>
      </c>
      <c r="AQ786" s="3">
        <f t="shared" si="303"/>
        <v>294.53015427769981</v>
      </c>
      <c r="AR786">
        <f t="shared" si="293"/>
        <v>0.40418118466898956</v>
      </c>
      <c r="AS786">
        <f t="shared" si="299"/>
        <v>0.17100000000000001</v>
      </c>
      <c r="AT786">
        <f t="shared" si="300"/>
        <v>559</v>
      </c>
      <c r="AU786">
        <f t="shared" si="301"/>
        <v>379</v>
      </c>
      <c r="AV786">
        <f t="shared" si="304"/>
        <v>370</v>
      </c>
      <c r="AW786">
        <f t="shared" si="305"/>
        <v>405</v>
      </c>
      <c r="AX786" s="3">
        <f t="shared" si="306"/>
        <v>2495.6872370266474</v>
      </c>
      <c r="AY786">
        <f t="shared" si="307"/>
        <v>280</v>
      </c>
      <c r="AZ786">
        <f t="shared" si="308"/>
        <v>418</v>
      </c>
      <c r="BA786" s="3">
        <f t="shared" si="309"/>
        <v>2572.6872370266474</v>
      </c>
    </row>
    <row r="787" spans="1:53" x14ac:dyDescent="0.2">
      <c r="A787">
        <v>2022</v>
      </c>
      <c r="B787" t="s">
        <v>81</v>
      </c>
      <c r="C787" t="s">
        <v>63</v>
      </c>
      <c r="D787">
        <v>4.5999999999999996</v>
      </c>
      <c r="E787">
        <v>0.8</v>
      </c>
      <c r="F787">
        <v>1</v>
      </c>
      <c r="G787">
        <v>0.4</v>
      </c>
      <c r="H787">
        <v>0</v>
      </c>
      <c r="I787">
        <v>3.5</v>
      </c>
      <c r="J787">
        <v>2.2000000000000002</v>
      </c>
      <c r="K787">
        <f t="shared" si="297"/>
        <v>12.5</v>
      </c>
      <c r="L787">
        <v>0</v>
      </c>
      <c r="M787">
        <v>0</v>
      </c>
      <c r="N787">
        <v>0</v>
      </c>
      <c r="O787">
        <f t="shared" si="310"/>
        <v>0</v>
      </c>
      <c r="P787">
        <v>0</v>
      </c>
      <c r="Q787">
        <v>0</v>
      </c>
      <c r="R787">
        <v>7.8</v>
      </c>
      <c r="S787">
        <f t="shared" si="311"/>
        <v>7.8</v>
      </c>
      <c r="T787">
        <v>0.7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2</v>
      </c>
      <c r="AA787">
        <f t="shared" si="312"/>
        <v>2.7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9.6</v>
      </c>
      <c r="AI787">
        <v>2.6</v>
      </c>
      <c r="AJ787">
        <f t="shared" si="313"/>
        <v>12.2</v>
      </c>
      <c r="AK787">
        <v>1.4</v>
      </c>
      <c r="AL787">
        <v>0.63400000000000001</v>
      </c>
      <c r="AM787">
        <f t="shared" si="314"/>
        <v>0.35200000000000004</v>
      </c>
      <c r="AN787">
        <v>4246</v>
      </c>
      <c r="AO787">
        <v>342</v>
      </c>
      <c r="AP787" s="3">
        <f t="shared" si="302"/>
        <v>6552.4691358024702</v>
      </c>
      <c r="AQ787" s="3">
        <f t="shared" si="303"/>
        <v>527.77777777777783</v>
      </c>
      <c r="AR787">
        <f t="shared" si="293"/>
        <v>0.34659090909090906</v>
      </c>
      <c r="AS787">
        <f t="shared" si="299"/>
        <v>0.23</v>
      </c>
      <c r="AT787">
        <f t="shared" si="300"/>
        <v>1507</v>
      </c>
      <c r="AU787">
        <f t="shared" si="301"/>
        <v>799</v>
      </c>
      <c r="AV787">
        <f t="shared" si="304"/>
        <v>1098</v>
      </c>
      <c r="AW787">
        <f t="shared" si="305"/>
        <v>864</v>
      </c>
      <c r="AX787" s="3">
        <f t="shared" si="306"/>
        <v>4590.4691358024702</v>
      </c>
      <c r="AY787">
        <f t="shared" si="307"/>
        <v>754</v>
      </c>
      <c r="AZ787">
        <f t="shared" si="308"/>
        <v>918</v>
      </c>
      <c r="BA787" s="3">
        <f t="shared" si="309"/>
        <v>4880.4691358024702</v>
      </c>
    </row>
    <row r="788" spans="1:53" x14ac:dyDescent="0.2">
      <c r="A788">
        <v>2023</v>
      </c>
      <c r="B788" t="s">
        <v>81</v>
      </c>
      <c r="C788" t="s">
        <v>63</v>
      </c>
      <c r="D788" t="s">
        <v>13</v>
      </c>
      <c r="E788" t="s">
        <v>13</v>
      </c>
      <c r="F788" t="s">
        <v>13</v>
      </c>
      <c r="G788" t="s">
        <v>13</v>
      </c>
      <c r="H788" t="s">
        <v>13</v>
      </c>
      <c r="I788" t="s">
        <v>13</v>
      </c>
      <c r="J788" t="s">
        <v>13</v>
      </c>
      <c r="K788" t="s">
        <v>13</v>
      </c>
      <c r="L788" t="s">
        <v>13</v>
      </c>
      <c r="M788" t="s">
        <v>13</v>
      </c>
      <c r="N788" t="s">
        <v>13</v>
      </c>
      <c r="O788" t="s">
        <v>13</v>
      </c>
      <c r="P788" t="s">
        <v>13</v>
      </c>
      <c r="Q788" t="s">
        <v>13</v>
      </c>
      <c r="R788" t="s">
        <v>13</v>
      </c>
      <c r="S788" t="s">
        <v>13</v>
      </c>
      <c r="T788" t="s">
        <v>13</v>
      </c>
      <c r="U788" t="s">
        <v>13</v>
      </c>
      <c r="V788" t="s">
        <v>13</v>
      </c>
      <c r="W788" t="s">
        <v>13</v>
      </c>
      <c r="X788" t="s">
        <v>13</v>
      </c>
      <c r="Y788" t="s">
        <v>13</v>
      </c>
      <c r="Z788" t="s">
        <v>13</v>
      </c>
      <c r="AA788" t="s">
        <v>13</v>
      </c>
      <c r="AB788" t="s">
        <v>13</v>
      </c>
      <c r="AC788" t="s">
        <v>13</v>
      </c>
      <c r="AD788" t="s">
        <v>13</v>
      </c>
      <c r="AE788" t="s">
        <v>13</v>
      </c>
      <c r="AF788" t="s">
        <v>13</v>
      </c>
      <c r="AG788" t="s">
        <v>13</v>
      </c>
      <c r="AH788" t="s">
        <v>13</v>
      </c>
      <c r="AI788" t="s">
        <v>13</v>
      </c>
      <c r="AJ788" t="s">
        <v>13</v>
      </c>
      <c r="AK788" t="s">
        <v>13</v>
      </c>
      <c r="AL788" t="s">
        <v>13</v>
      </c>
      <c r="AM788" t="s">
        <v>13</v>
      </c>
      <c r="AN788">
        <v>3200</v>
      </c>
      <c r="AO788">
        <v>582</v>
      </c>
      <c r="AP788" t="s">
        <v>13</v>
      </c>
      <c r="AQ788" t="s">
        <v>13</v>
      </c>
      <c r="AR788" t="s">
        <v>13</v>
      </c>
      <c r="AS788" t="s">
        <v>13</v>
      </c>
      <c r="AT788" t="s">
        <v>13</v>
      </c>
      <c r="AU788" t="s">
        <v>13</v>
      </c>
      <c r="AV788" t="s">
        <v>13</v>
      </c>
      <c r="AW788" t="s">
        <v>13</v>
      </c>
      <c r="AX788" t="s">
        <v>13</v>
      </c>
      <c r="AY788" t="s">
        <v>13</v>
      </c>
      <c r="AZ788" t="s">
        <v>13</v>
      </c>
      <c r="BA788" t="s">
        <v>13</v>
      </c>
    </row>
    <row r="789" spans="1:53" x14ac:dyDescent="0.2">
      <c r="A789" s="4">
        <v>2013</v>
      </c>
      <c r="B789" t="s">
        <v>82</v>
      </c>
      <c r="C789" t="s">
        <v>57</v>
      </c>
      <c r="D789">
        <v>6.1</v>
      </c>
      <c r="E789">
        <v>6.1</v>
      </c>
      <c r="F789">
        <v>9</v>
      </c>
      <c r="G789">
        <v>0.1</v>
      </c>
      <c r="H789">
        <v>1.4</v>
      </c>
      <c r="I789">
        <v>0</v>
      </c>
      <c r="J789">
        <v>0</v>
      </c>
      <c r="K789">
        <f t="shared" si="297"/>
        <v>22.7</v>
      </c>
      <c r="L789">
        <v>0.1</v>
      </c>
      <c r="M789">
        <v>0</v>
      </c>
      <c r="N789">
        <v>3.1</v>
      </c>
      <c r="O789">
        <f t="shared" si="310"/>
        <v>3.2</v>
      </c>
      <c r="P789" s="1">
        <v>0</v>
      </c>
      <c r="Q789" s="1">
        <v>0</v>
      </c>
      <c r="R789" s="1">
        <v>2</v>
      </c>
      <c r="S789">
        <f t="shared" si="311"/>
        <v>2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f t="shared" si="312"/>
        <v>0</v>
      </c>
      <c r="AB789" s="1">
        <v>0</v>
      </c>
      <c r="AC789" s="1">
        <v>0</v>
      </c>
      <c r="AD789" s="1">
        <v>0</v>
      </c>
      <c r="AE789" s="1">
        <v>0</v>
      </c>
      <c r="AF789" s="1">
        <v>0</v>
      </c>
      <c r="AG789" s="1">
        <v>0</v>
      </c>
      <c r="AH789" s="1">
        <v>0</v>
      </c>
      <c r="AI789" s="1">
        <v>0</v>
      </c>
      <c r="AJ789">
        <f t="shared" si="313"/>
        <v>0</v>
      </c>
      <c r="AK789">
        <v>0</v>
      </c>
      <c r="AL789">
        <v>0.72099999999999997</v>
      </c>
      <c r="AM789">
        <f t="shared" si="314"/>
        <v>0.27899999999999997</v>
      </c>
      <c r="AN789">
        <v>3442</v>
      </c>
      <c r="AO789" t="s">
        <v>13</v>
      </c>
      <c r="AP789" s="3">
        <f t="shared" si="302"/>
        <v>4773.9251040221907</v>
      </c>
      <c r="AQ789" t="s">
        <v>13</v>
      </c>
      <c r="AR789">
        <f t="shared" si="293"/>
        <v>0</v>
      </c>
      <c r="AS789">
        <f t="shared" ref="AS789:AS802" si="315">SUM(K789,O789,S789,AA789)/100</f>
        <v>0.27899999999999997</v>
      </c>
      <c r="AT789">
        <f t="shared" ref="AT789:AT802" si="316">ROUND(AS789*AP789,0)</f>
        <v>1332</v>
      </c>
      <c r="AU789">
        <f t="shared" ref="AU789:AU802" si="317">ROUND((AJ789/100)*AP789,0)</f>
        <v>0</v>
      </c>
      <c r="AV789">
        <f t="shared" si="304"/>
        <v>790</v>
      </c>
      <c r="AW789">
        <f t="shared" si="305"/>
        <v>0</v>
      </c>
      <c r="AX789" s="3">
        <f t="shared" si="306"/>
        <v>3983.9251040221907</v>
      </c>
      <c r="AY789">
        <f t="shared" si="307"/>
        <v>666</v>
      </c>
      <c r="AZ789">
        <f t="shared" si="308"/>
        <v>0</v>
      </c>
      <c r="BA789" s="3">
        <f t="shared" si="309"/>
        <v>4107.9251040221907</v>
      </c>
    </row>
    <row r="790" spans="1:53" x14ac:dyDescent="0.2">
      <c r="A790" s="4">
        <v>2014</v>
      </c>
      <c r="B790" t="s">
        <v>82</v>
      </c>
      <c r="C790" t="s">
        <v>57</v>
      </c>
      <c r="D790">
        <v>9.1999999999999993</v>
      </c>
      <c r="E790">
        <v>4.5</v>
      </c>
      <c r="F790">
        <v>2.8</v>
      </c>
      <c r="G790">
        <v>0.8</v>
      </c>
      <c r="H790">
        <v>1.6</v>
      </c>
      <c r="I790">
        <v>0.3</v>
      </c>
      <c r="J790">
        <v>0</v>
      </c>
      <c r="K790">
        <f t="shared" si="297"/>
        <v>19.200000000000003</v>
      </c>
      <c r="L790">
        <v>0</v>
      </c>
      <c r="M790">
        <v>0.2</v>
      </c>
      <c r="N790">
        <v>6.8</v>
      </c>
      <c r="O790">
        <f t="shared" si="310"/>
        <v>7</v>
      </c>
      <c r="P790" s="1">
        <v>0</v>
      </c>
      <c r="Q790" s="1">
        <v>0</v>
      </c>
      <c r="R790" s="1">
        <v>4.0999999999999996</v>
      </c>
      <c r="S790">
        <f t="shared" si="311"/>
        <v>4.0999999999999996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f t="shared" si="312"/>
        <v>0</v>
      </c>
      <c r="AB790" s="1">
        <v>0</v>
      </c>
      <c r="AC790" s="1">
        <v>0</v>
      </c>
      <c r="AD790" s="1">
        <v>0</v>
      </c>
      <c r="AE790" s="1">
        <v>0</v>
      </c>
      <c r="AF790" s="1">
        <v>0</v>
      </c>
      <c r="AG790" s="1">
        <v>0</v>
      </c>
      <c r="AH790" s="1">
        <v>0</v>
      </c>
      <c r="AI790" s="1">
        <v>0</v>
      </c>
      <c r="AJ790">
        <f t="shared" si="313"/>
        <v>0</v>
      </c>
      <c r="AK790">
        <v>0</v>
      </c>
      <c r="AL790">
        <v>0.69499999999999995</v>
      </c>
      <c r="AM790">
        <f t="shared" si="314"/>
        <v>0.30299999999999999</v>
      </c>
      <c r="AN790">
        <v>2274</v>
      </c>
      <c r="AO790" t="s">
        <v>13</v>
      </c>
      <c r="AP790" s="3">
        <f t="shared" si="302"/>
        <v>3262.5538020086078</v>
      </c>
      <c r="AQ790" t="s">
        <v>13</v>
      </c>
      <c r="AR790">
        <f t="shared" si="293"/>
        <v>0</v>
      </c>
      <c r="AS790">
        <f t="shared" si="315"/>
        <v>0.30300000000000005</v>
      </c>
      <c r="AT790">
        <f t="shared" si="316"/>
        <v>989</v>
      </c>
      <c r="AU790">
        <f t="shared" si="317"/>
        <v>0</v>
      </c>
      <c r="AV790">
        <f t="shared" si="304"/>
        <v>675</v>
      </c>
      <c r="AW790">
        <f t="shared" si="305"/>
        <v>0</v>
      </c>
      <c r="AX790" s="3">
        <f t="shared" si="306"/>
        <v>2587.5538020086078</v>
      </c>
      <c r="AY790">
        <f t="shared" si="307"/>
        <v>494</v>
      </c>
      <c r="AZ790">
        <f t="shared" si="308"/>
        <v>0</v>
      </c>
      <c r="BA790" s="3">
        <f t="shared" si="309"/>
        <v>2768.5538020086078</v>
      </c>
    </row>
    <row r="791" spans="1:53" x14ac:dyDescent="0.2">
      <c r="A791" s="4">
        <v>2015</v>
      </c>
      <c r="B791" t="s">
        <v>82</v>
      </c>
      <c r="C791" t="s">
        <v>57</v>
      </c>
      <c r="D791">
        <v>11.7</v>
      </c>
      <c r="E791">
        <v>0.9</v>
      </c>
      <c r="F791">
        <v>4.5999999999999996</v>
      </c>
      <c r="G791">
        <v>0</v>
      </c>
      <c r="H791">
        <v>0.6</v>
      </c>
      <c r="I791">
        <v>0</v>
      </c>
      <c r="J791">
        <v>0</v>
      </c>
      <c r="K791">
        <f t="shared" si="297"/>
        <v>17.8</v>
      </c>
      <c r="L791">
        <v>0</v>
      </c>
      <c r="M791">
        <v>0</v>
      </c>
      <c r="N791">
        <v>7.1</v>
      </c>
      <c r="O791">
        <f t="shared" si="310"/>
        <v>7.1</v>
      </c>
      <c r="P791" s="1">
        <v>0</v>
      </c>
      <c r="Q791" s="1">
        <v>0</v>
      </c>
      <c r="R791" s="1">
        <v>5.5</v>
      </c>
      <c r="S791">
        <f t="shared" si="311"/>
        <v>5.5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f t="shared" si="312"/>
        <v>0</v>
      </c>
      <c r="AB791" s="1">
        <v>0</v>
      </c>
      <c r="AC791" s="1">
        <v>0</v>
      </c>
      <c r="AD791" s="1">
        <v>0</v>
      </c>
      <c r="AE791" s="1">
        <v>0</v>
      </c>
      <c r="AF791" s="1">
        <v>0</v>
      </c>
      <c r="AG791" s="1">
        <v>0</v>
      </c>
      <c r="AH791" s="1">
        <v>0</v>
      </c>
      <c r="AI791" s="1">
        <v>0</v>
      </c>
      <c r="AJ791">
        <f t="shared" si="313"/>
        <v>0</v>
      </c>
      <c r="AK791">
        <v>0</v>
      </c>
      <c r="AL791">
        <v>0.69499999999999995</v>
      </c>
      <c r="AM791">
        <f t="shared" si="314"/>
        <v>0.30399999999999999</v>
      </c>
      <c r="AN791">
        <v>2309</v>
      </c>
      <c r="AO791" t="s">
        <v>13</v>
      </c>
      <c r="AP791" s="3">
        <f t="shared" si="302"/>
        <v>3317.5287356321842</v>
      </c>
      <c r="AQ791" t="s">
        <v>13</v>
      </c>
      <c r="AR791">
        <f t="shared" si="293"/>
        <v>0</v>
      </c>
      <c r="AS791">
        <f t="shared" si="315"/>
        <v>0.30399999999999999</v>
      </c>
      <c r="AT791">
        <f t="shared" si="316"/>
        <v>1009</v>
      </c>
      <c r="AU791">
        <f t="shared" si="317"/>
        <v>0</v>
      </c>
      <c r="AV791">
        <f t="shared" si="304"/>
        <v>713</v>
      </c>
      <c r="AW791">
        <f t="shared" si="305"/>
        <v>0</v>
      </c>
      <c r="AX791" s="3">
        <f t="shared" si="306"/>
        <v>2604.5287356321842</v>
      </c>
      <c r="AY791">
        <f t="shared" si="307"/>
        <v>504</v>
      </c>
      <c r="AZ791">
        <f t="shared" si="308"/>
        <v>0</v>
      </c>
      <c r="BA791" s="3">
        <f t="shared" si="309"/>
        <v>2813.5287356321842</v>
      </c>
    </row>
    <row r="792" spans="1:53" x14ac:dyDescent="0.2">
      <c r="A792" s="4">
        <v>2016</v>
      </c>
      <c r="B792" t="s">
        <v>82</v>
      </c>
      <c r="C792" t="s">
        <v>57</v>
      </c>
      <c r="D792">
        <v>15.1</v>
      </c>
      <c r="E792">
        <v>4.5999999999999996</v>
      </c>
      <c r="F792">
        <v>2.9</v>
      </c>
      <c r="G792">
        <v>0.9</v>
      </c>
      <c r="H792">
        <v>1.5</v>
      </c>
      <c r="I792">
        <v>0</v>
      </c>
      <c r="J792">
        <v>0</v>
      </c>
      <c r="K792">
        <f t="shared" si="297"/>
        <v>24.999999999999996</v>
      </c>
      <c r="L792">
        <v>0</v>
      </c>
      <c r="M792">
        <v>0</v>
      </c>
      <c r="N792">
        <v>6.7</v>
      </c>
      <c r="O792">
        <f t="shared" si="310"/>
        <v>6.7</v>
      </c>
      <c r="P792" s="1">
        <v>0</v>
      </c>
      <c r="Q792" s="1">
        <v>0</v>
      </c>
      <c r="R792" s="1">
        <v>6.5</v>
      </c>
      <c r="S792">
        <f t="shared" si="311"/>
        <v>6.5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f t="shared" si="312"/>
        <v>0</v>
      </c>
      <c r="AB792" s="1">
        <v>0.1</v>
      </c>
      <c r="AC792" s="1">
        <v>0</v>
      </c>
      <c r="AD792" s="1">
        <v>0</v>
      </c>
      <c r="AE792" s="1">
        <v>0</v>
      </c>
      <c r="AF792" s="1">
        <v>0</v>
      </c>
      <c r="AG792" s="1">
        <v>0</v>
      </c>
      <c r="AH792" s="1">
        <v>0</v>
      </c>
      <c r="AI792" s="1">
        <v>0</v>
      </c>
      <c r="AJ792">
        <f t="shared" si="313"/>
        <v>0.1</v>
      </c>
      <c r="AK792">
        <v>0</v>
      </c>
      <c r="AL792">
        <v>0.61599999999999999</v>
      </c>
      <c r="AM792">
        <f t="shared" si="314"/>
        <v>0.38299999999999995</v>
      </c>
      <c r="AN792">
        <v>2086</v>
      </c>
      <c r="AO792" t="s">
        <v>13</v>
      </c>
      <c r="AP792" s="3">
        <f t="shared" si="302"/>
        <v>3380.8752025931931</v>
      </c>
      <c r="AQ792" t="s">
        <v>13</v>
      </c>
      <c r="AR792">
        <f t="shared" si="293"/>
        <v>2.6109660574412537E-3</v>
      </c>
      <c r="AS792">
        <f t="shared" si="315"/>
        <v>0.38199999999999995</v>
      </c>
      <c r="AT792">
        <f t="shared" si="316"/>
        <v>1291</v>
      </c>
      <c r="AU792">
        <f t="shared" si="317"/>
        <v>3</v>
      </c>
      <c r="AV792">
        <f t="shared" si="304"/>
        <v>869</v>
      </c>
      <c r="AW792">
        <f t="shared" si="305"/>
        <v>4</v>
      </c>
      <c r="AX792" s="3">
        <f t="shared" si="306"/>
        <v>2507.8752025931931</v>
      </c>
      <c r="AY792">
        <f t="shared" si="307"/>
        <v>646</v>
      </c>
      <c r="AZ792">
        <f t="shared" si="308"/>
        <v>4</v>
      </c>
      <c r="BA792" s="3">
        <f t="shared" si="309"/>
        <v>2730.8752025931931</v>
      </c>
    </row>
    <row r="793" spans="1:53" x14ac:dyDescent="0.2">
      <c r="A793" s="4">
        <v>2017</v>
      </c>
      <c r="B793" t="s">
        <v>82</v>
      </c>
      <c r="C793" t="s">
        <v>57</v>
      </c>
      <c r="D793">
        <v>9</v>
      </c>
      <c r="E793">
        <v>0.4</v>
      </c>
      <c r="F793">
        <v>2</v>
      </c>
      <c r="G793">
        <v>1.1000000000000001</v>
      </c>
      <c r="H793">
        <v>2.6</v>
      </c>
      <c r="I793">
        <v>0</v>
      </c>
      <c r="J793">
        <v>0</v>
      </c>
      <c r="K793">
        <f t="shared" si="297"/>
        <v>15.1</v>
      </c>
      <c r="L793">
        <v>0</v>
      </c>
      <c r="M793">
        <v>0.2</v>
      </c>
      <c r="N793">
        <v>7.5</v>
      </c>
      <c r="O793">
        <f t="shared" si="310"/>
        <v>7.7</v>
      </c>
      <c r="P793" s="1">
        <v>0</v>
      </c>
      <c r="Q793" s="1">
        <v>0</v>
      </c>
      <c r="R793" s="1">
        <v>7.8</v>
      </c>
      <c r="S793">
        <f t="shared" si="311"/>
        <v>7.8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f t="shared" si="312"/>
        <v>0</v>
      </c>
      <c r="AB793" s="1">
        <v>0.4</v>
      </c>
      <c r="AC793" s="1">
        <v>0</v>
      </c>
      <c r="AD793" s="1">
        <v>0</v>
      </c>
      <c r="AE793" s="1">
        <v>0</v>
      </c>
      <c r="AF793" s="1">
        <v>0</v>
      </c>
      <c r="AG793" s="1">
        <v>0</v>
      </c>
      <c r="AH793" s="1">
        <v>0</v>
      </c>
      <c r="AI793" s="1">
        <v>0</v>
      </c>
      <c r="AJ793">
        <f t="shared" si="313"/>
        <v>0.4</v>
      </c>
      <c r="AK793">
        <v>0</v>
      </c>
      <c r="AL793">
        <v>0.69099999999999995</v>
      </c>
      <c r="AM793">
        <f t="shared" si="314"/>
        <v>0.31</v>
      </c>
      <c r="AN793">
        <v>2372</v>
      </c>
      <c r="AO793" t="s">
        <v>13</v>
      </c>
      <c r="AP793" s="3">
        <f t="shared" si="302"/>
        <v>3437.68115942029</v>
      </c>
      <c r="AQ793" t="s">
        <v>13</v>
      </c>
      <c r="AR793">
        <f t="shared" si="293"/>
        <v>1.2903225806451613E-2</v>
      </c>
      <c r="AS793">
        <f t="shared" si="315"/>
        <v>0.30599999999999999</v>
      </c>
      <c r="AT793">
        <f t="shared" si="316"/>
        <v>1052</v>
      </c>
      <c r="AU793">
        <f t="shared" si="317"/>
        <v>14</v>
      </c>
      <c r="AV793">
        <f t="shared" si="304"/>
        <v>792</v>
      </c>
      <c r="AW793">
        <f t="shared" si="305"/>
        <v>16</v>
      </c>
      <c r="AX793" s="3">
        <f t="shared" si="306"/>
        <v>2629.68115942029</v>
      </c>
      <c r="AY793">
        <f t="shared" si="307"/>
        <v>526</v>
      </c>
      <c r="AZ793">
        <f t="shared" si="308"/>
        <v>17</v>
      </c>
      <c r="BA793" s="3">
        <f t="shared" si="309"/>
        <v>2894.68115942029</v>
      </c>
    </row>
    <row r="794" spans="1:53" x14ac:dyDescent="0.2">
      <c r="A794" s="4">
        <v>2018</v>
      </c>
      <c r="B794" t="s">
        <v>82</v>
      </c>
      <c r="C794" t="s">
        <v>57</v>
      </c>
      <c r="D794">
        <v>6.4</v>
      </c>
      <c r="E794">
        <v>2</v>
      </c>
      <c r="F794">
        <v>4</v>
      </c>
      <c r="G794">
        <v>0.4</v>
      </c>
      <c r="H794">
        <v>2.2000000000000002</v>
      </c>
      <c r="I794">
        <v>0</v>
      </c>
      <c r="J794">
        <v>0</v>
      </c>
      <c r="K794">
        <f t="shared" si="297"/>
        <v>15</v>
      </c>
      <c r="L794">
        <v>0</v>
      </c>
      <c r="M794">
        <v>0.9</v>
      </c>
      <c r="N794">
        <v>9.1</v>
      </c>
      <c r="O794">
        <f t="shared" si="310"/>
        <v>10</v>
      </c>
      <c r="P794" s="1">
        <v>0</v>
      </c>
      <c r="Q794" s="1">
        <v>0</v>
      </c>
      <c r="R794" s="1">
        <v>14</v>
      </c>
      <c r="S794">
        <f t="shared" si="311"/>
        <v>14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f t="shared" si="312"/>
        <v>0</v>
      </c>
      <c r="AB794" s="1">
        <v>0</v>
      </c>
      <c r="AC794" s="1">
        <v>0</v>
      </c>
      <c r="AD794" s="1">
        <v>0</v>
      </c>
      <c r="AE794" s="1">
        <v>0</v>
      </c>
      <c r="AF794" s="1">
        <v>0</v>
      </c>
      <c r="AG794" s="1">
        <v>0</v>
      </c>
      <c r="AH794" s="1">
        <v>0</v>
      </c>
      <c r="AI794" s="1">
        <v>0</v>
      </c>
      <c r="AJ794">
        <f t="shared" si="313"/>
        <v>0</v>
      </c>
      <c r="AK794">
        <v>0</v>
      </c>
      <c r="AL794">
        <v>0.60899999999999999</v>
      </c>
      <c r="AM794">
        <f t="shared" si="314"/>
        <v>0.39</v>
      </c>
      <c r="AN794">
        <v>1219</v>
      </c>
      <c r="AO794" t="s">
        <v>13</v>
      </c>
      <c r="AP794" s="3">
        <f t="shared" si="302"/>
        <v>1998.360655737705</v>
      </c>
      <c r="AQ794" t="s">
        <v>13</v>
      </c>
      <c r="AR794">
        <f t="shared" si="293"/>
        <v>0</v>
      </c>
      <c r="AS794">
        <f t="shared" si="315"/>
        <v>0.39</v>
      </c>
      <c r="AT794">
        <f t="shared" si="316"/>
        <v>779</v>
      </c>
      <c r="AU794">
        <f t="shared" si="317"/>
        <v>0</v>
      </c>
      <c r="AV794">
        <f t="shared" si="304"/>
        <v>629</v>
      </c>
      <c r="AW794">
        <f t="shared" si="305"/>
        <v>0</v>
      </c>
      <c r="AX794" s="3">
        <f t="shared" si="306"/>
        <v>1369.360655737705</v>
      </c>
      <c r="AY794">
        <f t="shared" si="307"/>
        <v>390</v>
      </c>
      <c r="AZ794">
        <f t="shared" si="308"/>
        <v>0</v>
      </c>
      <c r="BA794" s="3">
        <f t="shared" si="309"/>
        <v>1608.360655737705</v>
      </c>
    </row>
    <row r="795" spans="1:53" x14ac:dyDescent="0.2">
      <c r="A795" s="4">
        <v>2019</v>
      </c>
      <c r="B795" t="s">
        <v>82</v>
      </c>
      <c r="C795" t="s">
        <v>57</v>
      </c>
      <c r="D795">
        <v>3.1</v>
      </c>
      <c r="E795">
        <v>5.0999999999999996</v>
      </c>
      <c r="F795">
        <v>0.9</v>
      </c>
      <c r="G795">
        <v>0</v>
      </c>
      <c r="H795">
        <v>0.2</v>
      </c>
      <c r="I795">
        <v>0</v>
      </c>
      <c r="J795">
        <v>0</v>
      </c>
      <c r="K795">
        <f t="shared" si="297"/>
        <v>9.2999999999999989</v>
      </c>
      <c r="L795">
        <v>0</v>
      </c>
      <c r="M795">
        <v>0</v>
      </c>
      <c r="N795">
        <v>7.5</v>
      </c>
      <c r="O795">
        <f t="shared" si="310"/>
        <v>7.5</v>
      </c>
      <c r="P795" s="1">
        <v>0</v>
      </c>
      <c r="Q795" s="1">
        <v>0.1</v>
      </c>
      <c r="R795" s="1">
        <v>1.7</v>
      </c>
      <c r="S795">
        <f t="shared" si="311"/>
        <v>1.8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f t="shared" si="312"/>
        <v>0</v>
      </c>
      <c r="AB795" s="1">
        <v>0</v>
      </c>
      <c r="AC795" s="1">
        <v>0</v>
      </c>
      <c r="AD795" s="1">
        <v>0</v>
      </c>
      <c r="AE795" s="1">
        <v>0</v>
      </c>
      <c r="AF795" s="1">
        <v>0</v>
      </c>
      <c r="AG795" s="1">
        <v>0</v>
      </c>
      <c r="AH795" s="1">
        <v>0</v>
      </c>
      <c r="AI795" s="1">
        <v>0</v>
      </c>
      <c r="AJ795">
        <f t="shared" si="313"/>
        <v>0</v>
      </c>
      <c r="AK795">
        <v>0</v>
      </c>
      <c r="AL795">
        <v>0.81299999999999994</v>
      </c>
      <c r="AM795">
        <f t="shared" si="314"/>
        <v>0.18599999999999997</v>
      </c>
      <c r="AN795">
        <v>2483</v>
      </c>
      <c r="AO795" t="s">
        <v>13</v>
      </c>
      <c r="AP795" s="3">
        <f t="shared" si="302"/>
        <v>3050.3685503685501</v>
      </c>
      <c r="AQ795" t="s">
        <v>13</v>
      </c>
      <c r="AR795">
        <f t="shared" si="293"/>
        <v>0</v>
      </c>
      <c r="AS795">
        <f t="shared" si="315"/>
        <v>0.18599999999999997</v>
      </c>
      <c r="AT795">
        <f t="shared" si="316"/>
        <v>567</v>
      </c>
      <c r="AU795">
        <f t="shared" si="317"/>
        <v>0</v>
      </c>
      <c r="AV795">
        <f t="shared" si="304"/>
        <v>426</v>
      </c>
      <c r="AW795">
        <f t="shared" si="305"/>
        <v>0</v>
      </c>
      <c r="AX795" s="3">
        <f t="shared" si="306"/>
        <v>2624.3685503685501</v>
      </c>
      <c r="AY795">
        <f t="shared" si="307"/>
        <v>284</v>
      </c>
      <c r="AZ795">
        <f t="shared" si="308"/>
        <v>0</v>
      </c>
      <c r="BA795" s="3">
        <f t="shared" si="309"/>
        <v>2766.3685503685501</v>
      </c>
    </row>
    <row r="796" spans="1:53" x14ac:dyDescent="0.2">
      <c r="A796" s="4">
        <v>2020</v>
      </c>
      <c r="B796" t="s">
        <v>82</v>
      </c>
      <c r="C796" t="s">
        <v>57</v>
      </c>
      <c r="D796">
        <v>11.2</v>
      </c>
      <c r="E796">
        <v>1.2</v>
      </c>
      <c r="F796">
        <v>1.5</v>
      </c>
      <c r="G796">
        <v>0</v>
      </c>
      <c r="H796">
        <v>0.9</v>
      </c>
      <c r="I796">
        <v>0</v>
      </c>
      <c r="J796">
        <v>0.1</v>
      </c>
      <c r="K796">
        <f t="shared" si="297"/>
        <v>14.899999999999999</v>
      </c>
      <c r="L796">
        <v>0</v>
      </c>
      <c r="M796">
        <v>0</v>
      </c>
      <c r="N796">
        <v>3.1</v>
      </c>
      <c r="O796">
        <f t="shared" si="310"/>
        <v>3.1</v>
      </c>
      <c r="P796" s="1">
        <v>0</v>
      </c>
      <c r="Q796" s="1">
        <v>0</v>
      </c>
      <c r="R796" s="1">
        <v>1.9</v>
      </c>
      <c r="S796">
        <f t="shared" si="311"/>
        <v>1.9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f t="shared" si="312"/>
        <v>0</v>
      </c>
      <c r="AB796" s="1">
        <v>0.1</v>
      </c>
      <c r="AC796" s="1">
        <v>0</v>
      </c>
      <c r="AD796" s="1">
        <v>0</v>
      </c>
      <c r="AE796" s="1">
        <v>0</v>
      </c>
      <c r="AF796" s="1">
        <v>0</v>
      </c>
      <c r="AG796" s="1">
        <v>0</v>
      </c>
      <c r="AH796" s="1">
        <v>0</v>
      </c>
      <c r="AI796" s="1">
        <v>0</v>
      </c>
      <c r="AJ796">
        <f t="shared" si="313"/>
        <v>0.1</v>
      </c>
      <c r="AK796">
        <v>0</v>
      </c>
      <c r="AL796">
        <v>0.80099999999999993</v>
      </c>
      <c r="AM796">
        <f t="shared" si="314"/>
        <v>0.19999999999999996</v>
      </c>
      <c r="AN796">
        <v>3330</v>
      </c>
      <c r="AO796" t="s">
        <v>13</v>
      </c>
      <c r="AP796" s="3">
        <f t="shared" si="302"/>
        <v>4162.5</v>
      </c>
      <c r="AQ796" t="s">
        <v>13</v>
      </c>
      <c r="AR796">
        <f t="shared" si="293"/>
        <v>5.000000000000001E-3</v>
      </c>
      <c r="AS796">
        <f t="shared" si="315"/>
        <v>0.19899999999999998</v>
      </c>
      <c r="AT796">
        <f t="shared" si="316"/>
        <v>828</v>
      </c>
      <c r="AU796">
        <f t="shared" si="317"/>
        <v>4</v>
      </c>
      <c r="AV796">
        <f t="shared" si="304"/>
        <v>518</v>
      </c>
      <c r="AW796">
        <f t="shared" si="305"/>
        <v>4</v>
      </c>
      <c r="AX796" s="3">
        <f t="shared" si="306"/>
        <v>3640.5</v>
      </c>
      <c r="AY796">
        <f t="shared" si="307"/>
        <v>414</v>
      </c>
      <c r="AZ796">
        <f t="shared" si="308"/>
        <v>4</v>
      </c>
      <c r="BA796" s="3">
        <f t="shared" si="309"/>
        <v>3744.5</v>
      </c>
    </row>
    <row r="797" spans="1:53" x14ac:dyDescent="0.2">
      <c r="A797" s="4">
        <v>2021</v>
      </c>
      <c r="B797" t="s">
        <v>82</v>
      </c>
      <c r="C797" t="s">
        <v>57</v>
      </c>
      <c r="D797">
        <v>12.1</v>
      </c>
      <c r="E797">
        <v>4.7</v>
      </c>
      <c r="F797">
        <v>5.9</v>
      </c>
      <c r="G797">
        <v>0</v>
      </c>
      <c r="H797">
        <v>0</v>
      </c>
      <c r="I797">
        <v>0</v>
      </c>
      <c r="J797">
        <v>0</v>
      </c>
      <c r="K797">
        <f t="shared" si="297"/>
        <v>22.700000000000003</v>
      </c>
      <c r="L797">
        <v>0</v>
      </c>
      <c r="M797">
        <v>0</v>
      </c>
      <c r="N797">
        <v>11.2</v>
      </c>
      <c r="O797">
        <f t="shared" si="310"/>
        <v>11.2</v>
      </c>
      <c r="P797" s="1">
        <v>0</v>
      </c>
      <c r="Q797" s="1">
        <v>0</v>
      </c>
      <c r="R797" s="1">
        <v>4</v>
      </c>
      <c r="S797">
        <f t="shared" si="311"/>
        <v>4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f t="shared" si="312"/>
        <v>0</v>
      </c>
      <c r="AB797" s="1">
        <v>0.7</v>
      </c>
      <c r="AC797" s="1">
        <v>0</v>
      </c>
      <c r="AD797" s="1">
        <v>0</v>
      </c>
      <c r="AE797" s="1">
        <v>0</v>
      </c>
      <c r="AF797" s="1">
        <v>0</v>
      </c>
      <c r="AG797" s="1">
        <v>0</v>
      </c>
      <c r="AH797" s="1">
        <v>0</v>
      </c>
      <c r="AI797" s="1">
        <v>0</v>
      </c>
      <c r="AJ797">
        <f t="shared" si="313"/>
        <v>0.7</v>
      </c>
      <c r="AK797">
        <v>0</v>
      </c>
      <c r="AL797">
        <v>0.61499999999999999</v>
      </c>
      <c r="AM797">
        <f t="shared" si="314"/>
        <v>0.38600000000000001</v>
      </c>
      <c r="AN797">
        <v>2202</v>
      </c>
      <c r="AO797" t="s">
        <v>13</v>
      </c>
      <c r="AP797" s="3">
        <f t="shared" si="302"/>
        <v>3586.3192182410426</v>
      </c>
      <c r="AQ797" t="s">
        <v>13</v>
      </c>
      <c r="AR797">
        <f t="shared" si="293"/>
        <v>1.8134715025906734E-2</v>
      </c>
      <c r="AS797">
        <f t="shared" si="315"/>
        <v>0.37900000000000006</v>
      </c>
      <c r="AT797">
        <f t="shared" si="316"/>
        <v>1359</v>
      </c>
      <c r="AU797">
        <f t="shared" si="317"/>
        <v>25</v>
      </c>
      <c r="AV797">
        <f t="shared" si="304"/>
        <v>952</v>
      </c>
      <c r="AW797">
        <f t="shared" si="305"/>
        <v>30</v>
      </c>
      <c r="AX797" s="3">
        <f t="shared" si="306"/>
        <v>2604.3192182410426</v>
      </c>
      <c r="AY797">
        <f t="shared" si="307"/>
        <v>680</v>
      </c>
      <c r="AZ797">
        <f t="shared" si="308"/>
        <v>33</v>
      </c>
      <c r="BA797" s="3">
        <f t="shared" si="309"/>
        <v>2873.3192182410426</v>
      </c>
    </row>
    <row r="798" spans="1:53" x14ac:dyDescent="0.2">
      <c r="A798" s="4">
        <v>2022</v>
      </c>
      <c r="B798" t="s">
        <v>82</v>
      </c>
      <c r="C798" t="s">
        <v>57</v>
      </c>
      <c r="D798">
        <v>10.4</v>
      </c>
      <c r="E798">
        <v>15.2</v>
      </c>
      <c r="F798">
        <v>1</v>
      </c>
      <c r="G798">
        <v>0</v>
      </c>
      <c r="H798">
        <v>0</v>
      </c>
      <c r="I798">
        <v>0</v>
      </c>
      <c r="J798">
        <v>0</v>
      </c>
      <c r="K798">
        <f t="shared" si="297"/>
        <v>26.6</v>
      </c>
      <c r="L798">
        <v>0</v>
      </c>
      <c r="M798">
        <v>0</v>
      </c>
      <c r="N798">
        <v>8.9</v>
      </c>
      <c r="O798">
        <f t="shared" si="310"/>
        <v>8.9</v>
      </c>
      <c r="P798" s="1">
        <v>0</v>
      </c>
      <c r="Q798" s="1">
        <v>0</v>
      </c>
      <c r="R798" s="1">
        <v>1.5</v>
      </c>
      <c r="S798">
        <f t="shared" si="311"/>
        <v>1.5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f t="shared" si="312"/>
        <v>0</v>
      </c>
      <c r="AB798" s="1">
        <v>0.2</v>
      </c>
      <c r="AC798" s="1">
        <v>0</v>
      </c>
      <c r="AD798" s="1">
        <v>0</v>
      </c>
      <c r="AE798" s="1">
        <v>0</v>
      </c>
      <c r="AF798" s="1">
        <v>0</v>
      </c>
      <c r="AG798" s="1">
        <v>0</v>
      </c>
      <c r="AH798" s="1">
        <v>0</v>
      </c>
      <c r="AI798" s="1">
        <v>0</v>
      </c>
      <c r="AJ798">
        <f t="shared" si="313"/>
        <v>0.2</v>
      </c>
      <c r="AK798">
        <v>0</v>
      </c>
      <c r="AL798">
        <v>0.628</v>
      </c>
      <c r="AM798">
        <f t="shared" si="314"/>
        <v>0.37200000000000005</v>
      </c>
      <c r="AN798">
        <v>2070</v>
      </c>
      <c r="AO798" t="s">
        <v>13</v>
      </c>
      <c r="AP798" s="3">
        <f t="shared" si="302"/>
        <v>3296.178343949045</v>
      </c>
      <c r="AQ798" t="s">
        <v>13</v>
      </c>
      <c r="AR798">
        <f t="shared" si="293"/>
        <v>5.3763440860215049E-3</v>
      </c>
      <c r="AS798">
        <f t="shared" si="315"/>
        <v>0.37</v>
      </c>
      <c r="AT798">
        <f t="shared" si="316"/>
        <v>1220</v>
      </c>
      <c r="AU798">
        <f t="shared" si="317"/>
        <v>7</v>
      </c>
      <c r="AV798">
        <f t="shared" si="304"/>
        <v>781</v>
      </c>
      <c r="AW798">
        <f t="shared" si="305"/>
        <v>8</v>
      </c>
      <c r="AX798" s="3">
        <f t="shared" si="306"/>
        <v>2507.178343949045</v>
      </c>
      <c r="AY798">
        <f t="shared" si="307"/>
        <v>610</v>
      </c>
      <c r="AZ798">
        <f t="shared" si="308"/>
        <v>9</v>
      </c>
      <c r="BA798" s="3">
        <f t="shared" si="309"/>
        <v>2677.178343949045</v>
      </c>
    </row>
    <row r="799" spans="1:53" x14ac:dyDescent="0.2">
      <c r="A799" s="4">
        <v>2023</v>
      </c>
      <c r="B799" t="s">
        <v>82</v>
      </c>
      <c r="C799" t="s">
        <v>57</v>
      </c>
      <c r="D799">
        <v>4.7</v>
      </c>
      <c r="E799">
        <v>2.5</v>
      </c>
      <c r="F799">
        <v>2.7</v>
      </c>
      <c r="G799">
        <v>0.5</v>
      </c>
      <c r="H799">
        <v>0</v>
      </c>
      <c r="I799">
        <v>0</v>
      </c>
      <c r="J799">
        <v>0</v>
      </c>
      <c r="K799">
        <f t="shared" si="297"/>
        <v>10.4</v>
      </c>
      <c r="L799">
        <v>0</v>
      </c>
      <c r="M799">
        <v>0</v>
      </c>
      <c r="N799">
        <v>11.8</v>
      </c>
      <c r="O799">
        <f t="shared" si="310"/>
        <v>11.8</v>
      </c>
      <c r="P799" s="1">
        <v>0</v>
      </c>
      <c r="Q799" s="1">
        <v>0</v>
      </c>
      <c r="R799" s="1">
        <v>2.1</v>
      </c>
      <c r="S799">
        <f t="shared" si="311"/>
        <v>2.1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f t="shared" si="312"/>
        <v>0</v>
      </c>
      <c r="AB799" s="1">
        <v>0.3</v>
      </c>
      <c r="AC799" s="1">
        <v>0</v>
      </c>
      <c r="AD799" s="1">
        <v>0</v>
      </c>
      <c r="AE799" s="1">
        <v>0</v>
      </c>
      <c r="AF799" s="1">
        <v>0</v>
      </c>
      <c r="AG799" s="1">
        <v>0</v>
      </c>
      <c r="AH799" s="1">
        <v>0</v>
      </c>
      <c r="AI799" s="1">
        <v>0</v>
      </c>
      <c r="AJ799">
        <f t="shared" si="313"/>
        <v>0.3</v>
      </c>
      <c r="AK799">
        <v>0</v>
      </c>
      <c r="AL799">
        <v>0.754</v>
      </c>
      <c r="AM799">
        <f t="shared" si="314"/>
        <v>0.24600000000000002</v>
      </c>
      <c r="AN799">
        <v>3277</v>
      </c>
      <c r="AO799" t="s">
        <v>13</v>
      </c>
      <c r="AP799" s="3">
        <f t="shared" si="302"/>
        <v>4346.1538461538457</v>
      </c>
      <c r="AQ799" t="s">
        <v>13</v>
      </c>
      <c r="AR799">
        <f t="shared" si="293"/>
        <v>1.2195121951219511E-2</v>
      </c>
      <c r="AS799">
        <f t="shared" si="315"/>
        <v>0.24300000000000005</v>
      </c>
      <c r="AT799">
        <f t="shared" si="316"/>
        <v>1056</v>
      </c>
      <c r="AU799">
        <f t="shared" si="317"/>
        <v>13</v>
      </c>
      <c r="AV799">
        <f t="shared" si="304"/>
        <v>830</v>
      </c>
      <c r="AW799">
        <f t="shared" si="305"/>
        <v>14</v>
      </c>
      <c r="AX799" s="3">
        <f t="shared" si="306"/>
        <v>3502.1538461538457</v>
      </c>
      <c r="AY799">
        <f t="shared" si="307"/>
        <v>528</v>
      </c>
      <c r="AZ799">
        <f t="shared" si="308"/>
        <v>15</v>
      </c>
      <c r="BA799" s="3">
        <f t="shared" si="309"/>
        <v>3803.1538461538457</v>
      </c>
    </row>
    <row r="800" spans="1:53" x14ac:dyDescent="0.2">
      <c r="A800" s="4">
        <v>2001</v>
      </c>
      <c r="B800" t="s">
        <v>83</v>
      </c>
      <c r="C800" t="s">
        <v>57</v>
      </c>
      <c r="D800">
        <v>3.3</v>
      </c>
      <c r="E800">
        <v>0.4</v>
      </c>
      <c r="F800">
        <v>0</v>
      </c>
      <c r="G800">
        <v>0</v>
      </c>
      <c r="H800">
        <v>0</v>
      </c>
      <c r="I800">
        <v>2.8</v>
      </c>
      <c r="J800">
        <v>0</v>
      </c>
      <c r="K800">
        <f t="shared" si="297"/>
        <v>6.5</v>
      </c>
      <c r="L800">
        <v>0</v>
      </c>
      <c r="M800">
        <v>0</v>
      </c>
      <c r="N800">
        <v>0</v>
      </c>
      <c r="O800">
        <f t="shared" si="310"/>
        <v>0</v>
      </c>
      <c r="P800">
        <v>0</v>
      </c>
      <c r="Q800">
        <v>0</v>
      </c>
      <c r="R800">
        <v>4.5999999999999996</v>
      </c>
      <c r="S800">
        <f t="shared" si="311"/>
        <v>4.5999999999999996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f t="shared" si="312"/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f t="shared" si="313"/>
        <v>0</v>
      </c>
      <c r="AK800">
        <v>0</v>
      </c>
      <c r="AL800">
        <v>0.89</v>
      </c>
      <c r="AM800">
        <f t="shared" si="314"/>
        <v>0.11099999999999997</v>
      </c>
      <c r="AN800">
        <v>2298</v>
      </c>
      <c r="AO800" t="s">
        <v>13</v>
      </c>
      <c r="AP800" s="3">
        <f t="shared" si="302"/>
        <v>2584.9268841394824</v>
      </c>
      <c r="AQ800" t="s">
        <v>13</v>
      </c>
      <c r="AR800">
        <f t="shared" si="293"/>
        <v>0</v>
      </c>
      <c r="AS800">
        <f t="shared" si="315"/>
        <v>0.111</v>
      </c>
      <c r="AT800">
        <f t="shared" si="316"/>
        <v>287</v>
      </c>
      <c r="AU800">
        <f t="shared" si="317"/>
        <v>0</v>
      </c>
      <c r="AV800">
        <f t="shared" si="304"/>
        <v>203</v>
      </c>
      <c r="AW800">
        <f t="shared" si="305"/>
        <v>0</v>
      </c>
      <c r="AX800" s="3">
        <f t="shared" si="306"/>
        <v>2381.9268841394824</v>
      </c>
      <c r="AY800">
        <f t="shared" si="307"/>
        <v>143</v>
      </c>
      <c r="AZ800">
        <f t="shared" si="308"/>
        <v>0</v>
      </c>
      <c r="BA800" s="3">
        <f t="shared" si="309"/>
        <v>2441.9268841394824</v>
      </c>
    </row>
    <row r="801" spans="1:53" x14ac:dyDescent="0.2">
      <c r="A801" s="4">
        <v>2002</v>
      </c>
      <c r="B801" t="s">
        <v>83</v>
      </c>
      <c r="C801" t="s">
        <v>57</v>
      </c>
      <c r="D801">
        <v>5.6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11.8</v>
      </c>
      <c r="K801">
        <f t="shared" si="297"/>
        <v>17.399999999999999</v>
      </c>
      <c r="L801">
        <v>0</v>
      </c>
      <c r="M801">
        <v>0</v>
      </c>
      <c r="N801">
        <v>10.3</v>
      </c>
      <c r="O801">
        <f t="shared" si="310"/>
        <v>10.3</v>
      </c>
      <c r="P801">
        <v>0</v>
      </c>
      <c r="Q801">
        <v>0</v>
      </c>
      <c r="R801">
        <v>5</v>
      </c>
      <c r="S801">
        <f t="shared" si="311"/>
        <v>5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f t="shared" si="312"/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f t="shared" si="313"/>
        <v>0</v>
      </c>
      <c r="AK801">
        <v>0</v>
      </c>
      <c r="AL801">
        <v>0.67299999999999993</v>
      </c>
      <c r="AM801">
        <f t="shared" si="314"/>
        <v>0.32700000000000001</v>
      </c>
      <c r="AN801">
        <v>1593</v>
      </c>
      <c r="AO801" t="s">
        <v>13</v>
      </c>
      <c r="AP801" s="3">
        <f t="shared" si="302"/>
        <v>2367.0133729569093</v>
      </c>
      <c r="AQ801" t="s">
        <v>13</v>
      </c>
      <c r="AR801">
        <f t="shared" si="293"/>
        <v>0</v>
      </c>
      <c r="AS801">
        <f t="shared" si="315"/>
        <v>0.32700000000000001</v>
      </c>
      <c r="AT801">
        <f t="shared" si="316"/>
        <v>774</v>
      </c>
      <c r="AU801">
        <f t="shared" si="317"/>
        <v>0</v>
      </c>
      <c r="AV801">
        <f t="shared" si="304"/>
        <v>568</v>
      </c>
      <c r="AW801">
        <f t="shared" si="305"/>
        <v>0</v>
      </c>
      <c r="AX801" s="3">
        <f t="shared" si="306"/>
        <v>1799.0133729569093</v>
      </c>
      <c r="AY801">
        <f t="shared" si="307"/>
        <v>387</v>
      </c>
      <c r="AZ801">
        <f t="shared" si="308"/>
        <v>0</v>
      </c>
      <c r="BA801" s="3">
        <f t="shared" si="309"/>
        <v>1980.0133729569093</v>
      </c>
    </row>
    <row r="802" spans="1:53" x14ac:dyDescent="0.2">
      <c r="A802" s="4">
        <v>2003</v>
      </c>
      <c r="B802" t="s">
        <v>83</v>
      </c>
      <c r="C802" t="s">
        <v>57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f t="shared" si="297"/>
        <v>0</v>
      </c>
      <c r="L802">
        <v>0</v>
      </c>
      <c r="M802">
        <v>0.6</v>
      </c>
      <c r="N802">
        <v>0</v>
      </c>
      <c r="O802">
        <f t="shared" si="310"/>
        <v>0.6</v>
      </c>
      <c r="P802">
        <v>0</v>
      </c>
      <c r="Q802">
        <v>0</v>
      </c>
      <c r="R802">
        <v>18.5</v>
      </c>
      <c r="S802">
        <f t="shared" si="311"/>
        <v>18.5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f t="shared" si="312"/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f t="shared" si="313"/>
        <v>0</v>
      </c>
      <c r="AK802">
        <v>6.5</v>
      </c>
      <c r="AL802">
        <v>0.74400000000000011</v>
      </c>
      <c r="AM802">
        <f t="shared" si="314"/>
        <v>0.191</v>
      </c>
      <c r="AN802">
        <v>1629</v>
      </c>
      <c r="AO802" t="s">
        <v>13</v>
      </c>
      <c r="AP802" s="3">
        <f t="shared" si="302"/>
        <v>2013.5970333745365</v>
      </c>
      <c r="AQ802" t="s">
        <v>13</v>
      </c>
      <c r="AR802">
        <f t="shared" si="293"/>
        <v>0</v>
      </c>
      <c r="AS802">
        <f t="shared" si="315"/>
        <v>0.191</v>
      </c>
      <c r="AT802">
        <f t="shared" si="316"/>
        <v>385</v>
      </c>
      <c r="AU802">
        <f t="shared" si="317"/>
        <v>0</v>
      </c>
      <c r="AV802">
        <f t="shared" si="304"/>
        <v>385</v>
      </c>
      <c r="AW802">
        <f t="shared" si="305"/>
        <v>0</v>
      </c>
      <c r="AX802" s="3">
        <f t="shared" si="306"/>
        <v>1628.5970333745365</v>
      </c>
      <c r="AY802">
        <f t="shared" si="307"/>
        <v>192</v>
      </c>
      <c r="AZ802">
        <f t="shared" si="308"/>
        <v>0</v>
      </c>
      <c r="BA802" s="3">
        <f t="shared" si="309"/>
        <v>1821.5970333745365</v>
      </c>
    </row>
    <row r="803" spans="1:53" x14ac:dyDescent="0.2">
      <c r="A803" s="4">
        <v>2004</v>
      </c>
      <c r="B803" t="s">
        <v>83</v>
      </c>
      <c r="C803" t="s">
        <v>57</v>
      </c>
      <c r="D803" t="s">
        <v>13</v>
      </c>
      <c r="E803" t="s">
        <v>13</v>
      </c>
      <c r="F803" t="s">
        <v>13</v>
      </c>
      <c r="G803" t="s">
        <v>13</v>
      </c>
      <c r="H803" t="s">
        <v>13</v>
      </c>
      <c r="I803" t="s">
        <v>13</v>
      </c>
      <c r="J803" t="s">
        <v>13</v>
      </c>
      <c r="K803" t="s">
        <v>13</v>
      </c>
      <c r="L803" t="s">
        <v>13</v>
      </c>
      <c r="M803" t="s">
        <v>13</v>
      </c>
      <c r="N803" t="s">
        <v>13</v>
      </c>
      <c r="O803" t="s">
        <v>13</v>
      </c>
      <c r="P803" t="s">
        <v>13</v>
      </c>
      <c r="Q803" t="s">
        <v>13</v>
      </c>
      <c r="R803" t="s">
        <v>13</v>
      </c>
      <c r="S803" t="s">
        <v>13</v>
      </c>
      <c r="T803" t="s">
        <v>13</v>
      </c>
      <c r="U803" t="s">
        <v>13</v>
      </c>
      <c r="V803" t="s">
        <v>13</v>
      </c>
      <c r="W803" t="s">
        <v>13</v>
      </c>
      <c r="X803" t="s">
        <v>13</v>
      </c>
      <c r="Y803" t="s">
        <v>13</v>
      </c>
      <c r="Z803" t="s">
        <v>13</v>
      </c>
      <c r="AA803" t="s">
        <v>13</v>
      </c>
      <c r="AB803" t="s">
        <v>13</v>
      </c>
      <c r="AC803" t="s">
        <v>13</v>
      </c>
      <c r="AD803" t="s">
        <v>13</v>
      </c>
      <c r="AE803" t="s">
        <v>13</v>
      </c>
      <c r="AF803" t="s">
        <v>13</v>
      </c>
      <c r="AG803" t="s">
        <v>13</v>
      </c>
      <c r="AH803" t="s">
        <v>13</v>
      </c>
      <c r="AI803" t="s">
        <v>13</v>
      </c>
      <c r="AJ803" t="s">
        <v>13</v>
      </c>
      <c r="AK803" t="s">
        <v>13</v>
      </c>
      <c r="AL803" t="s">
        <v>13</v>
      </c>
      <c r="AM803">
        <f t="shared" si="314"/>
        <v>0</v>
      </c>
      <c r="AN803">
        <v>1129</v>
      </c>
      <c r="AO803" t="s">
        <v>13</v>
      </c>
      <c r="AP803" s="3">
        <f t="shared" si="302"/>
        <v>1129</v>
      </c>
      <c r="AQ803" t="s">
        <v>13</v>
      </c>
      <c r="AR803" t="s">
        <v>13</v>
      </c>
      <c r="AS803" t="s">
        <v>13</v>
      </c>
      <c r="AT803" t="s">
        <v>13</v>
      </c>
      <c r="AU803" t="s">
        <v>13</v>
      </c>
      <c r="AV803" t="s">
        <v>13</v>
      </c>
      <c r="AW803" t="s">
        <v>13</v>
      </c>
      <c r="AX803" t="s">
        <v>13</v>
      </c>
      <c r="AY803" t="s">
        <v>13</v>
      </c>
      <c r="AZ803" t="s">
        <v>13</v>
      </c>
      <c r="BA803" t="s">
        <v>13</v>
      </c>
    </row>
    <row r="804" spans="1:53" x14ac:dyDescent="0.2">
      <c r="A804" s="4">
        <v>2005</v>
      </c>
      <c r="B804" t="s">
        <v>83</v>
      </c>
      <c r="C804" t="s">
        <v>57</v>
      </c>
      <c r="D804">
        <v>1.7</v>
      </c>
      <c r="E804">
        <v>0</v>
      </c>
      <c r="F804">
        <v>0</v>
      </c>
      <c r="G804">
        <v>1.3</v>
      </c>
      <c r="H804">
        <v>0</v>
      </c>
      <c r="I804">
        <v>0.6</v>
      </c>
      <c r="J804">
        <v>0</v>
      </c>
      <c r="K804">
        <f t="shared" si="297"/>
        <v>3.6</v>
      </c>
      <c r="L804">
        <v>0</v>
      </c>
      <c r="M804">
        <v>0</v>
      </c>
      <c r="N804">
        <v>0</v>
      </c>
      <c r="O804">
        <f t="shared" si="310"/>
        <v>0</v>
      </c>
      <c r="P804">
        <v>0</v>
      </c>
      <c r="Q804">
        <v>0</v>
      </c>
      <c r="R804">
        <v>33.200000000000003</v>
      </c>
      <c r="S804">
        <f t="shared" si="311"/>
        <v>33.200000000000003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f t="shared" si="312"/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f t="shared" si="313"/>
        <v>0</v>
      </c>
      <c r="AK804">
        <v>0</v>
      </c>
      <c r="AL804">
        <v>0.63100000000000001</v>
      </c>
      <c r="AM804">
        <f t="shared" si="314"/>
        <v>0.36800000000000005</v>
      </c>
      <c r="AN804">
        <v>3371</v>
      </c>
      <c r="AO804" t="s">
        <v>13</v>
      </c>
      <c r="AP804" s="3">
        <f t="shared" si="302"/>
        <v>5333.860759493672</v>
      </c>
      <c r="AQ804" t="s">
        <v>13</v>
      </c>
      <c r="AR804">
        <f t="shared" ref="AR804:AR867" si="318">(AJ804/100)/AM804</f>
        <v>0</v>
      </c>
      <c r="AS804">
        <f t="shared" ref="AS804:AS821" si="319">SUM(K804,O804,S804,AA804)/100</f>
        <v>0.36800000000000005</v>
      </c>
      <c r="AT804">
        <f t="shared" ref="AT804:AT820" si="320">ROUND(AS804*AP804,0)</f>
        <v>1963</v>
      </c>
      <c r="AU804">
        <f t="shared" ref="AU804:AU820" si="321">ROUND((AJ804/100)*AP804,0)</f>
        <v>0</v>
      </c>
      <c r="AV804">
        <f t="shared" si="304"/>
        <v>1867</v>
      </c>
      <c r="AW804">
        <f t="shared" si="305"/>
        <v>0</v>
      </c>
      <c r="AX804" s="3">
        <f t="shared" si="306"/>
        <v>3466.860759493672</v>
      </c>
      <c r="AY804">
        <f t="shared" si="307"/>
        <v>981</v>
      </c>
      <c r="AZ804">
        <f t="shared" si="308"/>
        <v>0</v>
      </c>
      <c r="BA804" s="3">
        <f t="shared" si="309"/>
        <v>4352.860759493672</v>
      </c>
    </row>
    <row r="805" spans="1:53" x14ac:dyDescent="0.2">
      <c r="A805" s="4">
        <v>2006</v>
      </c>
      <c r="B805" t="s">
        <v>83</v>
      </c>
      <c r="C805" t="s">
        <v>57</v>
      </c>
      <c r="D805">
        <v>7.4</v>
      </c>
      <c r="E805">
        <v>7</v>
      </c>
      <c r="F805">
        <v>0</v>
      </c>
      <c r="G805">
        <v>0.9</v>
      </c>
      <c r="H805">
        <v>0</v>
      </c>
      <c r="I805">
        <v>0</v>
      </c>
      <c r="J805">
        <v>0</v>
      </c>
      <c r="K805">
        <f t="shared" si="297"/>
        <v>15.3</v>
      </c>
      <c r="L805">
        <v>0</v>
      </c>
      <c r="M805">
        <v>0</v>
      </c>
      <c r="N805">
        <v>0</v>
      </c>
      <c r="O805">
        <f t="shared" si="310"/>
        <v>0</v>
      </c>
      <c r="P805">
        <v>0</v>
      </c>
      <c r="Q805">
        <v>0</v>
      </c>
      <c r="R805">
        <v>10.4</v>
      </c>
      <c r="S805">
        <f t="shared" si="311"/>
        <v>10.4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f t="shared" si="312"/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f t="shared" si="313"/>
        <v>0</v>
      </c>
      <c r="AK805">
        <v>0</v>
      </c>
      <c r="AL805">
        <v>0.74299999999999999</v>
      </c>
      <c r="AM805">
        <f t="shared" si="314"/>
        <v>0.25700000000000001</v>
      </c>
      <c r="AN805">
        <v>1961</v>
      </c>
      <c r="AO805" t="s">
        <v>13</v>
      </c>
      <c r="AP805" s="3">
        <f t="shared" si="302"/>
        <v>2639.3001345895022</v>
      </c>
      <c r="AQ805" t="s">
        <v>13</v>
      </c>
      <c r="AR805">
        <f t="shared" si="318"/>
        <v>0</v>
      </c>
      <c r="AS805">
        <f t="shared" si="319"/>
        <v>0.25700000000000001</v>
      </c>
      <c r="AT805">
        <f t="shared" si="320"/>
        <v>678</v>
      </c>
      <c r="AU805">
        <f t="shared" si="321"/>
        <v>0</v>
      </c>
      <c r="AV805">
        <f t="shared" si="304"/>
        <v>476</v>
      </c>
      <c r="AW805">
        <f t="shared" si="305"/>
        <v>0</v>
      </c>
      <c r="AX805" s="3">
        <f t="shared" si="306"/>
        <v>2163.3001345895022</v>
      </c>
      <c r="AY805">
        <f t="shared" si="307"/>
        <v>339</v>
      </c>
      <c r="AZ805">
        <f t="shared" si="308"/>
        <v>0</v>
      </c>
      <c r="BA805" s="3">
        <f t="shared" si="309"/>
        <v>2300.3001345895022</v>
      </c>
    </row>
    <row r="806" spans="1:53" x14ac:dyDescent="0.2">
      <c r="A806" s="4">
        <v>2007</v>
      </c>
      <c r="B806" t="s">
        <v>83</v>
      </c>
      <c r="C806" t="s">
        <v>57</v>
      </c>
      <c r="D806">
        <v>11.6</v>
      </c>
      <c r="E806">
        <v>8.1</v>
      </c>
      <c r="F806">
        <v>2.8</v>
      </c>
      <c r="G806">
        <v>0.7</v>
      </c>
      <c r="H806">
        <v>0</v>
      </c>
      <c r="I806">
        <v>0</v>
      </c>
      <c r="J806">
        <v>0</v>
      </c>
      <c r="K806">
        <f t="shared" si="297"/>
        <v>23.2</v>
      </c>
      <c r="L806">
        <v>0</v>
      </c>
      <c r="M806">
        <v>0.3</v>
      </c>
      <c r="N806">
        <v>0</v>
      </c>
      <c r="O806">
        <f t="shared" si="310"/>
        <v>0.3</v>
      </c>
      <c r="P806">
        <v>0</v>
      </c>
      <c r="Q806">
        <v>0</v>
      </c>
      <c r="R806">
        <v>6.4</v>
      </c>
      <c r="S806">
        <f t="shared" si="311"/>
        <v>6.4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f t="shared" si="312"/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f t="shared" si="313"/>
        <v>0</v>
      </c>
      <c r="AK806">
        <v>0.2</v>
      </c>
      <c r="AL806">
        <v>0.69799999999999995</v>
      </c>
      <c r="AM806">
        <f t="shared" si="314"/>
        <v>0.29899999999999999</v>
      </c>
      <c r="AN806">
        <v>1623</v>
      </c>
      <c r="AO806" t="s">
        <v>13</v>
      </c>
      <c r="AP806" s="3">
        <f t="shared" si="302"/>
        <v>2315.2639087018542</v>
      </c>
      <c r="AQ806" t="s">
        <v>13</v>
      </c>
      <c r="AR806">
        <f t="shared" si="318"/>
        <v>0</v>
      </c>
      <c r="AS806">
        <f t="shared" si="319"/>
        <v>0.29899999999999999</v>
      </c>
      <c r="AT806">
        <f t="shared" si="320"/>
        <v>692</v>
      </c>
      <c r="AU806">
        <f t="shared" si="321"/>
        <v>0</v>
      </c>
      <c r="AV806">
        <f t="shared" si="304"/>
        <v>424</v>
      </c>
      <c r="AW806">
        <f t="shared" si="305"/>
        <v>0</v>
      </c>
      <c r="AX806" s="3">
        <f t="shared" si="306"/>
        <v>1891.2639087018542</v>
      </c>
      <c r="AY806">
        <f t="shared" si="307"/>
        <v>346</v>
      </c>
      <c r="AZ806">
        <f t="shared" si="308"/>
        <v>0</v>
      </c>
      <c r="BA806" s="3">
        <f t="shared" si="309"/>
        <v>1969.2639087018542</v>
      </c>
    </row>
    <row r="807" spans="1:53" x14ac:dyDescent="0.2">
      <c r="A807" s="4">
        <v>2008</v>
      </c>
      <c r="B807" t="s">
        <v>83</v>
      </c>
      <c r="C807" t="s">
        <v>57</v>
      </c>
      <c r="D807">
        <v>1.4</v>
      </c>
      <c r="E807">
        <v>1</v>
      </c>
      <c r="F807">
        <v>1.9</v>
      </c>
      <c r="G807">
        <v>0</v>
      </c>
      <c r="H807">
        <v>0</v>
      </c>
      <c r="I807">
        <v>0</v>
      </c>
      <c r="J807">
        <v>5</v>
      </c>
      <c r="K807">
        <f t="shared" si="297"/>
        <v>9.3000000000000007</v>
      </c>
      <c r="L807">
        <v>0</v>
      </c>
      <c r="M807">
        <v>0</v>
      </c>
      <c r="N807">
        <v>6.9</v>
      </c>
      <c r="O807">
        <f t="shared" si="310"/>
        <v>6.9</v>
      </c>
      <c r="P807">
        <v>0</v>
      </c>
      <c r="Q807">
        <v>0</v>
      </c>
      <c r="R807">
        <v>11.2</v>
      </c>
      <c r="S807">
        <f t="shared" si="311"/>
        <v>11.2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f t="shared" si="312"/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f t="shared" si="313"/>
        <v>0</v>
      </c>
      <c r="AK807">
        <v>0</v>
      </c>
      <c r="AL807">
        <v>0.72599999999999998</v>
      </c>
      <c r="AM807">
        <f t="shared" si="314"/>
        <v>0.27399999999999997</v>
      </c>
      <c r="AN807">
        <v>1228</v>
      </c>
      <c r="AO807" t="s">
        <v>13</v>
      </c>
      <c r="AP807" s="3">
        <f t="shared" si="302"/>
        <v>1691.4600550964187</v>
      </c>
      <c r="AQ807" t="s">
        <v>13</v>
      </c>
      <c r="AR807">
        <f t="shared" si="318"/>
        <v>0</v>
      </c>
      <c r="AS807">
        <f t="shared" si="319"/>
        <v>0.27400000000000002</v>
      </c>
      <c r="AT807">
        <f t="shared" si="320"/>
        <v>463</v>
      </c>
      <c r="AU807">
        <f t="shared" si="321"/>
        <v>0</v>
      </c>
      <c r="AV807">
        <f t="shared" si="304"/>
        <v>385</v>
      </c>
      <c r="AW807">
        <f t="shared" si="305"/>
        <v>0</v>
      </c>
      <c r="AX807" s="3">
        <f t="shared" si="306"/>
        <v>1306.4600550964187</v>
      </c>
      <c r="AY807">
        <f t="shared" si="307"/>
        <v>232</v>
      </c>
      <c r="AZ807">
        <f t="shared" si="308"/>
        <v>0</v>
      </c>
      <c r="BA807" s="3">
        <f t="shared" si="309"/>
        <v>1459.4600550964187</v>
      </c>
    </row>
    <row r="808" spans="1:53" x14ac:dyDescent="0.2">
      <c r="A808" s="4">
        <v>2009</v>
      </c>
      <c r="B808" t="s">
        <v>83</v>
      </c>
      <c r="C808" t="s">
        <v>57</v>
      </c>
      <c r="D808">
        <v>5.3</v>
      </c>
      <c r="E808">
        <v>1.7</v>
      </c>
      <c r="F808">
        <v>0.2</v>
      </c>
      <c r="G808">
        <v>1</v>
      </c>
      <c r="H808">
        <v>0.8</v>
      </c>
      <c r="I808">
        <v>0</v>
      </c>
      <c r="J808">
        <v>0</v>
      </c>
      <c r="K808">
        <f t="shared" si="297"/>
        <v>9</v>
      </c>
      <c r="L808">
        <v>0</v>
      </c>
      <c r="M808">
        <v>0</v>
      </c>
      <c r="N808">
        <v>0</v>
      </c>
      <c r="O808">
        <f t="shared" si="310"/>
        <v>0</v>
      </c>
      <c r="P808">
        <v>0</v>
      </c>
      <c r="Q808">
        <v>0</v>
      </c>
      <c r="R808">
        <v>17.5</v>
      </c>
      <c r="S808">
        <f t="shared" si="311"/>
        <v>17.5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f t="shared" si="312"/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f t="shared" si="313"/>
        <v>0</v>
      </c>
      <c r="AK808">
        <v>0</v>
      </c>
      <c r="AL808">
        <v>0.73499999999999999</v>
      </c>
      <c r="AM808">
        <f t="shared" si="314"/>
        <v>0.26500000000000001</v>
      </c>
      <c r="AN808">
        <v>2111</v>
      </c>
      <c r="AO808" t="s">
        <v>13</v>
      </c>
      <c r="AP808" s="3">
        <f t="shared" si="302"/>
        <v>2872.1088435374149</v>
      </c>
      <c r="AQ808" t="s">
        <v>13</v>
      </c>
      <c r="AR808">
        <f t="shared" si="318"/>
        <v>0</v>
      </c>
      <c r="AS808">
        <f t="shared" si="319"/>
        <v>0.26500000000000001</v>
      </c>
      <c r="AT808">
        <f t="shared" si="320"/>
        <v>761</v>
      </c>
      <c r="AU808">
        <f t="shared" si="321"/>
        <v>0</v>
      </c>
      <c r="AV808">
        <f t="shared" si="304"/>
        <v>632</v>
      </c>
      <c r="AW808">
        <f t="shared" si="305"/>
        <v>0</v>
      </c>
      <c r="AX808" s="3">
        <f t="shared" si="306"/>
        <v>2240.1088435374149</v>
      </c>
      <c r="AY808">
        <f t="shared" si="307"/>
        <v>381</v>
      </c>
      <c r="AZ808">
        <f t="shared" si="308"/>
        <v>0</v>
      </c>
      <c r="BA808" s="3">
        <f t="shared" si="309"/>
        <v>2491.1088435374149</v>
      </c>
    </row>
    <row r="809" spans="1:53" x14ac:dyDescent="0.2">
      <c r="A809" s="4">
        <v>2010</v>
      </c>
      <c r="B809" t="s">
        <v>83</v>
      </c>
      <c r="C809" t="s">
        <v>57</v>
      </c>
      <c r="D809">
        <v>7.1</v>
      </c>
      <c r="E809">
        <v>3</v>
      </c>
      <c r="F809">
        <v>0</v>
      </c>
      <c r="G809">
        <v>0</v>
      </c>
      <c r="H809">
        <v>1</v>
      </c>
      <c r="I809">
        <v>1.6</v>
      </c>
      <c r="J809">
        <v>1.3</v>
      </c>
      <c r="K809">
        <f t="shared" si="297"/>
        <v>14</v>
      </c>
      <c r="L809">
        <v>0</v>
      </c>
      <c r="M809">
        <v>0</v>
      </c>
      <c r="N809">
        <v>3.3</v>
      </c>
      <c r="O809">
        <f t="shared" si="310"/>
        <v>3.3</v>
      </c>
      <c r="P809">
        <v>0</v>
      </c>
      <c r="Q809">
        <v>0</v>
      </c>
      <c r="R809">
        <v>17.100000000000001</v>
      </c>
      <c r="S809">
        <f t="shared" si="311"/>
        <v>17.100000000000001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f t="shared" si="312"/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f t="shared" si="313"/>
        <v>0</v>
      </c>
      <c r="AK809">
        <v>0</v>
      </c>
      <c r="AL809">
        <v>0.65599999999999992</v>
      </c>
      <c r="AM809">
        <f t="shared" si="314"/>
        <v>0.34399999999999997</v>
      </c>
      <c r="AN809">
        <v>2042</v>
      </c>
      <c r="AO809" t="s">
        <v>13</v>
      </c>
      <c r="AP809" s="3">
        <f t="shared" si="302"/>
        <v>3112.8048780487802</v>
      </c>
      <c r="AQ809" t="s">
        <v>13</v>
      </c>
      <c r="AR809">
        <f t="shared" si="318"/>
        <v>0</v>
      </c>
      <c r="AS809">
        <f t="shared" si="319"/>
        <v>0.34400000000000008</v>
      </c>
      <c r="AT809">
        <f t="shared" si="320"/>
        <v>1071</v>
      </c>
      <c r="AU809">
        <f t="shared" si="321"/>
        <v>0</v>
      </c>
      <c r="AV809">
        <f t="shared" si="304"/>
        <v>853</v>
      </c>
      <c r="AW809">
        <f t="shared" si="305"/>
        <v>0</v>
      </c>
      <c r="AX809" s="3">
        <f t="shared" si="306"/>
        <v>2259.8048780487802</v>
      </c>
      <c r="AY809">
        <f t="shared" si="307"/>
        <v>535</v>
      </c>
      <c r="AZ809">
        <f t="shared" si="308"/>
        <v>0</v>
      </c>
      <c r="BA809" s="3">
        <f t="shared" si="309"/>
        <v>2577.8048780487802</v>
      </c>
    </row>
    <row r="810" spans="1:53" x14ac:dyDescent="0.2">
      <c r="A810" s="4">
        <v>2011</v>
      </c>
      <c r="B810" t="s">
        <v>83</v>
      </c>
      <c r="C810" t="s">
        <v>57</v>
      </c>
      <c r="D810">
        <v>6.5</v>
      </c>
      <c r="E810">
        <v>3.5</v>
      </c>
      <c r="F810">
        <v>0.6</v>
      </c>
      <c r="G810">
        <v>1.5</v>
      </c>
      <c r="H810">
        <v>1.5</v>
      </c>
      <c r="I810">
        <v>0</v>
      </c>
      <c r="J810">
        <v>0</v>
      </c>
      <c r="K810">
        <f t="shared" ref="K810:K873" si="322">SUM(D810:J810)</f>
        <v>13.6</v>
      </c>
      <c r="L810">
        <v>0</v>
      </c>
      <c r="M810">
        <v>0</v>
      </c>
      <c r="N810">
        <v>9.3000000000000007</v>
      </c>
      <c r="O810">
        <f t="shared" si="310"/>
        <v>9.3000000000000007</v>
      </c>
      <c r="P810">
        <v>0</v>
      </c>
      <c r="Q810">
        <v>0</v>
      </c>
      <c r="R810">
        <v>12</v>
      </c>
      <c r="S810">
        <f t="shared" si="311"/>
        <v>12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f t="shared" si="312"/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f t="shared" si="313"/>
        <v>0</v>
      </c>
      <c r="AK810">
        <v>0</v>
      </c>
      <c r="AL810">
        <v>0.65099999999999991</v>
      </c>
      <c r="AM810">
        <f t="shared" si="314"/>
        <v>0.34900000000000003</v>
      </c>
      <c r="AN810">
        <v>2138</v>
      </c>
      <c r="AO810" t="s">
        <v>13</v>
      </c>
      <c r="AP810" s="3">
        <f t="shared" si="302"/>
        <v>3284.1781874039939</v>
      </c>
      <c r="AQ810" t="s">
        <v>13</v>
      </c>
      <c r="AR810">
        <f t="shared" si="318"/>
        <v>0</v>
      </c>
      <c r="AS810">
        <f t="shared" si="319"/>
        <v>0.34899999999999998</v>
      </c>
      <c r="AT810">
        <f t="shared" si="320"/>
        <v>1146</v>
      </c>
      <c r="AU810">
        <f t="shared" si="321"/>
        <v>0</v>
      </c>
      <c r="AV810">
        <f t="shared" si="304"/>
        <v>923</v>
      </c>
      <c r="AW810">
        <f t="shared" si="305"/>
        <v>0</v>
      </c>
      <c r="AX810" s="3">
        <f t="shared" si="306"/>
        <v>2361.1781874039939</v>
      </c>
      <c r="AY810">
        <f t="shared" si="307"/>
        <v>573</v>
      </c>
      <c r="AZ810">
        <f t="shared" si="308"/>
        <v>0</v>
      </c>
      <c r="BA810" s="3">
        <f t="shared" si="309"/>
        <v>2711.1781874039939</v>
      </c>
    </row>
    <row r="811" spans="1:53" x14ac:dyDescent="0.2">
      <c r="A811" s="4">
        <v>2012</v>
      </c>
      <c r="B811" t="s">
        <v>83</v>
      </c>
      <c r="C811" t="s">
        <v>57</v>
      </c>
      <c r="D811">
        <v>11.2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3</v>
      </c>
      <c r="K811">
        <f t="shared" si="322"/>
        <v>14.2</v>
      </c>
      <c r="L811">
        <v>0</v>
      </c>
      <c r="M811">
        <v>0</v>
      </c>
      <c r="N811">
        <v>3.3</v>
      </c>
      <c r="O811">
        <f t="shared" si="310"/>
        <v>3.3</v>
      </c>
      <c r="P811">
        <v>0</v>
      </c>
      <c r="Q811">
        <v>0</v>
      </c>
      <c r="R811">
        <v>27.8</v>
      </c>
      <c r="S811">
        <f t="shared" si="311"/>
        <v>27.8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f t="shared" si="312"/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f t="shared" si="313"/>
        <v>0</v>
      </c>
      <c r="AK811">
        <v>0</v>
      </c>
      <c r="AL811">
        <v>0.54700000000000004</v>
      </c>
      <c r="AM811">
        <f t="shared" si="314"/>
        <v>0.45299999999999996</v>
      </c>
      <c r="AN811">
        <v>1239</v>
      </c>
      <c r="AO811" t="s">
        <v>13</v>
      </c>
      <c r="AP811" s="3">
        <f t="shared" si="302"/>
        <v>2265.0822669104205</v>
      </c>
      <c r="AQ811" t="s">
        <v>13</v>
      </c>
      <c r="AR811">
        <f t="shared" si="318"/>
        <v>0</v>
      </c>
      <c r="AS811">
        <f t="shared" si="319"/>
        <v>0.45299999999999996</v>
      </c>
      <c r="AT811">
        <f t="shared" si="320"/>
        <v>1026</v>
      </c>
      <c r="AU811">
        <f t="shared" si="321"/>
        <v>0</v>
      </c>
      <c r="AV811">
        <f t="shared" si="304"/>
        <v>865</v>
      </c>
      <c r="AW811">
        <f t="shared" si="305"/>
        <v>0</v>
      </c>
      <c r="AX811" s="3">
        <f t="shared" si="306"/>
        <v>1400.0822669104205</v>
      </c>
      <c r="AY811">
        <f t="shared" si="307"/>
        <v>513</v>
      </c>
      <c r="AZ811">
        <f t="shared" si="308"/>
        <v>0</v>
      </c>
      <c r="BA811" s="3">
        <f t="shared" si="309"/>
        <v>1752.0822669104205</v>
      </c>
    </row>
    <row r="812" spans="1:53" x14ac:dyDescent="0.2">
      <c r="A812" s="4">
        <v>2013</v>
      </c>
      <c r="B812" t="s">
        <v>83</v>
      </c>
      <c r="C812" t="s">
        <v>57</v>
      </c>
      <c r="D812">
        <v>0</v>
      </c>
      <c r="E812">
        <v>1.5</v>
      </c>
      <c r="F812">
        <v>0</v>
      </c>
      <c r="G812">
        <v>1.5</v>
      </c>
      <c r="H812">
        <v>3.1</v>
      </c>
      <c r="I812">
        <v>0</v>
      </c>
      <c r="J812">
        <v>0</v>
      </c>
      <c r="K812">
        <f t="shared" si="322"/>
        <v>6.1</v>
      </c>
      <c r="L812">
        <v>0</v>
      </c>
      <c r="M812">
        <v>0</v>
      </c>
      <c r="N812">
        <v>0.4</v>
      </c>
      <c r="O812">
        <f t="shared" si="310"/>
        <v>0.4</v>
      </c>
      <c r="P812">
        <v>0</v>
      </c>
      <c r="Q812">
        <v>0</v>
      </c>
      <c r="R812">
        <v>34.4</v>
      </c>
      <c r="S812">
        <f t="shared" si="311"/>
        <v>34.4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f t="shared" si="312"/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f t="shared" si="313"/>
        <v>0</v>
      </c>
      <c r="AK812">
        <v>0</v>
      </c>
      <c r="AL812">
        <v>0.59</v>
      </c>
      <c r="AM812">
        <f t="shared" si="314"/>
        <v>0.40899999999999997</v>
      </c>
      <c r="AN812">
        <v>1302</v>
      </c>
      <c r="AO812" t="s">
        <v>13</v>
      </c>
      <c r="AP812" s="3">
        <f t="shared" si="302"/>
        <v>2203.0456852791881</v>
      </c>
      <c r="AQ812" t="s">
        <v>13</v>
      </c>
      <c r="AR812">
        <f t="shared" si="318"/>
        <v>0</v>
      </c>
      <c r="AS812">
        <f t="shared" si="319"/>
        <v>0.40899999999999997</v>
      </c>
      <c r="AT812">
        <f t="shared" si="320"/>
        <v>901</v>
      </c>
      <c r="AU812">
        <f t="shared" si="321"/>
        <v>0</v>
      </c>
      <c r="AV812">
        <f t="shared" si="304"/>
        <v>834</v>
      </c>
      <c r="AW812">
        <f t="shared" si="305"/>
        <v>0</v>
      </c>
      <c r="AX812" s="3">
        <f t="shared" si="306"/>
        <v>1369.0456852791881</v>
      </c>
      <c r="AY812">
        <f t="shared" si="307"/>
        <v>451</v>
      </c>
      <c r="AZ812">
        <f t="shared" si="308"/>
        <v>0</v>
      </c>
      <c r="BA812" s="3">
        <f t="shared" si="309"/>
        <v>1752.0456852791881</v>
      </c>
    </row>
    <row r="813" spans="1:53" x14ac:dyDescent="0.2">
      <c r="A813" s="4">
        <v>2014</v>
      </c>
      <c r="B813" t="s">
        <v>83</v>
      </c>
      <c r="C813" t="s">
        <v>57</v>
      </c>
      <c r="D813">
        <v>1.6</v>
      </c>
      <c r="E813">
        <v>0</v>
      </c>
      <c r="F813">
        <v>2.8</v>
      </c>
      <c r="G813">
        <v>0.8</v>
      </c>
      <c r="H813">
        <v>0</v>
      </c>
      <c r="I813">
        <v>0</v>
      </c>
      <c r="J813">
        <v>0</v>
      </c>
      <c r="K813">
        <f t="shared" si="322"/>
        <v>5.2</v>
      </c>
      <c r="L813">
        <v>0</v>
      </c>
      <c r="M813">
        <v>0.3</v>
      </c>
      <c r="N813">
        <v>0.9</v>
      </c>
      <c r="O813">
        <f t="shared" si="310"/>
        <v>1.2</v>
      </c>
      <c r="P813">
        <v>0</v>
      </c>
      <c r="Q813">
        <v>0</v>
      </c>
      <c r="R813">
        <v>22.8</v>
      </c>
      <c r="S813">
        <f t="shared" si="311"/>
        <v>22.8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f t="shared" si="312"/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f t="shared" si="313"/>
        <v>0</v>
      </c>
      <c r="AK813">
        <v>0</v>
      </c>
      <c r="AL813">
        <v>0.70700000000000007</v>
      </c>
      <c r="AM813">
        <f t="shared" si="314"/>
        <v>0.29200000000000004</v>
      </c>
      <c r="AN813">
        <v>1998</v>
      </c>
      <c r="AO813" t="s">
        <v>13</v>
      </c>
      <c r="AP813" s="3">
        <f t="shared" si="302"/>
        <v>2822.0338983050847</v>
      </c>
      <c r="AQ813" t="s">
        <v>13</v>
      </c>
      <c r="AR813">
        <f t="shared" si="318"/>
        <v>0</v>
      </c>
      <c r="AS813">
        <f t="shared" si="319"/>
        <v>0.29200000000000004</v>
      </c>
      <c r="AT813">
        <f t="shared" si="320"/>
        <v>824</v>
      </c>
      <c r="AU813">
        <f t="shared" si="321"/>
        <v>0</v>
      </c>
      <c r="AV813">
        <f t="shared" si="304"/>
        <v>751</v>
      </c>
      <c r="AW813">
        <f t="shared" si="305"/>
        <v>0</v>
      </c>
      <c r="AX813" s="3">
        <f t="shared" si="306"/>
        <v>2071.0338983050847</v>
      </c>
      <c r="AY813">
        <f t="shared" si="307"/>
        <v>412</v>
      </c>
      <c r="AZ813">
        <f t="shared" si="308"/>
        <v>0</v>
      </c>
      <c r="BA813" s="3">
        <f t="shared" si="309"/>
        <v>2410.0338983050847</v>
      </c>
    </row>
    <row r="814" spans="1:53" x14ac:dyDescent="0.2">
      <c r="A814" s="4">
        <v>2015</v>
      </c>
      <c r="B814" t="s">
        <v>83</v>
      </c>
      <c r="C814" t="s">
        <v>57</v>
      </c>
      <c r="D814">
        <v>6.5</v>
      </c>
      <c r="E814">
        <v>0</v>
      </c>
      <c r="F814">
        <v>0</v>
      </c>
      <c r="G814">
        <v>0</v>
      </c>
      <c r="H814">
        <v>1.8</v>
      </c>
      <c r="I814">
        <v>0.9</v>
      </c>
      <c r="J814">
        <v>0</v>
      </c>
      <c r="K814">
        <f t="shared" si="322"/>
        <v>9.2000000000000011</v>
      </c>
      <c r="L814">
        <v>0</v>
      </c>
      <c r="M814">
        <v>0</v>
      </c>
      <c r="N814">
        <v>3.1</v>
      </c>
      <c r="O814">
        <f t="shared" si="310"/>
        <v>3.1</v>
      </c>
      <c r="P814">
        <v>0</v>
      </c>
      <c r="Q814">
        <v>0</v>
      </c>
      <c r="R814">
        <v>20.100000000000001</v>
      </c>
      <c r="S814">
        <f t="shared" si="311"/>
        <v>20.100000000000001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1.9</v>
      </c>
      <c r="AA814">
        <f t="shared" si="312"/>
        <v>1.9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f t="shared" si="313"/>
        <v>0</v>
      </c>
      <c r="AK814">
        <v>0</v>
      </c>
      <c r="AL814">
        <v>0.65799999999999992</v>
      </c>
      <c r="AM814">
        <f t="shared" si="314"/>
        <v>0.34299999999999997</v>
      </c>
      <c r="AN814">
        <v>973</v>
      </c>
      <c r="AO814" t="s">
        <v>13</v>
      </c>
      <c r="AP814" s="3">
        <f t="shared" si="302"/>
        <v>1480.9741248097412</v>
      </c>
      <c r="AQ814" t="s">
        <v>13</v>
      </c>
      <c r="AR814">
        <f t="shared" si="318"/>
        <v>0</v>
      </c>
      <c r="AS814">
        <f t="shared" si="319"/>
        <v>0.34300000000000003</v>
      </c>
      <c r="AT814">
        <f t="shared" si="320"/>
        <v>508</v>
      </c>
      <c r="AU814">
        <f t="shared" si="321"/>
        <v>0</v>
      </c>
      <c r="AV814">
        <f t="shared" si="304"/>
        <v>440</v>
      </c>
      <c r="AW814">
        <f t="shared" si="305"/>
        <v>0</v>
      </c>
      <c r="AX814" s="3">
        <f t="shared" si="306"/>
        <v>1040.9741248097412</v>
      </c>
      <c r="AY814">
        <f t="shared" si="307"/>
        <v>254</v>
      </c>
      <c r="AZ814">
        <f t="shared" si="308"/>
        <v>0</v>
      </c>
      <c r="BA814" s="3">
        <f t="shared" si="309"/>
        <v>1226.9741248097412</v>
      </c>
    </row>
    <row r="815" spans="1:53" x14ac:dyDescent="0.2">
      <c r="A815" s="4">
        <v>2016</v>
      </c>
      <c r="B815" t="s">
        <v>83</v>
      </c>
      <c r="C815" t="s">
        <v>57</v>
      </c>
      <c r="D815">
        <v>4.5</v>
      </c>
      <c r="E815">
        <v>4.4000000000000004</v>
      </c>
      <c r="F815">
        <v>1.8</v>
      </c>
      <c r="G815">
        <v>2.6</v>
      </c>
      <c r="H815">
        <v>0</v>
      </c>
      <c r="I815">
        <v>0</v>
      </c>
      <c r="J815">
        <v>0</v>
      </c>
      <c r="K815">
        <f t="shared" si="322"/>
        <v>13.3</v>
      </c>
      <c r="L815">
        <v>0</v>
      </c>
      <c r="M815">
        <v>0</v>
      </c>
      <c r="N815">
        <v>3.8</v>
      </c>
      <c r="O815">
        <f t="shared" si="310"/>
        <v>3.8</v>
      </c>
      <c r="P815">
        <v>0</v>
      </c>
      <c r="Q815">
        <v>0</v>
      </c>
      <c r="R815">
        <v>36.9</v>
      </c>
      <c r="S815">
        <f t="shared" si="311"/>
        <v>36.9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f t="shared" si="312"/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f t="shared" si="313"/>
        <v>0</v>
      </c>
      <c r="AK815">
        <v>0</v>
      </c>
      <c r="AL815">
        <v>0.46</v>
      </c>
      <c r="AM815">
        <f t="shared" si="314"/>
        <v>0.53999999999999992</v>
      </c>
      <c r="AN815">
        <v>328</v>
      </c>
      <c r="AO815" t="s">
        <v>13</v>
      </c>
      <c r="AP815" s="3">
        <f t="shared" si="302"/>
        <v>713.04347826086939</v>
      </c>
      <c r="AQ815" t="s">
        <v>13</v>
      </c>
      <c r="AR815">
        <f t="shared" si="318"/>
        <v>0</v>
      </c>
      <c r="AS815">
        <f t="shared" si="319"/>
        <v>0.54</v>
      </c>
      <c r="AT815">
        <f t="shared" si="320"/>
        <v>385</v>
      </c>
      <c r="AU815">
        <f t="shared" si="321"/>
        <v>0</v>
      </c>
      <c r="AV815">
        <f t="shared" si="304"/>
        <v>338</v>
      </c>
      <c r="AW815">
        <f t="shared" si="305"/>
        <v>0</v>
      </c>
      <c r="AX815" s="3">
        <f t="shared" si="306"/>
        <v>375.04347826086939</v>
      </c>
      <c r="AY815">
        <f t="shared" si="307"/>
        <v>193</v>
      </c>
      <c r="AZ815">
        <f t="shared" si="308"/>
        <v>0</v>
      </c>
      <c r="BA815" s="3">
        <f t="shared" si="309"/>
        <v>520.04347826086939</v>
      </c>
    </row>
    <row r="816" spans="1:53" x14ac:dyDescent="0.2">
      <c r="A816" s="4">
        <v>2017</v>
      </c>
      <c r="B816" t="s">
        <v>83</v>
      </c>
      <c r="C816" t="s">
        <v>57</v>
      </c>
      <c r="D816">
        <v>7.3</v>
      </c>
      <c r="E816">
        <v>0.4</v>
      </c>
      <c r="F816">
        <v>0.5</v>
      </c>
      <c r="G816">
        <v>0</v>
      </c>
      <c r="H816">
        <v>1.6</v>
      </c>
      <c r="I816">
        <v>1.5</v>
      </c>
      <c r="J816">
        <v>0</v>
      </c>
      <c r="K816">
        <f t="shared" si="322"/>
        <v>11.299999999999999</v>
      </c>
      <c r="L816">
        <v>0</v>
      </c>
      <c r="M816">
        <v>0.3</v>
      </c>
      <c r="N816">
        <v>9.1</v>
      </c>
      <c r="O816">
        <f t="shared" si="310"/>
        <v>9.4</v>
      </c>
      <c r="P816">
        <v>0</v>
      </c>
      <c r="Q816">
        <v>0</v>
      </c>
      <c r="R816">
        <v>39.200000000000003</v>
      </c>
      <c r="S816">
        <f t="shared" si="311"/>
        <v>39.200000000000003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f t="shared" si="312"/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f t="shared" si="313"/>
        <v>0</v>
      </c>
      <c r="AK816">
        <v>0.3</v>
      </c>
      <c r="AL816">
        <v>0.39799999999999996</v>
      </c>
      <c r="AM816">
        <f t="shared" si="314"/>
        <v>0.59899999999999998</v>
      </c>
      <c r="AN816">
        <v>1616</v>
      </c>
      <c r="AO816" t="s">
        <v>13</v>
      </c>
      <c r="AP816" s="3">
        <f t="shared" si="302"/>
        <v>4029.9251870324188</v>
      </c>
      <c r="AQ816" t="s">
        <v>13</v>
      </c>
      <c r="AR816">
        <f t="shared" si="318"/>
        <v>0</v>
      </c>
      <c r="AS816">
        <f t="shared" si="319"/>
        <v>0.59900000000000009</v>
      </c>
      <c r="AT816">
        <f t="shared" si="320"/>
        <v>2414</v>
      </c>
      <c r="AU816">
        <f t="shared" si="321"/>
        <v>0</v>
      </c>
      <c r="AV816">
        <f t="shared" si="304"/>
        <v>2186</v>
      </c>
      <c r="AW816">
        <f t="shared" si="305"/>
        <v>0</v>
      </c>
      <c r="AX816" s="3">
        <f t="shared" si="306"/>
        <v>1843.9251870324188</v>
      </c>
      <c r="AY816">
        <f t="shared" si="307"/>
        <v>1207</v>
      </c>
      <c r="AZ816">
        <f t="shared" si="308"/>
        <v>0</v>
      </c>
      <c r="BA816" s="3">
        <f t="shared" si="309"/>
        <v>2822.9251870324188</v>
      </c>
    </row>
    <row r="817" spans="1:53" x14ac:dyDescent="0.2">
      <c r="A817" s="4">
        <v>2018</v>
      </c>
      <c r="B817" t="s">
        <v>83</v>
      </c>
      <c r="C817" t="s">
        <v>57</v>
      </c>
      <c r="D817">
        <v>3.8</v>
      </c>
      <c r="E817">
        <v>0</v>
      </c>
      <c r="F817">
        <v>1.3</v>
      </c>
      <c r="G817">
        <v>0.7</v>
      </c>
      <c r="H817">
        <v>0.5</v>
      </c>
      <c r="I817">
        <v>0</v>
      </c>
      <c r="J817">
        <v>0</v>
      </c>
      <c r="K817">
        <f t="shared" si="322"/>
        <v>6.3</v>
      </c>
      <c r="L817">
        <v>0</v>
      </c>
      <c r="M817">
        <v>0</v>
      </c>
      <c r="N817">
        <v>3.4</v>
      </c>
      <c r="O817">
        <f t="shared" si="310"/>
        <v>3.4</v>
      </c>
      <c r="P817">
        <v>0</v>
      </c>
      <c r="Q817">
        <v>0</v>
      </c>
      <c r="R817">
        <v>32.200000000000003</v>
      </c>
      <c r="S817">
        <f t="shared" si="311"/>
        <v>32.200000000000003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f t="shared" si="312"/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f t="shared" si="313"/>
        <v>0</v>
      </c>
      <c r="AK817">
        <v>0</v>
      </c>
      <c r="AL817">
        <v>0.58099999999999996</v>
      </c>
      <c r="AM817">
        <f t="shared" si="314"/>
        <v>0.41899999999999998</v>
      </c>
      <c r="AN817">
        <v>1130</v>
      </c>
      <c r="AO817" t="s">
        <v>13</v>
      </c>
      <c r="AP817" s="3">
        <f t="shared" si="302"/>
        <v>1944.922547332186</v>
      </c>
      <c r="AQ817" t="s">
        <v>13</v>
      </c>
      <c r="AR817">
        <f t="shared" si="318"/>
        <v>0</v>
      </c>
      <c r="AS817">
        <f t="shared" si="319"/>
        <v>0.41900000000000004</v>
      </c>
      <c r="AT817">
        <f t="shared" si="320"/>
        <v>815</v>
      </c>
      <c r="AU817">
        <f t="shared" si="321"/>
        <v>0</v>
      </c>
      <c r="AV817">
        <f t="shared" si="304"/>
        <v>754</v>
      </c>
      <c r="AW817">
        <f t="shared" si="305"/>
        <v>0</v>
      </c>
      <c r="AX817" s="3">
        <f t="shared" si="306"/>
        <v>1190.922547332186</v>
      </c>
      <c r="AY817">
        <f t="shared" si="307"/>
        <v>407</v>
      </c>
      <c r="AZ817">
        <f t="shared" si="308"/>
        <v>0</v>
      </c>
      <c r="BA817" s="3">
        <f t="shared" si="309"/>
        <v>1537.922547332186</v>
      </c>
    </row>
    <row r="818" spans="1:53" x14ac:dyDescent="0.2">
      <c r="A818" s="4">
        <v>2019</v>
      </c>
      <c r="B818" t="s">
        <v>83</v>
      </c>
      <c r="C818" t="s">
        <v>57</v>
      </c>
      <c r="D818">
        <v>6.7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f t="shared" si="322"/>
        <v>6.7</v>
      </c>
      <c r="L818">
        <v>0</v>
      </c>
      <c r="M818">
        <v>0</v>
      </c>
      <c r="N818">
        <v>3.4</v>
      </c>
      <c r="O818">
        <f t="shared" si="310"/>
        <v>3.4</v>
      </c>
      <c r="P818">
        <v>0</v>
      </c>
      <c r="Q818">
        <v>0</v>
      </c>
      <c r="R818">
        <v>9.5</v>
      </c>
      <c r="S818">
        <f t="shared" si="311"/>
        <v>9.5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f t="shared" si="312"/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f t="shared" si="313"/>
        <v>0</v>
      </c>
      <c r="AK818">
        <v>0</v>
      </c>
      <c r="AL818">
        <v>0.80400000000000005</v>
      </c>
      <c r="AM818">
        <f t="shared" si="314"/>
        <v>0.19600000000000001</v>
      </c>
      <c r="AN818">
        <v>1135</v>
      </c>
      <c r="AO818" t="s">
        <v>13</v>
      </c>
      <c r="AP818" s="3">
        <f t="shared" si="302"/>
        <v>1411.6915422885572</v>
      </c>
      <c r="AQ818" t="s">
        <v>13</v>
      </c>
      <c r="AR818">
        <f t="shared" si="318"/>
        <v>0</v>
      </c>
      <c r="AS818">
        <f t="shared" si="319"/>
        <v>0.19600000000000001</v>
      </c>
      <c r="AT818">
        <f t="shared" si="320"/>
        <v>277</v>
      </c>
      <c r="AU818">
        <f t="shared" si="321"/>
        <v>0</v>
      </c>
      <c r="AV818">
        <f t="shared" si="304"/>
        <v>229</v>
      </c>
      <c r="AW818">
        <f t="shared" si="305"/>
        <v>0</v>
      </c>
      <c r="AX818" s="3">
        <f t="shared" si="306"/>
        <v>1182.6915422885572</v>
      </c>
      <c r="AY818">
        <f t="shared" si="307"/>
        <v>138</v>
      </c>
      <c r="AZ818">
        <f t="shared" si="308"/>
        <v>0</v>
      </c>
      <c r="BA818" s="3">
        <f t="shared" si="309"/>
        <v>1273.6915422885572</v>
      </c>
    </row>
    <row r="819" spans="1:53" x14ac:dyDescent="0.2">
      <c r="A819" s="4">
        <v>2020</v>
      </c>
      <c r="B819" t="s">
        <v>83</v>
      </c>
      <c r="C819" t="s">
        <v>57</v>
      </c>
      <c r="D819">
        <v>7.4</v>
      </c>
      <c r="E819">
        <v>1.1000000000000001</v>
      </c>
      <c r="F819">
        <v>0</v>
      </c>
      <c r="G819">
        <v>0</v>
      </c>
      <c r="H819">
        <v>0</v>
      </c>
      <c r="I819">
        <v>0</v>
      </c>
      <c r="J819">
        <v>0</v>
      </c>
      <c r="K819">
        <f t="shared" si="322"/>
        <v>8.5</v>
      </c>
      <c r="L819">
        <v>0</v>
      </c>
      <c r="M819">
        <v>0</v>
      </c>
      <c r="N819">
        <v>8</v>
      </c>
      <c r="O819">
        <f t="shared" si="310"/>
        <v>8</v>
      </c>
      <c r="P819">
        <v>0</v>
      </c>
      <c r="Q819">
        <v>0</v>
      </c>
      <c r="R819">
        <v>37.4</v>
      </c>
      <c r="S819">
        <f t="shared" si="311"/>
        <v>37.4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f t="shared" si="312"/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f t="shared" si="313"/>
        <v>0</v>
      </c>
      <c r="AK819">
        <v>0</v>
      </c>
      <c r="AL819">
        <v>0.46100000000000002</v>
      </c>
      <c r="AM819">
        <f t="shared" si="314"/>
        <v>0.53900000000000003</v>
      </c>
      <c r="AN819">
        <v>1154</v>
      </c>
      <c r="AO819" t="s">
        <v>13</v>
      </c>
      <c r="AP819" s="3">
        <f t="shared" si="302"/>
        <v>2503.2537960954451</v>
      </c>
      <c r="AQ819" t="s">
        <v>13</v>
      </c>
      <c r="AR819">
        <f t="shared" si="318"/>
        <v>0</v>
      </c>
      <c r="AS819">
        <f t="shared" si="319"/>
        <v>0.53900000000000003</v>
      </c>
      <c r="AT819">
        <f t="shared" si="320"/>
        <v>1349</v>
      </c>
      <c r="AU819">
        <f t="shared" si="321"/>
        <v>0</v>
      </c>
      <c r="AV819">
        <f t="shared" si="304"/>
        <v>1243</v>
      </c>
      <c r="AW819">
        <f t="shared" si="305"/>
        <v>0</v>
      </c>
      <c r="AX819" s="3">
        <f t="shared" si="306"/>
        <v>1260.2537960954451</v>
      </c>
      <c r="AY819">
        <f t="shared" si="307"/>
        <v>675</v>
      </c>
      <c r="AZ819">
        <f t="shared" si="308"/>
        <v>0</v>
      </c>
      <c r="BA819" s="3">
        <f t="shared" si="309"/>
        <v>1828.2537960954451</v>
      </c>
    </row>
    <row r="820" spans="1:53" x14ac:dyDescent="0.2">
      <c r="A820" s="4">
        <v>2021</v>
      </c>
      <c r="B820" t="s">
        <v>83</v>
      </c>
      <c r="C820" t="s">
        <v>57</v>
      </c>
      <c r="D820">
        <v>3.2</v>
      </c>
      <c r="E820">
        <v>0</v>
      </c>
      <c r="F820">
        <v>2</v>
      </c>
      <c r="G820">
        <v>0</v>
      </c>
      <c r="H820">
        <v>0</v>
      </c>
      <c r="I820">
        <v>0</v>
      </c>
      <c r="J820">
        <v>0</v>
      </c>
      <c r="K820">
        <f t="shared" si="322"/>
        <v>5.2</v>
      </c>
      <c r="L820">
        <v>0</v>
      </c>
      <c r="M820">
        <v>0</v>
      </c>
      <c r="N820">
        <v>8.9</v>
      </c>
      <c r="O820">
        <f t="shared" si="310"/>
        <v>8.9</v>
      </c>
      <c r="P820">
        <v>0</v>
      </c>
      <c r="Q820">
        <v>0</v>
      </c>
      <c r="R820">
        <v>8.6</v>
      </c>
      <c r="S820">
        <f t="shared" si="311"/>
        <v>8.6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0.5</v>
      </c>
      <c r="AA820">
        <f t="shared" si="312"/>
        <v>0.5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f t="shared" si="313"/>
        <v>0</v>
      </c>
      <c r="AK820">
        <v>0</v>
      </c>
      <c r="AL820">
        <v>0.76800000000000002</v>
      </c>
      <c r="AM820">
        <f t="shared" si="314"/>
        <v>0.23199999999999998</v>
      </c>
      <c r="AN820">
        <v>1575</v>
      </c>
      <c r="AO820" t="s">
        <v>13</v>
      </c>
      <c r="AP820" s="3">
        <f t="shared" si="302"/>
        <v>2050.78125</v>
      </c>
      <c r="AQ820" t="s">
        <v>13</v>
      </c>
      <c r="AR820">
        <f t="shared" si="318"/>
        <v>0</v>
      </c>
      <c r="AS820">
        <f t="shared" si="319"/>
        <v>0.23200000000000004</v>
      </c>
      <c r="AT820">
        <f t="shared" si="320"/>
        <v>476</v>
      </c>
      <c r="AU820">
        <f t="shared" si="321"/>
        <v>0</v>
      </c>
      <c r="AV820">
        <f t="shared" si="304"/>
        <v>422</v>
      </c>
      <c r="AW820">
        <f t="shared" si="305"/>
        <v>0</v>
      </c>
      <c r="AX820" s="3">
        <f t="shared" si="306"/>
        <v>1628.78125</v>
      </c>
      <c r="AY820">
        <f t="shared" si="307"/>
        <v>238</v>
      </c>
      <c r="AZ820">
        <f t="shared" si="308"/>
        <v>0</v>
      </c>
      <c r="BA820" s="3">
        <f t="shared" si="309"/>
        <v>1812.78125</v>
      </c>
    </row>
    <row r="821" spans="1:53" x14ac:dyDescent="0.2">
      <c r="A821" s="4">
        <v>2022</v>
      </c>
      <c r="B821" t="s">
        <v>83</v>
      </c>
      <c r="C821" t="s">
        <v>57</v>
      </c>
      <c r="D821">
        <v>10.9</v>
      </c>
      <c r="E821">
        <v>0</v>
      </c>
      <c r="F821">
        <v>0</v>
      </c>
      <c r="G821">
        <v>0</v>
      </c>
      <c r="H821">
        <v>5.7</v>
      </c>
      <c r="I821">
        <v>0</v>
      </c>
      <c r="J821">
        <v>0</v>
      </c>
      <c r="K821">
        <f t="shared" si="322"/>
        <v>16.600000000000001</v>
      </c>
      <c r="L821">
        <v>0</v>
      </c>
      <c r="M821">
        <v>0</v>
      </c>
      <c r="N821">
        <v>4.8</v>
      </c>
      <c r="O821">
        <f t="shared" si="310"/>
        <v>4.8</v>
      </c>
      <c r="P821">
        <v>0</v>
      </c>
      <c r="Q821">
        <v>0</v>
      </c>
      <c r="R821">
        <v>0</v>
      </c>
      <c r="S821">
        <f t="shared" si="311"/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f t="shared" si="312"/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f t="shared" si="313"/>
        <v>0</v>
      </c>
      <c r="AK821">
        <v>0</v>
      </c>
      <c r="AL821">
        <v>0.78500000000000003</v>
      </c>
      <c r="AM821">
        <f t="shared" si="314"/>
        <v>0.214</v>
      </c>
      <c r="AN821" t="s">
        <v>13</v>
      </c>
      <c r="AO821" t="s">
        <v>13</v>
      </c>
      <c r="AP821" t="s">
        <v>13</v>
      </c>
      <c r="AQ821" t="s">
        <v>13</v>
      </c>
      <c r="AR821">
        <f t="shared" si="318"/>
        <v>0</v>
      </c>
      <c r="AS821">
        <f t="shared" si="319"/>
        <v>0.21400000000000002</v>
      </c>
      <c r="AT821" t="s">
        <v>13</v>
      </c>
      <c r="AU821" t="s">
        <v>13</v>
      </c>
      <c r="AV821" t="s">
        <v>13</v>
      </c>
      <c r="AW821" t="s">
        <v>13</v>
      </c>
      <c r="AX821" t="s">
        <v>13</v>
      </c>
      <c r="AY821" t="s">
        <v>13</v>
      </c>
      <c r="AZ821" t="s">
        <v>13</v>
      </c>
      <c r="BA821" t="s">
        <v>13</v>
      </c>
    </row>
    <row r="822" spans="1:53" x14ac:dyDescent="0.2">
      <c r="A822" s="4">
        <v>2023</v>
      </c>
      <c r="B822" t="s">
        <v>83</v>
      </c>
      <c r="C822" t="s">
        <v>57</v>
      </c>
      <c r="D822" t="s">
        <v>13</v>
      </c>
      <c r="E822" t="s">
        <v>13</v>
      </c>
      <c r="F822" t="s">
        <v>13</v>
      </c>
      <c r="G822" t="s">
        <v>13</v>
      </c>
      <c r="H822" t="s">
        <v>13</v>
      </c>
      <c r="I822" t="s">
        <v>13</v>
      </c>
      <c r="J822" t="s">
        <v>13</v>
      </c>
      <c r="K822" t="s">
        <v>13</v>
      </c>
      <c r="L822" t="s">
        <v>13</v>
      </c>
      <c r="M822" t="s">
        <v>13</v>
      </c>
      <c r="N822" t="s">
        <v>13</v>
      </c>
      <c r="O822" t="s">
        <v>13</v>
      </c>
      <c r="P822" t="s">
        <v>13</v>
      </c>
      <c r="Q822" t="s">
        <v>13</v>
      </c>
      <c r="R822" t="s">
        <v>13</v>
      </c>
      <c r="S822" t="s">
        <v>13</v>
      </c>
      <c r="T822" t="s">
        <v>13</v>
      </c>
      <c r="U822" t="s">
        <v>13</v>
      </c>
      <c r="V822" t="s">
        <v>13</v>
      </c>
      <c r="W822" t="s">
        <v>13</v>
      </c>
      <c r="X822" t="s">
        <v>13</v>
      </c>
      <c r="Y822" t="s">
        <v>13</v>
      </c>
      <c r="Z822" t="s">
        <v>13</v>
      </c>
      <c r="AA822" t="s">
        <v>13</v>
      </c>
      <c r="AB822" t="s">
        <v>13</v>
      </c>
      <c r="AC822" t="s">
        <v>13</v>
      </c>
      <c r="AD822" t="s">
        <v>13</v>
      </c>
      <c r="AE822" t="s">
        <v>13</v>
      </c>
      <c r="AF822" t="s">
        <v>13</v>
      </c>
      <c r="AG822" t="s">
        <v>13</v>
      </c>
      <c r="AH822" t="s">
        <v>13</v>
      </c>
      <c r="AI822" t="s">
        <v>13</v>
      </c>
      <c r="AJ822" t="s">
        <v>13</v>
      </c>
      <c r="AK822" t="s">
        <v>13</v>
      </c>
      <c r="AL822" t="s">
        <v>13</v>
      </c>
      <c r="AM822" t="s">
        <v>13</v>
      </c>
      <c r="AN822" t="s">
        <v>13</v>
      </c>
      <c r="AO822" t="s">
        <v>13</v>
      </c>
      <c r="AP822" t="s">
        <v>13</v>
      </c>
      <c r="AQ822" t="s">
        <v>13</v>
      </c>
      <c r="AR822" t="s">
        <v>13</v>
      </c>
      <c r="AS822" t="s">
        <v>13</v>
      </c>
      <c r="AT822" t="s">
        <v>13</v>
      </c>
      <c r="AU822" t="s">
        <v>13</v>
      </c>
      <c r="AV822" t="s">
        <v>13</v>
      </c>
      <c r="AW822" t="s">
        <v>13</v>
      </c>
      <c r="AX822" t="s">
        <v>13</v>
      </c>
      <c r="AY822" t="s">
        <v>13</v>
      </c>
      <c r="AZ822" t="s">
        <v>13</v>
      </c>
      <c r="BA822" t="s">
        <v>13</v>
      </c>
    </row>
    <row r="823" spans="1:53" x14ac:dyDescent="0.2">
      <c r="A823">
        <v>1982</v>
      </c>
      <c r="B823" t="s">
        <v>84</v>
      </c>
      <c r="C823" t="s">
        <v>85</v>
      </c>
      <c r="D823">
        <v>13.7</v>
      </c>
      <c r="E823">
        <v>1.4</v>
      </c>
      <c r="F823">
        <v>0</v>
      </c>
      <c r="G823">
        <v>20.5</v>
      </c>
      <c r="H823">
        <v>0</v>
      </c>
      <c r="I823">
        <v>14</v>
      </c>
      <c r="J823">
        <v>0</v>
      </c>
      <c r="K823">
        <f t="shared" si="322"/>
        <v>49.6</v>
      </c>
      <c r="L823">
        <v>0</v>
      </c>
      <c r="M823">
        <v>0.8</v>
      </c>
      <c r="N823">
        <v>1.3</v>
      </c>
      <c r="O823">
        <f t="shared" si="310"/>
        <v>2.1</v>
      </c>
      <c r="P823" s="1">
        <v>0</v>
      </c>
      <c r="Q823" s="1">
        <v>0</v>
      </c>
      <c r="R823" s="1">
        <v>0</v>
      </c>
      <c r="S823">
        <f t="shared" si="311"/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f t="shared" si="312"/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25.4</v>
      </c>
      <c r="AI823">
        <v>0</v>
      </c>
      <c r="AJ823">
        <f t="shared" si="313"/>
        <v>25.4</v>
      </c>
      <c r="AK823">
        <v>0</v>
      </c>
      <c r="AL823">
        <v>0.22899999999999998</v>
      </c>
      <c r="AM823">
        <f t="shared" si="314"/>
        <v>0.77099999999999991</v>
      </c>
      <c r="AN823">
        <v>4150</v>
      </c>
      <c r="AO823" t="s">
        <v>13</v>
      </c>
      <c r="AP823" s="3">
        <f t="shared" si="302"/>
        <v>18122.270742358072</v>
      </c>
      <c r="AQ823" t="s">
        <v>13</v>
      </c>
      <c r="AR823">
        <f t="shared" si="318"/>
        <v>0.3294422827496758</v>
      </c>
      <c r="AS823">
        <f t="shared" ref="AS823:AS863" si="323">SUM(K823,O823,S823,AA823)/100</f>
        <v>0.51700000000000002</v>
      </c>
      <c r="AT823">
        <f t="shared" ref="AT823:AT863" si="324">ROUND(AS823*AP823,0)</f>
        <v>9369</v>
      </c>
      <c r="AU823">
        <f t="shared" ref="AU823:AU863" si="325">ROUND((AJ823/100)*AP823,0)</f>
        <v>4603</v>
      </c>
      <c r="AV823">
        <f t="shared" si="304"/>
        <v>4875</v>
      </c>
      <c r="AW823">
        <f t="shared" si="305"/>
        <v>6966</v>
      </c>
      <c r="AX823" s="3">
        <f t="shared" si="306"/>
        <v>6281.2707423580723</v>
      </c>
      <c r="AY823">
        <f t="shared" si="307"/>
        <v>4685</v>
      </c>
      <c r="AZ823">
        <f t="shared" si="308"/>
        <v>7066</v>
      </c>
      <c r="BA823" s="3">
        <f t="shared" si="309"/>
        <v>6371.2707423580723</v>
      </c>
    </row>
    <row r="824" spans="1:53" x14ac:dyDescent="0.2">
      <c r="A824">
        <v>1983</v>
      </c>
      <c r="B824" t="s">
        <v>84</v>
      </c>
      <c r="C824" t="s">
        <v>85</v>
      </c>
      <c r="D824">
        <v>44.1</v>
      </c>
      <c r="E824">
        <v>0</v>
      </c>
      <c r="F824">
        <v>0</v>
      </c>
      <c r="G824">
        <v>14.2</v>
      </c>
      <c r="H824">
        <v>0</v>
      </c>
      <c r="I824">
        <v>4.9000000000000004</v>
      </c>
      <c r="J824">
        <v>0</v>
      </c>
      <c r="K824">
        <f t="shared" si="322"/>
        <v>63.199999999999996</v>
      </c>
      <c r="L824">
        <v>0</v>
      </c>
      <c r="M824">
        <v>0.5</v>
      </c>
      <c r="N824">
        <v>0</v>
      </c>
      <c r="O824">
        <f t="shared" si="310"/>
        <v>0.5</v>
      </c>
      <c r="P824" s="1">
        <v>0</v>
      </c>
      <c r="Q824" s="1">
        <v>1.6</v>
      </c>
      <c r="R824" s="1">
        <v>0</v>
      </c>
      <c r="S824">
        <f t="shared" si="311"/>
        <v>1.6</v>
      </c>
      <c r="T824">
        <v>0.6</v>
      </c>
      <c r="U824">
        <v>0</v>
      </c>
      <c r="V824">
        <v>0</v>
      </c>
      <c r="W824">
        <v>0</v>
      </c>
      <c r="X824">
        <v>0</v>
      </c>
      <c r="Y824">
        <v>1</v>
      </c>
      <c r="Z824">
        <v>0</v>
      </c>
      <c r="AA824">
        <f t="shared" si="312"/>
        <v>1.6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15.9</v>
      </c>
      <c r="AI824">
        <v>0</v>
      </c>
      <c r="AJ824">
        <f t="shared" si="313"/>
        <v>15.9</v>
      </c>
      <c r="AK824">
        <v>0</v>
      </c>
      <c r="AL824">
        <v>0.17199999999999999</v>
      </c>
      <c r="AM824">
        <f t="shared" si="314"/>
        <v>0.82800000000000007</v>
      </c>
      <c r="AN824">
        <v>2750</v>
      </c>
      <c r="AO824" t="s">
        <v>13</v>
      </c>
      <c r="AP824" s="3">
        <f t="shared" si="302"/>
        <v>15988.372093023263</v>
      </c>
      <c r="AQ824" t="s">
        <v>13</v>
      </c>
      <c r="AR824">
        <f t="shared" si="318"/>
        <v>0.19202898550724637</v>
      </c>
      <c r="AS824">
        <f t="shared" si="323"/>
        <v>0.66899999999999993</v>
      </c>
      <c r="AT824">
        <f t="shared" si="324"/>
        <v>10696</v>
      </c>
      <c r="AU824">
        <f t="shared" si="325"/>
        <v>2542</v>
      </c>
      <c r="AV824">
        <f t="shared" si="304"/>
        <v>5644</v>
      </c>
      <c r="AW824">
        <f t="shared" si="305"/>
        <v>4969</v>
      </c>
      <c r="AX824" s="3">
        <f t="shared" si="306"/>
        <v>5375.372093023263</v>
      </c>
      <c r="AY824">
        <f t="shared" si="307"/>
        <v>5348</v>
      </c>
      <c r="AZ824">
        <f t="shared" si="308"/>
        <v>5111</v>
      </c>
      <c r="BA824" s="3">
        <f t="shared" si="309"/>
        <v>5529.372093023263</v>
      </c>
    </row>
    <row r="825" spans="1:53" x14ac:dyDescent="0.2">
      <c r="A825">
        <v>1984</v>
      </c>
      <c r="B825" t="s">
        <v>84</v>
      </c>
      <c r="C825" t="s">
        <v>85</v>
      </c>
      <c r="D825">
        <v>17.5</v>
      </c>
      <c r="E825">
        <v>0.7</v>
      </c>
      <c r="F825">
        <v>0</v>
      </c>
      <c r="G825">
        <v>25.4</v>
      </c>
      <c r="H825">
        <v>2.6</v>
      </c>
      <c r="I825">
        <v>8.6</v>
      </c>
      <c r="J825">
        <v>0</v>
      </c>
      <c r="K825">
        <f t="shared" si="322"/>
        <v>54.8</v>
      </c>
      <c r="L825">
        <v>0</v>
      </c>
      <c r="M825">
        <v>0</v>
      </c>
      <c r="N825">
        <v>0</v>
      </c>
      <c r="O825">
        <f t="shared" si="310"/>
        <v>0</v>
      </c>
      <c r="P825" s="1">
        <v>0</v>
      </c>
      <c r="Q825" s="1">
        <v>0</v>
      </c>
      <c r="R825" s="1">
        <v>0</v>
      </c>
      <c r="S825">
        <f t="shared" si="311"/>
        <v>0</v>
      </c>
      <c r="T825">
        <v>2.9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f t="shared" si="312"/>
        <v>2.9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25.5</v>
      </c>
      <c r="AI825">
        <v>0</v>
      </c>
      <c r="AJ825">
        <f t="shared" si="313"/>
        <v>25.5</v>
      </c>
      <c r="AK825">
        <v>0</v>
      </c>
      <c r="AL825">
        <v>0.16800000000000001</v>
      </c>
      <c r="AM825">
        <f t="shared" si="314"/>
        <v>0.83199999999999985</v>
      </c>
      <c r="AN825">
        <v>4350</v>
      </c>
      <c r="AO825" t="s">
        <v>13</v>
      </c>
      <c r="AP825" s="3">
        <f t="shared" si="302"/>
        <v>25892.857142857119</v>
      </c>
      <c r="AQ825" t="s">
        <v>13</v>
      </c>
      <c r="AR825">
        <f t="shared" si="318"/>
        <v>0.30649038461538469</v>
      </c>
      <c r="AS825">
        <f t="shared" si="323"/>
        <v>0.57699999999999996</v>
      </c>
      <c r="AT825">
        <f t="shared" si="324"/>
        <v>14940</v>
      </c>
      <c r="AU825">
        <f t="shared" si="325"/>
        <v>6603</v>
      </c>
      <c r="AV825">
        <f t="shared" si="304"/>
        <v>7846</v>
      </c>
      <c r="AW825">
        <f t="shared" si="305"/>
        <v>10880</v>
      </c>
      <c r="AX825" s="3">
        <f t="shared" si="306"/>
        <v>7166.8571428571195</v>
      </c>
      <c r="AY825">
        <f t="shared" si="307"/>
        <v>7470</v>
      </c>
      <c r="AZ825">
        <f t="shared" si="308"/>
        <v>11106</v>
      </c>
      <c r="BA825" s="3">
        <f t="shared" si="309"/>
        <v>7316.8571428571195</v>
      </c>
    </row>
    <row r="826" spans="1:53" x14ac:dyDescent="0.2">
      <c r="A826">
        <v>1985</v>
      </c>
      <c r="B826" t="s">
        <v>84</v>
      </c>
      <c r="C826" t="s">
        <v>85</v>
      </c>
      <c r="D826">
        <v>22.4</v>
      </c>
      <c r="E826">
        <v>0</v>
      </c>
      <c r="F826">
        <v>0</v>
      </c>
      <c r="G826">
        <v>30.5</v>
      </c>
      <c r="H826">
        <v>0</v>
      </c>
      <c r="I826">
        <v>2.2999999999999998</v>
      </c>
      <c r="J826">
        <v>0</v>
      </c>
      <c r="K826">
        <f t="shared" si="322"/>
        <v>55.199999999999996</v>
      </c>
      <c r="L826">
        <v>0</v>
      </c>
      <c r="M826">
        <v>0</v>
      </c>
      <c r="N826">
        <v>0</v>
      </c>
      <c r="O826">
        <f t="shared" si="310"/>
        <v>0</v>
      </c>
      <c r="P826" s="1">
        <v>0</v>
      </c>
      <c r="Q826" s="1">
        <v>1.4</v>
      </c>
      <c r="R826" s="1">
        <v>0</v>
      </c>
      <c r="S826">
        <f t="shared" si="311"/>
        <v>1.4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1.7</v>
      </c>
      <c r="AA826">
        <f t="shared" si="312"/>
        <v>1.7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13.3</v>
      </c>
      <c r="AI826">
        <v>0</v>
      </c>
      <c r="AJ826">
        <f t="shared" si="313"/>
        <v>13.3</v>
      </c>
      <c r="AK826">
        <v>0</v>
      </c>
      <c r="AL826">
        <v>0.28600000000000003</v>
      </c>
      <c r="AM826">
        <f t="shared" si="314"/>
        <v>0.71599999999999997</v>
      </c>
      <c r="AN826">
        <v>4150</v>
      </c>
      <c r="AO826" t="s">
        <v>13</v>
      </c>
      <c r="AP826" s="3">
        <f t="shared" ref="AP826:AP889" si="326">AN826/(1-AM826)</f>
        <v>14612.676056338027</v>
      </c>
      <c r="AQ826" t="s">
        <v>13</v>
      </c>
      <c r="AR826">
        <f t="shared" si="318"/>
        <v>0.18575418994413409</v>
      </c>
      <c r="AS826">
        <f t="shared" si="323"/>
        <v>0.58299999999999996</v>
      </c>
      <c r="AT826">
        <f t="shared" si="324"/>
        <v>8519</v>
      </c>
      <c r="AU826">
        <f t="shared" si="325"/>
        <v>1943</v>
      </c>
      <c r="AV826">
        <f t="shared" si="304"/>
        <v>4486</v>
      </c>
      <c r="AW826">
        <f t="shared" si="305"/>
        <v>3229</v>
      </c>
      <c r="AX826" s="3">
        <f t="shared" si="306"/>
        <v>6897.6760563380267</v>
      </c>
      <c r="AY826">
        <f t="shared" si="307"/>
        <v>4260</v>
      </c>
      <c r="AZ826">
        <f t="shared" si="308"/>
        <v>3301</v>
      </c>
      <c r="BA826" s="3">
        <f t="shared" si="309"/>
        <v>7051.6760563380267</v>
      </c>
    </row>
    <row r="827" spans="1:53" x14ac:dyDescent="0.2">
      <c r="A827">
        <v>1986</v>
      </c>
      <c r="B827" t="s">
        <v>84</v>
      </c>
      <c r="C827" t="s">
        <v>85</v>
      </c>
      <c r="D827">
        <v>25.1</v>
      </c>
      <c r="E827">
        <v>0</v>
      </c>
      <c r="F827">
        <v>1.2</v>
      </c>
      <c r="G827">
        <v>11.4</v>
      </c>
      <c r="H827">
        <v>0</v>
      </c>
      <c r="I827">
        <v>6.8</v>
      </c>
      <c r="J827">
        <v>0</v>
      </c>
      <c r="K827">
        <f t="shared" si="322"/>
        <v>44.5</v>
      </c>
      <c r="L827">
        <v>1.6</v>
      </c>
      <c r="M827">
        <v>0</v>
      </c>
      <c r="N827">
        <v>0</v>
      </c>
      <c r="O827">
        <f t="shared" si="310"/>
        <v>1.6</v>
      </c>
      <c r="P827" s="1">
        <v>0</v>
      </c>
      <c r="Q827" s="1">
        <v>0.9</v>
      </c>
      <c r="R827" s="1">
        <v>0</v>
      </c>
      <c r="S827">
        <f t="shared" si="311"/>
        <v>0.9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0.1</v>
      </c>
      <c r="AA827">
        <f t="shared" si="312"/>
        <v>0.1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7.1</v>
      </c>
      <c r="AI827">
        <v>0</v>
      </c>
      <c r="AJ827">
        <f t="shared" si="313"/>
        <v>7.1</v>
      </c>
      <c r="AK827">
        <v>0</v>
      </c>
      <c r="AL827">
        <v>0.45799999999999996</v>
      </c>
      <c r="AM827">
        <f t="shared" si="314"/>
        <v>0.54199999999999993</v>
      </c>
      <c r="AN827">
        <v>7894</v>
      </c>
      <c r="AO827" t="s">
        <v>13</v>
      </c>
      <c r="AP827" s="3">
        <f t="shared" si="326"/>
        <v>17235.807860262004</v>
      </c>
      <c r="AQ827" t="s">
        <v>13</v>
      </c>
      <c r="AR827">
        <f t="shared" si="318"/>
        <v>0.13099630996309963</v>
      </c>
      <c r="AS827">
        <f t="shared" si="323"/>
        <v>0.47100000000000003</v>
      </c>
      <c r="AT827">
        <f t="shared" si="324"/>
        <v>8118</v>
      </c>
      <c r="AU827">
        <f t="shared" si="325"/>
        <v>1224</v>
      </c>
      <c r="AV827">
        <f t="shared" si="304"/>
        <v>4283</v>
      </c>
      <c r="AW827">
        <f t="shared" si="305"/>
        <v>1739</v>
      </c>
      <c r="AX827" s="3">
        <f t="shared" si="306"/>
        <v>11213.807860262004</v>
      </c>
      <c r="AY827">
        <f t="shared" si="307"/>
        <v>4059</v>
      </c>
      <c r="AZ827">
        <f t="shared" si="308"/>
        <v>1769</v>
      </c>
      <c r="BA827" s="3">
        <f t="shared" si="309"/>
        <v>11407.807860262004</v>
      </c>
    </row>
    <row r="828" spans="1:53" x14ac:dyDescent="0.2">
      <c r="A828">
        <v>1987</v>
      </c>
      <c r="B828" t="s">
        <v>84</v>
      </c>
      <c r="C828" t="s">
        <v>85</v>
      </c>
      <c r="D828">
        <v>26.5</v>
      </c>
      <c r="E828">
        <v>1.7</v>
      </c>
      <c r="F828">
        <v>0.1</v>
      </c>
      <c r="G828">
        <v>12.8</v>
      </c>
      <c r="H828">
        <v>0.9</v>
      </c>
      <c r="I828">
        <v>1.5</v>
      </c>
      <c r="J828">
        <v>0</v>
      </c>
      <c r="K828">
        <f t="shared" si="322"/>
        <v>43.5</v>
      </c>
      <c r="L828">
        <v>1.3</v>
      </c>
      <c r="M828">
        <v>0.5</v>
      </c>
      <c r="N828">
        <v>0</v>
      </c>
      <c r="O828">
        <f t="shared" si="310"/>
        <v>1.8</v>
      </c>
      <c r="P828" s="1">
        <v>0</v>
      </c>
      <c r="Q828" s="1">
        <v>0</v>
      </c>
      <c r="R828" s="1">
        <v>0</v>
      </c>
      <c r="S828">
        <f t="shared" si="311"/>
        <v>0</v>
      </c>
      <c r="T828">
        <v>0.4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0.7</v>
      </c>
      <c r="AA828">
        <f t="shared" si="312"/>
        <v>1.1000000000000001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20.3</v>
      </c>
      <c r="AI828">
        <v>0</v>
      </c>
      <c r="AJ828">
        <f t="shared" si="313"/>
        <v>20.3</v>
      </c>
      <c r="AK828">
        <v>0</v>
      </c>
      <c r="AL828">
        <v>0.33399999999999996</v>
      </c>
      <c r="AM828">
        <f t="shared" si="314"/>
        <v>0.66700000000000015</v>
      </c>
      <c r="AN828">
        <v>6557</v>
      </c>
      <c r="AO828" t="s">
        <v>13</v>
      </c>
      <c r="AP828" s="3">
        <f t="shared" si="326"/>
        <v>19690.690690690699</v>
      </c>
      <c r="AQ828" t="s">
        <v>13</v>
      </c>
      <c r="AR828">
        <f t="shared" si="318"/>
        <v>0.30434782608695649</v>
      </c>
      <c r="AS828">
        <f t="shared" si="323"/>
        <v>0.46399999999999997</v>
      </c>
      <c r="AT828">
        <f t="shared" si="324"/>
        <v>9136</v>
      </c>
      <c r="AU828">
        <f t="shared" si="325"/>
        <v>3997</v>
      </c>
      <c r="AV828">
        <f t="shared" si="304"/>
        <v>4854</v>
      </c>
      <c r="AW828">
        <f t="shared" si="305"/>
        <v>5619</v>
      </c>
      <c r="AX828" s="3">
        <f t="shared" si="306"/>
        <v>9217.6906906906988</v>
      </c>
      <c r="AY828">
        <f t="shared" si="307"/>
        <v>4568</v>
      </c>
      <c r="AZ828">
        <f t="shared" si="308"/>
        <v>5727</v>
      </c>
      <c r="BA828" s="3">
        <f t="shared" si="309"/>
        <v>9395.6906906906988</v>
      </c>
    </row>
    <row r="829" spans="1:53" x14ac:dyDescent="0.2">
      <c r="A829">
        <v>1988</v>
      </c>
      <c r="B829" t="s">
        <v>84</v>
      </c>
      <c r="C829" t="s">
        <v>85</v>
      </c>
      <c r="D829">
        <v>21.6</v>
      </c>
      <c r="E829">
        <v>1.6</v>
      </c>
      <c r="F829">
        <v>1.5</v>
      </c>
      <c r="G829">
        <v>8.5</v>
      </c>
      <c r="H829">
        <v>0.9</v>
      </c>
      <c r="I829">
        <v>5.4</v>
      </c>
      <c r="J829">
        <v>0</v>
      </c>
      <c r="K829">
        <f t="shared" si="322"/>
        <v>39.5</v>
      </c>
      <c r="L829">
        <v>1.9</v>
      </c>
      <c r="M829">
        <v>0.4</v>
      </c>
      <c r="N829">
        <v>0</v>
      </c>
      <c r="O829">
        <f t="shared" si="310"/>
        <v>2.2999999999999998</v>
      </c>
      <c r="P829" s="1">
        <v>0</v>
      </c>
      <c r="Q829" s="1">
        <v>0</v>
      </c>
      <c r="R829" s="1">
        <v>1</v>
      </c>
      <c r="S829">
        <f t="shared" si="311"/>
        <v>1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3.3</v>
      </c>
      <c r="AA829">
        <f t="shared" si="312"/>
        <v>3.3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13.6</v>
      </c>
      <c r="AI829">
        <v>0</v>
      </c>
      <c r="AJ829">
        <f t="shared" si="313"/>
        <v>13.6</v>
      </c>
      <c r="AK829">
        <v>0</v>
      </c>
      <c r="AL829">
        <v>0.40299999999999997</v>
      </c>
      <c r="AM829">
        <f t="shared" si="314"/>
        <v>0.59699999999999998</v>
      </c>
      <c r="AN829">
        <v>9494</v>
      </c>
      <c r="AO829" t="s">
        <v>13</v>
      </c>
      <c r="AP829" s="3">
        <f t="shared" si="326"/>
        <v>23558.312655086847</v>
      </c>
      <c r="AQ829" t="s">
        <v>13</v>
      </c>
      <c r="AR829">
        <f t="shared" si="318"/>
        <v>0.22780569514237858</v>
      </c>
      <c r="AS829">
        <f t="shared" si="323"/>
        <v>0.46099999999999997</v>
      </c>
      <c r="AT829">
        <f t="shared" si="324"/>
        <v>10860</v>
      </c>
      <c r="AU829">
        <f t="shared" si="325"/>
        <v>3204</v>
      </c>
      <c r="AV829">
        <f t="shared" si="304"/>
        <v>6208</v>
      </c>
      <c r="AW829">
        <f t="shared" si="305"/>
        <v>4378</v>
      </c>
      <c r="AX829" s="3">
        <f t="shared" si="306"/>
        <v>12972.312655086847</v>
      </c>
      <c r="AY829">
        <f t="shared" si="307"/>
        <v>5430</v>
      </c>
      <c r="AZ829">
        <f t="shared" si="308"/>
        <v>4574</v>
      </c>
      <c r="BA829" s="3">
        <f t="shared" si="309"/>
        <v>13554.312655086847</v>
      </c>
    </row>
    <row r="830" spans="1:53" x14ac:dyDescent="0.2">
      <c r="A830">
        <v>1989</v>
      </c>
      <c r="B830" t="s">
        <v>84</v>
      </c>
      <c r="C830" t="s">
        <v>85</v>
      </c>
      <c r="D830">
        <v>11.7</v>
      </c>
      <c r="E830">
        <v>0.3</v>
      </c>
      <c r="F830">
        <v>0.2</v>
      </c>
      <c r="G830">
        <v>11.7</v>
      </c>
      <c r="H830">
        <v>0.2</v>
      </c>
      <c r="I830">
        <v>10.5</v>
      </c>
      <c r="J830">
        <v>0</v>
      </c>
      <c r="K830">
        <f t="shared" si="322"/>
        <v>34.599999999999994</v>
      </c>
      <c r="L830">
        <v>0.6</v>
      </c>
      <c r="M830">
        <v>0.3</v>
      </c>
      <c r="N830">
        <v>0</v>
      </c>
      <c r="O830">
        <f t="shared" si="310"/>
        <v>0.89999999999999991</v>
      </c>
      <c r="P830" s="1">
        <v>0</v>
      </c>
      <c r="Q830" s="1">
        <v>0</v>
      </c>
      <c r="R830" s="1">
        <v>0</v>
      </c>
      <c r="S830">
        <f t="shared" si="311"/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2</v>
      </c>
      <c r="AA830">
        <f t="shared" si="312"/>
        <v>2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26.4</v>
      </c>
      <c r="AI830">
        <v>0</v>
      </c>
      <c r="AJ830">
        <f t="shared" si="313"/>
        <v>26.4</v>
      </c>
      <c r="AK830">
        <v>0</v>
      </c>
      <c r="AL830">
        <v>0.36099999999999999</v>
      </c>
      <c r="AM830">
        <f t="shared" si="314"/>
        <v>0.63900000000000001</v>
      </c>
      <c r="AN830">
        <v>9324</v>
      </c>
      <c r="AO830" t="s">
        <v>13</v>
      </c>
      <c r="AP830" s="3">
        <f t="shared" si="326"/>
        <v>25828.254847645429</v>
      </c>
      <c r="AQ830" t="s">
        <v>13</v>
      </c>
      <c r="AR830">
        <f t="shared" si="318"/>
        <v>0.41314553990610331</v>
      </c>
      <c r="AS830">
        <f t="shared" si="323"/>
        <v>0.37499999999999994</v>
      </c>
      <c r="AT830">
        <f t="shared" si="324"/>
        <v>9686</v>
      </c>
      <c r="AU830">
        <f t="shared" si="325"/>
        <v>6819</v>
      </c>
      <c r="AV830">
        <f t="shared" si="304"/>
        <v>5217</v>
      </c>
      <c r="AW830">
        <f t="shared" si="305"/>
        <v>8707</v>
      </c>
      <c r="AX830" s="3">
        <f t="shared" si="306"/>
        <v>11904.254847645429</v>
      </c>
      <c r="AY830">
        <f t="shared" si="307"/>
        <v>4843</v>
      </c>
      <c r="AZ830">
        <f t="shared" si="308"/>
        <v>8865</v>
      </c>
      <c r="BA830" s="3">
        <f t="shared" si="309"/>
        <v>12120.254847645429</v>
      </c>
    </row>
    <row r="831" spans="1:53" x14ac:dyDescent="0.2">
      <c r="A831">
        <v>1990</v>
      </c>
      <c r="B831" t="s">
        <v>84</v>
      </c>
      <c r="C831" t="s">
        <v>85</v>
      </c>
      <c r="D831">
        <v>15.1</v>
      </c>
      <c r="E831">
        <v>0.5</v>
      </c>
      <c r="F831">
        <v>0.3</v>
      </c>
      <c r="G831">
        <v>6.3</v>
      </c>
      <c r="H831">
        <v>2.6</v>
      </c>
      <c r="I831">
        <v>7.1</v>
      </c>
      <c r="J831">
        <v>0</v>
      </c>
      <c r="K831">
        <f t="shared" si="322"/>
        <v>31.9</v>
      </c>
      <c r="L831">
        <v>0.3</v>
      </c>
      <c r="M831">
        <v>0.2</v>
      </c>
      <c r="N831">
        <v>0</v>
      </c>
      <c r="O831">
        <f t="shared" si="310"/>
        <v>0.5</v>
      </c>
      <c r="P831" s="1">
        <v>0</v>
      </c>
      <c r="Q831" s="1">
        <v>0</v>
      </c>
      <c r="R831" s="1">
        <v>0</v>
      </c>
      <c r="S831">
        <f t="shared" si="311"/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f t="shared" si="312"/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12.8</v>
      </c>
      <c r="AI831">
        <v>0</v>
      </c>
      <c r="AJ831">
        <f t="shared" si="313"/>
        <v>12.8</v>
      </c>
      <c r="AK831">
        <v>0</v>
      </c>
      <c r="AL831">
        <v>0.54700000000000004</v>
      </c>
      <c r="AM831">
        <f t="shared" si="314"/>
        <v>0.45200000000000001</v>
      </c>
      <c r="AN831">
        <v>10569</v>
      </c>
      <c r="AO831" t="s">
        <v>13</v>
      </c>
      <c r="AP831" s="3">
        <f t="shared" si="326"/>
        <v>19286.496350364963</v>
      </c>
      <c r="AQ831" t="s">
        <v>13</v>
      </c>
      <c r="AR831">
        <f t="shared" si="318"/>
        <v>0.2831858407079646</v>
      </c>
      <c r="AS831">
        <f t="shared" si="323"/>
        <v>0.32400000000000001</v>
      </c>
      <c r="AT831">
        <f t="shared" si="324"/>
        <v>6249</v>
      </c>
      <c r="AU831">
        <f t="shared" si="325"/>
        <v>2469</v>
      </c>
      <c r="AV831">
        <f t="shared" si="304"/>
        <v>3173</v>
      </c>
      <c r="AW831">
        <f t="shared" si="305"/>
        <v>3052</v>
      </c>
      <c r="AX831" s="3">
        <f t="shared" si="306"/>
        <v>13061.496350364963</v>
      </c>
      <c r="AY831">
        <f t="shared" si="307"/>
        <v>3124</v>
      </c>
      <c r="AZ831">
        <f t="shared" si="308"/>
        <v>3061</v>
      </c>
      <c r="BA831" s="3">
        <f t="shared" si="309"/>
        <v>13101.496350364963</v>
      </c>
    </row>
    <row r="832" spans="1:53" x14ac:dyDescent="0.2">
      <c r="A832">
        <v>1991</v>
      </c>
      <c r="B832" t="s">
        <v>84</v>
      </c>
      <c r="C832" t="s">
        <v>85</v>
      </c>
      <c r="D832">
        <v>24.6</v>
      </c>
      <c r="E832">
        <v>0.3</v>
      </c>
      <c r="F832">
        <v>0.8</v>
      </c>
      <c r="G832">
        <v>10.3</v>
      </c>
      <c r="H832">
        <v>1.3</v>
      </c>
      <c r="I832">
        <v>6.2</v>
      </c>
      <c r="J832">
        <v>0</v>
      </c>
      <c r="K832">
        <f t="shared" si="322"/>
        <v>43.5</v>
      </c>
      <c r="L832">
        <v>0</v>
      </c>
      <c r="M832">
        <v>0</v>
      </c>
      <c r="N832">
        <v>0</v>
      </c>
      <c r="O832">
        <f t="shared" si="310"/>
        <v>0</v>
      </c>
      <c r="P832" s="1">
        <v>0</v>
      </c>
      <c r="Q832" s="1">
        <v>0</v>
      </c>
      <c r="R832" s="1">
        <v>0</v>
      </c>
      <c r="S832">
        <f t="shared" si="311"/>
        <v>0</v>
      </c>
      <c r="T832">
        <v>0</v>
      </c>
      <c r="U832">
        <v>0.3</v>
      </c>
      <c r="V832">
        <v>0</v>
      </c>
      <c r="W832">
        <v>0</v>
      </c>
      <c r="X832">
        <v>0</v>
      </c>
      <c r="Y832">
        <v>0</v>
      </c>
      <c r="Z832">
        <v>0.5</v>
      </c>
      <c r="AA832">
        <f t="shared" si="312"/>
        <v>0.8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14.6</v>
      </c>
      <c r="AI832">
        <v>0</v>
      </c>
      <c r="AJ832">
        <f t="shared" si="313"/>
        <v>14.6</v>
      </c>
      <c r="AK832">
        <v>0</v>
      </c>
      <c r="AL832">
        <v>0.41200000000000003</v>
      </c>
      <c r="AM832">
        <f t="shared" si="314"/>
        <v>0.58899999999999997</v>
      </c>
      <c r="AN832">
        <v>4795</v>
      </c>
      <c r="AO832" t="s">
        <v>13</v>
      </c>
      <c r="AP832" s="3">
        <f t="shared" si="326"/>
        <v>11666.666666666666</v>
      </c>
      <c r="AQ832" t="s">
        <v>13</v>
      </c>
      <c r="AR832">
        <f t="shared" si="318"/>
        <v>0.24787775891341257</v>
      </c>
      <c r="AS832">
        <f t="shared" si="323"/>
        <v>0.44299999999999995</v>
      </c>
      <c r="AT832">
        <f t="shared" si="324"/>
        <v>5168</v>
      </c>
      <c r="AU832">
        <f t="shared" si="325"/>
        <v>1703</v>
      </c>
      <c r="AV832">
        <f t="shared" si="304"/>
        <v>2631</v>
      </c>
      <c r="AW832">
        <f t="shared" si="305"/>
        <v>2368</v>
      </c>
      <c r="AX832" s="3">
        <f t="shared" si="306"/>
        <v>6667.6666666666661</v>
      </c>
      <c r="AY832">
        <f t="shared" si="307"/>
        <v>2584</v>
      </c>
      <c r="AZ832">
        <f t="shared" si="308"/>
        <v>2380</v>
      </c>
      <c r="BA832" s="3">
        <f t="shared" si="309"/>
        <v>6702.6666666666661</v>
      </c>
    </row>
    <row r="833" spans="1:53" x14ac:dyDescent="0.2">
      <c r="A833">
        <v>1992</v>
      </c>
      <c r="B833" t="s">
        <v>84</v>
      </c>
      <c r="C833" t="s">
        <v>85</v>
      </c>
      <c r="D833">
        <v>15.1</v>
      </c>
      <c r="E833">
        <v>6.1</v>
      </c>
      <c r="F833">
        <v>2.5</v>
      </c>
      <c r="G833">
        <v>11.2</v>
      </c>
      <c r="H833">
        <v>1.9</v>
      </c>
      <c r="I833">
        <v>16.3</v>
      </c>
      <c r="J833">
        <v>0</v>
      </c>
      <c r="K833">
        <f t="shared" si="322"/>
        <v>53.099999999999994</v>
      </c>
      <c r="L833">
        <v>0</v>
      </c>
      <c r="M833">
        <v>0.2</v>
      </c>
      <c r="N833">
        <v>0</v>
      </c>
      <c r="O833">
        <f t="shared" si="310"/>
        <v>0.2</v>
      </c>
      <c r="P833" s="1">
        <v>0</v>
      </c>
      <c r="Q833" s="1">
        <v>0</v>
      </c>
      <c r="R833" s="1">
        <v>0</v>
      </c>
      <c r="S833">
        <f t="shared" si="311"/>
        <v>0</v>
      </c>
      <c r="T833">
        <v>0</v>
      </c>
      <c r="U833">
        <v>0.3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f t="shared" si="312"/>
        <v>0.3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15.3</v>
      </c>
      <c r="AI833">
        <v>0</v>
      </c>
      <c r="AJ833">
        <f t="shared" si="313"/>
        <v>15.3</v>
      </c>
      <c r="AK833">
        <v>0</v>
      </c>
      <c r="AL833">
        <v>0.312</v>
      </c>
      <c r="AM833">
        <f t="shared" si="314"/>
        <v>0.68900000000000006</v>
      </c>
      <c r="AN833">
        <v>4911</v>
      </c>
      <c r="AO833" t="s">
        <v>13</v>
      </c>
      <c r="AP833" s="3">
        <f t="shared" si="326"/>
        <v>15790.996784565919</v>
      </c>
      <c r="AQ833" t="s">
        <v>13</v>
      </c>
      <c r="AR833">
        <f t="shared" si="318"/>
        <v>0.22206095791001448</v>
      </c>
      <c r="AS833">
        <f t="shared" si="323"/>
        <v>0.53599999999999992</v>
      </c>
      <c r="AT833">
        <f t="shared" si="324"/>
        <v>8464</v>
      </c>
      <c r="AU833">
        <f t="shared" si="325"/>
        <v>2416</v>
      </c>
      <c r="AV833">
        <f t="shared" si="304"/>
        <v>4271</v>
      </c>
      <c r="AW833">
        <f t="shared" si="305"/>
        <v>3799</v>
      </c>
      <c r="AX833" s="3">
        <f t="shared" si="306"/>
        <v>7720.9967845659194</v>
      </c>
      <c r="AY833">
        <f t="shared" si="307"/>
        <v>4232</v>
      </c>
      <c r="AZ833">
        <f t="shared" si="308"/>
        <v>3811</v>
      </c>
      <c r="BA833" s="3">
        <f t="shared" si="309"/>
        <v>7747.9967845659194</v>
      </c>
    </row>
    <row r="834" spans="1:53" x14ac:dyDescent="0.2">
      <c r="A834">
        <v>1993</v>
      </c>
      <c r="B834" t="s">
        <v>84</v>
      </c>
      <c r="C834" t="s">
        <v>85</v>
      </c>
      <c r="D834">
        <v>20.5</v>
      </c>
      <c r="E834">
        <v>2.2000000000000002</v>
      </c>
      <c r="F834">
        <v>0.7</v>
      </c>
      <c r="G834">
        <v>12.7</v>
      </c>
      <c r="H834">
        <v>1.4</v>
      </c>
      <c r="I834">
        <v>13.2</v>
      </c>
      <c r="J834">
        <v>0</v>
      </c>
      <c r="K834">
        <f t="shared" si="322"/>
        <v>50.699999999999989</v>
      </c>
      <c r="L834">
        <v>0.3</v>
      </c>
      <c r="M834">
        <v>0</v>
      </c>
      <c r="N834">
        <v>0</v>
      </c>
      <c r="O834">
        <f t="shared" si="310"/>
        <v>0.3</v>
      </c>
      <c r="P834" s="1">
        <v>0</v>
      </c>
      <c r="Q834" s="1">
        <v>0</v>
      </c>
      <c r="R834" s="1">
        <v>0</v>
      </c>
      <c r="S834">
        <f t="shared" si="311"/>
        <v>0</v>
      </c>
      <c r="T834">
        <v>0.5</v>
      </c>
      <c r="U834">
        <v>1.9</v>
      </c>
      <c r="V834">
        <v>0</v>
      </c>
      <c r="W834">
        <v>0</v>
      </c>
      <c r="X834">
        <v>0</v>
      </c>
      <c r="Y834">
        <v>0</v>
      </c>
      <c r="Z834">
        <v>1</v>
      </c>
      <c r="AA834">
        <f t="shared" si="312"/>
        <v>3.4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14.2</v>
      </c>
      <c r="AI834">
        <v>0</v>
      </c>
      <c r="AJ834">
        <f t="shared" si="313"/>
        <v>14.2</v>
      </c>
      <c r="AK834">
        <v>0</v>
      </c>
      <c r="AL834">
        <v>0.315</v>
      </c>
      <c r="AM834">
        <f t="shared" si="314"/>
        <v>0.68599999999999994</v>
      </c>
      <c r="AN834">
        <v>3463</v>
      </c>
      <c r="AO834" t="s">
        <v>13</v>
      </c>
      <c r="AP834" s="3">
        <f t="shared" si="326"/>
        <v>11028.662420382163</v>
      </c>
      <c r="AQ834" t="s">
        <v>13</v>
      </c>
      <c r="AR834">
        <f t="shared" si="318"/>
        <v>0.20699708454810495</v>
      </c>
      <c r="AS834">
        <f t="shared" si="323"/>
        <v>0.54399999999999982</v>
      </c>
      <c r="AT834">
        <f t="shared" si="324"/>
        <v>6000</v>
      </c>
      <c r="AU834">
        <f t="shared" si="325"/>
        <v>1566</v>
      </c>
      <c r="AV834">
        <f t="shared" si="304"/>
        <v>3204</v>
      </c>
      <c r="AW834">
        <f t="shared" si="305"/>
        <v>2437</v>
      </c>
      <c r="AX834" s="3">
        <f t="shared" si="306"/>
        <v>5387.662420382163</v>
      </c>
      <c r="AY834">
        <f t="shared" si="307"/>
        <v>3000</v>
      </c>
      <c r="AZ834">
        <f t="shared" si="308"/>
        <v>2500</v>
      </c>
      <c r="BA834" s="3">
        <f t="shared" si="309"/>
        <v>5528.662420382163</v>
      </c>
    </row>
    <row r="835" spans="1:53" x14ac:dyDescent="0.2">
      <c r="A835">
        <v>1994</v>
      </c>
      <c r="B835" t="s">
        <v>84</v>
      </c>
      <c r="C835" t="s">
        <v>85</v>
      </c>
      <c r="D835">
        <v>22.5</v>
      </c>
      <c r="E835">
        <v>1.2</v>
      </c>
      <c r="F835">
        <v>0.4</v>
      </c>
      <c r="G835">
        <v>21.2</v>
      </c>
      <c r="H835">
        <v>1.4</v>
      </c>
      <c r="I835">
        <v>4</v>
      </c>
      <c r="J835">
        <v>0.5</v>
      </c>
      <c r="K835">
        <f t="shared" si="322"/>
        <v>51.199999999999996</v>
      </c>
      <c r="L835">
        <v>0.2</v>
      </c>
      <c r="M835">
        <v>0.3</v>
      </c>
      <c r="N835">
        <v>0</v>
      </c>
      <c r="O835">
        <f t="shared" si="310"/>
        <v>0.5</v>
      </c>
      <c r="P835" s="1">
        <v>0</v>
      </c>
      <c r="Q835" s="1">
        <v>0</v>
      </c>
      <c r="R835" s="1">
        <v>0.7</v>
      </c>
      <c r="S835">
        <f t="shared" si="311"/>
        <v>0.7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f t="shared" si="312"/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19.600000000000001</v>
      </c>
      <c r="AI835">
        <v>0</v>
      </c>
      <c r="AJ835">
        <f t="shared" si="313"/>
        <v>19.600000000000001</v>
      </c>
      <c r="AK835">
        <v>0</v>
      </c>
      <c r="AL835">
        <v>0.28100000000000003</v>
      </c>
      <c r="AM835">
        <f t="shared" si="314"/>
        <v>0.72</v>
      </c>
      <c r="AN835">
        <v>4233</v>
      </c>
      <c r="AO835" t="s">
        <v>13</v>
      </c>
      <c r="AP835" s="3">
        <f t="shared" si="326"/>
        <v>15117.857142857141</v>
      </c>
      <c r="AQ835" t="s">
        <v>13</v>
      </c>
      <c r="AR835">
        <f t="shared" si="318"/>
        <v>0.27222222222222225</v>
      </c>
      <c r="AS835">
        <f t="shared" si="323"/>
        <v>0.52400000000000002</v>
      </c>
      <c r="AT835">
        <f t="shared" si="324"/>
        <v>7922</v>
      </c>
      <c r="AU835">
        <f t="shared" si="325"/>
        <v>2963</v>
      </c>
      <c r="AV835">
        <f t="shared" ref="AV835:AV898" si="327">ROUND((((K835*0.5)+O835+S835+AA835)/100)*AP835,0)</f>
        <v>4052</v>
      </c>
      <c r="AW835">
        <f t="shared" ref="AW835:AW898" si="328">ROUND((AU835/(AP835-AT835))*(AP835-AV835),0)</f>
        <v>4557</v>
      </c>
      <c r="AX835" s="3">
        <f t="shared" ref="AX835:AX898" si="329">AP835-AV835-AW835</f>
        <v>6508.8571428571413</v>
      </c>
      <c r="AY835">
        <f t="shared" ref="AY835:AY898" si="330">ROUND((0.5*AS835)*AP835,0)</f>
        <v>3961</v>
      </c>
      <c r="AZ835">
        <f t="shared" ref="AZ835:AZ898" si="331">ROUND((AU835/(AP835-AT835))*(AP835-AY835),0)</f>
        <v>4594</v>
      </c>
      <c r="BA835" s="3">
        <f t="shared" ref="BA835:BA898" si="332">AP835-AZ835-AY835</f>
        <v>6562.8571428571413</v>
      </c>
    </row>
    <row r="836" spans="1:53" x14ac:dyDescent="0.2">
      <c r="A836">
        <v>1995</v>
      </c>
      <c r="B836" t="s">
        <v>84</v>
      </c>
      <c r="C836" t="s">
        <v>85</v>
      </c>
      <c r="D836">
        <v>21.4</v>
      </c>
      <c r="E836">
        <v>0</v>
      </c>
      <c r="F836">
        <v>1.7</v>
      </c>
      <c r="G836">
        <v>6.4</v>
      </c>
      <c r="H836">
        <v>3.8</v>
      </c>
      <c r="I836">
        <v>0.8</v>
      </c>
      <c r="J836">
        <v>0</v>
      </c>
      <c r="K836">
        <f t="shared" si="322"/>
        <v>34.099999999999994</v>
      </c>
      <c r="L836">
        <v>0</v>
      </c>
      <c r="M836">
        <v>0.2</v>
      </c>
      <c r="N836">
        <v>0</v>
      </c>
      <c r="O836">
        <f t="shared" si="310"/>
        <v>0.2</v>
      </c>
      <c r="P836" s="1">
        <v>0</v>
      </c>
      <c r="Q836" s="1">
        <v>0</v>
      </c>
      <c r="R836" s="1">
        <v>0.6</v>
      </c>
      <c r="S836">
        <f t="shared" si="311"/>
        <v>0.6</v>
      </c>
      <c r="T836">
        <v>0.7</v>
      </c>
      <c r="U836">
        <v>0</v>
      </c>
      <c r="V836">
        <v>0</v>
      </c>
      <c r="W836">
        <v>0</v>
      </c>
      <c r="X836">
        <v>0</v>
      </c>
      <c r="Y836">
        <v>0.2</v>
      </c>
      <c r="Z836">
        <v>0</v>
      </c>
      <c r="AA836">
        <f t="shared" si="312"/>
        <v>0.89999999999999991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26.3</v>
      </c>
      <c r="AI836">
        <v>0.5</v>
      </c>
      <c r="AJ836">
        <f t="shared" si="313"/>
        <v>26.8</v>
      </c>
      <c r="AK836">
        <v>0</v>
      </c>
      <c r="AL836">
        <v>0.375</v>
      </c>
      <c r="AM836">
        <f t="shared" si="314"/>
        <v>0.62599999999999989</v>
      </c>
      <c r="AN836">
        <v>3127</v>
      </c>
      <c r="AO836" t="s">
        <v>13</v>
      </c>
      <c r="AP836" s="3">
        <f t="shared" si="326"/>
        <v>8360.9625668449171</v>
      </c>
      <c r="AQ836" t="s">
        <v>13</v>
      </c>
      <c r="AR836">
        <f t="shared" si="318"/>
        <v>0.42811501597444102</v>
      </c>
      <c r="AS836">
        <f t="shared" si="323"/>
        <v>0.35799999999999998</v>
      </c>
      <c r="AT836">
        <f t="shared" si="324"/>
        <v>2993</v>
      </c>
      <c r="AU836">
        <f t="shared" si="325"/>
        <v>2241</v>
      </c>
      <c r="AV836">
        <f t="shared" si="327"/>
        <v>1568</v>
      </c>
      <c r="AW836">
        <f t="shared" si="328"/>
        <v>2836</v>
      </c>
      <c r="AX836" s="3">
        <f t="shared" si="329"/>
        <v>3956.9625668449171</v>
      </c>
      <c r="AY836">
        <f t="shared" si="330"/>
        <v>1497</v>
      </c>
      <c r="AZ836">
        <f t="shared" si="331"/>
        <v>2866</v>
      </c>
      <c r="BA836" s="3">
        <f t="shared" si="332"/>
        <v>3997.9625668449171</v>
      </c>
    </row>
    <row r="837" spans="1:53" x14ac:dyDescent="0.2">
      <c r="A837">
        <v>1996</v>
      </c>
      <c r="B837" t="s">
        <v>84</v>
      </c>
      <c r="C837" t="s">
        <v>85</v>
      </c>
      <c r="D837">
        <v>21.7</v>
      </c>
      <c r="E837">
        <v>0</v>
      </c>
      <c r="F837">
        <v>2.7</v>
      </c>
      <c r="G837">
        <v>0.8</v>
      </c>
      <c r="H837">
        <v>0</v>
      </c>
      <c r="I837">
        <v>0.4</v>
      </c>
      <c r="J837">
        <v>0</v>
      </c>
      <c r="K837">
        <f t="shared" si="322"/>
        <v>25.599999999999998</v>
      </c>
      <c r="L837">
        <v>0.3</v>
      </c>
      <c r="M837">
        <v>0</v>
      </c>
      <c r="N837">
        <v>0</v>
      </c>
      <c r="O837">
        <f t="shared" si="310"/>
        <v>0.3</v>
      </c>
      <c r="P837" s="1">
        <v>0</v>
      </c>
      <c r="Q837" s="1">
        <v>0</v>
      </c>
      <c r="R837" s="1">
        <v>0</v>
      </c>
      <c r="S837">
        <f t="shared" si="311"/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f t="shared" si="312"/>
        <v>0</v>
      </c>
      <c r="AB837">
        <v>0</v>
      </c>
      <c r="AC837">
        <v>0</v>
      </c>
      <c r="AD837">
        <v>0</v>
      </c>
      <c r="AE837">
        <v>0</v>
      </c>
      <c r="AF837">
        <v>0.1</v>
      </c>
      <c r="AG837">
        <v>0</v>
      </c>
      <c r="AH837">
        <v>16.399999999999999</v>
      </c>
      <c r="AI837">
        <v>0</v>
      </c>
      <c r="AJ837">
        <f t="shared" si="313"/>
        <v>16.5</v>
      </c>
      <c r="AK837">
        <v>0</v>
      </c>
      <c r="AL837">
        <v>0.57700000000000007</v>
      </c>
      <c r="AM837">
        <f t="shared" si="314"/>
        <v>0.42399999999999999</v>
      </c>
      <c r="AN837">
        <v>4218</v>
      </c>
      <c r="AO837" t="s">
        <v>13</v>
      </c>
      <c r="AP837" s="3">
        <f t="shared" si="326"/>
        <v>7322.9166666666661</v>
      </c>
      <c r="AQ837" t="s">
        <v>13</v>
      </c>
      <c r="AR837">
        <f t="shared" si="318"/>
        <v>0.38915094339622647</v>
      </c>
      <c r="AS837">
        <f t="shared" si="323"/>
        <v>0.25900000000000001</v>
      </c>
      <c r="AT837">
        <f t="shared" si="324"/>
        <v>1897</v>
      </c>
      <c r="AU837">
        <f t="shared" si="325"/>
        <v>1208</v>
      </c>
      <c r="AV837">
        <f t="shared" si="327"/>
        <v>959</v>
      </c>
      <c r="AW837">
        <f t="shared" si="328"/>
        <v>1417</v>
      </c>
      <c r="AX837" s="3">
        <f t="shared" si="329"/>
        <v>4946.9166666666661</v>
      </c>
      <c r="AY837">
        <f t="shared" si="330"/>
        <v>948</v>
      </c>
      <c r="AZ837">
        <f t="shared" si="331"/>
        <v>1419</v>
      </c>
      <c r="BA837" s="3">
        <f t="shared" si="332"/>
        <v>4955.9166666666661</v>
      </c>
    </row>
    <row r="838" spans="1:53" x14ac:dyDescent="0.2">
      <c r="A838">
        <v>1997</v>
      </c>
      <c r="B838" t="s">
        <v>84</v>
      </c>
      <c r="C838" t="s">
        <v>85</v>
      </c>
      <c r="D838">
        <v>37.799999999999997</v>
      </c>
      <c r="E838">
        <v>0.6</v>
      </c>
      <c r="F838">
        <v>0</v>
      </c>
      <c r="G838">
        <v>7.8</v>
      </c>
      <c r="H838">
        <v>0</v>
      </c>
      <c r="I838">
        <v>0.3</v>
      </c>
      <c r="J838">
        <v>0</v>
      </c>
      <c r="K838">
        <f t="shared" si="322"/>
        <v>46.499999999999993</v>
      </c>
      <c r="L838">
        <v>0.3</v>
      </c>
      <c r="M838">
        <v>0</v>
      </c>
      <c r="N838">
        <v>0</v>
      </c>
      <c r="O838">
        <f t="shared" si="310"/>
        <v>0.3</v>
      </c>
      <c r="P838" s="1">
        <v>0</v>
      </c>
      <c r="Q838" s="1">
        <v>0</v>
      </c>
      <c r="R838" s="1">
        <v>0</v>
      </c>
      <c r="S838">
        <f t="shared" si="311"/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f t="shared" si="312"/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19.2</v>
      </c>
      <c r="AI838">
        <v>0</v>
      </c>
      <c r="AJ838">
        <f t="shared" si="313"/>
        <v>19.2</v>
      </c>
      <c r="AK838">
        <v>0</v>
      </c>
      <c r="AL838">
        <v>0.34</v>
      </c>
      <c r="AM838">
        <f t="shared" si="314"/>
        <v>0.66</v>
      </c>
      <c r="AN838">
        <v>2872</v>
      </c>
      <c r="AO838" t="s">
        <v>13</v>
      </c>
      <c r="AP838" s="3">
        <f t="shared" si="326"/>
        <v>8447.0588235294126</v>
      </c>
      <c r="AQ838" t="s">
        <v>13</v>
      </c>
      <c r="AR838">
        <f t="shared" si="318"/>
        <v>0.29090909090909089</v>
      </c>
      <c r="AS838">
        <f t="shared" si="323"/>
        <v>0.46799999999999992</v>
      </c>
      <c r="AT838">
        <f t="shared" si="324"/>
        <v>3953</v>
      </c>
      <c r="AU838">
        <f t="shared" si="325"/>
        <v>1622</v>
      </c>
      <c r="AV838">
        <f t="shared" si="327"/>
        <v>1989</v>
      </c>
      <c r="AW838">
        <f t="shared" si="328"/>
        <v>2331</v>
      </c>
      <c r="AX838" s="3">
        <f t="shared" si="329"/>
        <v>4127.0588235294126</v>
      </c>
      <c r="AY838">
        <f t="shared" si="330"/>
        <v>1977</v>
      </c>
      <c r="AZ838">
        <f t="shared" si="331"/>
        <v>2335</v>
      </c>
      <c r="BA838" s="3">
        <f t="shared" si="332"/>
        <v>4135.0588235294126</v>
      </c>
    </row>
    <row r="839" spans="1:53" x14ac:dyDescent="0.2">
      <c r="A839">
        <v>1998</v>
      </c>
      <c r="B839" t="s">
        <v>84</v>
      </c>
      <c r="C839" t="s">
        <v>85</v>
      </c>
      <c r="D839">
        <v>25.1</v>
      </c>
      <c r="E839">
        <v>0</v>
      </c>
      <c r="F839">
        <v>3.4</v>
      </c>
      <c r="G839">
        <v>18.899999999999999</v>
      </c>
      <c r="H839">
        <v>0</v>
      </c>
      <c r="I839">
        <v>0</v>
      </c>
      <c r="J839">
        <v>0</v>
      </c>
      <c r="K839">
        <f t="shared" si="322"/>
        <v>47.4</v>
      </c>
      <c r="L839">
        <v>0</v>
      </c>
      <c r="M839">
        <v>0</v>
      </c>
      <c r="N839">
        <v>0</v>
      </c>
      <c r="O839">
        <f t="shared" si="310"/>
        <v>0</v>
      </c>
      <c r="P839" s="1">
        <v>0</v>
      </c>
      <c r="Q839" s="1">
        <v>0</v>
      </c>
      <c r="R839" s="1">
        <v>0</v>
      </c>
      <c r="S839">
        <f t="shared" si="311"/>
        <v>0</v>
      </c>
      <c r="T839">
        <v>0</v>
      </c>
      <c r="U839">
        <v>0.8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f t="shared" si="312"/>
        <v>0.8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9.5</v>
      </c>
      <c r="AI839">
        <v>3.8</v>
      </c>
      <c r="AJ839">
        <f t="shared" si="313"/>
        <v>13.3</v>
      </c>
      <c r="AK839">
        <v>0</v>
      </c>
      <c r="AL839">
        <v>0.38600000000000001</v>
      </c>
      <c r="AM839">
        <f t="shared" si="314"/>
        <v>0.61499999999999999</v>
      </c>
      <c r="AN839">
        <v>3875</v>
      </c>
      <c r="AO839" t="s">
        <v>13</v>
      </c>
      <c r="AP839" s="3">
        <f t="shared" si="326"/>
        <v>10064.935064935065</v>
      </c>
      <c r="AQ839" t="s">
        <v>13</v>
      </c>
      <c r="AR839">
        <f t="shared" si="318"/>
        <v>0.21626016260162603</v>
      </c>
      <c r="AS839">
        <f t="shared" si="323"/>
        <v>0.48199999999999998</v>
      </c>
      <c r="AT839">
        <f t="shared" si="324"/>
        <v>4851</v>
      </c>
      <c r="AU839">
        <f t="shared" si="325"/>
        <v>1339</v>
      </c>
      <c r="AV839">
        <f t="shared" si="327"/>
        <v>2466</v>
      </c>
      <c r="AW839">
        <f t="shared" si="328"/>
        <v>1951</v>
      </c>
      <c r="AX839" s="3">
        <f t="shared" si="329"/>
        <v>5647.9350649350654</v>
      </c>
      <c r="AY839">
        <f t="shared" si="330"/>
        <v>2426</v>
      </c>
      <c r="AZ839">
        <f t="shared" si="331"/>
        <v>1962</v>
      </c>
      <c r="BA839" s="3">
        <f t="shared" si="332"/>
        <v>5676.9350649350654</v>
      </c>
    </row>
    <row r="840" spans="1:53" x14ac:dyDescent="0.2">
      <c r="A840">
        <v>1999</v>
      </c>
      <c r="B840" t="s">
        <v>84</v>
      </c>
      <c r="C840" t="s">
        <v>85</v>
      </c>
      <c r="D840">
        <v>10.9</v>
      </c>
      <c r="E840">
        <v>0</v>
      </c>
      <c r="F840">
        <v>2.7</v>
      </c>
      <c r="G840">
        <v>2.7</v>
      </c>
      <c r="H840">
        <v>0</v>
      </c>
      <c r="I840">
        <v>0</v>
      </c>
      <c r="J840">
        <v>0</v>
      </c>
      <c r="K840">
        <f t="shared" si="322"/>
        <v>16.3</v>
      </c>
      <c r="L840">
        <v>0</v>
      </c>
      <c r="M840">
        <v>0</v>
      </c>
      <c r="N840">
        <v>0</v>
      </c>
      <c r="O840">
        <f t="shared" si="310"/>
        <v>0</v>
      </c>
      <c r="P840" s="1">
        <v>0</v>
      </c>
      <c r="Q840" s="1">
        <v>0</v>
      </c>
      <c r="R840" s="1">
        <v>0</v>
      </c>
      <c r="S840">
        <f t="shared" si="311"/>
        <v>0</v>
      </c>
      <c r="T840">
        <v>0</v>
      </c>
      <c r="U840">
        <v>0.3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f t="shared" si="312"/>
        <v>0.3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8.5</v>
      </c>
      <c r="AI840">
        <v>0</v>
      </c>
      <c r="AJ840">
        <f t="shared" si="313"/>
        <v>8.5</v>
      </c>
      <c r="AK840">
        <v>0</v>
      </c>
      <c r="AL840">
        <v>0.74900000000000011</v>
      </c>
      <c r="AM840">
        <f t="shared" si="314"/>
        <v>0.251</v>
      </c>
      <c r="AN840">
        <v>1929</v>
      </c>
      <c r="AO840" t="s">
        <v>13</v>
      </c>
      <c r="AP840" s="3">
        <f t="shared" si="326"/>
        <v>2575.4339118825101</v>
      </c>
      <c r="AQ840" t="s">
        <v>13</v>
      </c>
      <c r="AR840">
        <f t="shared" si="318"/>
        <v>0.33864541832669326</v>
      </c>
      <c r="AS840">
        <f t="shared" si="323"/>
        <v>0.16600000000000001</v>
      </c>
      <c r="AT840">
        <f t="shared" si="324"/>
        <v>428</v>
      </c>
      <c r="AU840">
        <f t="shared" si="325"/>
        <v>219</v>
      </c>
      <c r="AV840">
        <f t="shared" si="327"/>
        <v>218</v>
      </c>
      <c r="AW840">
        <f t="shared" si="328"/>
        <v>240</v>
      </c>
      <c r="AX840" s="3">
        <f t="shared" si="329"/>
        <v>2117.4339118825101</v>
      </c>
      <c r="AY840">
        <f t="shared" si="330"/>
        <v>214</v>
      </c>
      <c r="AZ840">
        <f t="shared" si="331"/>
        <v>241</v>
      </c>
      <c r="BA840" s="3">
        <f t="shared" si="332"/>
        <v>2120.4339118825101</v>
      </c>
    </row>
    <row r="841" spans="1:53" x14ac:dyDescent="0.2">
      <c r="A841">
        <v>2000</v>
      </c>
      <c r="B841" t="s">
        <v>84</v>
      </c>
      <c r="C841" t="s">
        <v>85</v>
      </c>
      <c r="D841">
        <v>19.600000000000001</v>
      </c>
      <c r="E841">
        <v>0</v>
      </c>
      <c r="F841">
        <v>5</v>
      </c>
      <c r="G841">
        <v>9.8000000000000007</v>
      </c>
      <c r="H841">
        <v>0</v>
      </c>
      <c r="I841">
        <v>0</v>
      </c>
      <c r="J841">
        <v>0</v>
      </c>
      <c r="K841">
        <f t="shared" si="322"/>
        <v>34.400000000000006</v>
      </c>
      <c r="L841">
        <v>0</v>
      </c>
      <c r="M841">
        <v>0</v>
      </c>
      <c r="N841">
        <v>0</v>
      </c>
      <c r="O841">
        <f t="shared" si="310"/>
        <v>0</v>
      </c>
      <c r="P841" s="1">
        <v>0</v>
      </c>
      <c r="Q841" s="1">
        <v>0</v>
      </c>
      <c r="R841" s="1">
        <v>0</v>
      </c>
      <c r="S841">
        <f t="shared" si="311"/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f t="shared" si="312"/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2.4</v>
      </c>
      <c r="AI841">
        <v>0</v>
      </c>
      <c r="AJ841">
        <f t="shared" si="313"/>
        <v>2.4</v>
      </c>
      <c r="AK841">
        <v>0</v>
      </c>
      <c r="AL841">
        <v>0.63200000000000001</v>
      </c>
      <c r="AM841">
        <f t="shared" si="314"/>
        <v>0.36799999999999999</v>
      </c>
      <c r="AN841">
        <v>3410</v>
      </c>
      <c r="AO841" t="s">
        <v>13</v>
      </c>
      <c r="AP841" s="3">
        <f t="shared" si="326"/>
        <v>5395.5696202531644</v>
      </c>
      <c r="AQ841" t="s">
        <v>13</v>
      </c>
      <c r="AR841">
        <f t="shared" si="318"/>
        <v>6.5217391304347824E-2</v>
      </c>
      <c r="AS841">
        <f t="shared" si="323"/>
        <v>0.34400000000000008</v>
      </c>
      <c r="AT841">
        <f t="shared" si="324"/>
        <v>1856</v>
      </c>
      <c r="AU841">
        <f t="shared" si="325"/>
        <v>129</v>
      </c>
      <c r="AV841">
        <f t="shared" si="327"/>
        <v>928</v>
      </c>
      <c r="AW841">
        <f t="shared" si="328"/>
        <v>163</v>
      </c>
      <c r="AX841" s="3">
        <f t="shared" si="329"/>
        <v>4304.5696202531644</v>
      </c>
      <c r="AY841">
        <f t="shared" si="330"/>
        <v>928</v>
      </c>
      <c r="AZ841">
        <f t="shared" si="331"/>
        <v>163</v>
      </c>
      <c r="BA841" s="3">
        <f t="shared" si="332"/>
        <v>4304.5696202531644</v>
      </c>
    </row>
    <row r="842" spans="1:53" x14ac:dyDescent="0.2">
      <c r="A842">
        <v>2001</v>
      </c>
      <c r="B842" t="s">
        <v>84</v>
      </c>
      <c r="C842" t="s">
        <v>85</v>
      </c>
      <c r="D842">
        <v>11.4</v>
      </c>
      <c r="E842">
        <v>0</v>
      </c>
      <c r="F842">
        <v>3.6</v>
      </c>
      <c r="G842">
        <v>2.2999999999999998</v>
      </c>
      <c r="H842">
        <v>0</v>
      </c>
      <c r="I842">
        <v>0</v>
      </c>
      <c r="J842">
        <v>0</v>
      </c>
      <c r="K842">
        <f t="shared" si="322"/>
        <v>17.3</v>
      </c>
      <c r="L842">
        <v>0</v>
      </c>
      <c r="M842">
        <v>0</v>
      </c>
      <c r="N842">
        <v>0</v>
      </c>
      <c r="O842">
        <f t="shared" ref="O842:O905" si="333">SUM(L842:N842)</f>
        <v>0</v>
      </c>
      <c r="P842" s="1">
        <v>0</v>
      </c>
      <c r="Q842" s="1">
        <v>0</v>
      </c>
      <c r="R842" s="1">
        <v>0</v>
      </c>
      <c r="S842">
        <f t="shared" ref="S842:S905" si="334">SUM(P842:R842)</f>
        <v>0</v>
      </c>
      <c r="T842">
        <v>0.5</v>
      </c>
      <c r="U842">
        <v>0.3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f t="shared" ref="AA842:AA905" si="335">SUM(T842:Z842)</f>
        <v>0.8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14.6</v>
      </c>
      <c r="AI842">
        <v>0</v>
      </c>
      <c r="AJ842">
        <f t="shared" ref="AJ842:AJ905" si="336">SUM(AB842:AI842)</f>
        <v>14.6</v>
      </c>
      <c r="AK842">
        <v>0</v>
      </c>
      <c r="AL842">
        <v>0.67400000000000004</v>
      </c>
      <c r="AM842">
        <f t="shared" si="314"/>
        <v>0.32700000000000001</v>
      </c>
      <c r="AN842">
        <v>2872</v>
      </c>
      <c r="AO842" t="s">
        <v>13</v>
      </c>
      <c r="AP842" s="3">
        <f t="shared" si="326"/>
        <v>4267.4591381872215</v>
      </c>
      <c r="AQ842" t="s">
        <v>13</v>
      </c>
      <c r="AR842">
        <f t="shared" si="318"/>
        <v>0.44648318042813451</v>
      </c>
      <c r="AS842">
        <f t="shared" si="323"/>
        <v>0.18100000000000002</v>
      </c>
      <c r="AT842">
        <f t="shared" si="324"/>
        <v>772</v>
      </c>
      <c r="AU842">
        <f t="shared" si="325"/>
        <v>623</v>
      </c>
      <c r="AV842">
        <f t="shared" si="327"/>
        <v>403</v>
      </c>
      <c r="AW842">
        <f t="shared" si="328"/>
        <v>689</v>
      </c>
      <c r="AX842" s="3">
        <f t="shared" si="329"/>
        <v>3175.4591381872215</v>
      </c>
      <c r="AY842">
        <f t="shared" si="330"/>
        <v>386</v>
      </c>
      <c r="AZ842">
        <f t="shared" si="331"/>
        <v>692</v>
      </c>
      <c r="BA842" s="3">
        <f t="shared" si="332"/>
        <v>3189.4591381872215</v>
      </c>
    </row>
    <row r="843" spans="1:53" x14ac:dyDescent="0.2">
      <c r="A843">
        <v>2002</v>
      </c>
      <c r="B843" t="s">
        <v>84</v>
      </c>
      <c r="C843" t="s">
        <v>85</v>
      </c>
      <c r="D843">
        <v>22.2</v>
      </c>
      <c r="E843">
        <v>0</v>
      </c>
      <c r="F843">
        <v>2.6</v>
      </c>
      <c r="G843">
        <v>4.0999999999999996</v>
      </c>
      <c r="H843">
        <v>2.5</v>
      </c>
      <c r="I843">
        <v>0</v>
      </c>
      <c r="J843">
        <v>0</v>
      </c>
      <c r="K843">
        <f t="shared" si="322"/>
        <v>31.4</v>
      </c>
      <c r="L843">
        <v>0</v>
      </c>
      <c r="M843">
        <v>0</v>
      </c>
      <c r="N843">
        <v>0</v>
      </c>
      <c r="O843">
        <f t="shared" si="333"/>
        <v>0</v>
      </c>
      <c r="P843" s="1">
        <v>0</v>
      </c>
      <c r="Q843" s="1">
        <v>0</v>
      </c>
      <c r="R843" s="1">
        <v>0.2</v>
      </c>
      <c r="S843">
        <f t="shared" si="334"/>
        <v>0.2</v>
      </c>
      <c r="T843">
        <v>0</v>
      </c>
      <c r="U843">
        <v>0.2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f t="shared" si="335"/>
        <v>0.2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17.399999999999999</v>
      </c>
      <c r="AI843">
        <v>0</v>
      </c>
      <c r="AJ843">
        <f t="shared" si="336"/>
        <v>17.399999999999999</v>
      </c>
      <c r="AK843">
        <v>11.1</v>
      </c>
      <c r="AL843">
        <v>0.39799999999999996</v>
      </c>
      <c r="AM843">
        <f t="shared" si="314"/>
        <v>0.49200000000000005</v>
      </c>
      <c r="AN843">
        <v>2419</v>
      </c>
      <c r="AO843" t="s">
        <v>13</v>
      </c>
      <c r="AP843" s="3">
        <f t="shared" si="326"/>
        <v>4761.8110236220473</v>
      </c>
      <c r="AQ843" t="s">
        <v>13</v>
      </c>
      <c r="AR843">
        <f t="shared" si="318"/>
        <v>0.35365853658536578</v>
      </c>
      <c r="AS843">
        <f t="shared" si="323"/>
        <v>0.31799999999999995</v>
      </c>
      <c r="AT843">
        <f t="shared" si="324"/>
        <v>1514</v>
      </c>
      <c r="AU843">
        <f t="shared" si="325"/>
        <v>829</v>
      </c>
      <c r="AV843">
        <f t="shared" si="327"/>
        <v>767</v>
      </c>
      <c r="AW843">
        <f t="shared" si="328"/>
        <v>1020</v>
      </c>
      <c r="AX843" s="3">
        <f t="shared" si="329"/>
        <v>2974.8110236220473</v>
      </c>
      <c r="AY843">
        <f t="shared" si="330"/>
        <v>757</v>
      </c>
      <c r="AZ843">
        <f t="shared" si="331"/>
        <v>1022</v>
      </c>
      <c r="BA843" s="3">
        <f t="shared" si="332"/>
        <v>2982.8110236220473</v>
      </c>
    </row>
    <row r="844" spans="1:53" x14ac:dyDescent="0.2">
      <c r="A844">
        <v>2003</v>
      </c>
      <c r="B844" t="s">
        <v>84</v>
      </c>
      <c r="C844" t="s">
        <v>85</v>
      </c>
      <c r="D844">
        <v>14.4</v>
      </c>
      <c r="E844">
        <v>0</v>
      </c>
      <c r="F844">
        <v>2.7</v>
      </c>
      <c r="G844">
        <v>7.5</v>
      </c>
      <c r="H844">
        <v>3.8</v>
      </c>
      <c r="I844">
        <v>0</v>
      </c>
      <c r="J844">
        <v>0.2</v>
      </c>
      <c r="K844">
        <f t="shared" si="322"/>
        <v>28.6</v>
      </c>
      <c r="L844">
        <v>0</v>
      </c>
      <c r="M844">
        <v>0</v>
      </c>
      <c r="N844">
        <v>0</v>
      </c>
      <c r="O844">
        <f t="shared" si="333"/>
        <v>0</v>
      </c>
      <c r="P844" s="1">
        <v>0</v>
      </c>
      <c r="Q844" s="1">
        <v>0</v>
      </c>
      <c r="R844" s="1">
        <v>0</v>
      </c>
      <c r="S844">
        <f t="shared" si="334"/>
        <v>0</v>
      </c>
      <c r="T844">
        <v>0</v>
      </c>
      <c r="U844">
        <v>0.5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f t="shared" si="335"/>
        <v>0.5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11.7</v>
      </c>
      <c r="AI844">
        <v>0</v>
      </c>
      <c r="AJ844">
        <f t="shared" si="336"/>
        <v>11.7</v>
      </c>
      <c r="AK844">
        <v>0.2</v>
      </c>
      <c r="AL844">
        <v>0.58899999999999997</v>
      </c>
      <c r="AM844">
        <f t="shared" si="314"/>
        <v>0.40799999999999997</v>
      </c>
      <c r="AN844">
        <v>4886</v>
      </c>
      <c r="AO844" t="s">
        <v>13</v>
      </c>
      <c r="AP844" s="3">
        <f t="shared" si="326"/>
        <v>8253.3783783783765</v>
      </c>
      <c r="AQ844" t="s">
        <v>13</v>
      </c>
      <c r="AR844">
        <f t="shared" si="318"/>
        <v>0.28676470588235292</v>
      </c>
      <c r="AS844">
        <f t="shared" si="323"/>
        <v>0.29100000000000004</v>
      </c>
      <c r="AT844">
        <f t="shared" si="324"/>
        <v>2402</v>
      </c>
      <c r="AU844">
        <f t="shared" si="325"/>
        <v>966</v>
      </c>
      <c r="AV844">
        <f t="shared" si="327"/>
        <v>1222</v>
      </c>
      <c r="AW844">
        <f t="shared" si="328"/>
        <v>1161</v>
      </c>
      <c r="AX844" s="3">
        <f t="shared" si="329"/>
        <v>5870.3783783783765</v>
      </c>
      <c r="AY844">
        <f t="shared" si="330"/>
        <v>1201</v>
      </c>
      <c r="AZ844">
        <f t="shared" si="331"/>
        <v>1164</v>
      </c>
      <c r="BA844" s="3">
        <f t="shared" si="332"/>
        <v>5888.3783783783765</v>
      </c>
    </row>
    <row r="845" spans="1:53" x14ac:dyDescent="0.2">
      <c r="A845">
        <v>2004</v>
      </c>
      <c r="B845" t="s">
        <v>84</v>
      </c>
      <c r="C845" t="s">
        <v>85</v>
      </c>
      <c r="D845">
        <v>13.7</v>
      </c>
      <c r="E845">
        <v>0.7</v>
      </c>
      <c r="F845">
        <v>2.5</v>
      </c>
      <c r="G845">
        <v>6.1</v>
      </c>
      <c r="H845">
        <v>6.8</v>
      </c>
      <c r="I845">
        <v>2</v>
      </c>
      <c r="J845">
        <v>0</v>
      </c>
      <c r="K845">
        <f t="shared" si="322"/>
        <v>31.8</v>
      </c>
      <c r="L845">
        <v>0</v>
      </c>
      <c r="M845">
        <v>0</v>
      </c>
      <c r="N845">
        <v>0</v>
      </c>
      <c r="O845">
        <f t="shared" si="333"/>
        <v>0</v>
      </c>
      <c r="P845" s="1">
        <v>0</v>
      </c>
      <c r="Q845" s="1">
        <v>0</v>
      </c>
      <c r="R845" s="1">
        <v>0</v>
      </c>
      <c r="S845">
        <f t="shared" si="334"/>
        <v>0</v>
      </c>
      <c r="T845">
        <v>0.2</v>
      </c>
      <c r="U845">
        <v>0.2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f t="shared" si="335"/>
        <v>0.4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9.1</v>
      </c>
      <c r="AI845">
        <v>0</v>
      </c>
      <c r="AJ845">
        <f t="shared" si="336"/>
        <v>9.1</v>
      </c>
      <c r="AK845">
        <v>0.1</v>
      </c>
      <c r="AL845">
        <v>0.58599999999999997</v>
      </c>
      <c r="AM845">
        <f t="shared" si="314"/>
        <v>0.41299999999999992</v>
      </c>
      <c r="AN845">
        <v>4978</v>
      </c>
      <c r="AO845" t="s">
        <v>13</v>
      </c>
      <c r="AP845" s="3">
        <f t="shared" si="326"/>
        <v>8480.4088586030648</v>
      </c>
      <c r="AQ845" t="s">
        <v>13</v>
      </c>
      <c r="AR845">
        <f t="shared" si="318"/>
        <v>0.22033898305084748</v>
      </c>
      <c r="AS845">
        <f t="shared" si="323"/>
        <v>0.32200000000000001</v>
      </c>
      <c r="AT845">
        <f t="shared" si="324"/>
        <v>2731</v>
      </c>
      <c r="AU845">
        <f t="shared" si="325"/>
        <v>772</v>
      </c>
      <c r="AV845">
        <f t="shared" si="327"/>
        <v>1382</v>
      </c>
      <c r="AW845">
        <f t="shared" si="328"/>
        <v>953</v>
      </c>
      <c r="AX845" s="3">
        <f t="shared" si="329"/>
        <v>6145.4088586030648</v>
      </c>
      <c r="AY845">
        <f t="shared" si="330"/>
        <v>1365</v>
      </c>
      <c r="AZ845">
        <f t="shared" si="331"/>
        <v>955</v>
      </c>
      <c r="BA845" s="3">
        <f t="shared" si="332"/>
        <v>6160.4088586030648</v>
      </c>
    </row>
    <row r="846" spans="1:53" x14ac:dyDescent="0.2">
      <c r="A846">
        <v>2005</v>
      </c>
      <c r="B846" t="s">
        <v>84</v>
      </c>
      <c r="C846" t="s">
        <v>85</v>
      </c>
      <c r="D846">
        <v>14.5</v>
      </c>
      <c r="E846">
        <v>0</v>
      </c>
      <c r="F846">
        <v>2.7</v>
      </c>
      <c r="G846">
        <v>5.8</v>
      </c>
      <c r="H846">
        <v>2</v>
      </c>
      <c r="I846">
        <v>2.8</v>
      </c>
      <c r="J846">
        <v>0</v>
      </c>
      <c r="K846">
        <f t="shared" si="322"/>
        <v>27.8</v>
      </c>
      <c r="L846">
        <v>0</v>
      </c>
      <c r="M846">
        <v>0</v>
      </c>
      <c r="N846">
        <v>0</v>
      </c>
      <c r="O846">
        <f t="shared" si="333"/>
        <v>0</v>
      </c>
      <c r="P846" s="1">
        <v>0</v>
      </c>
      <c r="Q846" s="1">
        <v>0</v>
      </c>
      <c r="R846" s="1">
        <v>0.3</v>
      </c>
      <c r="S846">
        <f t="shared" si="334"/>
        <v>0.3</v>
      </c>
      <c r="T846">
        <v>0</v>
      </c>
      <c r="U846">
        <v>0.3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f t="shared" si="335"/>
        <v>0.3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15.6</v>
      </c>
      <c r="AI846">
        <v>0</v>
      </c>
      <c r="AJ846">
        <f t="shared" si="336"/>
        <v>15.6</v>
      </c>
      <c r="AK846">
        <v>0.1</v>
      </c>
      <c r="AL846">
        <v>0.55799999999999994</v>
      </c>
      <c r="AM846">
        <f t="shared" si="314"/>
        <v>0.43999999999999995</v>
      </c>
      <c r="AN846">
        <v>4401</v>
      </c>
      <c r="AO846" t="s">
        <v>13</v>
      </c>
      <c r="AP846" s="3">
        <f t="shared" si="326"/>
        <v>7858.9285714285706</v>
      </c>
      <c r="AQ846" t="s">
        <v>13</v>
      </c>
      <c r="AR846">
        <f t="shared" si="318"/>
        <v>0.35454545454545461</v>
      </c>
      <c r="AS846">
        <f t="shared" si="323"/>
        <v>0.28400000000000003</v>
      </c>
      <c r="AT846">
        <f t="shared" si="324"/>
        <v>2232</v>
      </c>
      <c r="AU846">
        <f t="shared" si="325"/>
        <v>1226</v>
      </c>
      <c r="AV846">
        <f t="shared" si="327"/>
        <v>1140</v>
      </c>
      <c r="AW846">
        <f t="shared" si="328"/>
        <v>1464</v>
      </c>
      <c r="AX846" s="3">
        <f t="shared" si="329"/>
        <v>5254.9285714285706</v>
      </c>
      <c r="AY846">
        <f t="shared" si="330"/>
        <v>1116</v>
      </c>
      <c r="AZ846">
        <f t="shared" si="331"/>
        <v>1469</v>
      </c>
      <c r="BA846" s="3">
        <f t="shared" si="332"/>
        <v>5273.9285714285706</v>
      </c>
    </row>
    <row r="847" spans="1:53" x14ac:dyDescent="0.2">
      <c r="A847">
        <v>2006</v>
      </c>
      <c r="B847" t="s">
        <v>84</v>
      </c>
      <c r="C847" t="s">
        <v>85</v>
      </c>
      <c r="D847">
        <v>19.100000000000001</v>
      </c>
      <c r="E847">
        <v>0.2</v>
      </c>
      <c r="F847">
        <v>3.3</v>
      </c>
      <c r="G847">
        <v>10.8</v>
      </c>
      <c r="H847">
        <v>2.2999999999999998</v>
      </c>
      <c r="I847">
        <v>3</v>
      </c>
      <c r="J847">
        <v>0.5</v>
      </c>
      <c r="K847">
        <f t="shared" si="322"/>
        <v>39.200000000000003</v>
      </c>
      <c r="L847">
        <v>0</v>
      </c>
      <c r="M847">
        <v>0</v>
      </c>
      <c r="N847">
        <v>0</v>
      </c>
      <c r="O847">
        <f t="shared" si="333"/>
        <v>0</v>
      </c>
      <c r="P847" s="1">
        <v>0</v>
      </c>
      <c r="Q847" s="1">
        <v>0</v>
      </c>
      <c r="R847" s="1">
        <v>0</v>
      </c>
      <c r="S847">
        <f t="shared" si="334"/>
        <v>0</v>
      </c>
      <c r="T847">
        <v>0.4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f t="shared" si="335"/>
        <v>0.4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12.9</v>
      </c>
      <c r="AI847">
        <v>0</v>
      </c>
      <c r="AJ847">
        <f t="shared" si="336"/>
        <v>12.9</v>
      </c>
      <c r="AK847">
        <v>1</v>
      </c>
      <c r="AL847">
        <v>0.46500000000000002</v>
      </c>
      <c r="AM847">
        <f t="shared" si="314"/>
        <v>0.52500000000000002</v>
      </c>
      <c r="AN847">
        <v>2931</v>
      </c>
      <c r="AO847" t="s">
        <v>13</v>
      </c>
      <c r="AP847" s="3">
        <f t="shared" si="326"/>
        <v>6170.5263157894742</v>
      </c>
      <c r="AQ847" t="s">
        <v>13</v>
      </c>
      <c r="AR847">
        <f t="shared" si="318"/>
        <v>0.24571428571428572</v>
      </c>
      <c r="AS847">
        <f t="shared" si="323"/>
        <v>0.39600000000000002</v>
      </c>
      <c r="AT847">
        <f t="shared" si="324"/>
        <v>2444</v>
      </c>
      <c r="AU847">
        <f t="shared" si="325"/>
        <v>796</v>
      </c>
      <c r="AV847">
        <f t="shared" si="327"/>
        <v>1234</v>
      </c>
      <c r="AW847">
        <f t="shared" si="328"/>
        <v>1054</v>
      </c>
      <c r="AX847" s="3">
        <f t="shared" si="329"/>
        <v>3882.5263157894742</v>
      </c>
      <c r="AY847">
        <f t="shared" si="330"/>
        <v>1222</v>
      </c>
      <c r="AZ847">
        <f t="shared" si="331"/>
        <v>1057</v>
      </c>
      <c r="BA847" s="3">
        <f t="shared" si="332"/>
        <v>3891.5263157894742</v>
      </c>
    </row>
    <row r="848" spans="1:53" x14ac:dyDescent="0.2">
      <c r="A848">
        <v>2007</v>
      </c>
      <c r="B848" t="s">
        <v>84</v>
      </c>
      <c r="C848" t="s">
        <v>85</v>
      </c>
      <c r="D848">
        <v>29.8</v>
      </c>
      <c r="E848">
        <v>0</v>
      </c>
      <c r="F848">
        <v>7</v>
      </c>
      <c r="G848">
        <v>9.6999999999999993</v>
      </c>
      <c r="H848">
        <v>13.9</v>
      </c>
      <c r="I848">
        <v>0</v>
      </c>
      <c r="J848">
        <v>0</v>
      </c>
      <c r="K848">
        <f t="shared" si="322"/>
        <v>60.4</v>
      </c>
      <c r="L848">
        <v>0</v>
      </c>
      <c r="M848">
        <v>0</v>
      </c>
      <c r="N848">
        <v>0</v>
      </c>
      <c r="O848">
        <f t="shared" si="333"/>
        <v>0</v>
      </c>
      <c r="P848" s="1">
        <v>0</v>
      </c>
      <c r="Q848" s="1">
        <v>0</v>
      </c>
      <c r="R848" s="1">
        <v>0</v>
      </c>
      <c r="S848">
        <f t="shared" si="334"/>
        <v>0</v>
      </c>
      <c r="T848">
        <v>2.2999999999999998</v>
      </c>
      <c r="U848">
        <v>0.1</v>
      </c>
      <c r="V848">
        <v>0</v>
      </c>
      <c r="W848">
        <v>0</v>
      </c>
      <c r="X848">
        <v>0.2</v>
      </c>
      <c r="Y848">
        <v>0</v>
      </c>
      <c r="Z848">
        <v>0</v>
      </c>
      <c r="AA848">
        <f t="shared" si="335"/>
        <v>2.6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13.1</v>
      </c>
      <c r="AI848">
        <v>0</v>
      </c>
      <c r="AJ848">
        <f t="shared" si="336"/>
        <v>13.1</v>
      </c>
      <c r="AK848">
        <v>0</v>
      </c>
      <c r="AL848">
        <v>0.23899999999999999</v>
      </c>
      <c r="AM848">
        <f t="shared" si="314"/>
        <v>0.76100000000000012</v>
      </c>
      <c r="AN848">
        <v>768</v>
      </c>
      <c r="AO848" t="s">
        <v>13</v>
      </c>
      <c r="AP848" s="3">
        <f t="shared" si="326"/>
        <v>3213.3891213389138</v>
      </c>
      <c r="AQ848" t="s">
        <v>13</v>
      </c>
      <c r="AR848">
        <f t="shared" si="318"/>
        <v>0.17214191852825228</v>
      </c>
      <c r="AS848">
        <f t="shared" si="323"/>
        <v>0.63</v>
      </c>
      <c r="AT848">
        <f t="shared" si="324"/>
        <v>2024</v>
      </c>
      <c r="AU848">
        <f t="shared" si="325"/>
        <v>421</v>
      </c>
      <c r="AV848">
        <f t="shared" si="327"/>
        <v>1054</v>
      </c>
      <c r="AW848">
        <f t="shared" si="328"/>
        <v>764</v>
      </c>
      <c r="AX848" s="3">
        <f t="shared" si="329"/>
        <v>1395.3891213389138</v>
      </c>
      <c r="AY848">
        <f t="shared" si="330"/>
        <v>1012</v>
      </c>
      <c r="AZ848">
        <f t="shared" si="331"/>
        <v>779</v>
      </c>
      <c r="BA848" s="3">
        <f t="shared" si="332"/>
        <v>1422.3891213389138</v>
      </c>
    </row>
    <row r="849" spans="1:53" x14ac:dyDescent="0.2">
      <c r="A849">
        <v>2008</v>
      </c>
      <c r="B849" t="s">
        <v>84</v>
      </c>
      <c r="C849" t="s">
        <v>85</v>
      </c>
      <c r="D849">
        <v>17.100000000000001</v>
      </c>
      <c r="E849">
        <v>0</v>
      </c>
      <c r="F849">
        <v>2.6</v>
      </c>
      <c r="G849">
        <v>8</v>
      </c>
      <c r="H849">
        <v>5.0999999999999996</v>
      </c>
      <c r="I849">
        <v>0.8</v>
      </c>
      <c r="J849">
        <v>1.1000000000000001</v>
      </c>
      <c r="K849">
        <f t="shared" si="322"/>
        <v>34.700000000000003</v>
      </c>
      <c r="L849">
        <v>0</v>
      </c>
      <c r="M849">
        <v>0</v>
      </c>
      <c r="N849">
        <v>0</v>
      </c>
      <c r="O849">
        <f t="shared" si="333"/>
        <v>0</v>
      </c>
      <c r="P849" s="1">
        <v>0</v>
      </c>
      <c r="Q849" s="1">
        <v>0</v>
      </c>
      <c r="R849" s="1">
        <v>0</v>
      </c>
      <c r="S849">
        <f t="shared" si="334"/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f t="shared" si="335"/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19</v>
      </c>
      <c r="AI849">
        <v>0</v>
      </c>
      <c r="AJ849">
        <f t="shared" si="336"/>
        <v>19</v>
      </c>
      <c r="AK849">
        <v>0</v>
      </c>
      <c r="AL849">
        <v>0.46399999999999997</v>
      </c>
      <c r="AM849">
        <f t="shared" si="314"/>
        <v>0.53700000000000003</v>
      </c>
      <c r="AN849">
        <v>2971</v>
      </c>
      <c r="AO849" t="s">
        <v>13</v>
      </c>
      <c r="AP849" s="3">
        <f t="shared" si="326"/>
        <v>6416.8466522678191</v>
      </c>
      <c r="AQ849" t="s">
        <v>13</v>
      </c>
      <c r="AR849">
        <f t="shared" si="318"/>
        <v>0.35381750465549344</v>
      </c>
      <c r="AS849">
        <f t="shared" si="323"/>
        <v>0.34700000000000003</v>
      </c>
      <c r="AT849">
        <f t="shared" si="324"/>
        <v>2227</v>
      </c>
      <c r="AU849">
        <f t="shared" si="325"/>
        <v>1219</v>
      </c>
      <c r="AV849">
        <f t="shared" si="327"/>
        <v>1113</v>
      </c>
      <c r="AW849">
        <f t="shared" si="328"/>
        <v>1543</v>
      </c>
      <c r="AX849" s="3">
        <f t="shared" si="329"/>
        <v>3760.8466522678191</v>
      </c>
      <c r="AY849">
        <f t="shared" si="330"/>
        <v>1113</v>
      </c>
      <c r="AZ849">
        <f t="shared" si="331"/>
        <v>1543</v>
      </c>
      <c r="BA849" s="3">
        <f t="shared" si="332"/>
        <v>3760.8466522678191</v>
      </c>
    </row>
    <row r="850" spans="1:53" x14ac:dyDescent="0.2">
      <c r="A850">
        <v>2009</v>
      </c>
      <c r="B850" t="s">
        <v>84</v>
      </c>
      <c r="C850" t="s">
        <v>85</v>
      </c>
      <c r="D850">
        <v>26.9</v>
      </c>
      <c r="E850">
        <v>1.5</v>
      </c>
      <c r="F850">
        <v>6</v>
      </c>
      <c r="G850">
        <v>9.6</v>
      </c>
      <c r="H850">
        <v>3.9</v>
      </c>
      <c r="I850">
        <v>0.1</v>
      </c>
      <c r="J850">
        <v>1.2</v>
      </c>
      <c r="K850">
        <f t="shared" si="322"/>
        <v>49.2</v>
      </c>
      <c r="L850">
        <v>0</v>
      </c>
      <c r="M850">
        <v>0</v>
      </c>
      <c r="N850">
        <v>0</v>
      </c>
      <c r="O850">
        <f t="shared" si="333"/>
        <v>0</v>
      </c>
      <c r="P850" s="1">
        <v>0</v>
      </c>
      <c r="Q850" s="1">
        <v>0</v>
      </c>
      <c r="R850" s="1">
        <v>0</v>
      </c>
      <c r="S850">
        <f t="shared" si="334"/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f t="shared" si="335"/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16.7</v>
      </c>
      <c r="AI850">
        <v>0</v>
      </c>
      <c r="AJ850">
        <f t="shared" si="336"/>
        <v>16.7</v>
      </c>
      <c r="AK850">
        <v>0.3</v>
      </c>
      <c r="AL850">
        <v>0.33899999999999997</v>
      </c>
      <c r="AM850">
        <f t="shared" ref="AM850:AM913" si="337">SUM(AB850:AI850,T850:Z850,P850:R850,L850:N850,D850:J850)/100</f>
        <v>0.65899999999999992</v>
      </c>
      <c r="AN850">
        <v>4010</v>
      </c>
      <c r="AO850" t="s">
        <v>13</v>
      </c>
      <c r="AP850" s="3">
        <f t="shared" si="326"/>
        <v>11759.530791788853</v>
      </c>
      <c r="AQ850" t="s">
        <v>13</v>
      </c>
      <c r="AR850">
        <f t="shared" si="318"/>
        <v>0.25341426403641881</v>
      </c>
      <c r="AS850">
        <f t="shared" si="323"/>
        <v>0.49200000000000005</v>
      </c>
      <c r="AT850">
        <f t="shared" si="324"/>
        <v>5786</v>
      </c>
      <c r="AU850">
        <f t="shared" si="325"/>
        <v>1964</v>
      </c>
      <c r="AV850">
        <f t="shared" si="327"/>
        <v>2893</v>
      </c>
      <c r="AW850">
        <f t="shared" si="328"/>
        <v>2915</v>
      </c>
      <c r="AX850" s="3">
        <f t="shared" si="329"/>
        <v>5951.5307917888531</v>
      </c>
      <c r="AY850">
        <f t="shared" si="330"/>
        <v>2893</v>
      </c>
      <c r="AZ850">
        <f t="shared" si="331"/>
        <v>2915</v>
      </c>
      <c r="BA850" s="3">
        <f t="shared" si="332"/>
        <v>5951.5307917888531</v>
      </c>
    </row>
    <row r="851" spans="1:53" x14ac:dyDescent="0.2">
      <c r="A851">
        <v>2010</v>
      </c>
      <c r="B851" t="s">
        <v>84</v>
      </c>
      <c r="C851" t="s">
        <v>85</v>
      </c>
      <c r="D851">
        <v>20.9</v>
      </c>
      <c r="E851">
        <v>0</v>
      </c>
      <c r="F851">
        <v>5.2</v>
      </c>
      <c r="G851">
        <v>4.5</v>
      </c>
      <c r="H851">
        <v>4.7</v>
      </c>
      <c r="I851">
        <v>0</v>
      </c>
      <c r="J851">
        <v>0.5</v>
      </c>
      <c r="K851">
        <f t="shared" si="322"/>
        <v>35.799999999999997</v>
      </c>
      <c r="L851">
        <v>0</v>
      </c>
      <c r="M851">
        <v>0</v>
      </c>
      <c r="N851">
        <v>0</v>
      </c>
      <c r="O851">
        <f t="shared" si="333"/>
        <v>0</v>
      </c>
      <c r="P851" s="1">
        <v>0</v>
      </c>
      <c r="Q851" s="1">
        <v>0</v>
      </c>
      <c r="R851" s="1">
        <v>0.1</v>
      </c>
      <c r="S851">
        <f t="shared" si="334"/>
        <v>0.1</v>
      </c>
      <c r="T851">
        <v>0.2</v>
      </c>
      <c r="U851">
        <v>0.3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f t="shared" si="335"/>
        <v>0.5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14</v>
      </c>
      <c r="AI851">
        <v>0</v>
      </c>
      <c r="AJ851">
        <f t="shared" si="336"/>
        <v>14</v>
      </c>
      <c r="AK851">
        <v>0</v>
      </c>
      <c r="AL851">
        <v>0.496</v>
      </c>
      <c r="AM851">
        <f t="shared" si="337"/>
        <v>0.504</v>
      </c>
      <c r="AN851">
        <v>3861</v>
      </c>
      <c r="AO851" t="s">
        <v>13</v>
      </c>
      <c r="AP851" s="3">
        <f t="shared" si="326"/>
        <v>7784.2741935483873</v>
      </c>
      <c r="AQ851" t="s">
        <v>13</v>
      </c>
      <c r="AR851">
        <f t="shared" si="318"/>
        <v>0.27777777777777779</v>
      </c>
      <c r="AS851">
        <f t="shared" si="323"/>
        <v>0.36399999999999999</v>
      </c>
      <c r="AT851">
        <f t="shared" si="324"/>
        <v>2833</v>
      </c>
      <c r="AU851">
        <f t="shared" si="325"/>
        <v>1090</v>
      </c>
      <c r="AV851">
        <f t="shared" si="327"/>
        <v>1440</v>
      </c>
      <c r="AW851">
        <f t="shared" si="328"/>
        <v>1397</v>
      </c>
      <c r="AX851" s="3">
        <f t="shared" si="329"/>
        <v>4947.2741935483873</v>
      </c>
      <c r="AY851">
        <f t="shared" si="330"/>
        <v>1417</v>
      </c>
      <c r="AZ851">
        <f t="shared" si="331"/>
        <v>1402</v>
      </c>
      <c r="BA851" s="3">
        <f t="shared" si="332"/>
        <v>4965.2741935483873</v>
      </c>
    </row>
    <row r="852" spans="1:53" x14ac:dyDescent="0.2">
      <c r="A852">
        <v>2011</v>
      </c>
      <c r="B852" t="s">
        <v>84</v>
      </c>
      <c r="C852" t="s">
        <v>85</v>
      </c>
      <c r="D852">
        <v>22.5</v>
      </c>
      <c r="E852">
        <v>0.2</v>
      </c>
      <c r="F852">
        <v>5.9</v>
      </c>
      <c r="G852">
        <v>5.7</v>
      </c>
      <c r="H852">
        <v>4.9000000000000004</v>
      </c>
      <c r="I852">
        <v>0.1</v>
      </c>
      <c r="J852">
        <v>0.2</v>
      </c>
      <c r="K852">
        <f t="shared" si="322"/>
        <v>39.500000000000007</v>
      </c>
      <c r="L852">
        <v>0</v>
      </c>
      <c r="M852">
        <v>0</v>
      </c>
      <c r="N852">
        <v>0.1</v>
      </c>
      <c r="O852">
        <f t="shared" si="333"/>
        <v>0.1</v>
      </c>
      <c r="P852" s="1">
        <v>0</v>
      </c>
      <c r="Q852" s="1">
        <v>0</v>
      </c>
      <c r="R852" s="1">
        <v>0</v>
      </c>
      <c r="S852">
        <f t="shared" si="334"/>
        <v>0</v>
      </c>
      <c r="T852">
        <v>0.3</v>
      </c>
      <c r="U852">
        <v>0.1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f t="shared" si="335"/>
        <v>0.4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19.8</v>
      </c>
      <c r="AI852">
        <v>0</v>
      </c>
      <c r="AJ852">
        <f t="shared" si="336"/>
        <v>19.8</v>
      </c>
      <c r="AK852">
        <v>0</v>
      </c>
      <c r="AL852">
        <v>0.40200000000000002</v>
      </c>
      <c r="AM852">
        <f t="shared" si="337"/>
        <v>0.59800000000000009</v>
      </c>
      <c r="AN852">
        <v>3710</v>
      </c>
      <c r="AO852" t="s">
        <v>13</v>
      </c>
      <c r="AP852" s="3">
        <f t="shared" si="326"/>
        <v>9228.8557213930362</v>
      </c>
      <c r="AQ852" t="s">
        <v>13</v>
      </c>
      <c r="AR852">
        <f t="shared" si="318"/>
        <v>0.33110367892976583</v>
      </c>
      <c r="AS852">
        <f t="shared" si="323"/>
        <v>0.40000000000000008</v>
      </c>
      <c r="AT852">
        <f t="shared" si="324"/>
        <v>3692</v>
      </c>
      <c r="AU852">
        <f t="shared" si="325"/>
        <v>1827</v>
      </c>
      <c r="AV852">
        <f t="shared" si="327"/>
        <v>1869</v>
      </c>
      <c r="AW852">
        <f t="shared" si="328"/>
        <v>2429</v>
      </c>
      <c r="AX852" s="3">
        <f t="shared" si="329"/>
        <v>4930.8557213930362</v>
      </c>
      <c r="AY852">
        <f t="shared" si="330"/>
        <v>1846</v>
      </c>
      <c r="AZ852">
        <f t="shared" si="331"/>
        <v>2436</v>
      </c>
      <c r="BA852" s="3">
        <f t="shared" si="332"/>
        <v>4946.8557213930362</v>
      </c>
    </row>
    <row r="853" spans="1:53" x14ac:dyDescent="0.2">
      <c r="A853">
        <v>2012</v>
      </c>
      <c r="B853" t="s">
        <v>84</v>
      </c>
      <c r="C853" t="s">
        <v>85</v>
      </c>
      <c r="D853">
        <v>35.799999999999997</v>
      </c>
      <c r="E853">
        <v>0.2</v>
      </c>
      <c r="F853">
        <v>6.5</v>
      </c>
      <c r="G853">
        <v>8.1999999999999993</v>
      </c>
      <c r="H853">
        <v>7.6</v>
      </c>
      <c r="I853">
        <v>0.9</v>
      </c>
      <c r="J853">
        <v>0.7</v>
      </c>
      <c r="K853">
        <f t="shared" si="322"/>
        <v>59.900000000000006</v>
      </c>
      <c r="L853">
        <v>0</v>
      </c>
      <c r="M853">
        <v>0</v>
      </c>
      <c r="N853">
        <v>0</v>
      </c>
      <c r="O853">
        <f t="shared" si="333"/>
        <v>0</v>
      </c>
      <c r="P853" s="1">
        <v>0</v>
      </c>
      <c r="Q853" s="1">
        <v>0</v>
      </c>
      <c r="R853" s="1">
        <v>0.2</v>
      </c>
      <c r="S853">
        <f t="shared" si="334"/>
        <v>0.2</v>
      </c>
      <c r="T853">
        <v>0.7</v>
      </c>
      <c r="U853">
        <v>0.1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f t="shared" si="335"/>
        <v>0.79999999999999993</v>
      </c>
      <c r="AB853">
        <v>0.4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19.5</v>
      </c>
      <c r="AI853">
        <v>0</v>
      </c>
      <c r="AJ853">
        <f t="shared" si="336"/>
        <v>19.899999999999999</v>
      </c>
      <c r="AK853">
        <v>0.4</v>
      </c>
      <c r="AL853">
        <v>0.18899999999999997</v>
      </c>
      <c r="AM853">
        <f t="shared" si="337"/>
        <v>0.80799999999999994</v>
      </c>
      <c r="AN853">
        <v>3586</v>
      </c>
      <c r="AO853" t="s">
        <v>13</v>
      </c>
      <c r="AP853" s="3">
        <f t="shared" si="326"/>
        <v>18677.083333333328</v>
      </c>
      <c r="AQ853" t="s">
        <v>13</v>
      </c>
      <c r="AR853">
        <f t="shared" si="318"/>
        <v>0.24628712871287128</v>
      </c>
      <c r="AS853">
        <f t="shared" si="323"/>
        <v>0.6090000000000001</v>
      </c>
      <c r="AT853">
        <f t="shared" si="324"/>
        <v>11374</v>
      </c>
      <c r="AU853">
        <f t="shared" si="325"/>
        <v>3717</v>
      </c>
      <c r="AV853">
        <f t="shared" si="327"/>
        <v>5781</v>
      </c>
      <c r="AW853">
        <f t="shared" si="328"/>
        <v>6564</v>
      </c>
      <c r="AX853" s="3">
        <f t="shared" si="329"/>
        <v>6332.0833333333285</v>
      </c>
      <c r="AY853">
        <f t="shared" si="330"/>
        <v>5687</v>
      </c>
      <c r="AZ853">
        <f t="shared" si="331"/>
        <v>6611</v>
      </c>
      <c r="BA853" s="3">
        <f t="shared" si="332"/>
        <v>6379.0833333333285</v>
      </c>
    </row>
    <row r="854" spans="1:53" x14ac:dyDescent="0.2">
      <c r="A854">
        <v>2013</v>
      </c>
      <c r="B854" t="s">
        <v>84</v>
      </c>
      <c r="C854" t="s">
        <v>85</v>
      </c>
      <c r="D854">
        <v>17.8</v>
      </c>
      <c r="E854">
        <v>0.8</v>
      </c>
      <c r="F854">
        <v>11.8</v>
      </c>
      <c r="G854">
        <v>7.9</v>
      </c>
      <c r="H854">
        <v>16.2</v>
      </c>
      <c r="I854">
        <v>0.4</v>
      </c>
      <c r="J854">
        <v>0.9</v>
      </c>
      <c r="K854">
        <f t="shared" si="322"/>
        <v>55.8</v>
      </c>
      <c r="L854">
        <v>0</v>
      </c>
      <c r="M854">
        <v>0</v>
      </c>
      <c r="N854">
        <v>0.5</v>
      </c>
      <c r="O854">
        <f t="shared" si="333"/>
        <v>0.5</v>
      </c>
      <c r="P854" s="1">
        <v>0</v>
      </c>
      <c r="Q854" s="1">
        <v>0</v>
      </c>
      <c r="R854" s="1">
        <v>0</v>
      </c>
      <c r="S854">
        <f t="shared" si="334"/>
        <v>0</v>
      </c>
      <c r="T854">
        <v>0.8</v>
      </c>
      <c r="U854">
        <v>0.2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f t="shared" si="335"/>
        <v>1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18.100000000000001</v>
      </c>
      <c r="AI854">
        <v>0</v>
      </c>
      <c r="AJ854">
        <f t="shared" si="336"/>
        <v>18.100000000000001</v>
      </c>
      <c r="AK854">
        <v>0</v>
      </c>
      <c r="AL854">
        <v>0.248</v>
      </c>
      <c r="AM854">
        <f t="shared" si="337"/>
        <v>0.754</v>
      </c>
      <c r="AN854">
        <v>2502</v>
      </c>
      <c r="AO854" t="s">
        <v>13</v>
      </c>
      <c r="AP854" s="3">
        <f t="shared" si="326"/>
        <v>10170.731707317073</v>
      </c>
      <c r="AQ854" t="s">
        <v>13</v>
      </c>
      <c r="AR854">
        <f t="shared" si="318"/>
        <v>0.240053050397878</v>
      </c>
      <c r="AS854">
        <f t="shared" si="323"/>
        <v>0.57299999999999995</v>
      </c>
      <c r="AT854">
        <f t="shared" si="324"/>
        <v>5828</v>
      </c>
      <c r="AU854">
        <f t="shared" si="325"/>
        <v>1841</v>
      </c>
      <c r="AV854">
        <f t="shared" si="327"/>
        <v>2990</v>
      </c>
      <c r="AW854">
        <f t="shared" si="328"/>
        <v>3044</v>
      </c>
      <c r="AX854" s="3">
        <f t="shared" si="329"/>
        <v>4136.7317073170725</v>
      </c>
      <c r="AY854">
        <f t="shared" si="330"/>
        <v>2914</v>
      </c>
      <c r="AZ854">
        <f t="shared" si="331"/>
        <v>3076</v>
      </c>
      <c r="BA854" s="3">
        <f t="shared" si="332"/>
        <v>4180.7317073170725</v>
      </c>
    </row>
    <row r="855" spans="1:53" x14ac:dyDescent="0.2">
      <c r="A855">
        <v>2014</v>
      </c>
      <c r="B855" t="s">
        <v>84</v>
      </c>
      <c r="C855" t="s">
        <v>85</v>
      </c>
      <c r="D855">
        <v>24</v>
      </c>
      <c r="E855">
        <v>1.1000000000000001</v>
      </c>
      <c r="F855">
        <v>7.3</v>
      </c>
      <c r="G855">
        <v>7.3</v>
      </c>
      <c r="H855">
        <v>6.7</v>
      </c>
      <c r="I855">
        <v>0.7</v>
      </c>
      <c r="J855">
        <v>0.5</v>
      </c>
      <c r="K855">
        <f t="shared" si="322"/>
        <v>47.6</v>
      </c>
      <c r="L855">
        <v>0</v>
      </c>
      <c r="M855">
        <v>0</v>
      </c>
      <c r="N855">
        <v>0</v>
      </c>
      <c r="O855">
        <f t="shared" si="333"/>
        <v>0</v>
      </c>
      <c r="P855" s="1">
        <v>0</v>
      </c>
      <c r="Q855" s="1">
        <v>0</v>
      </c>
      <c r="R855" s="1">
        <v>0</v>
      </c>
      <c r="S855">
        <f t="shared" si="334"/>
        <v>0</v>
      </c>
      <c r="T855">
        <v>0.3</v>
      </c>
      <c r="U855">
        <v>0.3</v>
      </c>
      <c r="V855">
        <v>0</v>
      </c>
      <c r="W855">
        <v>0</v>
      </c>
      <c r="X855">
        <v>0</v>
      </c>
      <c r="Y855">
        <v>0</v>
      </c>
      <c r="Z855">
        <v>0.1</v>
      </c>
      <c r="AA855">
        <f t="shared" si="335"/>
        <v>0.7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13.2</v>
      </c>
      <c r="AI855">
        <v>0</v>
      </c>
      <c r="AJ855">
        <f t="shared" si="336"/>
        <v>13.2</v>
      </c>
      <c r="AK855">
        <v>0</v>
      </c>
      <c r="AL855">
        <v>0.38500000000000001</v>
      </c>
      <c r="AM855">
        <f t="shared" si="337"/>
        <v>0.61499999999999999</v>
      </c>
      <c r="AN855">
        <v>3684</v>
      </c>
      <c r="AO855" t="s">
        <v>13</v>
      </c>
      <c r="AP855" s="3">
        <f t="shared" si="326"/>
        <v>9568.8311688311678</v>
      </c>
      <c r="AQ855" t="s">
        <v>13</v>
      </c>
      <c r="AR855">
        <f t="shared" si="318"/>
        <v>0.21463414634146344</v>
      </c>
      <c r="AS855">
        <f t="shared" si="323"/>
        <v>0.48300000000000004</v>
      </c>
      <c r="AT855">
        <f t="shared" si="324"/>
        <v>4622</v>
      </c>
      <c r="AU855">
        <f t="shared" si="325"/>
        <v>1263</v>
      </c>
      <c r="AV855">
        <f t="shared" si="327"/>
        <v>2344</v>
      </c>
      <c r="AW855">
        <f t="shared" si="328"/>
        <v>1845</v>
      </c>
      <c r="AX855" s="3">
        <f t="shared" si="329"/>
        <v>5379.8311688311678</v>
      </c>
      <c r="AY855">
        <f t="shared" si="330"/>
        <v>2311</v>
      </c>
      <c r="AZ855">
        <f t="shared" si="331"/>
        <v>1853</v>
      </c>
      <c r="BA855" s="3">
        <f t="shared" si="332"/>
        <v>5404.8311688311678</v>
      </c>
    </row>
    <row r="856" spans="1:53" x14ac:dyDescent="0.2">
      <c r="A856">
        <v>2015</v>
      </c>
      <c r="B856" t="s">
        <v>84</v>
      </c>
      <c r="C856" t="s">
        <v>85</v>
      </c>
      <c r="D856">
        <v>18.7</v>
      </c>
      <c r="E856">
        <v>0</v>
      </c>
      <c r="F856">
        <v>7.3</v>
      </c>
      <c r="G856">
        <v>7.5</v>
      </c>
      <c r="H856">
        <v>8.1</v>
      </c>
      <c r="I856">
        <v>0.4</v>
      </c>
      <c r="J856">
        <v>0.3</v>
      </c>
      <c r="K856">
        <f t="shared" si="322"/>
        <v>42.3</v>
      </c>
      <c r="L856">
        <v>0</v>
      </c>
      <c r="M856">
        <v>0</v>
      </c>
      <c r="N856">
        <v>0</v>
      </c>
      <c r="O856">
        <f t="shared" si="333"/>
        <v>0</v>
      </c>
      <c r="P856" s="1">
        <v>0</v>
      </c>
      <c r="Q856" s="1">
        <v>0</v>
      </c>
      <c r="R856" s="1">
        <v>0</v>
      </c>
      <c r="S856">
        <f t="shared" si="334"/>
        <v>0</v>
      </c>
      <c r="T856">
        <v>0.6</v>
      </c>
      <c r="U856">
        <v>0.3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f t="shared" si="335"/>
        <v>0.89999999999999991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6.7</v>
      </c>
      <c r="AI856">
        <v>0</v>
      </c>
      <c r="AJ856">
        <f t="shared" si="336"/>
        <v>6.7</v>
      </c>
      <c r="AK856">
        <v>0.7</v>
      </c>
      <c r="AL856">
        <v>0.49399999999999999</v>
      </c>
      <c r="AM856">
        <f t="shared" si="337"/>
        <v>0.49899999999999989</v>
      </c>
      <c r="AN856">
        <v>5313</v>
      </c>
      <c r="AO856" t="s">
        <v>13</v>
      </c>
      <c r="AP856" s="3">
        <f t="shared" si="326"/>
        <v>10604.790419161674</v>
      </c>
      <c r="AQ856" t="s">
        <v>13</v>
      </c>
      <c r="AR856">
        <f t="shared" si="318"/>
        <v>0.13426853707414835</v>
      </c>
      <c r="AS856">
        <f t="shared" si="323"/>
        <v>0.43199999999999994</v>
      </c>
      <c r="AT856">
        <f t="shared" si="324"/>
        <v>4581</v>
      </c>
      <c r="AU856">
        <f t="shared" si="325"/>
        <v>711</v>
      </c>
      <c r="AV856">
        <f t="shared" si="327"/>
        <v>2338</v>
      </c>
      <c r="AW856">
        <f t="shared" si="328"/>
        <v>976</v>
      </c>
      <c r="AX856" s="3">
        <f t="shared" si="329"/>
        <v>7290.7904191616744</v>
      </c>
      <c r="AY856">
        <f t="shared" si="330"/>
        <v>2291</v>
      </c>
      <c r="AZ856">
        <f t="shared" si="331"/>
        <v>981</v>
      </c>
      <c r="BA856" s="3">
        <f t="shared" si="332"/>
        <v>7332.7904191616744</v>
      </c>
    </row>
    <row r="857" spans="1:53" x14ac:dyDescent="0.2">
      <c r="A857">
        <v>2016</v>
      </c>
      <c r="B857" t="s">
        <v>84</v>
      </c>
      <c r="C857" t="s">
        <v>85</v>
      </c>
      <c r="D857">
        <v>28.2</v>
      </c>
      <c r="E857">
        <v>0.1</v>
      </c>
      <c r="F857">
        <v>3.6</v>
      </c>
      <c r="G857">
        <v>17.8</v>
      </c>
      <c r="H857">
        <v>2</v>
      </c>
      <c r="I857">
        <v>0.3</v>
      </c>
      <c r="J857">
        <v>0</v>
      </c>
      <c r="K857">
        <f t="shared" si="322"/>
        <v>52</v>
      </c>
      <c r="L857">
        <v>0</v>
      </c>
      <c r="M857">
        <v>0</v>
      </c>
      <c r="N857">
        <v>0</v>
      </c>
      <c r="O857">
        <f t="shared" si="333"/>
        <v>0</v>
      </c>
      <c r="P857" s="1">
        <v>0</v>
      </c>
      <c r="Q857" s="1">
        <v>0</v>
      </c>
      <c r="R857" s="1">
        <v>0</v>
      </c>
      <c r="S857">
        <f t="shared" si="334"/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f t="shared" si="335"/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10.1</v>
      </c>
      <c r="AI857">
        <v>0</v>
      </c>
      <c r="AJ857">
        <f t="shared" si="336"/>
        <v>10.1</v>
      </c>
      <c r="AK857">
        <v>0</v>
      </c>
      <c r="AL857">
        <v>0.379</v>
      </c>
      <c r="AM857">
        <f t="shared" si="337"/>
        <v>0.621</v>
      </c>
      <c r="AN857">
        <v>2915</v>
      </c>
      <c r="AO857" t="s">
        <v>13</v>
      </c>
      <c r="AP857" s="3">
        <f t="shared" si="326"/>
        <v>7691.2928759894457</v>
      </c>
      <c r="AQ857" t="s">
        <v>13</v>
      </c>
      <c r="AR857">
        <f t="shared" si="318"/>
        <v>0.16264090177133655</v>
      </c>
      <c r="AS857">
        <f t="shared" si="323"/>
        <v>0.52</v>
      </c>
      <c r="AT857">
        <f t="shared" si="324"/>
        <v>3999</v>
      </c>
      <c r="AU857">
        <f t="shared" si="325"/>
        <v>777</v>
      </c>
      <c r="AV857">
        <f t="shared" si="327"/>
        <v>2000</v>
      </c>
      <c r="AW857">
        <f t="shared" si="328"/>
        <v>1198</v>
      </c>
      <c r="AX857" s="3">
        <f t="shared" si="329"/>
        <v>4493.2928759894457</v>
      </c>
      <c r="AY857">
        <f t="shared" si="330"/>
        <v>2000</v>
      </c>
      <c r="AZ857">
        <f t="shared" si="331"/>
        <v>1198</v>
      </c>
      <c r="BA857" s="3">
        <f t="shared" si="332"/>
        <v>4493.2928759894457</v>
      </c>
    </row>
    <row r="858" spans="1:53" x14ac:dyDescent="0.2">
      <c r="A858">
        <v>2017</v>
      </c>
      <c r="B858" t="s">
        <v>84</v>
      </c>
      <c r="C858" t="s">
        <v>85</v>
      </c>
      <c r="D858">
        <v>13.2</v>
      </c>
      <c r="E858">
        <v>0</v>
      </c>
      <c r="F858">
        <v>5.0999999999999996</v>
      </c>
      <c r="G858">
        <v>8.6</v>
      </c>
      <c r="H858">
        <v>2</v>
      </c>
      <c r="I858">
        <v>1.2</v>
      </c>
      <c r="J858">
        <v>1.8</v>
      </c>
      <c r="K858">
        <f t="shared" si="322"/>
        <v>31.9</v>
      </c>
      <c r="L858">
        <v>0</v>
      </c>
      <c r="M858">
        <v>0</v>
      </c>
      <c r="N858">
        <v>0</v>
      </c>
      <c r="O858">
        <f t="shared" si="333"/>
        <v>0</v>
      </c>
      <c r="P858" s="1">
        <v>0</v>
      </c>
      <c r="Q858" s="1">
        <v>0</v>
      </c>
      <c r="R858" s="1">
        <v>0</v>
      </c>
      <c r="S858">
        <f t="shared" si="334"/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f t="shared" si="335"/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24</v>
      </c>
      <c r="AI858">
        <v>0</v>
      </c>
      <c r="AJ858">
        <f t="shared" si="336"/>
        <v>24</v>
      </c>
      <c r="AK858">
        <v>0</v>
      </c>
      <c r="AL858">
        <v>0.44</v>
      </c>
      <c r="AM858">
        <f t="shared" si="337"/>
        <v>0.55900000000000005</v>
      </c>
      <c r="AN858">
        <v>2707</v>
      </c>
      <c r="AO858" t="s">
        <v>13</v>
      </c>
      <c r="AP858" s="3">
        <f t="shared" si="326"/>
        <v>6138.321995464853</v>
      </c>
      <c r="AQ858" t="s">
        <v>13</v>
      </c>
      <c r="AR858">
        <f t="shared" si="318"/>
        <v>0.42933810375670833</v>
      </c>
      <c r="AS858">
        <f t="shared" si="323"/>
        <v>0.31900000000000001</v>
      </c>
      <c r="AT858">
        <f t="shared" si="324"/>
        <v>1958</v>
      </c>
      <c r="AU858">
        <f t="shared" si="325"/>
        <v>1473</v>
      </c>
      <c r="AV858">
        <f t="shared" si="327"/>
        <v>979</v>
      </c>
      <c r="AW858">
        <f t="shared" si="328"/>
        <v>1818</v>
      </c>
      <c r="AX858" s="3">
        <f t="shared" si="329"/>
        <v>3341.321995464853</v>
      </c>
      <c r="AY858">
        <f t="shared" si="330"/>
        <v>979</v>
      </c>
      <c r="AZ858">
        <f t="shared" si="331"/>
        <v>1818</v>
      </c>
      <c r="BA858" s="3">
        <f t="shared" si="332"/>
        <v>3341.321995464853</v>
      </c>
    </row>
    <row r="859" spans="1:53" x14ac:dyDescent="0.2">
      <c r="A859">
        <v>2018</v>
      </c>
      <c r="B859" t="s">
        <v>84</v>
      </c>
      <c r="C859" t="s">
        <v>85</v>
      </c>
      <c r="D859">
        <v>20.5</v>
      </c>
      <c r="E859">
        <v>0</v>
      </c>
      <c r="F859">
        <v>7.1</v>
      </c>
      <c r="G859">
        <v>20.2</v>
      </c>
      <c r="H859">
        <v>3.2</v>
      </c>
      <c r="I859">
        <v>0.9</v>
      </c>
      <c r="J859">
        <v>0</v>
      </c>
      <c r="K859">
        <f t="shared" si="322"/>
        <v>51.9</v>
      </c>
      <c r="L859">
        <v>0</v>
      </c>
      <c r="M859">
        <v>0</v>
      </c>
      <c r="N859">
        <v>0</v>
      </c>
      <c r="O859">
        <f t="shared" si="333"/>
        <v>0</v>
      </c>
      <c r="P859" s="1">
        <v>0</v>
      </c>
      <c r="Q859" s="1">
        <v>0</v>
      </c>
      <c r="R859" s="1">
        <v>1.1000000000000001</v>
      </c>
      <c r="S859">
        <f t="shared" si="334"/>
        <v>1.1000000000000001</v>
      </c>
      <c r="T859">
        <v>0.2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f t="shared" si="335"/>
        <v>0.2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13.5</v>
      </c>
      <c r="AI859">
        <v>0</v>
      </c>
      <c r="AJ859">
        <f t="shared" si="336"/>
        <v>13.5</v>
      </c>
      <c r="AK859">
        <v>0</v>
      </c>
      <c r="AL859">
        <v>0.33299999999999996</v>
      </c>
      <c r="AM859">
        <f t="shared" si="337"/>
        <v>0.66700000000000004</v>
      </c>
      <c r="AN859">
        <v>2095</v>
      </c>
      <c r="AO859" t="s">
        <v>13</v>
      </c>
      <c r="AP859" s="3">
        <f t="shared" si="326"/>
        <v>6291.2912912912916</v>
      </c>
      <c r="AQ859" t="s">
        <v>13</v>
      </c>
      <c r="AR859">
        <f t="shared" si="318"/>
        <v>0.20239880059970014</v>
      </c>
      <c r="AS859">
        <f t="shared" si="323"/>
        <v>0.53200000000000003</v>
      </c>
      <c r="AT859">
        <f t="shared" si="324"/>
        <v>3347</v>
      </c>
      <c r="AU859">
        <f t="shared" si="325"/>
        <v>849</v>
      </c>
      <c r="AV859">
        <f t="shared" si="327"/>
        <v>1714</v>
      </c>
      <c r="AW859">
        <f t="shared" si="328"/>
        <v>1320</v>
      </c>
      <c r="AX859" s="3">
        <f t="shared" si="329"/>
        <v>3257.2912912912916</v>
      </c>
      <c r="AY859">
        <f t="shared" si="330"/>
        <v>1673</v>
      </c>
      <c r="AZ859">
        <f t="shared" si="331"/>
        <v>1332</v>
      </c>
      <c r="BA859" s="3">
        <f t="shared" si="332"/>
        <v>3286.2912912912916</v>
      </c>
    </row>
    <row r="860" spans="1:53" x14ac:dyDescent="0.2">
      <c r="A860">
        <v>2019</v>
      </c>
      <c r="B860" t="s">
        <v>84</v>
      </c>
      <c r="C860" t="s">
        <v>85</v>
      </c>
      <c r="D860">
        <v>20.7</v>
      </c>
      <c r="E860">
        <v>0.6</v>
      </c>
      <c r="F860">
        <v>1.2</v>
      </c>
      <c r="G860">
        <v>20.7</v>
      </c>
      <c r="H860">
        <v>5.2</v>
      </c>
      <c r="I860">
        <v>1</v>
      </c>
      <c r="J860">
        <v>0.6</v>
      </c>
      <c r="K860">
        <f t="shared" si="322"/>
        <v>50.000000000000007</v>
      </c>
      <c r="L860">
        <v>0</v>
      </c>
      <c r="M860">
        <v>0</v>
      </c>
      <c r="N860">
        <v>0.8</v>
      </c>
      <c r="O860">
        <f t="shared" si="333"/>
        <v>0.8</v>
      </c>
      <c r="P860" s="1">
        <v>0</v>
      </c>
      <c r="Q860" s="1">
        <v>0</v>
      </c>
      <c r="R860" s="1">
        <v>1.9</v>
      </c>
      <c r="S860">
        <f t="shared" si="334"/>
        <v>1.9</v>
      </c>
      <c r="T860">
        <v>1.3</v>
      </c>
      <c r="U860">
        <v>0.3</v>
      </c>
      <c r="V860">
        <v>0</v>
      </c>
      <c r="W860">
        <v>0.3</v>
      </c>
      <c r="X860">
        <v>0</v>
      </c>
      <c r="Y860">
        <v>0</v>
      </c>
      <c r="Z860">
        <v>0</v>
      </c>
      <c r="AA860">
        <f t="shared" si="335"/>
        <v>1.9000000000000001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18.3</v>
      </c>
      <c r="AI860">
        <v>0</v>
      </c>
      <c r="AJ860">
        <f t="shared" si="336"/>
        <v>18.3</v>
      </c>
      <c r="AK860">
        <v>0</v>
      </c>
      <c r="AL860">
        <v>0.27100000000000002</v>
      </c>
      <c r="AM860">
        <f t="shared" si="337"/>
        <v>0.72900000000000009</v>
      </c>
      <c r="AN860">
        <v>2504</v>
      </c>
      <c r="AO860" t="s">
        <v>13</v>
      </c>
      <c r="AP860" s="3">
        <f t="shared" si="326"/>
        <v>9239.8523985239881</v>
      </c>
      <c r="AQ860" t="s">
        <v>13</v>
      </c>
      <c r="AR860">
        <f t="shared" si="318"/>
        <v>0.25102880658436211</v>
      </c>
      <c r="AS860">
        <f t="shared" si="323"/>
        <v>0.54600000000000004</v>
      </c>
      <c r="AT860">
        <f t="shared" si="324"/>
        <v>5045</v>
      </c>
      <c r="AU860">
        <f t="shared" si="325"/>
        <v>1691</v>
      </c>
      <c r="AV860">
        <f t="shared" si="327"/>
        <v>2735</v>
      </c>
      <c r="AW860">
        <f t="shared" si="328"/>
        <v>2622</v>
      </c>
      <c r="AX860" s="3">
        <f t="shared" si="329"/>
        <v>3882.8523985239881</v>
      </c>
      <c r="AY860">
        <f t="shared" si="330"/>
        <v>2522</v>
      </c>
      <c r="AZ860">
        <f t="shared" si="331"/>
        <v>2708</v>
      </c>
      <c r="BA860" s="3">
        <f t="shared" si="332"/>
        <v>4009.8523985239881</v>
      </c>
    </row>
    <row r="861" spans="1:53" x14ac:dyDescent="0.2">
      <c r="A861">
        <v>2020</v>
      </c>
      <c r="B861" t="s">
        <v>84</v>
      </c>
      <c r="C861" t="s">
        <v>85</v>
      </c>
      <c r="D861">
        <v>30.7</v>
      </c>
      <c r="E861">
        <v>1.4</v>
      </c>
      <c r="F861">
        <v>5.9</v>
      </c>
      <c r="G861">
        <v>11.9</v>
      </c>
      <c r="H861">
        <v>0</v>
      </c>
      <c r="I861">
        <v>0.6</v>
      </c>
      <c r="J861">
        <v>0</v>
      </c>
      <c r="K861">
        <f t="shared" si="322"/>
        <v>50.5</v>
      </c>
      <c r="L861">
        <v>0</v>
      </c>
      <c r="M861">
        <v>0</v>
      </c>
      <c r="N861">
        <v>0</v>
      </c>
      <c r="O861">
        <f t="shared" si="333"/>
        <v>0</v>
      </c>
      <c r="P861" s="1">
        <v>0</v>
      </c>
      <c r="Q861" s="1">
        <v>0</v>
      </c>
      <c r="R861" s="1">
        <v>0</v>
      </c>
      <c r="S861">
        <f t="shared" si="334"/>
        <v>0</v>
      </c>
      <c r="T861">
        <v>0.2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f t="shared" si="335"/>
        <v>0.2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23.6</v>
      </c>
      <c r="AI861">
        <v>0</v>
      </c>
      <c r="AJ861">
        <f t="shared" si="336"/>
        <v>23.6</v>
      </c>
      <c r="AK861">
        <v>0</v>
      </c>
      <c r="AL861">
        <v>0.25700000000000001</v>
      </c>
      <c r="AM861">
        <f t="shared" si="337"/>
        <v>0.74299999999999999</v>
      </c>
      <c r="AN861">
        <v>3459</v>
      </c>
      <c r="AO861" t="s">
        <v>13</v>
      </c>
      <c r="AP861" s="3">
        <f t="shared" si="326"/>
        <v>13459.143968871595</v>
      </c>
      <c r="AQ861" t="s">
        <v>13</v>
      </c>
      <c r="AR861">
        <f t="shared" si="318"/>
        <v>0.31763122476446837</v>
      </c>
      <c r="AS861">
        <f t="shared" si="323"/>
        <v>0.50700000000000001</v>
      </c>
      <c r="AT861">
        <f t="shared" si="324"/>
        <v>6824</v>
      </c>
      <c r="AU861">
        <f t="shared" si="325"/>
        <v>3176</v>
      </c>
      <c r="AV861">
        <f t="shared" si="327"/>
        <v>3425</v>
      </c>
      <c r="AW861">
        <f t="shared" si="328"/>
        <v>4803</v>
      </c>
      <c r="AX861" s="3">
        <f t="shared" si="329"/>
        <v>5231.1439688715946</v>
      </c>
      <c r="AY861">
        <f t="shared" si="330"/>
        <v>3412</v>
      </c>
      <c r="AZ861">
        <f t="shared" si="331"/>
        <v>4809</v>
      </c>
      <c r="BA861" s="3">
        <f t="shared" si="332"/>
        <v>5238.1439688715946</v>
      </c>
    </row>
    <row r="862" spans="1:53" x14ac:dyDescent="0.2">
      <c r="A862">
        <v>2021</v>
      </c>
      <c r="B862" t="s">
        <v>84</v>
      </c>
      <c r="C862" t="s">
        <v>85</v>
      </c>
      <c r="D862">
        <v>30.2</v>
      </c>
      <c r="E862">
        <v>0.4</v>
      </c>
      <c r="F862">
        <v>4.7</v>
      </c>
      <c r="G862">
        <v>15.8</v>
      </c>
      <c r="H862">
        <v>5.6</v>
      </c>
      <c r="I862">
        <v>1.9</v>
      </c>
      <c r="J862">
        <v>0.8</v>
      </c>
      <c r="K862">
        <f t="shared" si="322"/>
        <v>59.399999999999991</v>
      </c>
      <c r="L862">
        <v>0</v>
      </c>
      <c r="M862">
        <v>0</v>
      </c>
      <c r="N862">
        <v>1.1000000000000001</v>
      </c>
      <c r="O862">
        <f t="shared" si="333"/>
        <v>1.1000000000000001</v>
      </c>
      <c r="P862" s="1">
        <v>0</v>
      </c>
      <c r="Q862" s="1">
        <v>0</v>
      </c>
      <c r="R862" s="1">
        <v>0</v>
      </c>
      <c r="S862">
        <f t="shared" si="334"/>
        <v>0</v>
      </c>
      <c r="T862">
        <v>0.3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f t="shared" si="335"/>
        <v>0.3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15.1</v>
      </c>
      <c r="AI862">
        <v>0</v>
      </c>
      <c r="AJ862">
        <f t="shared" si="336"/>
        <v>15.1</v>
      </c>
      <c r="AK862">
        <v>0</v>
      </c>
      <c r="AL862">
        <v>0.24100000000000002</v>
      </c>
      <c r="AM862">
        <f t="shared" si="337"/>
        <v>0.75900000000000001</v>
      </c>
      <c r="AN862">
        <v>3187</v>
      </c>
      <c r="AO862" t="s">
        <v>13</v>
      </c>
      <c r="AP862" s="3">
        <f t="shared" si="326"/>
        <v>13224.066390041495</v>
      </c>
      <c r="AQ862" t="s">
        <v>13</v>
      </c>
      <c r="AR862">
        <f t="shared" si="318"/>
        <v>0.19894598155467719</v>
      </c>
      <c r="AS862">
        <f t="shared" si="323"/>
        <v>0.60799999999999987</v>
      </c>
      <c r="AT862">
        <f t="shared" si="324"/>
        <v>8040</v>
      </c>
      <c r="AU862">
        <f t="shared" si="325"/>
        <v>1997</v>
      </c>
      <c r="AV862">
        <f t="shared" si="327"/>
        <v>4113</v>
      </c>
      <c r="AW862">
        <f t="shared" si="328"/>
        <v>3510</v>
      </c>
      <c r="AX862" s="3">
        <f t="shared" si="329"/>
        <v>5601.0663900414947</v>
      </c>
      <c r="AY862">
        <f t="shared" si="330"/>
        <v>4020</v>
      </c>
      <c r="AZ862">
        <f t="shared" si="331"/>
        <v>3546</v>
      </c>
      <c r="BA862" s="3">
        <f t="shared" si="332"/>
        <v>5658.0663900414947</v>
      </c>
    </row>
    <row r="863" spans="1:53" x14ac:dyDescent="0.2">
      <c r="A863">
        <v>2022</v>
      </c>
      <c r="B863" t="s">
        <v>84</v>
      </c>
      <c r="C863" t="s">
        <v>85</v>
      </c>
      <c r="D863">
        <v>23.8</v>
      </c>
      <c r="E863">
        <v>0.9</v>
      </c>
      <c r="F863">
        <v>7.2</v>
      </c>
      <c r="G863">
        <v>16.7</v>
      </c>
      <c r="H863">
        <v>4.3</v>
      </c>
      <c r="I863">
        <v>0.5</v>
      </c>
      <c r="J863">
        <v>0</v>
      </c>
      <c r="K863">
        <f t="shared" si="322"/>
        <v>53.399999999999991</v>
      </c>
      <c r="L863">
        <v>0</v>
      </c>
      <c r="M863">
        <v>0</v>
      </c>
      <c r="N863">
        <v>0</v>
      </c>
      <c r="O863">
        <f t="shared" si="333"/>
        <v>0</v>
      </c>
      <c r="P863" s="1">
        <v>0</v>
      </c>
      <c r="Q863" s="1">
        <v>0</v>
      </c>
      <c r="R863" s="1">
        <v>1</v>
      </c>
      <c r="S863">
        <f t="shared" si="334"/>
        <v>1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f t="shared" si="335"/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31.9</v>
      </c>
      <c r="AI863">
        <v>0</v>
      </c>
      <c r="AJ863">
        <f t="shared" si="336"/>
        <v>31.9</v>
      </c>
      <c r="AK863">
        <v>0</v>
      </c>
      <c r="AL863">
        <v>0.13699999999999998</v>
      </c>
      <c r="AM863">
        <f t="shared" si="337"/>
        <v>0.86299999999999999</v>
      </c>
      <c r="AN863">
        <v>1643</v>
      </c>
      <c r="AO863" t="s">
        <v>13</v>
      </c>
      <c r="AP863" s="3">
        <f t="shared" si="326"/>
        <v>11992.700729927006</v>
      </c>
      <c r="AQ863" t="s">
        <v>13</v>
      </c>
      <c r="AR863">
        <f t="shared" si="318"/>
        <v>0.36964078794901506</v>
      </c>
      <c r="AS863">
        <f t="shared" si="323"/>
        <v>0.54399999999999993</v>
      </c>
      <c r="AT863">
        <f t="shared" si="324"/>
        <v>6524</v>
      </c>
      <c r="AU863">
        <f t="shared" si="325"/>
        <v>3826</v>
      </c>
      <c r="AV863">
        <f t="shared" si="327"/>
        <v>3322</v>
      </c>
      <c r="AW863">
        <f t="shared" si="328"/>
        <v>6066</v>
      </c>
      <c r="AX863" s="3">
        <f t="shared" si="329"/>
        <v>2604.7007299270063</v>
      </c>
      <c r="AY863">
        <f t="shared" si="330"/>
        <v>3262</v>
      </c>
      <c r="AZ863">
        <f t="shared" si="331"/>
        <v>6108</v>
      </c>
      <c r="BA863" s="3">
        <f t="shared" si="332"/>
        <v>2622.7007299270063</v>
      </c>
    </row>
    <row r="864" spans="1:53" x14ac:dyDescent="0.2">
      <c r="A864">
        <v>2023</v>
      </c>
      <c r="B864" t="s">
        <v>84</v>
      </c>
      <c r="C864" t="s">
        <v>85</v>
      </c>
      <c r="D864" t="s">
        <v>13</v>
      </c>
      <c r="E864" t="s">
        <v>13</v>
      </c>
      <c r="F864" t="s">
        <v>13</v>
      </c>
      <c r="G864" t="s">
        <v>13</v>
      </c>
      <c r="H864" t="s">
        <v>13</v>
      </c>
      <c r="I864" t="s">
        <v>13</v>
      </c>
      <c r="J864" t="s">
        <v>13</v>
      </c>
      <c r="K864" t="s">
        <v>13</v>
      </c>
      <c r="L864" t="s">
        <v>13</v>
      </c>
      <c r="M864" t="s">
        <v>13</v>
      </c>
      <c r="N864" t="s">
        <v>13</v>
      </c>
      <c r="O864" t="s">
        <v>13</v>
      </c>
      <c r="P864" t="s">
        <v>13</v>
      </c>
      <c r="Q864" t="s">
        <v>13</v>
      </c>
      <c r="R864" t="s">
        <v>13</v>
      </c>
      <c r="S864" t="s">
        <v>13</v>
      </c>
      <c r="T864" t="s">
        <v>13</v>
      </c>
      <c r="U864" t="s">
        <v>13</v>
      </c>
      <c r="V864" t="s">
        <v>13</v>
      </c>
      <c r="W864" t="s">
        <v>13</v>
      </c>
      <c r="X864" t="s">
        <v>13</v>
      </c>
      <c r="Y864" t="s">
        <v>13</v>
      </c>
      <c r="Z864" t="s">
        <v>13</v>
      </c>
      <c r="AA864" t="s">
        <v>13</v>
      </c>
      <c r="AB864" t="s">
        <v>13</v>
      </c>
      <c r="AC864" t="s">
        <v>13</v>
      </c>
      <c r="AD864" t="s">
        <v>13</v>
      </c>
      <c r="AE864" t="s">
        <v>13</v>
      </c>
      <c r="AF864" t="s">
        <v>13</v>
      </c>
      <c r="AG864" t="s">
        <v>13</v>
      </c>
      <c r="AH864" t="s">
        <v>13</v>
      </c>
      <c r="AI864" t="s">
        <v>13</v>
      </c>
      <c r="AJ864" t="s">
        <v>13</v>
      </c>
      <c r="AK864" t="s">
        <v>13</v>
      </c>
      <c r="AL864" t="s">
        <v>13</v>
      </c>
      <c r="AM864" t="s">
        <v>13</v>
      </c>
      <c r="AN864">
        <v>2058</v>
      </c>
      <c r="AO864" t="s">
        <v>13</v>
      </c>
      <c r="AP864" t="s">
        <v>13</v>
      </c>
      <c r="AQ864" t="s">
        <v>13</v>
      </c>
      <c r="AR864" t="s">
        <v>13</v>
      </c>
      <c r="AS864" t="s">
        <v>13</v>
      </c>
      <c r="AT864" t="s">
        <v>13</v>
      </c>
      <c r="AU864" t="s">
        <v>13</v>
      </c>
      <c r="AV864" t="s">
        <v>13</v>
      </c>
      <c r="AW864" t="s">
        <v>13</v>
      </c>
      <c r="AX864" t="s">
        <v>13</v>
      </c>
      <c r="AY864" t="s">
        <v>13</v>
      </c>
      <c r="AZ864" t="s">
        <v>13</v>
      </c>
      <c r="BA864" t="s">
        <v>13</v>
      </c>
    </row>
    <row r="865" spans="1:53" x14ac:dyDescent="0.2">
      <c r="A865">
        <v>1981</v>
      </c>
      <c r="B865" t="s">
        <v>88</v>
      </c>
      <c r="C865" t="s">
        <v>85</v>
      </c>
      <c r="D865">
        <v>13.6</v>
      </c>
      <c r="E865">
        <v>0</v>
      </c>
      <c r="F865">
        <v>0</v>
      </c>
      <c r="G865">
        <v>16.600000000000001</v>
      </c>
      <c r="H865">
        <v>0.2</v>
      </c>
      <c r="I865">
        <v>12.2</v>
      </c>
      <c r="J865">
        <v>0</v>
      </c>
      <c r="K865">
        <f t="shared" si="322"/>
        <v>42.6</v>
      </c>
      <c r="L865">
        <v>1.7</v>
      </c>
      <c r="M865">
        <v>1.8</v>
      </c>
      <c r="N865">
        <v>0</v>
      </c>
      <c r="O865">
        <f t="shared" si="333"/>
        <v>3.5</v>
      </c>
      <c r="P865">
        <v>0</v>
      </c>
      <c r="Q865">
        <v>0.8</v>
      </c>
      <c r="R865">
        <v>0</v>
      </c>
      <c r="S865">
        <f t="shared" si="334"/>
        <v>0.8</v>
      </c>
      <c r="T865">
        <v>0.3</v>
      </c>
      <c r="U865">
        <v>0</v>
      </c>
      <c r="V865">
        <v>1.7</v>
      </c>
      <c r="W865">
        <v>0</v>
      </c>
      <c r="X865">
        <v>0</v>
      </c>
      <c r="Y865">
        <v>0</v>
      </c>
      <c r="Z865">
        <v>3.2</v>
      </c>
      <c r="AA865">
        <f t="shared" si="335"/>
        <v>5.2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10.8</v>
      </c>
      <c r="AI865">
        <v>0</v>
      </c>
      <c r="AJ865">
        <f t="shared" si="336"/>
        <v>10.8</v>
      </c>
      <c r="AK865">
        <v>0</v>
      </c>
      <c r="AL865">
        <v>0.371</v>
      </c>
      <c r="AM865">
        <f t="shared" si="337"/>
        <v>0.629</v>
      </c>
      <c r="AN865">
        <v>3100</v>
      </c>
      <c r="AO865" t="s">
        <v>13</v>
      </c>
      <c r="AP865" s="3">
        <f t="shared" si="326"/>
        <v>8355.7951482479784</v>
      </c>
      <c r="AQ865" t="s">
        <v>13</v>
      </c>
      <c r="AR865">
        <f t="shared" si="318"/>
        <v>0.17170111287758349</v>
      </c>
      <c r="AS865">
        <f t="shared" ref="AS865:AS906" si="338">SUM(K865,O865,S865,AA865)/100</f>
        <v>0.52100000000000002</v>
      </c>
      <c r="AT865">
        <f t="shared" ref="AT865:AT906" si="339">ROUND(AS865*AP865,0)</f>
        <v>4353</v>
      </c>
      <c r="AU865">
        <f t="shared" ref="AU865:AU906" si="340">ROUND((AJ865/100)*AP865,0)</f>
        <v>902</v>
      </c>
      <c r="AV865">
        <f t="shared" si="327"/>
        <v>2574</v>
      </c>
      <c r="AW865">
        <f t="shared" si="328"/>
        <v>1303</v>
      </c>
      <c r="AX865" s="3">
        <f t="shared" si="329"/>
        <v>4478.7951482479784</v>
      </c>
      <c r="AY865">
        <f t="shared" si="330"/>
        <v>2177</v>
      </c>
      <c r="AZ865">
        <f t="shared" si="331"/>
        <v>1392</v>
      </c>
      <c r="BA865" s="3">
        <f t="shared" si="332"/>
        <v>4786.7951482479784</v>
      </c>
    </row>
    <row r="866" spans="1:53" x14ac:dyDescent="0.2">
      <c r="A866">
        <v>1982</v>
      </c>
      <c r="B866" t="s">
        <v>88</v>
      </c>
      <c r="C866" t="s">
        <v>85</v>
      </c>
      <c r="D866">
        <v>13.7</v>
      </c>
      <c r="E866">
        <v>1.4</v>
      </c>
      <c r="F866">
        <v>0</v>
      </c>
      <c r="G866">
        <v>20.5</v>
      </c>
      <c r="H866">
        <v>0</v>
      </c>
      <c r="I866">
        <v>14</v>
      </c>
      <c r="J866">
        <v>0</v>
      </c>
      <c r="K866">
        <f t="shared" si="322"/>
        <v>49.6</v>
      </c>
      <c r="L866">
        <v>0</v>
      </c>
      <c r="M866">
        <v>0.8</v>
      </c>
      <c r="N866">
        <v>1.3</v>
      </c>
      <c r="O866">
        <f t="shared" si="333"/>
        <v>2.1</v>
      </c>
      <c r="P866">
        <v>0</v>
      </c>
      <c r="Q866">
        <v>0</v>
      </c>
      <c r="R866">
        <v>0</v>
      </c>
      <c r="S866">
        <f t="shared" si="334"/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f t="shared" si="335"/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10.7</v>
      </c>
      <c r="AI866">
        <v>0.1</v>
      </c>
      <c r="AJ866">
        <f t="shared" si="336"/>
        <v>10.799999999999999</v>
      </c>
      <c r="AK866">
        <v>0</v>
      </c>
      <c r="AL866">
        <v>0.375</v>
      </c>
      <c r="AM866">
        <f t="shared" si="337"/>
        <v>0.625</v>
      </c>
      <c r="AN866">
        <v>4500</v>
      </c>
      <c r="AO866" t="s">
        <v>13</v>
      </c>
      <c r="AP866" s="3">
        <f t="shared" si="326"/>
        <v>12000</v>
      </c>
      <c r="AQ866" t="s">
        <v>13</v>
      </c>
      <c r="AR866">
        <f t="shared" si="318"/>
        <v>0.17279999999999998</v>
      </c>
      <c r="AS866">
        <f t="shared" si="338"/>
        <v>0.51700000000000002</v>
      </c>
      <c r="AT866">
        <f t="shared" si="339"/>
        <v>6204</v>
      </c>
      <c r="AU866">
        <f t="shared" si="340"/>
        <v>1296</v>
      </c>
      <c r="AV866">
        <f t="shared" si="327"/>
        <v>3228</v>
      </c>
      <c r="AW866">
        <f t="shared" si="328"/>
        <v>1961</v>
      </c>
      <c r="AX866" s="3">
        <f t="shared" si="329"/>
        <v>6811</v>
      </c>
      <c r="AY866">
        <f t="shared" si="330"/>
        <v>3102</v>
      </c>
      <c r="AZ866">
        <f t="shared" si="331"/>
        <v>1990</v>
      </c>
      <c r="BA866" s="3">
        <f t="shared" si="332"/>
        <v>6908</v>
      </c>
    </row>
    <row r="867" spans="1:53" x14ac:dyDescent="0.2">
      <c r="A867">
        <v>1983</v>
      </c>
      <c r="B867" t="s">
        <v>88</v>
      </c>
      <c r="C867" t="s">
        <v>85</v>
      </c>
      <c r="D867">
        <v>44.1</v>
      </c>
      <c r="E867">
        <v>0</v>
      </c>
      <c r="F867">
        <v>0</v>
      </c>
      <c r="G867">
        <v>14.2</v>
      </c>
      <c r="H867">
        <v>0</v>
      </c>
      <c r="I867">
        <v>4.9000000000000004</v>
      </c>
      <c r="J867">
        <v>0</v>
      </c>
      <c r="K867">
        <f t="shared" si="322"/>
        <v>63.199999999999996</v>
      </c>
      <c r="L867">
        <v>0</v>
      </c>
      <c r="M867">
        <v>0.5</v>
      </c>
      <c r="N867">
        <v>0</v>
      </c>
      <c r="O867">
        <f t="shared" si="333"/>
        <v>0.5</v>
      </c>
      <c r="P867">
        <v>0</v>
      </c>
      <c r="Q867">
        <v>1.6</v>
      </c>
      <c r="R867">
        <v>0</v>
      </c>
      <c r="S867">
        <f t="shared" si="334"/>
        <v>1.6</v>
      </c>
      <c r="T867">
        <v>0.6</v>
      </c>
      <c r="U867">
        <v>0</v>
      </c>
      <c r="V867">
        <v>0</v>
      </c>
      <c r="W867">
        <v>0</v>
      </c>
      <c r="X867">
        <v>0</v>
      </c>
      <c r="Y867">
        <v>1</v>
      </c>
      <c r="Z867">
        <v>0</v>
      </c>
      <c r="AA867">
        <f t="shared" si="335"/>
        <v>1.6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6.4</v>
      </c>
      <c r="AI867">
        <v>1.7</v>
      </c>
      <c r="AJ867">
        <f t="shared" si="336"/>
        <v>8.1</v>
      </c>
      <c r="AK867">
        <v>0</v>
      </c>
      <c r="AL867">
        <v>0.251</v>
      </c>
      <c r="AM867">
        <f t="shared" si="337"/>
        <v>0.75</v>
      </c>
      <c r="AN867">
        <v>2500</v>
      </c>
      <c r="AO867" t="s">
        <v>13</v>
      </c>
      <c r="AP867" s="3">
        <f t="shared" si="326"/>
        <v>10000</v>
      </c>
      <c r="AQ867" t="s">
        <v>13</v>
      </c>
      <c r="AR867">
        <f t="shared" si="318"/>
        <v>0.108</v>
      </c>
      <c r="AS867">
        <f t="shared" si="338"/>
        <v>0.66899999999999993</v>
      </c>
      <c r="AT867">
        <f t="shared" si="339"/>
        <v>6690</v>
      </c>
      <c r="AU867">
        <f t="shared" si="340"/>
        <v>810</v>
      </c>
      <c r="AV867">
        <f t="shared" si="327"/>
        <v>3530</v>
      </c>
      <c r="AW867">
        <f t="shared" si="328"/>
        <v>1583</v>
      </c>
      <c r="AX867" s="3">
        <f t="shared" si="329"/>
        <v>4887</v>
      </c>
      <c r="AY867">
        <f t="shared" si="330"/>
        <v>3345</v>
      </c>
      <c r="AZ867">
        <f t="shared" si="331"/>
        <v>1629</v>
      </c>
      <c r="BA867" s="3">
        <f t="shared" si="332"/>
        <v>5026</v>
      </c>
    </row>
    <row r="868" spans="1:53" x14ac:dyDescent="0.2">
      <c r="A868">
        <v>1984</v>
      </c>
      <c r="B868" t="s">
        <v>88</v>
      </c>
      <c r="C868" t="s">
        <v>85</v>
      </c>
      <c r="D868">
        <v>17.5</v>
      </c>
      <c r="E868">
        <v>0.7</v>
      </c>
      <c r="F868">
        <v>0</v>
      </c>
      <c r="G868">
        <v>25.4</v>
      </c>
      <c r="H868">
        <v>2.6</v>
      </c>
      <c r="I868">
        <v>8.6</v>
      </c>
      <c r="J868">
        <v>0</v>
      </c>
      <c r="K868">
        <f t="shared" si="322"/>
        <v>54.8</v>
      </c>
      <c r="L868">
        <v>0</v>
      </c>
      <c r="M868">
        <v>0</v>
      </c>
      <c r="N868">
        <v>0</v>
      </c>
      <c r="O868">
        <f t="shared" si="333"/>
        <v>0</v>
      </c>
      <c r="P868">
        <v>0</v>
      </c>
      <c r="Q868">
        <v>0</v>
      </c>
      <c r="R868">
        <v>0</v>
      </c>
      <c r="S868">
        <f t="shared" si="334"/>
        <v>0</v>
      </c>
      <c r="T868">
        <v>2.9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f t="shared" si="335"/>
        <v>2.9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9.9</v>
      </c>
      <c r="AI868">
        <v>1.4</v>
      </c>
      <c r="AJ868">
        <f t="shared" si="336"/>
        <v>11.3</v>
      </c>
      <c r="AK868">
        <v>0</v>
      </c>
      <c r="AL868">
        <v>0.309</v>
      </c>
      <c r="AM868">
        <f t="shared" si="337"/>
        <v>0.69</v>
      </c>
      <c r="AN868">
        <v>1900</v>
      </c>
      <c r="AO868" t="s">
        <v>13</v>
      </c>
      <c r="AP868" s="3">
        <f t="shared" si="326"/>
        <v>6129.0322580645152</v>
      </c>
      <c r="AQ868" t="s">
        <v>13</v>
      </c>
      <c r="AR868">
        <f t="shared" ref="AR868:AR931" si="341">(AJ868/100)/AM868</f>
        <v>0.163768115942029</v>
      </c>
      <c r="AS868">
        <f t="shared" si="338"/>
        <v>0.57699999999999996</v>
      </c>
      <c r="AT868">
        <f t="shared" si="339"/>
        <v>3536</v>
      </c>
      <c r="AU868">
        <f t="shared" si="340"/>
        <v>693</v>
      </c>
      <c r="AV868">
        <f t="shared" si="327"/>
        <v>1857</v>
      </c>
      <c r="AW868">
        <f t="shared" si="328"/>
        <v>1142</v>
      </c>
      <c r="AX868" s="3">
        <f t="shared" si="329"/>
        <v>3130.0322580645152</v>
      </c>
      <c r="AY868">
        <f t="shared" si="330"/>
        <v>1768</v>
      </c>
      <c r="AZ868">
        <f t="shared" si="331"/>
        <v>1166</v>
      </c>
      <c r="BA868" s="3">
        <f t="shared" si="332"/>
        <v>3195.0322580645152</v>
      </c>
    </row>
    <row r="869" spans="1:53" x14ac:dyDescent="0.2">
      <c r="A869">
        <v>1985</v>
      </c>
      <c r="B869" t="s">
        <v>88</v>
      </c>
      <c r="C869" t="s">
        <v>85</v>
      </c>
      <c r="D869">
        <v>22.4</v>
      </c>
      <c r="E869">
        <v>0</v>
      </c>
      <c r="F869">
        <v>0</v>
      </c>
      <c r="G869">
        <v>30.5</v>
      </c>
      <c r="H869">
        <v>0</v>
      </c>
      <c r="I869">
        <v>2.2999999999999998</v>
      </c>
      <c r="J869">
        <v>0</v>
      </c>
      <c r="K869">
        <f t="shared" si="322"/>
        <v>55.199999999999996</v>
      </c>
      <c r="L869">
        <v>0</v>
      </c>
      <c r="M869">
        <v>0</v>
      </c>
      <c r="N869">
        <v>0</v>
      </c>
      <c r="O869">
        <f t="shared" si="333"/>
        <v>0</v>
      </c>
      <c r="P869">
        <v>0</v>
      </c>
      <c r="Q869">
        <v>1.4</v>
      </c>
      <c r="R869">
        <v>0</v>
      </c>
      <c r="S869">
        <f t="shared" si="334"/>
        <v>1.4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1.7</v>
      </c>
      <c r="AA869">
        <f t="shared" si="335"/>
        <v>1.7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14.9</v>
      </c>
      <c r="AI869">
        <v>0.4</v>
      </c>
      <c r="AJ869">
        <f t="shared" si="336"/>
        <v>15.3</v>
      </c>
      <c r="AK869">
        <v>0</v>
      </c>
      <c r="AL869">
        <v>0.26500000000000001</v>
      </c>
      <c r="AM869">
        <f t="shared" si="337"/>
        <v>0.73599999999999999</v>
      </c>
      <c r="AN869">
        <v>1725</v>
      </c>
      <c r="AO869" t="s">
        <v>13</v>
      </c>
      <c r="AP869" s="3">
        <f t="shared" si="326"/>
        <v>6534.090909090909</v>
      </c>
      <c r="AQ869" t="s">
        <v>13</v>
      </c>
      <c r="AR869">
        <f t="shared" si="341"/>
        <v>0.2078804347826087</v>
      </c>
      <c r="AS869">
        <f t="shared" si="338"/>
        <v>0.58299999999999996</v>
      </c>
      <c r="AT869">
        <f t="shared" si="339"/>
        <v>3809</v>
      </c>
      <c r="AU869">
        <f t="shared" si="340"/>
        <v>1000</v>
      </c>
      <c r="AV869">
        <f t="shared" si="327"/>
        <v>2006</v>
      </c>
      <c r="AW869">
        <f t="shared" si="328"/>
        <v>1662</v>
      </c>
      <c r="AX869" s="3">
        <f t="shared" si="329"/>
        <v>2866.090909090909</v>
      </c>
      <c r="AY869">
        <f t="shared" si="330"/>
        <v>1905</v>
      </c>
      <c r="AZ869">
        <f t="shared" si="331"/>
        <v>1699</v>
      </c>
      <c r="BA869" s="3">
        <f t="shared" si="332"/>
        <v>2930.090909090909</v>
      </c>
    </row>
    <row r="870" spans="1:53" x14ac:dyDescent="0.2">
      <c r="A870">
        <v>1986</v>
      </c>
      <c r="B870" t="s">
        <v>88</v>
      </c>
      <c r="C870" t="s">
        <v>85</v>
      </c>
      <c r="D870">
        <v>25.1</v>
      </c>
      <c r="E870">
        <v>0</v>
      </c>
      <c r="F870">
        <v>1.2</v>
      </c>
      <c r="G870">
        <v>11.4</v>
      </c>
      <c r="H870">
        <v>0</v>
      </c>
      <c r="I870">
        <v>6.8</v>
      </c>
      <c r="J870">
        <v>0</v>
      </c>
      <c r="K870">
        <f t="shared" si="322"/>
        <v>44.5</v>
      </c>
      <c r="L870">
        <v>1.6</v>
      </c>
      <c r="M870">
        <v>0</v>
      </c>
      <c r="N870">
        <v>0</v>
      </c>
      <c r="O870">
        <f t="shared" si="333"/>
        <v>1.6</v>
      </c>
      <c r="P870">
        <v>0</v>
      </c>
      <c r="Q870">
        <v>0.9</v>
      </c>
      <c r="R870">
        <v>0</v>
      </c>
      <c r="S870">
        <f t="shared" si="334"/>
        <v>0.9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0.1</v>
      </c>
      <c r="AA870">
        <f t="shared" si="335"/>
        <v>0.1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7.5</v>
      </c>
      <c r="AI870">
        <v>1.5</v>
      </c>
      <c r="AJ870">
        <f t="shared" si="336"/>
        <v>9</v>
      </c>
      <c r="AK870">
        <v>0</v>
      </c>
      <c r="AL870">
        <v>0.439</v>
      </c>
      <c r="AM870">
        <f t="shared" si="337"/>
        <v>0.56100000000000005</v>
      </c>
      <c r="AN870">
        <v>4981</v>
      </c>
      <c r="AO870" t="s">
        <v>13</v>
      </c>
      <c r="AP870" s="3">
        <f t="shared" si="326"/>
        <v>11346.24145785877</v>
      </c>
      <c r="AQ870" t="s">
        <v>13</v>
      </c>
      <c r="AR870">
        <f t="shared" si="341"/>
        <v>0.16042780748663099</v>
      </c>
      <c r="AS870">
        <f t="shared" si="338"/>
        <v>0.47100000000000003</v>
      </c>
      <c r="AT870">
        <f t="shared" si="339"/>
        <v>5344</v>
      </c>
      <c r="AU870">
        <f t="shared" si="340"/>
        <v>1021</v>
      </c>
      <c r="AV870">
        <f t="shared" si="327"/>
        <v>2820</v>
      </c>
      <c r="AW870">
        <f t="shared" si="328"/>
        <v>1450</v>
      </c>
      <c r="AX870" s="3">
        <f t="shared" si="329"/>
        <v>7076.2414578587704</v>
      </c>
      <c r="AY870">
        <f t="shared" si="330"/>
        <v>2672</v>
      </c>
      <c r="AZ870">
        <f t="shared" si="331"/>
        <v>1476</v>
      </c>
      <c r="BA870" s="3">
        <f t="shared" si="332"/>
        <v>7198.2414578587704</v>
      </c>
    </row>
    <row r="871" spans="1:53" x14ac:dyDescent="0.2">
      <c r="A871">
        <v>1987</v>
      </c>
      <c r="B871" t="s">
        <v>88</v>
      </c>
      <c r="C871" t="s">
        <v>85</v>
      </c>
      <c r="D871">
        <v>26.5</v>
      </c>
      <c r="E871">
        <v>1.7</v>
      </c>
      <c r="F871">
        <v>0.1</v>
      </c>
      <c r="G871">
        <v>12.8</v>
      </c>
      <c r="H871">
        <v>0.9</v>
      </c>
      <c r="I871">
        <v>1.5</v>
      </c>
      <c r="J871">
        <v>0</v>
      </c>
      <c r="K871">
        <f t="shared" si="322"/>
        <v>43.5</v>
      </c>
      <c r="L871">
        <v>1.3</v>
      </c>
      <c r="M871">
        <v>0.5</v>
      </c>
      <c r="N871">
        <v>0</v>
      </c>
      <c r="O871">
        <f t="shared" si="333"/>
        <v>1.8</v>
      </c>
      <c r="P871">
        <v>0</v>
      </c>
      <c r="Q871">
        <v>0</v>
      </c>
      <c r="R871">
        <v>0</v>
      </c>
      <c r="S871">
        <f t="shared" si="334"/>
        <v>0</v>
      </c>
      <c r="T871">
        <v>0.4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0.7</v>
      </c>
      <c r="AA871">
        <f t="shared" si="335"/>
        <v>1.1000000000000001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16</v>
      </c>
      <c r="AI871">
        <v>2.6</v>
      </c>
      <c r="AJ871">
        <f t="shared" si="336"/>
        <v>18.600000000000001</v>
      </c>
      <c r="AK871">
        <v>0</v>
      </c>
      <c r="AL871">
        <v>0.35</v>
      </c>
      <c r="AM871">
        <f t="shared" si="337"/>
        <v>0.65</v>
      </c>
      <c r="AN871">
        <v>4006</v>
      </c>
      <c r="AO871" t="s">
        <v>13</v>
      </c>
      <c r="AP871" s="3">
        <f t="shared" si="326"/>
        <v>11445.714285714286</v>
      </c>
      <c r="AQ871" t="s">
        <v>13</v>
      </c>
      <c r="AR871">
        <f t="shared" si="341"/>
        <v>0.2861538461538462</v>
      </c>
      <c r="AS871">
        <f t="shared" si="338"/>
        <v>0.46399999999999997</v>
      </c>
      <c r="AT871">
        <f t="shared" si="339"/>
        <v>5311</v>
      </c>
      <c r="AU871">
        <f t="shared" si="340"/>
        <v>2129</v>
      </c>
      <c r="AV871">
        <f t="shared" si="327"/>
        <v>2821</v>
      </c>
      <c r="AW871">
        <f t="shared" si="328"/>
        <v>2993</v>
      </c>
      <c r="AX871" s="3">
        <f t="shared" si="329"/>
        <v>5631.7142857142862</v>
      </c>
      <c r="AY871">
        <f t="shared" si="330"/>
        <v>2655</v>
      </c>
      <c r="AZ871">
        <f t="shared" si="331"/>
        <v>3051</v>
      </c>
      <c r="BA871" s="3">
        <f t="shared" si="332"/>
        <v>5739.7142857142862</v>
      </c>
    </row>
    <row r="872" spans="1:53" x14ac:dyDescent="0.2">
      <c r="A872">
        <v>1988</v>
      </c>
      <c r="B872" t="s">
        <v>88</v>
      </c>
      <c r="C872" t="s">
        <v>85</v>
      </c>
      <c r="D872">
        <v>21.6</v>
      </c>
      <c r="E872">
        <v>1.6</v>
      </c>
      <c r="F872">
        <v>1.5</v>
      </c>
      <c r="G872">
        <v>8.5</v>
      </c>
      <c r="H872">
        <v>0.9</v>
      </c>
      <c r="I872">
        <v>5.4</v>
      </c>
      <c r="J872">
        <v>0</v>
      </c>
      <c r="K872">
        <f t="shared" si="322"/>
        <v>39.5</v>
      </c>
      <c r="L872">
        <v>1.9</v>
      </c>
      <c r="M872">
        <v>0.4</v>
      </c>
      <c r="N872">
        <v>0</v>
      </c>
      <c r="O872">
        <f t="shared" si="333"/>
        <v>2.2999999999999998</v>
      </c>
      <c r="P872">
        <v>0</v>
      </c>
      <c r="Q872">
        <v>0</v>
      </c>
      <c r="R872">
        <v>1</v>
      </c>
      <c r="S872">
        <f t="shared" si="334"/>
        <v>1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3.3</v>
      </c>
      <c r="AA872">
        <f t="shared" si="335"/>
        <v>3.3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20.5</v>
      </c>
      <c r="AI872">
        <v>1.6</v>
      </c>
      <c r="AJ872">
        <f t="shared" si="336"/>
        <v>22.1</v>
      </c>
      <c r="AK872">
        <v>0</v>
      </c>
      <c r="AL872">
        <v>0.318</v>
      </c>
      <c r="AM872">
        <f t="shared" si="337"/>
        <v>0.68200000000000005</v>
      </c>
      <c r="AN872">
        <v>4128</v>
      </c>
      <c r="AO872" t="s">
        <v>13</v>
      </c>
      <c r="AP872" s="3">
        <f t="shared" si="326"/>
        <v>12981.1320754717</v>
      </c>
      <c r="AQ872" t="s">
        <v>13</v>
      </c>
      <c r="AR872">
        <f t="shared" si="341"/>
        <v>0.32404692082111436</v>
      </c>
      <c r="AS872">
        <f t="shared" si="338"/>
        <v>0.46099999999999997</v>
      </c>
      <c r="AT872">
        <f t="shared" si="339"/>
        <v>5984</v>
      </c>
      <c r="AU872">
        <f t="shared" si="340"/>
        <v>2869</v>
      </c>
      <c r="AV872">
        <f t="shared" si="327"/>
        <v>3421</v>
      </c>
      <c r="AW872">
        <f t="shared" si="328"/>
        <v>3920</v>
      </c>
      <c r="AX872" s="3">
        <f t="shared" si="329"/>
        <v>5640.1320754716999</v>
      </c>
      <c r="AY872">
        <f t="shared" si="330"/>
        <v>2992</v>
      </c>
      <c r="AZ872">
        <f t="shared" si="331"/>
        <v>4096</v>
      </c>
      <c r="BA872" s="3">
        <f t="shared" si="332"/>
        <v>5893.1320754716999</v>
      </c>
    </row>
    <row r="873" spans="1:53" x14ac:dyDescent="0.2">
      <c r="A873">
        <v>1989</v>
      </c>
      <c r="B873" t="s">
        <v>88</v>
      </c>
      <c r="C873" t="s">
        <v>85</v>
      </c>
      <c r="D873">
        <v>11.7</v>
      </c>
      <c r="E873">
        <v>0.3</v>
      </c>
      <c r="F873">
        <v>0.2</v>
      </c>
      <c r="G873">
        <v>11.7</v>
      </c>
      <c r="H873">
        <v>0.2</v>
      </c>
      <c r="I873">
        <v>10.5</v>
      </c>
      <c r="J873">
        <v>0</v>
      </c>
      <c r="K873">
        <f t="shared" si="322"/>
        <v>34.599999999999994</v>
      </c>
      <c r="L873">
        <v>0.6</v>
      </c>
      <c r="M873">
        <v>0.3</v>
      </c>
      <c r="N873">
        <v>0</v>
      </c>
      <c r="O873">
        <f t="shared" si="333"/>
        <v>0.89999999999999991</v>
      </c>
      <c r="P873">
        <v>0</v>
      </c>
      <c r="Q873">
        <v>0</v>
      </c>
      <c r="R873">
        <v>0</v>
      </c>
      <c r="S873">
        <f t="shared" si="334"/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2</v>
      </c>
      <c r="AA873">
        <f t="shared" si="335"/>
        <v>2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23.8</v>
      </c>
      <c r="AI873">
        <v>1.7</v>
      </c>
      <c r="AJ873">
        <f t="shared" si="336"/>
        <v>25.5</v>
      </c>
      <c r="AK873">
        <v>0</v>
      </c>
      <c r="AL873">
        <v>0.37</v>
      </c>
      <c r="AM873">
        <f t="shared" si="337"/>
        <v>0.63</v>
      </c>
      <c r="AN873">
        <v>5148</v>
      </c>
      <c r="AO873" t="s">
        <v>13</v>
      </c>
      <c r="AP873" s="3">
        <f t="shared" si="326"/>
        <v>13913.513513513513</v>
      </c>
      <c r="AQ873" t="s">
        <v>13</v>
      </c>
      <c r="AR873">
        <f t="shared" si="341"/>
        <v>0.40476190476190477</v>
      </c>
      <c r="AS873">
        <f t="shared" si="338"/>
        <v>0.37499999999999994</v>
      </c>
      <c r="AT873">
        <f t="shared" si="339"/>
        <v>5218</v>
      </c>
      <c r="AU873">
        <f t="shared" si="340"/>
        <v>3548</v>
      </c>
      <c r="AV873">
        <f t="shared" si="327"/>
        <v>2811</v>
      </c>
      <c r="AW873">
        <f t="shared" si="328"/>
        <v>4530</v>
      </c>
      <c r="AX873" s="3">
        <f t="shared" si="329"/>
        <v>6572.5135135135133</v>
      </c>
      <c r="AY873">
        <f t="shared" si="330"/>
        <v>2609</v>
      </c>
      <c r="AZ873">
        <f t="shared" si="331"/>
        <v>4613</v>
      </c>
      <c r="BA873" s="3">
        <f t="shared" si="332"/>
        <v>6691.5135135135133</v>
      </c>
    </row>
    <row r="874" spans="1:53" x14ac:dyDescent="0.2">
      <c r="A874">
        <v>1990</v>
      </c>
      <c r="B874" t="s">
        <v>88</v>
      </c>
      <c r="C874" t="s">
        <v>85</v>
      </c>
      <c r="D874">
        <v>15.1</v>
      </c>
      <c r="E874">
        <v>0.5</v>
      </c>
      <c r="F874">
        <v>0.3</v>
      </c>
      <c r="G874">
        <v>6.3</v>
      </c>
      <c r="H874">
        <v>2.6</v>
      </c>
      <c r="I874">
        <v>7.1</v>
      </c>
      <c r="J874">
        <v>0</v>
      </c>
      <c r="K874">
        <f t="shared" ref="K874:K937" si="342">SUM(D874:J874)</f>
        <v>31.9</v>
      </c>
      <c r="L874">
        <v>0.3</v>
      </c>
      <c r="M874">
        <v>0.2</v>
      </c>
      <c r="N874">
        <v>0</v>
      </c>
      <c r="O874">
        <f t="shared" si="333"/>
        <v>0.5</v>
      </c>
      <c r="P874">
        <v>0</v>
      </c>
      <c r="Q874">
        <v>0</v>
      </c>
      <c r="R874">
        <v>0</v>
      </c>
      <c r="S874">
        <f t="shared" si="334"/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f t="shared" si="335"/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20.6</v>
      </c>
      <c r="AI874">
        <v>1.8</v>
      </c>
      <c r="AJ874">
        <f t="shared" si="336"/>
        <v>22.400000000000002</v>
      </c>
      <c r="AK874">
        <v>0</v>
      </c>
      <c r="AL874">
        <v>0.45100000000000001</v>
      </c>
      <c r="AM874">
        <f t="shared" si="337"/>
        <v>0.54799999999999993</v>
      </c>
      <c r="AN874">
        <v>4236</v>
      </c>
      <c r="AO874" t="s">
        <v>13</v>
      </c>
      <c r="AP874" s="3">
        <f t="shared" si="326"/>
        <v>9371.6814159292026</v>
      </c>
      <c r="AQ874" t="s">
        <v>13</v>
      </c>
      <c r="AR874">
        <f t="shared" si="341"/>
        <v>0.40875912408759135</v>
      </c>
      <c r="AS874">
        <f t="shared" si="338"/>
        <v>0.32400000000000001</v>
      </c>
      <c r="AT874">
        <f t="shared" si="339"/>
        <v>3036</v>
      </c>
      <c r="AU874">
        <f t="shared" si="340"/>
        <v>2099</v>
      </c>
      <c r="AV874">
        <f t="shared" si="327"/>
        <v>1542</v>
      </c>
      <c r="AW874">
        <f t="shared" si="328"/>
        <v>2594</v>
      </c>
      <c r="AX874" s="3">
        <f t="shared" si="329"/>
        <v>5235.6814159292026</v>
      </c>
      <c r="AY874">
        <f t="shared" si="330"/>
        <v>1518</v>
      </c>
      <c r="AZ874">
        <f t="shared" si="331"/>
        <v>2602</v>
      </c>
      <c r="BA874" s="3">
        <f t="shared" si="332"/>
        <v>5251.6814159292026</v>
      </c>
    </row>
    <row r="875" spans="1:53" x14ac:dyDescent="0.2">
      <c r="A875">
        <v>1991</v>
      </c>
      <c r="B875" t="s">
        <v>88</v>
      </c>
      <c r="C875" t="s">
        <v>85</v>
      </c>
      <c r="D875">
        <v>24.6</v>
      </c>
      <c r="E875">
        <v>0.3</v>
      </c>
      <c r="F875">
        <v>0.8</v>
      </c>
      <c r="G875">
        <v>10.3</v>
      </c>
      <c r="H875">
        <v>1.3</v>
      </c>
      <c r="I875">
        <v>6.2</v>
      </c>
      <c r="J875">
        <v>0</v>
      </c>
      <c r="K875">
        <f t="shared" si="342"/>
        <v>43.5</v>
      </c>
      <c r="L875">
        <v>0</v>
      </c>
      <c r="M875">
        <v>0</v>
      </c>
      <c r="N875">
        <v>0</v>
      </c>
      <c r="O875">
        <f t="shared" si="333"/>
        <v>0</v>
      </c>
      <c r="P875">
        <v>0</v>
      </c>
      <c r="Q875">
        <v>0</v>
      </c>
      <c r="R875">
        <v>0</v>
      </c>
      <c r="S875">
        <f t="shared" si="334"/>
        <v>0</v>
      </c>
      <c r="T875">
        <v>0</v>
      </c>
      <c r="U875">
        <v>0.3</v>
      </c>
      <c r="V875">
        <v>0</v>
      </c>
      <c r="W875">
        <v>0</v>
      </c>
      <c r="X875">
        <v>0</v>
      </c>
      <c r="Y875">
        <v>0</v>
      </c>
      <c r="Z875">
        <v>0.5</v>
      </c>
      <c r="AA875">
        <f t="shared" si="335"/>
        <v>0.8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22.9</v>
      </c>
      <c r="AI875">
        <v>2.7</v>
      </c>
      <c r="AJ875">
        <f t="shared" si="336"/>
        <v>25.599999999999998</v>
      </c>
      <c r="AK875">
        <v>0</v>
      </c>
      <c r="AL875">
        <v>0.30099999999999999</v>
      </c>
      <c r="AM875">
        <f t="shared" si="337"/>
        <v>0.69899999999999995</v>
      </c>
      <c r="AN875">
        <v>1420</v>
      </c>
      <c r="AO875" t="s">
        <v>13</v>
      </c>
      <c r="AP875" s="3">
        <f t="shared" si="326"/>
        <v>4717.6079734219265</v>
      </c>
      <c r="AQ875" t="s">
        <v>13</v>
      </c>
      <c r="AR875">
        <f t="shared" si="341"/>
        <v>0.3662374821173105</v>
      </c>
      <c r="AS875">
        <f t="shared" si="338"/>
        <v>0.44299999999999995</v>
      </c>
      <c r="AT875">
        <f t="shared" si="339"/>
        <v>2090</v>
      </c>
      <c r="AU875">
        <f t="shared" si="340"/>
        <v>1208</v>
      </c>
      <c r="AV875">
        <f t="shared" si="327"/>
        <v>1064</v>
      </c>
      <c r="AW875">
        <f t="shared" si="328"/>
        <v>1680</v>
      </c>
      <c r="AX875" s="3">
        <f t="shared" si="329"/>
        <v>1973.6079734219265</v>
      </c>
      <c r="AY875">
        <f t="shared" si="330"/>
        <v>1045</v>
      </c>
      <c r="AZ875">
        <f t="shared" si="331"/>
        <v>1688</v>
      </c>
      <c r="BA875" s="3">
        <f t="shared" si="332"/>
        <v>1984.6079734219265</v>
      </c>
    </row>
    <row r="876" spans="1:53" x14ac:dyDescent="0.2">
      <c r="A876">
        <v>1992</v>
      </c>
      <c r="B876" t="s">
        <v>88</v>
      </c>
      <c r="C876" t="s">
        <v>85</v>
      </c>
      <c r="D876">
        <v>15.1</v>
      </c>
      <c r="E876">
        <v>6.1</v>
      </c>
      <c r="F876">
        <v>2.5</v>
      </c>
      <c r="G876">
        <v>11.2</v>
      </c>
      <c r="H876">
        <v>1.9</v>
      </c>
      <c r="I876">
        <v>16.3</v>
      </c>
      <c r="J876">
        <v>0</v>
      </c>
      <c r="K876">
        <f t="shared" si="342"/>
        <v>53.099999999999994</v>
      </c>
      <c r="L876">
        <v>0</v>
      </c>
      <c r="M876">
        <v>0.2</v>
      </c>
      <c r="N876">
        <v>0</v>
      </c>
      <c r="O876">
        <f t="shared" si="333"/>
        <v>0.2</v>
      </c>
      <c r="P876">
        <v>0</v>
      </c>
      <c r="Q876">
        <v>0</v>
      </c>
      <c r="R876">
        <v>0</v>
      </c>
      <c r="S876">
        <f t="shared" si="334"/>
        <v>0</v>
      </c>
      <c r="T876">
        <v>0</v>
      </c>
      <c r="U876">
        <v>0.3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f t="shared" si="335"/>
        <v>0.3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8.6</v>
      </c>
      <c r="AI876">
        <v>1.6</v>
      </c>
      <c r="AJ876">
        <f t="shared" si="336"/>
        <v>10.199999999999999</v>
      </c>
      <c r="AK876">
        <v>0</v>
      </c>
      <c r="AL876">
        <v>0.36200000000000004</v>
      </c>
      <c r="AM876">
        <f t="shared" si="337"/>
        <v>0.63800000000000001</v>
      </c>
      <c r="AN876">
        <v>4003</v>
      </c>
      <c r="AO876" t="s">
        <v>13</v>
      </c>
      <c r="AP876" s="3">
        <f t="shared" si="326"/>
        <v>11058.011049723757</v>
      </c>
      <c r="AQ876" t="s">
        <v>13</v>
      </c>
      <c r="AR876">
        <f t="shared" si="341"/>
        <v>0.15987460815047019</v>
      </c>
      <c r="AS876">
        <f t="shared" si="338"/>
        <v>0.53599999999999992</v>
      </c>
      <c r="AT876">
        <f t="shared" si="339"/>
        <v>5927</v>
      </c>
      <c r="AU876">
        <f t="shared" si="340"/>
        <v>1128</v>
      </c>
      <c r="AV876">
        <f t="shared" si="327"/>
        <v>2991</v>
      </c>
      <c r="AW876">
        <f t="shared" si="328"/>
        <v>1773</v>
      </c>
      <c r="AX876" s="3">
        <f t="shared" si="329"/>
        <v>6294.0110497237565</v>
      </c>
      <c r="AY876">
        <f t="shared" si="330"/>
        <v>2964</v>
      </c>
      <c r="AZ876">
        <f t="shared" si="331"/>
        <v>1779</v>
      </c>
      <c r="BA876" s="3">
        <f t="shared" si="332"/>
        <v>6315.0110497237565</v>
      </c>
    </row>
    <row r="877" spans="1:53" x14ac:dyDescent="0.2">
      <c r="A877">
        <v>1993</v>
      </c>
      <c r="B877" t="s">
        <v>88</v>
      </c>
      <c r="C877" t="s">
        <v>85</v>
      </c>
      <c r="D877">
        <v>20.5</v>
      </c>
      <c r="E877">
        <v>2.2000000000000002</v>
      </c>
      <c r="F877">
        <v>0.7</v>
      </c>
      <c r="G877">
        <v>12.7</v>
      </c>
      <c r="H877">
        <v>1.4</v>
      </c>
      <c r="I877">
        <v>13.2</v>
      </c>
      <c r="J877">
        <v>0</v>
      </c>
      <c r="K877">
        <f t="shared" si="342"/>
        <v>50.699999999999989</v>
      </c>
      <c r="L877">
        <v>0.3</v>
      </c>
      <c r="M877">
        <v>0</v>
      </c>
      <c r="N877">
        <v>0</v>
      </c>
      <c r="O877">
        <f t="shared" si="333"/>
        <v>0.3</v>
      </c>
      <c r="P877">
        <v>0</v>
      </c>
      <c r="Q877">
        <v>0</v>
      </c>
      <c r="R877">
        <v>0</v>
      </c>
      <c r="S877">
        <f t="shared" si="334"/>
        <v>0</v>
      </c>
      <c r="T877">
        <v>0.5</v>
      </c>
      <c r="U877">
        <v>1.9</v>
      </c>
      <c r="V877">
        <v>0</v>
      </c>
      <c r="W877">
        <v>0</v>
      </c>
      <c r="X877">
        <v>0</v>
      </c>
      <c r="Y877">
        <v>0</v>
      </c>
      <c r="Z877">
        <v>1</v>
      </c>
      <c r="AA877">
        <f t="shared" si="335"/>
        <v>3.4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7.7</v>
      </c>
      <c r="AI877">
        <v>2.7</v>
      </c>
      <c r="AJ877">
        <f t="shared" si="336"/>
        <v>10.4</v>
      </c>
      <c r="AK877">
        <v>0</v>
      </c>
      <c r="AL877">
        <v>0.35299999999999998</v>
      </c>
      <c r="AM877">
        <f t="shared" si="337"/>
        <v>0.64800000000000002</v>
      </c>
      <c r="AN877">
        <v>2280</v>
      </c>
      <c r="AO877" t="s">
        <v>13</v>
      </c>
      <c r="AP877" s="3">
        <f t="shared" si="326"/>
        <v>6477.2727272727279</v>
      </c>
      <c r="AQ877" t="s">
        <v>13</v>
      </c>
      <c r="AR877">
        <f t="shared" si="341"/>
        <v>0.16049382716049385</v>
      </c>
      <c r="AS877">
        <f t="shared" si="338"/>
        <v>0.54399999999999982</v>
      </c>
      <c r="AT877">
        <f t="shared" si="339"/>
        <v>3524</v>
      </c>
      <c r="AU877">
        <f t="shared" si="340"/>
        <v>674</v>
      </c>
      <c r="AV877">
        <f t="shared" si="327"/>
        <v>1882</v>
      </c>
      <c r="AW877">
        <f t="shared" si="328"/>
        <v>1049</v>
      </c>
      <c r="AX877" s="3">
        <f t="shared" si="329"/>
        <v>3546.2727272727279</v>
      </c>
      <c r="AY877">
        <f t="shared" si="330"/>
        <v>1762</v>
      </c>
      <c r="AZ877">
        <f t="shared" si="331"/>
        <v>1076</v>
      </c>
      <c r="BA877" s="3">
        <f t="shared" si="332"/>
        <v>3639.2727272727279</v>
      </c>
    </row>
    <row r="878" spans="1:53" x14ac:dyDescent="0.2">
      <c r="A878">
        <v>1994</v>
      </c>
      <c r="B878" t="s">
        <v>88</v>
      </c>
      <c r="C878" t="s">
        <v>85</v>
      </c>
      <c r="D878">
        <v>22.5</v>
      </c>
      <c r="E878">
        <v>1.2</v>
      </c>
      <c r="F878">
        <v>0.4</v>
      </c>
      <c r="G878">
        <v>21.2</v>
      </c>
      <c r="H878">
        <v>1.4</v>
      </c>
      <c r="I878">
        <v>4</v>
      </c>
      <c r="J878">
        <v>0.5</v>
      </c>
      <c r="K878">
        <f t="shared" si="342"/>
        <v>51.199999999999996</v>
      </c>
      <c r="L878">
        <v>0.2</v>
      </c>
      <c r="M878">
        <v>0.3</v>
      </c>
      <c r="N878">
        <v>0</v>
      </c>
      <c r="O878">
        <f t="shared" si="333"/>
        <v>0.5</v>
      </c>
      <c r="P878">
        <v>0</v>
      </c>
      <c r="Q878">
        <v>0</v>
      </c>
      <c r="R878">
        <v>0.7</v>
      </c>
      <c r="S878">
        <f t="shared" si="334"/>
        <v>0.7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f t="shared" si="335"/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2.9</v>
      </c>
      <c r="AI878">
        <v>1</v>
      </c>
      <c r="AJ878">
        <f t="shared" si="336"/>
        <v>3.9</v>
      </c>
      <c r="AK878">
        <v>0</v>
      </c>
      <c r="AL878">
        <v>0.43700000000000006</v>
      </c>
      <c r="AM878">
        <f t="shared" si="337"/>
        <v>0.56299999999999994</v>
      </c>
      <c r="AN878">
        <v>3967</v>
      </c>
      <c r="AO878" t="s">
        <v>13</v>
      </c>
      <c r="AP878" s="3">
        <f t="shared" si="326"/>
        <v>9077.8032036613258</v>
      </c>
      <c r="AQ878" t="s">
        <v>13</v>
      </c>
      <c r="AR878">
        <f t="shared" si="341"/>
        <v>6.9271758436944941E-2</v>
      </c>
      <c r="AS878">
        <f t="shared" si="338"/>
        <v>0.52400000000000002</v>
      </c>
      <c r="AT878">
        <f t="shared" si="339"/>
        <v>4757</v>
      </c>
      <c r="AU878">
        <f t="shared" si="340"/>
        <v>354</v>
      </c>
      <c r="AV878">
        <f t="shared" si="327"/>
        <v>2433</v>
      </c>
      <c r="AW878">
        <f t="shared" si="328"/>
        <v>544</v>
      </c>
      <c r="AX878" s="3">
        <f t="shared" si="329"/>
        <v>6100.8032036613258</v>
      </c>
      <c r="AY878">
        <f t="shared" si="330"/>
        <v>2378</v>
      </c>
      <c r="AZ878">
        <f t="shared" si="331"/>
        <v>549</v>
      </c>
      <c r="BA878" s="3">
        <f t="shared" si="332"/>
        <v>6150.8032036613258</v>
      </c>
    </row>
    <row r="879" spans="1:53" x14ac:dyDescent="0.2">
      <c r="A879">
        <v>1995</v>
      </c>
      <c r="B879" t="s">
        <v>88</v>
      </c>
      <c r="C879" t="s">
        <v>85</v>
      </c>
      <c r="D879">
        <v>21.4</v>
      </c>
      <c r="E879">
        <v>0</v>
      </c>
      <c r="F879">
        <v>1.7</v>
      </c>
      <c r="G879">
        <v>6.4</v>
      </c>
      <c r="H879">
        <v>3.8</v>
      </c>
      <c r="I879">
        <v>0.8</v>
      </c>
      <c r="J879">
        <v>0</v>
      </c>
      <c r="K879">
        <f t="shared" si="342"/>
        <v>34.099999999999994</v>
      </c>
      <c r="L879">
        <v>0</v>
      </c>
      <c r="M879">
        <v>0.2</v>
      </c>
      <c r="N879">
        <v>0</v>
      </c>
      <c r="O879">
        <f t="shared" si="333"/>
        <v>0.2</v>
      </c>
      <c r="P879">
        <v>0</v>
      </c>
      <c r="Q879">
        <v>0</v>
      </c>
      <c r="R879">
        <v>0.6</v>
      </c>
      <c r="S879">
        <f t="shared" si="334"/>
        <v>0.6</v>
      </c>
      <c r="T879">
        <v>0.7</v>
      </c>
      <c r="U879">
        <v>0</v>
      </c>
      <c r="V879">
        <v>0</v>
      </c>
      <c r="W879">
        <v>0</v>
      </c>
      <c r="X879">
        <v>0</v>
      </c>
      <c r="Y879">
        <v>0.2</v>
      </c>
      <c r="Z879">
        <v>0</v>
      </c>
      <c r="AA879">
        <f t="shared" si="335"/>
        <v>0.89999999999999991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11.5</v>
      </c>
      <c r="AI879">
        <v>4.2</v>
      </c>
      <c r="AJ879">
        <f t="shared" si="336"/>
        <v>15.7</v>
      </c>
      <c r="AK879">
        <v>0</v>
      </c>
      <c r="AL879">
        <v>0.48599999999999999</v>
      </c>
      <c r="AM879">
        <f t="shared" si="337"/>
        <v>0.5149999999999999</v>
      </c>
      <c r="AN879">
        <v>2202</v>
      </c>
      <c r="AO879" t="s">
        <v>13</v>
      </c>
      <c r="AP879" s="3">
        <f t="shared" si="326"/>
        <v>4540.206185567009</v>
      </c>
      <c r="AQ879" t="s">
        <v>13</v>
      </c>
      <c r="AR879">
        <f t="shared" si="341"/>
        <v>0.30485436893203888</v>
      </c>
      <c r="AS879">
        <f t="shared" si="338"/>
        <v>0.35799999999999998</v>
      </c>
      <c r="AT879">
        <f t="shared" si="339"/>
        <v>1625</v>
      </c>
      <c r="AU879">
        <f t="shared" si="340"/>
        <v>713</v>
      </c>
      <c r="AV879">
        <f t="shared" si="327"/>
        <v>851</v>
      </c>
      <c r="AW879">
        <f t="shared" si="328"/>
        <v>902</v>
      </c>
      <c r="AX879" s="3">
        <f t="shared" si="329"/>
        <v>2787.206185567009</v>
      </c>
      <c r="AY879">
        <f t="shared" si="330"/>
        <v>813</v>
      </c>
      <c r="AZ879">
        <f t="shared" si="331"/>
        <v>912</v>
      </c>
      <c r="BA879" s="3">
        <f t="shared" si="332"/>
        <v>2815.206185567009</v>
      </c>
    </row>
    <row r="880" spans="1:53" x14ac:dyDescent="0.2">
      <c r="A880">
        <v>1996</v>
      </c>
      <c r="B880" t="s">
        <v>88</v>
      </c>
      <c r="C880" t="s">
        <v>85</v>
      </c>
      <c r="D880">
        <v>21.7</v>
      </c>
      <c r="E880">
        <v>0</v>
      </c>
      <c r="F880">
        <v>2.7</v>
      </c>
      <c r="G880">
        <v>0.8</v>
      </c>
      <c r="H880">
        <v>0</v>
      </c>
      <c r="I880">
        <v>0.4</v>
      </c>
      <c r="J880">
        <v>0</v>
      </c>
      <c r="K880">
        <f t="shared" si="342"/>
        <v>25.599999999999998</v>
      </c>
      <c r="L880">
        <v>0.3</v>
      </c>
      <c r="M880">
        <v>0</v>
      </c>
      <c r="N880">
        <v>0</v>
      </c>
      <c r="O880">
        <f t="shared" si="333"/>
        <v>0.3</v>
      </c>
      <c r="P880">
        <v>0</v>
      </c>
      <c r="Q880">
        <v>0</v>
      </c>
      <c r="R880">
        <v>0</v>
      </c>
      <c r="S880">
        <f t="shared" si="334"/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f t="shared" si="335"/>
        <v>0</v>
      </c>
      <c r="AB880">
        <v>0</v>
      </c>
      <c r="AC880">
        <v>0</v>
      </c>
      <c r="AD880">
        <v>0</v>
      </c>
      <c r="AE880">
        <v>0</v>
      </c>
      <c r="AF880">
        <v>0.1</v>
      </c>
      <c r="AG880">
        <v>0</v>
      </c>
      <c r="AH880">
        <v>15.5</v>
      </c>
      <c r="AI880">
        <v>3.4</v>
      </c>
      <c r="AJ880">
        <f t="shared" si="336"/>
        <v>19</v>
      </c>
      <c r="AK880">
        <v>0</v>
      </c>
      <c r="AL880">
        <v>0.55200000000000005</v>
      </c>
      <c r="AM880">
        <f t="shared" si="337"/>
        <v>0.44900000000000001</v>
      </c>
      <c r="AN880">
        <v>3022</v>
      </c>
      <c r="AO880" t="s">
        <v>13</v>
      </c>
      <c r="AP880" s="3">
        <f t="shared" si="326"/>
        <v>5484.5735027223236</v>
      </c>
      <c r="AQ880" t="s">
        <v>13</v>
      </c>
      <c r="AR880">
        <f t="shared" si="341"/>
        <v>0.42316258351893093</v>
      </c>
      <c r="AS880">
        <f t="shared" si="338"/>
        <v>0.25900000000000001</v>
      </c>
      <c r="AT880">
        <f t="shared" si="339"/>
        <v>1421</v>
      </c>
      <c r="AU880">
        <f t="shared" si="340"/>
        <v>1042</v>
      </c>
      <c r="AV880">
        <f t="shared" si="327"/>
        <v>718</v>
      </c>
      <c r="AW880">
        <f t="shared" si="328"/>
        <v>1222</v>
      </c>
      <c r="AX880" s="3">
        <f t="shared" si="329"/>
        <v>3544.5735027223236</v>
      </c>
      <c r="AY880">
        <f t="shared" si="330"/>
        <v>710</v>
      </c>
      <c r="AZ880">
        <f t="shared" si="331"/>
        <v>1224</v>
      </c>
      <c r="BA880" s="3">
        <f t="shared" si="332"/>
        <v>3550.5735027223236</v>
      </c>
    </row>
    <row r="881" spans="1:53" x14ac:dyDescent="0.2">
      <c r="A881">
        <v>1997</v>
      </c>
      <c r="B881" t="s">
        <v>88</v>
      </c>
      <c r="C881" t="s">
        <v>85</v>
      </c>
      <c r="D881">
        <v>37.799999999999997</v>
      </c>
      <c r="E881">
        <v>0.6</v>
      </c>
      <c r="F881">
        <v>0</v>
      </c>
      <c r="G881">
        <v>7.8</v>
      </c>
      <c r="H881">
        <v>0</v>
      </c>
      <c r="I881">
        <v>0.3</v>
      </c>
      <c r="J881">
        <v>0</v>
      </c>
      <c r="K881">
        <f t="shared" si="342"/>
        <v>46.499999999999993</v>
      </c>
      <c r="L881">
        <v>0.3</v>
      </c>
      <c r="M881">
        <v>0</v>
      </c>
      <c r="N881">
        <v>0</v>
      </c>
      <c r="O881">
        <f t="shared" si="333"/>
        <v>0.3</v>
      </c>
      <c r="P881">
        <v>0</v>
      </c>
      <c r="Q881">
        <v>0</v>
      </c>
      <c r="R881">
        <v>0</v>
      </c>
      <c r="S881">
        <f t="shared" si="334"/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f t="shared" si="335"/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19.399999999999999</v>
      </c>
      <c r="AI881">
        <v>2.8</v>
      </c>
      <c r="AJ881">
        <f t="shared" si="336"/>
        <v>22.2</v>
      </c>
      <c r="AK881">
        <v>0</v>
      </c>
      <c r="AL881">
        <v>0.311</v>
      </c>
      <c r="AM881">
        <f t="shared" si="337"/>
        <v>0.69</v>
      </c>
      <c r="AN881">
        <v>1773</v>
      </c>
      <c r="AO881" t="s">
        <v>13</v>
      </c>
      <c r="AP881" s="3">
        <f t="shared" si="326"/>
        <v>5719.3548387096762</v>
      </c>
      <c r="AQ881" t="s">
        <v>13</v>
      </c>
      <c r="AR881">
        <f t="shared" si="341"/>
        <v>0.32173913043478264</v>
      </c>
      <c r="AS881">
        <f t="shared" si="338"/>
        <v>0.46799999999999992</v>
      </c>
      <c r="AT881">
        <f t="shared" si="339"/>
        <v>2677</v>
      </c>
      <c r="AU881">
        <f t="shared" si="340"/>
        <v>1270</v>
      </c>
      <c r="AV881">
        <f t="shared" si="327"/>
        <v>1347</v>
      </c>
      <c r="AW881">
        <f t="shared" si="328"/>
        <v>1825</v>
      </c>
      <c r="AX881" s="3">
        <f t="shared" si="329"/>
        <v>2547.3548387096762</v>
      </c>
      <c r="AY881">
        <f t="shared" si="330"/>
        <v>1338</v>
      </c>
      <c r="AZ881">
        <f t="shared" si="331"/>
        <v>1829</v>
      </c>
      <c r="BA881" s="3">
        <f t="shared" si="332"/>
        <v>2552.3548387096762</v>
      </c>
    </row>
    <row r="882" spans="1:53" x14ac:dyDescent="0.2">
      <c r="A882">
        <v>1998</v>
      </c>
      <c r="B882" t="s">
        <v>88</v>
      </c>
      <c r="C882" t="s">
        <v>85</v>
      </c>
      <c r="D882">
        <v>25.1</v>
      </c>
      <c r="E882">
        <v>0</v>
      </c>
      <c r="F882">
        <v>3.4</v>
      </c>
      <c r="G882">
        <v>18.899999999999999</v>
      </c>
      <c r="H882">
        <v>0</v>
      </c>
      <c r="I882">
        <v>0</v>
      </c>
      <c r="J882">
        <v>0</v>
      </c>
      <c r="K882">
        <f t="shared" si="342"/>
        <v>47.4</v>
      </c>
      <c r="L882">
        <v>0</v>
      </c>
      <c r="M882">
        <v>0</v>
      </c>
      <c r="N882">
        <v>0</v>
      </c>
      <c r="O882">
        <f t="shared" si="333"/>
        <v>0</v>
      </c>
      <c r="P882">
        <v>0</v>
      </c>
      <c r="Q882">
        <v>0</v>
      </c>
      <c r="R882">
        <v>0</v>
      </c>
      <c r="S882">
        <f t="shared" si="334"/>
        <v>0</v>
      </c>
      <c r="T882">
        <v>0</v>
      </c>
      <c r="U882">
        <v>0.8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f t="shared" si="335"/>
        <v>0.8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8.3000000000000007</v>
      </c>
      <c r="AI882">
        <v>2.5</v>
      </c>
      <c r="AJ882">
        <f t="shared" si="336"/>
        <v>10.8</v>
      </c>
      <c r="AK882">
        <v>0</v>
      </c>
      <c r="AL882">
        <v>0.41</v>
      </c>
      <c r="AM882">
        <f t="shared" si="337"/>
        <v>0.59</v>
      </c>
      <c r="AN882">
        <v>4257</v>
      </c>
      <c r="AO882" t="s">
        <v>13</v>
      </c>
      <c r="AP882" s="3">
        <f t="shared" si="326"/>
        <v>10382.926829268292</v>
      </c>
      <c r="AQ882" t="s">
        <v>13</v>
      </c>
      <c r="AR882">
        <f t="shared" si="341"/>
        <v>0.18305084745762715</v>
      </c>
      <c r="AS882">
        <f t="shared" si="338"/>
        <v>0.48199999999999998</v>
      </c>
      <c r="AT882">
        <f t="shared" si="339"/>
        <v>5005</v>
      </c>
      <c r="AU882">
        <f t="shared" si="340"/>
        <v>1121</v>
      </c>
      <c r="AV882">
        <f t="shared" si="327"/>
        <v>2544</v>
      </c>
      <c r="AW882">
        <f t="shared" si="328"/>
        <v>1634</v>
      </c>
      <c r="AX882" s="3">
        <f t="shared" si="329"/>
        <v>6204.9268292682918</v>
      </c>
      <c r="AY882">
        <f t="shared" si="330"/>
        <v>2502</v>
      </c>
      <c r="AZ882">
        <f t="shared" si="331"/>
        <v>1643</v>
      </c>
      <c r="BA882" s="3">
        <f t="shared" si="332"/>
        <v>6237.9268292682918</v>
      </c>
    </row>
    <row r="883" spans="1:53" x14ac:dyDescent="0.2">
      <c r="A883">
        <v>1999</v>
      </c>
      <c r="B883" t="s">
        <v>88</v>
      </c>
      <c r="C883" t="s">
        <v>85</v>
      </c>
      <c r="D883">
        <v>10.9</v>
      </c>
      <c r="E883">
        <v>0</v>
      </c>
      <c r="F883">
        <v>2.7</v>
      </c>
      <c r="G883">
        <v>2.7</v>
      </c>
      <c r="H883">
        <v>0</v>
      </c>
      <c r="I883">
        <v>0</v>
      </c>
      <c r="J883">
        <v>0</v>
      </c>
      <c r="K883">
        <f t="shared" si="342"/>
        <v>16.3</v>
      </c>
      <c r="L883">
        <v>0</v>
      </c>
      <c r="M883">
        <v>0</v>
      </c>
      <c r="N883">
        <v>0</v>
      </c>
      <c r="O883">
        <f t="shared" si="333"/>
        <v>0</v>
      </c>
      <c r="P883">
        <v>0</v>
      </c>
      <c r="Q883">
        <v>0</v>
      </c>
      <c r="R883">
        <v>0</v>
      </c>
      <c r="S883">
        <f t="shared" si="334"/>
        <v>0</v>
      </c>
      <c r="T883">
        <v>0</v>
      </c>
      <c r="U883">
        <v>0.3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f t="shared" si="335"/>
        <v>0.3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17.3</v>
      </c>
      <c r="AI883">
        <v>11.4</v>
      </c>
      <c r="AJ883">
        <f t="shared" si="336"/>
        <v>28.700000000000003</v>
      </c>
      <c r="AK883">
        <v>0</v>
      </c>
      <c r="AL883">
        <v>0.54600000000000004</v>
      </c>
      <c r="AM883">
        <f t="shared" si="337"/>
        <v>0.45300000000000012</v>
      </c>
      <c r="AN883">
        <v>1924</v>
      </c>
      <c r="AO883" t="s">
        <v>13</v>
      </c>
      <c r="AP883" s="3">
        <f t="shared" si="326"/>
        <v>3517.3674588665453</v>
      </c>
      <c r="AQ883" t="s">
        <v>13</v>
      </c>
      <c r="AR883">
        <f t="shared" si="341"/>
        <v>0.63355408388520962</v>
      </c>
      <c r="AS883">
        <f t="shared" si="338"/>
        <v>0.16600000000000001</v>
      </c>
      <c r="AT883">
        <f t="shared" si="339"/>
        <v>584</v>
      </c>
      <c r="AU883">
        <f t="shared" si="340"/>
        <v>1009</v>
      </c>
      <c r="AV883">
        <f t="shared" si="327"/>
        <v>297</v>
      </c>
      <c r="AW883">
        <f t="shared" si="328"/>
        <v>1108</v>
      </c>
      <c r="AX883" s="3">
        <f t="shared" si="329"/>
        <v>2112.3674588665453</v>
      </c>
      <c r="AY883">
        <f t="shared" si="330"/>
        <v>292</v>
      </c>
      <c r="AZ883">
        <f t="shared" si="331"/>
        <v>1109</v>
      </c>
      <c r="BA883" s="3">
        <f t="shared" si="332"/>
        <v>2116.3674588665453</v>
      </c>
    </row>
    <row r="884" spans="1:53" x14ac:dyDescent="0.2">
      <c r="A884">
        <v>2000</v>
      </c>
      <c r="B884" t="s">
        <v>88</v>
      </c>
      <c r="C884" t="s">
        <v>85</v>
      </c>
      <c r="D884">
        <v>19.600000000000001</v>
      </c>
      <c r="E884">
        <v>0</v>
      </c>
      <c r="F884">
        <v>5</v>
      </c>
      <c r="G884">
        <v>9.8000000000000007</v>
      </c>
      <c r="H884">
        <v>0</v>
      </c>
      <c r="I884">
        <v>0</v>
      </c>
      <c r="J884">
        <v>0</v>
      </c>
      <c r="K884">
        <f t="shared" si="342"/>
        <v>34.400000000000006</v>
      </c>
      <c r="L884">
        <v>0</v>
      </c>
      <c r="M884">
        <v>0</v>
      </c>
      <c r="N884">
        <v>0</v>
      </c>
      <c r="O884">
        <f t="shared" si="333"/>
        <v>0</v>
      </c>
      <c r="P884">
        <v>0</v>
      </c>
      <c r="Q884">
        <v>0</v>
      </c>
      <c r="R884">
        <v>0</v>
      </c>
      <c r="S884">
        <f t="shared" si="334"/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f t="shared" si="335"/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10.4</v>
      </c>
      <c r="AI884">
        <v>11.7</v>
      </c>
      <c r="AJ884">
        <f t="shared" si="336"/>
        <v>22.1</v>
      </c>
      <c r="AK884">
        <v>0</v>
      </c>
      <c r="AL884">
        <v>0.435</v>
      </c>
      <c r="AM884">
        <f t="shared" si="337"/>
        <v>0.56499999999999995</v>
      </c>
      <c r="AN884">
        <v>1749</v>
      </c>
      <c r="AO884" t="s">
        <v>13</v>
      </c>
      <c r="AP884" s="3">
        <f t="shared" si="326"/>
        <v>4020.6896551724135</v>
      </c>
      <c r="AQ884" t="s">
        <v>13</v>
      </c>
      <c r="AR884">
        <f t="shared" si="341"/>
        <v>0.39115044247787617</v>
      </c>
      <c r="AS884">
        <f t="shared" si="338"/>
        <v>0.34400000000000008</v>
      </c>
      <c r="AT884">
        <f t="shared" si="339"/>
        <v>1383</v>
      </c>
      <c r="AU884">
        <f t="shared" si="340"/>
        <v>889</v>
      </c>
      <c r="AV884">
        <f t="shared" si="327"/>
        <v>692</v>
      </c>
      <c r="AW884">
        <f t="shared" si="328"/>
        <v>1122</v>
      </c>
      <c r="AX884" s="3">
        <f t="shared" si="329"/>
        <v>2206.6896551724135</v>
      </c>
      <c r="AY884">
        <f t="shared" si="330"/>
        <v>692</v>
      </c>
      <c r="AZ884">
        <f t="shared" si="331"/>
        <v>1122</v>
      </c>
      <c r="BA884" s="3">
        <f t="shared" si="332"/>
        <v>2206.6896551724135</v>
      </c>
    </row>
    <row r="885" spans="1:53" x14ac:dyDescent="0.2">
      <c r="A885">
        <v>2001</v>
      </c>
      <c r="B885" t="s">
        <v>88</v>
      </c>
      <c r="C885" t="s">
        <v>85</v>
      </c>
      <c r="D885">
        <v>11.4</v>
      </c>
      <c r="E885">
        <v>0</v>
      </c>
      <c r="F885">
        <v>3.6</v>
      </c>
      <c r="G885">
        <v>2.2999999999999998</v>
      </c>
      <c r="H885">
        <v>0</v>
      </c>
      <c r="I885">
        <v>0</v>
      </c>
      <c r="J885">
        <v>0</v>
      </c>
      <c r="K885">
        <f t="shared" si="342"/>
        <v>17.3</v>
      </c>
      <c r="L885">
        <v>0</v>
      </c>
      <c r="M885">
        <v>0</v>
      </c>
      <c r="N885">
        <v>0</v>
      </c>
      <c r="O885">
        <f t="shared" si="333"/>
        <v>0</v>
      </c>
      <c r="P885">
        <v>0</v>
      </c>
      <c r="Q885">
        <v>0</v>
      </c>
      <c r="R885">
        <v>0</v>
      </c>
      <c r="S885">
        <f t="shared" si="334"/>
        <v>0</v>
      </c>
      <c r="T885">
        <v>0.5</v>
      </c>
      <c r="U885">
        <v>0.3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f t="shared" si="335"/>
        <v>0.8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18.5</v>
      </c>
      <c r="AI885">
        <v>11.3</v>
      </c>
      <c r="AJ885">
        <f t="shared" si="336"/>
        <v>29.8</v>
      </c>
      <c r="AK885">
        <v>0</v>
      </c>
      <c r="AL885">
        <v>0.52100000000000002</v>
      </c>
      <c r="AM885">
        <f t="shared" si="337"/>
        <v>0.47899999999999998</v>
      </c>
      <c r="AN885">
        <v>2560</v>
      </c>
      <c r="AO885" t="s">
        <v>13</v>
      </c>
      <c r="AP885" s="3">
        <f t="shared" si="326"/>
        <v>4913.6276391554702</v>
      </c>
      <c r="AQ885" t="s">
        <v>13</v>
      </c>
      <c r="AR885">
        <f t="shared" si="341"/>
        <v>0.62212943632567852</v>
      </c>
      <c r="AS885">
        <f t="shared" si="338"/>
        <v>0.18100000000000002</v>
      </c>
      <c r="AT885">
        <f t="shared" si="339"/>
        <v>889</v>
      </c>
      <c r="AU885">
        <f t="shared" si="340"/>
        <v>1464</v>
      </c>
      <c r="AV885">
        <f t="shared" si="327"/>
        <v>464</v>
      </c>
      <c r="AW885">
        <f t="shared" si="328"/>
        <v>1619</v>
      </c>
      <c r="AX885" s="3">
        <f t="shared" si="329"/>
        <v>2830.6276391554702</v>
      </c>
      <c r="AY885">
        <f t="shared" si="330"/>
        <v>445</v>
      </c>
      <c r="AZ885">
        <f t="shared" si="331"/>
        <v>1626</v>
      </c>
      <c r="BA885" s="3">
        <f t="shared" si="332"/>
        <v>2842.6276391554702</v>
      </c>
    </row>
    <row r="886" spans="1:53" x14ac:dyDescent="0.2">
      <c r="A886">
        <v>2002</v>
      </c>
      <c r="B886" t="s">
        <v>88</v>
      </c>
      <c r="C886" t="s">
        <v>85</v>
      </c>
      <c r="D886">
        <v>22.2</v>
      </c>
      <c r="E886">
        <v>0</v>
      </c>
      <c r="F886">
        <v>2.6</v>
      </c>
      <c r="G886">
        <v>4.0999999999999996</v>
      </c>
      <c r="H886">
        <v>2.5</v>
      </c>
      <c r="I886">
        <v>0</v>
      </c>
      <c r="J886">
        <v>0</v>
      </c>
      <c r="K886">
        <f t="shared" si="342"/>
        <v>31.4</v>
      </c>
      <c r="L886">
        <v>0</v>
      </c>
      <c r="M886">
        <v>0</v>
      </c>
      <c r="N886">
        <v>0</v>
      </c>
      <c r="O886">
        <f t="shared" si="333"/>
        <v>0</v>
      </c>
      <c r="P886">
        <v>0</v>
      </c>
      <c r="Q886">
        <v>0</v>
      </c>
      <c r="R886">
        <v>0.2</v>
      </c>
      <c r="S886">
        <f t="shared" si="334"/>
        <v>0.2</v>
      </c>
      <c r="T886">
        <v>0</v>
      </c>
      <c r="U886">
        <v>0.2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f t="shared" si="335"/>
        <v>0.2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11.4</v>
      </c>
      <c r="AI886">
        <v>1</v>
      </c>
      <c r="AJ886">
        <f t="shared" si="336"/>
        <v>12.4</v>
      </c>
      <c r="AK886">
        <v>11.1</v>
      </c>
      <c r="AL886">
        <v>0.44799999999999995</v>
      </c>
      <c r="AM886">
        <f t="shared" si="337"/>
        <v>0.442</v>
      </c>
      <c r="AN886">
        <v>4415</v>
      </c>
      <c r="AO886" t="s">
        <v>13</v>
      </c>
      <c r="AP886" s="3">
        <f t="shared" si="326"/>
        <v>7912.1863799283146</v>
      </c>
      <c r="AQ886" t="s">
        <v>13</v>
      </c>
      <c r="AR886">
        <f t="shared" si="341"/>
        <v>0.28054298642533937</v>
      </c>
      <c r="AS886">
        <f t="shared" si="338"/>
        <v>0.31799999999999995</v>
      </c>
      <c r="AT886">
        <f t="shared" si="339"/>
        <v>2516</v>
      </c>
      <c r="AU886">
        <f t="shared" si="340"/>
        <v>981</v>
      </c>
      <c r="AV886">
        <f t="shared" si="327"/>
        <v>1274</v>
      </c>
      <c r="AW886">
        <f t="shared" si="328"/>
        <v>1207</v>
      </c>
      <c r="AX886" s="3">
        <f t="shared" si="329"/>
        <v>5431.1863799283146</v>
      </c>
      <c r="AY886">
        <f t="shared" si="330"/>
        <v>1258</v>
      </c>
      <c r="AZ886">
        <f t="shared" si="331"/>
        <v>1210</v>
      </c>
      <c r="BA886" s="3">
        <f t="shared" si="332"/>
        <v>5444.1863799283146</v>
      </c>
    </row>
    <row r="887" spans="1:53" x14ac:dyDescent="0.2">
      <c r="A887">
        <v>2003</v>
      </c>
      <c r="B887" t="s">
        <v>88</v>
      </c>
      <c r="C887" t="s">
        <v>85</v>
      </c>
      <c r="D887">
        <v>14.4</v>
      </c>
      <c r="E887">
        <v>0</v>
      </c>
      <c r="F887">
        <v>2.7</v>
      </c>
      <c r="G887">
        <v>7.5</v>
      </c>
      <c r="H887">
        <v>3.8</v>
      </c>
      <c r="I887">
        <v>0</v>
      </c>
      <c r="J887">
        <v>0.2</v>
      </c>
      <c r="K887">
        <f t="shared" si="342"/>
        <v>28.6</v>
      </c>
      <c r="L887">
        <v>0</v>
      </c>
      <c r="M887">
        <v>0</v>
      </c>
      <c r="N887">
        <v>0</v>
      </c>
      <c r="O887">
        <f t="shared" si="333"/>
        <v>0</v>
      </c>
      <c r="P887">
        <v>0</v>
      </c>
      <c r="Q887">
        <v>0</v>
      </c>
      <c r="R887">
        <v>0</v>
      </c>
      <c r="S887">
        <f t="shared" si="334"/>
        <v>0</v>
      </c>
      <c r="T887">
        <v>0</v>
      </c>
      <c r="U887">
        <v>0.5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f t="shared" si="335"/>
        <v>0.5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14.5</v>
      </c>
      <c r="AI887">
        <v>5.7</v>
      </c>
      <c r="AJ887">
        <f t="shared" si="336"/>
        <v>20.2</v>
      </c>
      <c r="AK887">
        <v>0.2</v>
      </c>
      <c r="AL887">
        <v>0.503</v>
      </c>
      <c r="AM887">
        <f t="shared" si="337"/>
        <v>0.49300000000000005</v>
      </c>
      <c r="AN887">
        <v>1649</v>
      </c>
      <c r="AO887" t="s">
        <v>13</v>
      </c>
      <c r="AP887" s="3">
        <f t="shared" si="326"/>
        <v>3252.4654832347146</v>
      </c>
      <c r="AQ887" t="s">
        <v>13</v>
      </c>
      <c r="AR887">
        <f t="shared" si="341"/>
        <v>0.40973630831642993</v>
      </c>
      <c r="AS887">
        <f t="shared" si="338"/>
        <v>0.29100000000000004</v>
      </c>
      <c r="AT887">
        <f t="shared" si="339"/>
        <v>946</v>
      </c>
      <c r="AU887">
        <f t="shared" si="340"/>
        <v>657</v>
      </c>
      <c r="AV887">
        <f t="shared" si="327"/>
        <v>481</v>
      </c>
      <c r="AW887">
        <f t="shared" si="328"/>
        <v>789</v>
      </c>
      <c r="AX887" s="3">
        <f t="shared" si="329"/>
        <v>1982.4654832347146</v>
      </c>
      <c r="AY887">
        <f t="shared" si="330"/>
        <v>473</v>
      </c>
      <c r="AZ887">
        <f t="shared" si="331"/>
        <v>792</v>
      </c>
      <c r="BA887" s="3">
        <f t="shared" si="332"/>
        <v>1987.4654832347146</v>
      </c>
    </row>
    <row r="888" spans="1:53" x14ac:dyDescent="0.2">
      <c r="A888">
        <v>2004</v>
      </c>
      <c r="B888" t="s">
        <v>88</v>
      </c>
      <c r="C888" t="s">
        <v>85</v>
      </c>
      <c r="D888">
        <v>13.7</v>
      </c>
      <c r="E888">
        <v>0.7</v>
      </c>
      <c r="F888">
        <v>2.5</v>
      </c>
      <c r="G888">
        <v>6.1</v>
      </c>
      <c r="H888">
        <v>6.8</v>
      </c>
      <c r="I888">
        <v>2</v>
      </c>
      <c r="J888">
        <v>0</v>
      </c>
      <c r="K888">
        <f t="shared" si="342"/>
        <v>31.8</v>
      </c>
      <c r="L888">
        <v>0</v>
      </c>
      <c r="M888">
        <v>0</v>
      </c>
      <c r="N888">
        <v>0</v>
      </c>
      <c r="O888">
        <f t="shared" si="333"/>
        <v>0</v>
      </c>
      <c r="P888">
        <v>0</v>
      </c>
      <c r="Q888">
        <v>0</v>
      </c>
      <c r="R888">
        <v>0</v>
      </c>
      <c r="S888">
        <f t="shared" si="334"/>
        <v>0</v>
      </c>
      <c r="T888">
        <v>0.2</v>
      </c>
      <c r="U888">
        <v>0.2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f t="shared" si="335"/>
        <v>0.4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12.1</v>
      </c>
      <c r="AI888">
        <v>5.8</v>
      </c>
      <c r="AJ888">
        <f t="shared" si="336"/>
        <v>17.899999999999999</v>
      </c>
      <c r="AK888">
        <v>0.1</v>
      </c>
      <c r="AL888">
        <v>0.498</v>
      </c>
      <c r="AM888">
        <f t="shared" si="337"/>
        <v>0.50099999999999989</v>
      </c>
      <c r="AN888">
        <v>3282</v>
      </c>
      <c r="AO888" t="s">
        <v>13</v>
      </c>
      <c r="AP888" s="3">
        <f t="shared" si="326"/>
        <v>6577.1543086172333</v>
      </c>
      <c r="AQ888" t="s">
        <v>13</v>
      </c>
      <c r="AR888">
        <f t="shared" si="341"/>
        <v>0.35728542914171663</v>
      </c>
      <c r="AS888">
        <f t="shared" si="338"/>
        <v>0.32200000000000001</v>
      </c>
      <c r="AT888">
        <f t="shared" si="339"/>
        <v>2118</v>
      </c>
      <c r="AU888">
        <f t="shared" si="340"/>
        <v>1177</v>
      </c>
      <c r="AV888">
        <f t="shared" si="327"/>
        <v>1072</v>
      </c>
      <c r="AW888">
        <f t="shared" si="328"/>
        <v>1453</v>
      </c>
      <c r="AX888" s="3">
        <f t="shared" si="329"/>
        <v>4052.1543086172333</v>
      </c>
      <c r="AY888">
        <f t="shared" si="330"/>
        <v>1059</v>
      </c>
      <c r="AZ888">
        <f t="shared" si="331"/>
        <v>1457</v>
      </c>
      <c r="BA888" s="3">
        <f t="shared" si="332"/>
        <v>4061.1543086172333</v>
      </c>
    </row>
    <row r="889" spans="1:53" x14ac:dyDescent="0.2">
      <c r="A889">
        <v>2005</v>
      </c>
      <c r="B889" t="s">
        <v>88</v>
      </c>
      <c r="C889" t="s">
        <v>85</v>
      </c>
      <c r="D889">
        <v>14.5</v>
      </c>
      <c r="E889">
        <v>0</v>
      </c>
      <c r="F889">
        <v>2.7</v>
      </c>
      <c r="G889">
        <v>5.8</v>
      </c>
      <c r="H889">
        <v>2</v>
      </c>
      <c r="I889">
        <v>2.8</v>
      </c>
      <c r="J889">
        <v>0</v>
      </c>
      <c r="K889">
        <f t="shared" si="342"/>
        <v>27.8</v>
      </c>
      <c r="L889">
        <v>0</v>
      </c>
      <c r="M889">
        <v>0</v>
      </c>
      <c r="N889">
        <v>0</v>
      </c>
      <c r="O889">
        <f t="shared" si="333"/>
        <v>0</v>
      </c>
      <c r="P889">
        <v>0</v>
      </c>
      <c r="Q889">
        <v>0</v>
      </c>
      <c r="R889">
        <v>0.3</v>
      </c>
      <c r="S889">
        <f t="shared" si="334"/>
        <v>0.3</v>
      </c>
      <c r="T889">
        <v>0</v>
      </c>
      <c r="U889">
        <v>0.3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f t="shared" si="335"/>
        <v>0.3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12.4</v>
      </c>
      <c r="AI889">
        <v>2.9</v>
      </c>
      <c r="AJ889">
        <f t="shared" si="336"/>
        <v>15.3</v>
      </c>
      <c r="AK889">
        <v>0.1</v>
      </c>
      <c r="AL889">
        <v>0.56200000000000006</v>
      </c>
      <c r="AM889">
        <f t="shared" si="337"/>
        <v>0.43699999999999994</v>
      </c>
      <c r="AN889">
        <v>4180</v>
      </c>
      <c r="AO889" t="s">
        <v>13</v>
      </c>
      <c r="AP889" s="3">
        <f t="shared" si="326"/>
        <v>7424.5115452930722</v>
      </c>
      <c r="AQ889" t="s">
        <v>13</v>
      </c>
      <c r="AR889">
        <f t="shared" si="341"/>
        <v>0.35011441647597258</v>
      </c>
      <c r="AS889">
        <f t="shared" si="338"/>
        <v>0.28400000000000003</v>
      </c>
      <c r="AT889">
        <f t="shared" si="339"/>
        <v>2109</v>
      </c>
      <c r="AU889">
        <f t="shared" si="340"/>
        <v>1136</v>
      </c>
      <c r="AV889">
        <f t="shared" si="327"/>
        <v>1077</v>
      </c>
      <c r="AW889">
        <f t="shared" si="328"/>
        <v>1357</v>
      </c>
      <c r="AX889" s="3">
        <f t="shared" si="329"/>
        <v>4990.5115452930722</v>
      </c>
      <c r="AY889">
        <f t="shared" si="330"/>
        <v>1054</v>
      </c>
      <c r="AZ889">
        <f t="shared" si="331"/>
        <v>1361</v>
      </c>
      <c r="BA889" s="3">
        <f t="shared" si="332"/>
        <v>5009.5115452930722</v>
      </c>
    </row>
    <row r="890" spans="1:53" x14ac:dyDescent="0.2">
      <c r="A890">
        <v>2006</v>
      </c>
      <c r="B890" t="s">
        <v>88</v>
      </c>
      <c r="C890" t="s">
        <v>85</v>
      </c>
      <c r="D890">
        <v>19.100000000000001</v>
      </c>
      <c r="E890">
        <v>0.2</v>
      </c>
      <c r="F890">
        <v>3.3</v>
      </c>
      <c r="G890">
        <v>10.8</v>
      </c>
      <c r="H890">
        <v>2.2999999999999998</v>
      </c>
      <c r="I890">
        <v>3</v>
      </c>
      <c r="J890">
        <v>0.5</v>
      </c>
      <c r="K890">
        <f t="shared" si="342"/>
        <v>39.200000000000003</v>
      </c>
      <c r="L890">
        <v>0</v>
      </c>
      <c r="M890">
        <v>0</v>
      </c>
      <c r="N890">
        <v>0</v>
      </c>
      <c r="O890">
        <f t="shared" si="333"/>
        <v>0</v>
      </c>
      <c r="P890">
        <v>0</v>
      </c>
      <c r="Q890">
        <v>0</v>
      </c>
      <c r="R890">
        <v>0</v>
      </c>
      <c r="S890">
        <f t="shared" si="334"/>
        <v>0</v>
      </c>
      <c r="T890">
        <v>0.4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f t="shared" si="335"/>
        <v>0.4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15.3</v>
      </c>
      <c r="AI890">
        <v>5.0999999999999996</v>
      </c>
      <c r="AJ890">
        <f t="shared" si="336"/>
        <v>20.399999999999999</v>
      </c>
      <c r="AK890">
        <v>1</v>
      </c>
      <c r="AL890">
        <v>0.39100000000000001</v>
      </c>
      <c r="AM890">
        <f t="shared" si="337"/>
        <v>0.6</v>
      </c>
      <c r="AN890">
        <v>1535</v>
      </c>
      <c r="AO890" t="s">
        <v>13</v>
      </c>
      <c r="AP890" s="3">
        <f t="shared" ref="AP890:AP906" si="343">AN890/(1-AM890)</f>
        <v>3837.5</v>
      </c>
      <c r="AQ890" t="s">
        <v>13</v>
      </c>
      <c r="AR890">
        <f t="shared" si="341"/>
        <v>0.33999999999999997</v>
      </c>
      <c r="AS890">
        <f t="shared" si="338"/>
        <v>0.39600000000000002</v>
      </c>
      <c r="AT890">
        <f t="shared" si="339"/>
        <v>1520</v>
      </c>
      <c r="AU890">
        <f t="shared" si="340"/>
        <v>783</v>
      </c>
      <c r="AV890">
        <f t="shared" si="327"/>
        <v>768</v>
      </c>
      <c r="AW890">
        <f t="shared" si="328"/>
        <v>1037</v>
      </c>
      <c r="AX890" s="3">
        <f t="shared" si="329"/>
        <v>2032.5</v>
      </c>
      <c r="AY890">
        <f t="shared" si="330"/>
        <v>760</v>
      </c>
      <c r="AZ890">
        <f t="shared" si="331"/>
        <v>1040</v>
      </c>
      <c r="BA890" s="3">
        <f t="shared" si="332"/>
        <v>2037.5</v>
      </c>
    </row>
    <row r="891" spans="1:53" x14ac:dyDescent="0.2">
      <c r="A891">
        <v>2007</v>
      </c>
      <c r="B891" t="s">
        <v>88</v>
      </c>
      <c r="C891" t="s">
        <v>85</v>
      </c>
      <c r="D891">
        <v>29.8</v>
      </c>
      <c r="E891">
        <v>0</v>
      </c>
      <c r="F891">
        <v>7</v>
      </c>
      <c r="G891">
        <v>9.6999999999999993</v>
      </c>
      <c r="H891">
        <v>13.9</v>
      </c>
      <c r="I891">
        <v>0</v>
      </c>
      <c r="J891">
        <v>0</v>
      </c>
      <c r="K891">
        <f t="shared" si="342"/>
        <v>60.4</v>
      </c>
      <c r="L891">
        <v>0</v>
      </c>
      <c r="M891">
        <v>0</v>
      </c>
      <c r="N891">
        <v>0</v>
      </c>
      <c r="O891">
        <f t="shared" si="333"/>
        <v>0</v>
      </c>
      <c r="P891">
        <v>0</v>
      </c>
      <c r="Q891">
        <v>0</v>
      </c>
      <c r="R891">
        <v>0</v>
      </c>
      <c r="S891">
        <f t="shared" si="334"/>
        <v>0</v>
      </c>
      <c r="T891">
        <v>2.2999999999999998</v>
      </c>
      <c r="U891">
        <v>0.1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f t="shared" si="335"/>
        <v>2.4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10.5</v>
      </c>
      <c r="AI891">
        <v>2.9</v>
      </c>
      <c r="AJ891">
        <f t="shared" si="336"/>
        <v>13.4</v>
      </c>
      <c r="AK891">
        <v>0</v>
      </c>
      <c r="AL891">
        <v>0.23899999999999999</v>
      </c>
      <c r="AM891">
        <f t="shared" si="337"/>
        <v>0.76200000000000001</v>
      </c>
      <c r="AN891">
        <v>1556</v>
      </c>
      <c r="AO891" t="s">
        <v>13</v>
      </c>
      <c r="AP891" s="3">
        <f t="shared" si="343"/>
        <v>6537.8151260504201</v>
      </c>
      <c r="AQ891" t="s">
        <v>13</v>
      </c>
      <c r="AR891">
        <f t="shared" si="341"/>
        <v>0.17585301837270342</v>
      </c>
      <c r="AS891">
        <f t="shared" si="338"/>
        <v>0.628</v>
      </c>
      <c r="AT891">
        <f t="shared" si="339"/>
        <v>4106</v>
      </c>
      <c r="AU891">
        <f t="shared" si="340"/>
        <v>876</v>
      </c>
      <c r="AV891">
        <f t="shared" si="327"/>
        <v>2131</v>
      </c>
      <c r="AW891">
        <f t="shared" si="328"/>
        <v>1587</v>
      </c>
      <c r="AX891" s="3">
        <f t="shared" si="329"/>
        <v>2819.8151260504201</v>
      </c>
      <c r="AY891">
        <f t="shared" si="330"/>
        <v>2053</v>
      </c>
      <c r="AZ891">
        <f t="shared" si="331"/>
        <v>1616</v>
      </c>
      <c r="BA891" s="3">
        <f t="shared" si="332"/>
        <v>2868.8151260504201</v>
      </c>
    </row>
    <row r="892" spans="1:53" x14ac:dyDescent="0.2">
      <c r="A892">
        <v>2008</v>
      </c>
      <c r="B892" t="s">
        <v>88</v>
      </c>
      <c r="C892" t="s">
        <v>85</v>
      </c>
      <c r="D892">
        <v>17.100000000000001</v>
      </c>
      <c r="E892">
        <v>0</v>
      </c>
      <c r="F892">
        <v>2.6</v>
      </c>
      <c r="G892">
        <v>8</v>
      </c>
      <c r="H892">
        <v>5.0999999999999996</v>
      </c>
      <c r="I892">
        <v>0.8</v>
      </c>
      <c r="J892">
        <v>1.1000000000000001</v>
      </c>
      <c r="K892">
        <f t="shared" si="342"/>
        <v>34.700000000000003</v>
      </c>
      <c r="L892">
        <v>0</v>
      </c>
      <c r="M892">
        <v>0</v>
      </c>
      <c r="N892">
        <v>0</v>
      </c>
      <c r="O892">
        <f t="shared" si="333"/>
        <v>0</v>
      </c>
      <c r="P892">
        <v>0</v>
      </c>
      <c r="Q892">
        <v>0</v>
      </c>
      <c r="R892">
        <v>0</v>
      </c>
      <c r="S892">
        <f t="shared" si="334"/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f t="shared" si="335"/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10.7</v>
      </c>
      <c r="AI892">
        <v>4.5</v>
      </c>
      <c r="AJ892">
        <f t="shared" si="336"/>
        <v>15.2</v>
      </c>
      <c r="AK892">
        <v>0</v>
      </c>
      <c r="AL892">
        <v>0.502</v>
      </c>
      <c r="AM892">
        <f t="shared" si="337"/>
        <v>0.499</v>
      </c>
      <c r="AN892">
        <v>2999</v>
      </c>
      <c r="AO892" t="s">
        <v>13</v>
      </c>
      <c r="AP892" s="3">
        <f t="shared" si="343"/>
        <v>5986.0279441117764</v>
      </c>
      <c r="AQ892" t="s">
        <v>13</v>
      </c>
      <c r="AR892">
        <f t="shared" si="341"/>
        <v>0.30460921843687372</v>
      </c>
      <c r="AS892">
        <f t="shared" si="338"/>
        <v>0.34700000000000003</v>
      </c>
      <c r="AT892">
        <f t="shared" si="339"/>
        <v>2077</v>
      </c>
      <c r="AU892">
        <f t="shared" si="340"/>
        <v>910</v>
      </c>
      <c r="AV892">
        <f t="shared" si="327"/>
        <v>1039</v>
      </c>
      <c r="AW892">
        <f t="shared" si="328"/>
        <v>1152</v>
      </c>
      <c r="AX892" s="3">
        <f t="shared" si="329"/>
        <v>3795.0279441117764</v>
      </c>
      <c r="AY892">
        <f t="shared" si="330"/>
        <v>1039</v>
      </c>
      <c r="AZ892">
        <f t="shared" si="331"/>
        <v>1152</v>
      </c>
      <c r="BA892" s="3">
        <f t="shared" si="332"/>
        <v>3795.0279441117764</v>
      </c>
    </row>
    <row r="893" spans="1:53" x14ac:dyDescent="0.2">
      <c r="A893">
        <v>2009</v>
      </c>
      <c r="B893" t="s">
        <v>88</v>
      </c>
      <c r="C893" t="s">
        <v>85</v>
      </c>
      <c r="D893">
        <v>26.9</v>
      </c>
      <c r="E893">
        <v>1.5</v>
      </c>
      <c r="F893">
        <v>6</v>
      </c>
      <c r="G893">
        <v>9.6</v>
      </c>
      <c r="H893">
        <v>3.9</v>
      </c>
      <c r="I893">
        <v>0.1</v>
      </c>
      <c r="J893">
        <v>1.2</v>
      </c>
      <c r="K893">
        <f t="shared" si="342"/>
        <v>49.2</v>
      </c>
      <c r="L893">
        <v>0</v>
      </c>
      <c r="M893">
        <v>0</v>
      </c>
      <c r="N893">
        <v>0</v>
      </c>
      <c r="O893">
        <f t="shared" si="333"/>
        <v>0</v>
      </c>
      <c r="P893">
        <v>0</v>
      </c>
      <c r="Q893">
        <v>0</v>
      </c>
      <c r="R893">
        <v>0</v>
      </c>
      <c r="S893">
        <f t="shared" si="334"/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f t="shared" si="335"/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9.9</v>
      </c>
      <c r="AI893">
        <v>2.4</v>
      </c>
      <c r="AJ893">
        <f t="shared" si="336"/>
        <v>12.3</v>
      </c>
      <c r="AK893">
        <v>0.3</v>
      </c>
      <c r="AL893">
        <v>0.38299999999999995</v>
      </c>
      <c r="AM893">
        <f t="shared" si="337"/>
        <v>0.6150000000000001</v>
      </c>
      <c r="AN893">
        <v>2081</v>
      </c>
      <c r="AO893" t="s">
        <v>13</v>
      </c>
      <c r="AP893" s="3">
        <f t="shared" si="343"/>
        <v>5405.1948051948066</v>
      </c>
      <c r="AQ893" t="s">
        <v>13</v>
      </c>
      <c r="AR893">
        <f t="shared" si="341"/>
        <v>0.19999999999999998</v>
      </c>
      <c r="AS893">
        <f t="shared" si="338"/>
        <v>0.49200000000000005</v>
      </c>
      <c r="AT893">
        <f t="shared" si="339"/>
        <v>2659</v>
      </c>
      <c r="AU893">
        <f t="shared" si="340"/>
        <v>665</v>
      </c>
      <c r="AV893">
        <f t="shared" si="327"/>
        <v>1330</v>
      </c>
      <c r="AW893">
        <f t="shared" si="328"/>
        <v>987</v>
      </c>
      <c r="AX893" s="3">
        <f t="shared" si="329"/>
        <v>3088.1948051948066</v>
      </c>
      <c r="AY893">
        <f t="shared" si="330"/>
        <v>1330</v>
      </c>
      <c r="AZ893">
        <f t="shared" si="331"/>
        <v>987</v>
      </c>
      <c r="BA893" s="3">
        <f t="shared" si="332"/>
        <v>3088.1948051948066</v>
      </c>
    </row>
    <row r="894" spans="1:53" x14ac:dyDescent="0.2">
      <c r="A894">
        <v>2010</v>
      </c>
      <c r="B894" t="s">
        <v>88</v>
      </c>
      <c r="C894" t="s">
        <v>85</v>
      </c>
      <c r="D894">
        <v>20.9</v>
      </c>
      <c r="E894">
        <v>0</v>
      </c>
      <c r="F894">
        <v>5.2</v>
      </c>
      <c r="G894">
        <v>4.5</v>
      </c>
      <c r="H894">
        <v>4.7</v>
      </c>
      <c r="I894">
        <v>0</v>
      </c>
      <c r="J894">
        <v>0.5</v>
      </c>
      <c r="K894">
        <f t="shared" si="342"/>
        <v>35.799999999999997</v>
      </c>
      <c r="L894">
        <v>0</v>
      </c>
      <c r="M894">
        <v>0</v>
      </c>
      <c r="N894">
        <v>0</v>
      </c>
      <c r="O894">
        <f t="shared" si="333"/>
        <v>0</v>
      </c>
      <c r="P894">
        <v>0</v>
      </c>
      <c r="Q894">
        <v>0</v>
      </c>
      <c r="R894">
        <v>0.1</v>
      </c>
      <c r="S894">
        <f t="shared" si="334"/>
        <v>0.1</v>
      </c>
      <c r="T894">
        <v>0.2</v>
      </c>
      <c r="U894">
        <v>0.3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f t="shared" si="335"/>
        <v>0.5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6.4</v>
      </c>
      <c r="AI894">
        <v>5.6</v>
      </c>
      <c r="AJ894">
        <f t="shared" si="336"/>
        <v>12</v>
      </c>
      <c r="AK894">
        <v>0</v>
      </c>
      <c r="AL894">
        <v>0.51600000000000001</v>
      </c>
      <c r="AM894">
        <f t="shared" si="337"/>
        <v>0.48400000000000004</v>
      </c>
      <c r="AN894">
        <v>2599</v>
      </c>
      <c r="AO894" t="s">
        <v>13</v>
      </c>
      <c r="AP894" s="3">
        <f t="shared" si="343"/>
        <v>5036.8217054263569</v>
      </c>
      <c r="AQ894" t="s">
        <v>13</v>
      </c>
      <c r="AR894">
        <f t="shared" si="341"/>
        <v>0.24793388429752064</v>
      </c>
      <c r="AS894">
        <f t="shared" si="338"/>
        <v>0.36399999999999999</v>
      </c>
      <c r="AT894">
        <f t="shared" si="339"/>
        <v>1833</v>
      </c>
      <c r="AU894">
        <f t="shared" si="340"/>
        <v>604</v>
      </c>
      <c r="AV894">
        <f t="shared" si="327"/>
        <v>932</v>
      </c>
      <c r="AW894">
        <f t="shared" si="328"/>
        <v>774</v>
      </c>
      <c r="AX894" s="3">
        <f t="shared" si="329"/>
        <v>3330.8217054263569</v>
      </c>
      <c r="AY894">
        <f t="shared" si="330"/>
        <v>917</v>
      </c>
      <c r="AZ894">
        <f t="shared" si="331"/>
        <v>777</v>
      </c>
      <c r="BA894" s="3">
        <f t="shared" si="332"/>
        <v>3342.8217054263569</v>
      </c>
    </row>
    <row r="895" spans="1:53" x14ac:dyDescent="0.2">
      <c r="A895">
        <v>2011</v>
      </c>
      <c r="B895" t="s">
        <v>88</v>
      </c>
      <c r="C895" t="s">
        <v>85</v>
      </c>
      <c r="D895">
        <v>22.5</v>
      </c>
      <c r="E895">
        <v>0.2</v>
      </c>
      <c r="F895">
        <v>5.9</v>
      </c>
      <c r="G895">
        <v>5.7</v>
      </c>
      <c r="H895">
        <v>4.9000000000000004</v>
      </c>
      <c r="I895">
        <v>0.1</v>
      </c>
      <c r="J895">
        <v>0.2</v>
      </c>
      <c r="K895">
        <f t="shared" si="342"/>
        <v>39.500000000000007</v>
      </c>
      <c r="L895">
        <v>0</v>
      </c>
      <c r="M895">
        <v>0</v>
      </c>
      <c r="N895">
        <v>0.1</v>
      </c>
      <c r="O895">
        <f t="shared" si="333"/>
        <v>0.1</v>
      </c>
      <c r="P895">
        <v>0</v>
      </c>
      <c r="Q895">
        <v>0</v>
      </c>
      <c r="R895">
        <v>0</v>
      </c>
      <c r="S895">
        <f t="shared" si="334"/>
        <v>0</v>
      </c>
      <c r="T895">
        <v>0.3</v>
      </c>
      <c r="U895">
        <v>0.1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f t="shared" si="335"/>
        <v>0.4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13.7</v>
      </c>
      <c r="AI895">
        <v>10.4</v>
      </c>
      <c r="AJ895">
        <f t="shared" si="336"/>
        <v>24.1</v>
      </c>
      <c r="AK895">
        <v>0</v>
      </c>
      <c r="AL895">
        <v>0.35899999999999999</v>
      </c>
      <c r="AM895">
        <f t="shared" si="337"/>
        <v>0.64100000000000013</v>
      </c>
      <c r="AN895">
        <v>1293</v>
      </c>
      <c r="AO895" t="s">
        <v>13</v>
      </c>
      <c r="AP895" s="3">
        <f t="shared" si="343"/>
        <v>3601.671309192202</v>
      </c>
      <c r="AQ895" t="s">
        <v>13</v>
      </c>
      <c r="AR895">
        <f t="shared" si="341"/>
        <v>0.37597503900156004</v>
      </c>
      <c r="AS895">
        <f t="shared" si="338"/>
        <v>0.40000000000000008</v>
      </c>
      <c r="AT895">
        <f t="shared" si="339"/>
        <v>1441</v>
      </c>
      <c r="AU895">
        <f t="shared" si="340"/>
        <v>868</v>
      </c>
      <c r="AV895">
        <f t="shared" si="327"/>
        <v>729</v>
      </c>
      <c r="AW895">
        <f t="shared" si="328"/>
        <v>1154</v>
      </c>
      <c r="AX895" s="3">
        <f t="shared" si="329"/>
        <v>1718.671309192202</v>
      </c>
      <c r="AY895">
        <f t="shared" si="330"/>
        <v>720</v>
      </c>
      <c r="AZ895">
        <f t="shared" si="331"/>
        <v>1158</v>
      </c>
      <c r="BA895" s="3">
        <f t="shared" si="332"/>
        <v>1723.671309192202</v>
      </c>
    </row>
    <row r="896" spans="1:53" x14ac:dyDescent="0.2">
      <c r="A896">
        <v>2012</v>
      </c>
      <c r="B896" t="s">
        <v>88</v>
      </c>
      <c r="C896" t="s">
        <v>85</v>
      </c>
      <c r="D896">
        <v>35.799999999999997</v>
      </c>
      <c r="E896">
        <v>0.2</v>
      </c>
      <c r="F896">
        <v>6.5</v>
      </c>
      <c r="G896">
        <v>8.1999999999999993</v>
      </c>
      <c r="H896">
        <v>7.6</v>
      </c>
      <c r="I896">
        <v>0.9</v>
      </c>
      <c r="J896">
        <v>0.7</v>
      </c>
      <c r="K896">
        <f t="shared" si="342"/>
        <v>59.900000000000006</v>
      </c>
      <c r="L896">
        <v>0</v>
      </c>
      <c r="M896">
        <v>0</v>
      </c>
      <c r="N896">
        <v>0</v>
      </c>
      <c r="O896">
        <f t="shared" si="333"/>
        <v>0</v>
      </c>
      <c r="P896">
        <v>0</v>
      </c>
      <c r="Q896">
        <v>0</v>
      </c>
      <c r="R896">
        <v>0.2</v>
      </c>
      <c r="S896">
        <f t="shared" si="334"/>
        <v>0.2</v>
      </c>
      <c r="T896">
        <v>0.7</v>
      </c>
      <c r="U896">
        <v>0.1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f t="shared" si="335"/>
        <v>0.79999999999999993</v>
      </c>
      <c r="AB896">
        <v>0.4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11</v>
      </c>
      <c r="AI896">
        <v>2.8</v>
      </c>
      <c r="AJ896">
        <f t="shared" si="336"/>
        <v>14.2</v>
      </c>
      <c r="AK896">
        <v>0.4</v>
      </c>
      <c r="AL896">
        <v>0.247</v>
      </c>
      <c r="AM896">
        <f t="shared" si="337"/>
        <v>0.75099999999999989</v>
      </c>
      <c r="AN896">
        <v>1937</v>
      </c>
      <c r="AO896" t="s">
        <v>13</v>
      </c>
      <c r="AP896" s="3">
        <f t="shared" si="343"/>
        <v>7779.1164658634507</v>
      </c>
      <c r="AQ896" t="s">
        <v>13</v>
      </c>
      <c r="AR896">
        <f t="shared" si="341"/>
        <v>0.18908122503328895</v>
      </c>
      <c r="AS896">
        <f t="shared" si="338"/>
        <v>0.6090000000000001</v>
      </c>
      <c r="AT896">
        <f t="shared" si="339"/>
        <v>4737</v>
      </c>
      <c r="AU896">
        <f t="shared" si="340"/>
        <v>1105</v>
      </c>
      <c r="AV896">
        <f t="shared" si="327"/>
        <v>2408</v>
      </c>
      <c r="AW896">
        <f t="shared" si="328"/>
        <v>1951</v>
      </c>
      <c r="AX896" s="3">
        <f t="shared" si="329"/>
        <v>3420.1164658634507</v>
      </c>
      <c r="AY896">
        <f t="shared" si="330"/>
        <v>2369</v>
      </c>
      <c r="AZ896">
        <f t="shared" si="331"/>
        <v>1965</v>
      </c>
      <c r="BA896" s="3">
        <f t="shared" si="332"/>
        <v>3445.1164658634507</v>
      </c>
    </row>
    <row r="897" spans="1:53" x14ac:dyDescent="0.2">
      <c r="A897">
        <v>2013</v>
      </c>
      <c r="B897" t="s">
        <v>88</v>
      </c>
      <c r="C897" t="s">
        <v>85</v>
      </c>
      <c r="D897">
        <v>17.8</v>
      </c>
      <c r="E897">
        <v>0.8</v>
      </c>
      <c r="F897">
        <v>11.8</v>
      </c>
      <c r="G897">
        <v>7.9</v>
      </c>
      <c r="H897">
        <v>16.2</v>
      </c>
      <c r="I897">
        <v>0.4</v>
      </c>
      <c r="J897">
        <v>0.9</v>
      </c>
      <c r="K897">
        <f t="shared" si="342"/>
        <v>55.8</v>
      </c>
      <c r="L897">
        <v>0</v>
      </c>
      <c r="M897">
        <v>0</v>
      </c>
      <c r="N897">
        <v>0.5</v>
      </c>
      <c r="O897">
        <f t="shared" si="333"/>
        <v>0.5</v>
      </c>
      <c r="P897">
        <v>0</v>
      </c>
      <c r="Q897">
        <v>0</v>
      </c>
      <c r="R897">
        <v>0</v>
      </c>
      <c r="S897">
        <f t="shared" si="334"/>
        <v>0</v>
      </c>
      <c r="T897">
        <v>0.8</v>
      </c>
      <c r="U897">
        <v>0.2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f t="shared" si="335"/>
        <v>1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20.6</v>
      </c>
      <c r="AI897">
        <v>5.8</v>
      </c>
      <c r="AJ897">
        <f t="shared" si="336"/>
        <v>26.400000000000002</v>
      </c>
      <c r="AK897">
        <v>0</v>
      </c>
      <c r="AL897">
        <v>0.16500000000000001</v>
      </c>
      <c r="AM897">
        <f t="shared" si="337"/>
        <v>0.83700000000000019</v>
      </c>
      <c r="AN897">
        <v>1269</v>
      </c>
      <c r="AO897" t="s">
        <v>13</v>
      </c>
      <c r="AP897" s="3">
        <f t="shared" si="343"/>
        <v>7785.2760736196406</v>
      </c>
      <c r="AQ897" t="s">
        <v>13</v>
      </c>
      <c r="AR897">
        <f t="shared" si="341"/>
        <v>0.31541218637992824</v>
      </c>
      <c r="AS897">
        <f t="shared" si="338"/>
        <v>0.57299999999999995</v>
      </c>
      <c r="AT897">
        <f t="shared" si="339"/>
        <v>4461</v>
      </c>
      <c r="AU897">
        <f t="shared" si="340"/>
        <v>2055</v>
      </c>
      <c r="AV897">
        <f t="shared" si="327"/>
        <v>2289</v>
      </c>
      <c r="AW897">
        <f t="shared" si="328"/>
        <v>3398</v>
      </c>
      <c r="AX897" s="3">
        <f t="shared" si="329"/>
        <v>2098.2760736196406</v>
      </c>
      <c r="AY897">
        <f t="shared" si="330"/>
        <v>2230</v>
      </c>
      <c r="AZ897">
        <f t="shared" si="331"/>
        <v>3434</v>
      </c>
      <c r="BA897" s="3">
        <f t="shared" si="332"/>
        <v>2121.2760736196406</v>
      </c>
    </row>
    <row r="898" spans="1:53" x14ac:dyDescent="0.2">
      <c r="A898">
        <v>2014</v>
      </c>
      <c r="B898" t="s">
        <v>88</v>
      </c>
      <c r="C898" t="s">
        <v>85</v>
      </c>
      <c r="D898">
        <v>24</v>
      </c>
      <c r="E898">
        <v>1.1000000000000001</v>
      </c>
      <c r="F898">
        <v>7.3</v>
      </c>
      <c r="G898">
        <v>7.3</v>
      </c>
      <c r="H898">
        <v>6.7</v>
      </c>
      <c r="I898">
        <v>0.7</v>
      </c>
      <c r="J898">
        <v>0.5</v>
      </c>
      <c r="K898">
        <f t="shared" si="342"/>
        <v>47.6</v>
      </c>
      <c r="L898">
        <v>0</v>
      </c>
      <c r="M898">
        <v>0</v>
      </c>
      <c r="N898">
        <v>0</v>
      </c>
      <c r="O898">
        <f t="shared" si="333"/>
        <v>0</v>
      </c>
      <c r="P898">
        <v>0</v>
      </c>
      <c r="Q898">
        <v>0</v>
      </c>
      <c r="R898">
        <v>0</v>
      </c>
      <c r="S898">
        <f t="shared" si="334"/>
        <v>0</v>
      </c>
      <c r="T898">
        <v>0.3</v>
      </c>
      <c r="U898">
        <v>0.3</v>
      </c>
      <c r="V898">
        <v>0</v>
      </c>
      <c r="W898">
        <v>0</v>
      </c>
      <c r="X898">
        <v>0</v>
      </c>
      <c r="Y898">
        <v>0</v>
      </c>
      <c r="Z898">
        <v>0.1</v>
      </c>
      <c r="AA898">
        <f t="shared" si="335"/>
        <v>0.7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11.7</v>
      </c>
      <c r="AI898">
        <v>2.5</v>
      </c>
      <c r="AJ898">
        <f t="shared" si="336"/>
        <v>14.2</v>
      </c>
      <c r="AK898">
        <v>0</v>
      </c>
      <c r="AL898">
        <v>0.375</v>
      </c>
      <c r="AM898">
        <f t="shared" si="337"/>
        <v>0.625</v>
      </c>
      <c r="AN898">
        <v>1933</v>
      </c>
      <c r="AO898" t="s">
        <v>13</v>
      </c>
      <c r="AP898" s="3">
        <f t="shared" si="343"/>
        <v>5154.666666666667</v>
      </c>
      <c r="AQ898" t="s">
        <v>13</v>
      </c>
      <c r="AR898">
        <f t="shared" si="341"/>
        <v>0.22719999999999999</v>
      </c>
      <c r="AS898">
        <f t="shared" si="338"/>
        <v>0.48300000000000004</v>
      </c>
      <c r="AT898">
        <f t="shared" si="339"/>
        <v>2490</v>
      </c>
      <c r="AU898">
        <f t="shared" si="340"/>
        <v>732</v>
      </c>
      <c r="AV898">
        <f t="shared" si="327"/>
        <v>1263</v>
      </c>
      <c r="AW898">
        <f t="shared" si="328"/>
        <v>1069</v>
      </c>
      <c r="AX898" s="3">
        <f t="shared" si="329"/>
        <v>2822.666666666667</v>
      </c>
      <c r="AY898">
        <f t="shared" si="330"/>
        <v>1245</v>
      </c>
      <c r="AZ898">
        <f t="shared" si="331"/>
        <v>1074</v>
      </c>
      <c r="BA898" s="3">
        <f t="shared" si="332"/>
        <v>2835.666666666667</v>
      </c>
    </row>
    <row r="899" spans="1:53" x14ac:dyDescent="0.2">
      <c r="A899">
        <v>2015</v>
      </c>
      <c r="B899" t="s">
        <v>88</v>
      </c>
      <c r="C899" t="s">
        <v>85</v>
      </c>
      <c r="D899">
        <v>18.7</v>
      </c>
      <c r="E899">
        <v>0</v>
      </c>
      <c r="F899">
        <v>7.3</v>
      </c>
      <c r="G899">
        <v>7.5</v>
      </c>
      <c r="H899">
        <v>8.1</v>
      </c>
      <c r="I899">
        <v>0.4</v>
      </c>
      <c r="J899">
        <v>0.3</v>
      </c>
      <c r="K899">
        <f t="shared" si="342"/>
        <v>42.3</v>
      </c>
      <c r="L899">
        <v>0</v>
      </c>
      <c r="M899">
        <v>0</v>
      </c>
      <c r="N899">
        <v>0</v>
      </c>
      <c r="O899">
        <f t="shared" si="333"/>
        <v>0</v>
      </c>
      <c r="P899">
        <v>0</v>
      </c>
      <c r="Q899">
        <v>0</v>
      </c>
      <c r="R899">
        <v>0</v>
      </c>
      <c r="S899">
        <f t="shared" si="334"/>
        <v>0</v>
      </c>
      <c r="T899">
        <v>0.6</v>
      </c>
      <c r="U899">
        <v>0.3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f t="shared" si="335"/>
        <v>0.89999999999999991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10.6</v>
      </c>
      <c r="AI899">
        <v>4.0999999999999996</v>
      </c>
      <c r="AJ899">
        <f t="shared" si="336"/>
        <v>14.7</v>
      </c>
      <c r="AK899">
        <v>0.7</v>
      </c>
      <c r="AL899">
        <v>0.41299999999999998</v>
      </c>
      <c r="AM899">
        <f t="shared" si="337"/>
        <v>0.57899999999999996</v>
      </c>
      <c r="AN899">
        <v>1795</v>
      </c>
      <c r="AO899" t="s">
        <v>13</v>
      </c>
      <c r="AP899" s="3">
        <f t="shared" si="343"/>
        <v>4263.6579572446553</v>
      </c>
      <c r="AQ899" t="s">
        <v>13</v>
      </c>
      <c r="AR899">
        <f t="shared" si="341"/>
        <v>0.25388601036269431</v>
      </c>
      <c r="AS899">
        <f t="shared" si="338"/>
        <v>0.43199999999999994</v>
      </c>
      <c r="AT899">
        <f t="shared" si="339"/>
        <v>1842</v>
      </c>
      <c r="AU899">
        <f t="shared" si="340"/>
        <v>627</v>
      </c>
      <c r="AV899">
        <f t="shared" ref="AV899:AV962" si="344">ROUND((((K899*0.5)+O899+S899+AA899)/100)*AP899,0)</f>
        <v>940</v>
      </c>
      <c r="AW899">
        <f t="shared" ref="AW899:AW962" si="345">ROUND((AU899/(AP899-AT899))*(AP899-AV899),0)</f>
        <v>861</v>
      </c>
      <c r="AX899" s="3">
        <f t="shared" ref="AX899:AX962" si="346">AP899-AV899-AW899</f>
        <v>2462.6579572446553</v>
      </c>
      <c r="AY899">
        <f t="shared" ref="AY899:AY962" si="347">ROUND((0.5*AS899)*AP899,0)</f>
        <v>921</v>
      </c>
      <c r="AZ899">
        <f t="shared" ref="AZ899:AZ962" si="348">ROUND((AU899/(AP899-AT899))*(AP899-AY899),0)</f>
        <v>865</v>
      </c>
      <c r="BA899" s="3">
        <f t="shared" ref="BA899:BA962" si="349">AP899-AZ899-AY899</f>
        <v>2477.6579572446553</v>
      </c>
    </row>
    <row r="900" spans="1:53" x14ac:dyDescent="0.2">
      <c r="A900">
        <v>2016</v>
      </c>
      <c r="B900" t="s">
        <v>88</v>
      </c>
      <c r="C900" t="s">
        <v>85</v>
      </c>
      <c r="D900">
        <v>28.2</v>
      </c>
      <c r="E900">
        <v>0.1</v>
      </c>
      <c r="F900">
        <v>3.6</v>
      </c>
      <c r="G900">
        <v>17.8</v>
      </c>
      <c r="H900">
        <v>2</v>
      </c>
      <c r="I900">
        <v>0.3</v>
      </c>
      <c r="J900">
        <v>0</v>
      </c>
      <c r="K900">
        <f t="shared" si="342"/>
        <v>52</v>
      </c>
      <c r="L900">
        <v>0</v>
      </c>
      <c r="M900">
        <v>0</v>
      </c>
      <c r="N900">
        <v>0</v>
      </c>
      <c r="O900">
        <f t="shared" si="333"/>
        <v>0</v>
      </c>
      <c r="P900">
        <v>0</v>
      </c>
      <c r="Q900">
        <v>0</v>
      </c>
      <c r="R900">
        <v>0</v>
      </c>
      <c r="S900">
        <f t="shared" si="334"/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f t="shared" si="335"/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2.2000000000000002</v>
      </c>
      <c r="AI900">
        <v>0.7</v>
      </c>
      <c r="AJ900">
        <f t="shared" si="336"/>
        <v>2.9000000000000004</v>
      </c>
      <c r="AK900">
        <v>0</v>
      </c>
      <c r="AL900">
        <v>0.45200000000000001</v>
      </c>
      <c r="AM900">
        <f t="shared" si="337"/>
        <v>0.54900000000000004</v>
      </c>
      <c r="AN900">
        <v>2831</v>
      </c>
      <c r="AO900" t="s">
        <v>13</v>
      </c>
      <c r="AP900" s="3">
        <f t="shared" si="343"/>
        <v>6277.1618625277169</v>
      </c>
      <c r="AQ900" t="s">
        <v>13</v>
      </c>
      <c r="AR900">
        <f t="shared" si="341"/>
        <v>5.2823315118397093E-2</v>
      </c>
      <c r="AS900">
        <f t="shared" si="338"/>
        <v>0.52</v>
      </c>
      <c r="AT900">
        <f t="shared" si="339"/>
        <v>3264</v>
      </c>
      <c r="AU900">
        <f t="shared" si="340"/>
        <v>182</v>
      </c>
      <c r="AV900">
        <f t="shared" si="344"/>
        <v>1632</v>
      </c>
      <c r="AW900">
        <f t="shared" si="345"/>
        <v>281</v>
      </c>
      <c r="AX900" s="3">
        <f t="shared" si="346"/>
        <v>4364.1618625277169</v>
      </c>
      <c r="AY900">
        <f t="shared" si="347"/>
        <v>1632</v>
      </c>
      <c r="AZ900">
        <f t="shared" si="348"/>
        <v>281</v>
      </c>
      <c r="BA900" s="3">
        <f t="shared" si="349"/>
        <v>4364.1618625277169</v>
      </c>
    </row>
    <row r="901" spans="1:53" x14ac:dyDescent="0.2">
      <c r="A901">
        <v>2017</v>
      </c>
      <c r="B901" t="s">
        <v>88</v>
      </c>
      <c r="C901" t="s">
        <v>85</v>
      </c>
      <c r="D901">
        <v>13.2</v>
      </c>
      <c r="E901">
        <v>0</v>
      </c>
      <c r="F901">
        <v>5.0999999999999996</v>
      </c>
      <c r="G901">
        <v>8.6</v>
      </c>
      <c r="H901">
        <v>2</v>
      </c>
      <c r="I901">
        <v>1.2</v>
      </c>
      <c r="J901">
        <v>1.8</v>
      </c>
      <c r="K901">
        <f t="shared" si="342"/>
        <v>31.9</v>
      </c>
      <c r="L901">
        <v>0</v>
      </c>
      <c r="M901">
        <v>0</v>
      </c>
      <c r="N901">
        <v>0</v>
      </c>
      <c r="O901">
        <f t="shared" si="333"/>
        <v>0</v>
      </c>
      <c r="P901">
        <v>0</v>
      </c>
      <c r="Q901">
        <v>0</v>
      </c>
      <c r="R901">
        <v>0</v>
      </c>
      <c r="S901">
        <f t="shared" si="334"/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f t="shared" si="335"/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13.9</v>
      </c>
      <c r="AI901">
        <v>5.8</v>
      </c>
      <c r="AJ901">
        <f t="shared" si="336"/>
        <v>19.7</v>
      </c>
      <c r="AK901">
        <v>0</v>
      </c>
      <c r="AL901">
        <v>0.48299999999999998</v>
      </c>
      <c r="AM901">
        <f t="shared" si="337"/>
        <v>0.51600000000000001</v>
      </c>
      <c r="AN901">
        <v>1808</v>
      </c>
      <c r="AO901" t="s">
        <v>13</v>
      </c>
      <c r="AP901" s="3">
        <f t="shared" si="343"/>
        <v>3735.5371900826449</v>
      </c>
      <c r="AQ901" t="s">
        <v>13</v>
      </c>
      <c r="AR901">
        <f t="shared" si="341"/>
        <v>0.38178294573643407</v>
      </c>
      <c r="AS901">
        <f t="shared" si="338"/>
        <v>0.31900000000000001</v>
      </c>
      <c r="AT901">
        <f t="shared" si="339"/>
        <v>1192</v>
      </c>
      <c r="AU901">
        <f t="shared" si="340"/>
        <v>736</v>
      </c>
      <c r="AV901">
        <f t="shared" si="344"/>
        <v>596</v>
      </c>
      <c r="AW901">
        <f t="shared" si="345"/>
        <v>908</v>
      </c>
      <c r="AX901" s="3">
        <f t="shared" si="346"/>
        <v>2231.5371900826449</v>
      </c>
      <c r="AY901">
        <f t="shared" si="347"/>
        <v>596</v>
      </c>
      <c r="AZ901">
        <f t="shared" si="348"/>
        <v>908</v>
      </c>
      <c r="BA901" s="3">
        <f t="shared" si="349"/>
        <v>2231.5371900826449</v>
      </c>
    </row>
    <row r="902" spans="1:53" x14ac:dyDescent="0.2">
      <c r="A902">
        <v>2018</v>
      </c>
      <c r="B902" t="s">
        <v>88</v>
      </c>
      <c r="C902" t="s">
        <v>85</v>
      </c>
      <c r="D902">
        <v>20.5</v>
      </c>
      <c r="E902">
        <v>0</v>
      </c>
      <c r="F902">
        <v>7.1</v>
      </c>
      <c r="G902">
        <v>20.2</v>
      </c>
      <c r="H902">
        <v>3.2</v>
      </c>
      <c r="I902">
        <v>0.9</v>
      </c>
      <c r="J902">
        <v>0</v>
      </c>
      <c r="K902">
        <f t="shared" si="342"/>
        <v>51.9</v>
      </c>
      <c r="L902">
        <v>0</v>
      </c>
      <c r="M902">
        <v>0</v>
      </c>
      <c r="N902">
        <v>0</v>
      </c>
      <c r="O902">
        <f t="shared" si="333"/>
        <v>0</v>
      </c>
      <c r="P902">
        <v>0</v>
      </c>
      <c r="Q902">
        <v>0</v>
      </c>
      <c r="R902">
        <v>1.1000000000000001</v>
      </c>
      <c r="S902">
        <f t="shared" si="334"/>
        <v>1.1000000000000001</v>
      </c>
      <c r="T902">
        <v>0.2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f t="shared" si="335"/>
        <v>0.2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2.4</v>
      </c>
      <c r="AI902">
        <v>1.6</v>
      </c>
      <c r="AJ902">
        <f t="shared" si="336"/>
        <v>4</v>
      </c>
      <c r="AK902">
        <v>0</v>
      </c>
      <c r="AL902">
        <v>0.42899999999999999</v>
      </c>
      <c r="AM902">
        <f t="shared" si="337"/>
        <v>0.57199999999999995</v>
      </c>
      <c r="AN902">
        <v>2478</v>
      </c>
      <c r="AO902" t="s">
        <v>13</v>
      </c>
      <c r="AP902" s="3">
        <f t="shared" si="343"/>
        <v>5789.7196261682238</v>
      </c>
      <c r="AQ902" t="s">
        <v>13</v>
      </c>
      <c r="AR902">
        <f t="shared" si="341"/>
        <v>6.9930069930069935E-2</v>
      </c>
      <c r="AS902">
        <f t="shared" si="338"/>
        <v>0.53200000000000003</v>
      </c>
      <c r="AT902">
        <f t="shared" si="339"/>
        <v>3080</v>
      </c>
      <c r="AU902">
        <f t="shared" si="340"/>
        <v>232</v>
      </c>
      <c r="AV902">
        <f t="shared" si="344"/>
        <v>1578</v>
      </c>
      <c r="AW902">
        <f t="shared" si="345"/>
        <v>361</v>
      </c>
      <c r="AX902" s="3">
        <f t="shared" si="346"/>
        <v>3850.7196261682238</v>
      </c>
      <c r="AY902">
        <f t="shared" si="347"/>
        <v>1540</v>
      </c>
      <c r="AZ902">
        <f t="shared" si="348"/>
        <v>364</v>
      </c>
      <c r="BA902" s="3">
        <f t="shared" si="349"/>
        <v>3885.7196261682238</v>
      </c>
    </row>
    <row r="903" spans="1:53" x14ac:dyDescent="0.2">
      <c r="A903">
        <v>2019</v>
      </c>
      <c r="B903" t="s">
        <v>88</v>
      </c>
      <c r="C903" t="s">
        <v>85</v>
      </c>
      <c r="D903">
        <v>20.7</v>
      </c>
      <c r="E903">
        <v>0.6</v>
      </c>
      <c r="F903">
        <v>1.2</v>
      </c>
      <c r="G903">
        <v>20.7</v>
      </c>
      <c r="H903">
        <v>5.2</v>
      </c>
      <c r="I903">
        <v>1</v>
      </c>
      <c r="J903">
        <v>0.6</v>
      </c>
      <c r="K903">
        <f t="shared" si="342"/>
        <v>50.000000000000007</v>
      </c>
      <c r="L903">
        <v>0</v>
      </c>
      <c r="M903">
        <v>0</v>
      </c>
      <c r="N903">
        <v>0.8</v>
      </c>
      <c r="O903">
        <f t="shared" si="333"/>
        <v>0.8</v>
      </c>
      <c r="P903">
        <v>0</v>
      </c>
      <c r="Q903">
        <v>0</v>
      </c>
      <c r="R903">
        <v>1.9</v>
      </c>
      <c r="S903">
        <f t="shared" si="334"/>
        <v>1.9</v>
      </c>
      <c r="T903">
        <v>1.3</v>
      </c>
      <c r="U903">
        <v>0.3</v>
      </c>
      <c r="V903">
        <v>0</v>
      </c>
      <c r="W903">
        <v>0.3</v>
      </c>
      <c r="X903">
        <v>0</v>
      </c>
      <c r="Y903">
        <v>0</v>
      </c>
      <c r="Z903">
        <v>0</v>
      </c>
      <c r="AA903">
        <f t="shared" si="335"/>
        <v>1.9000000000000001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13.1</v>
      </c>
      <c r="AI903">
        <v>5.0999999999999996</v>
      </c>
      <c r="AJ903">
        <f t="shared" si="336"/>
        <v>18.2</v>
      </c>
      <c r="AK903">
        <v>0</v>
      </c>
      <c r="AL903">
        <v>0.27300000000000002</v>
      </c>
      <c r="AM903">
        <f t="shared" si="337"/>
        <v>0.72799999999999998</v>
      </c>
      <c r="AN903">
        <v>1552</v>
      </c>
      <c r="AO903" t="s">
        <v>13</v>
      </c>
      <c r="AP903" s="3">
        <f t="shared" si="343"/>
        <v>5705.8823529411757</v>
      </c>
      <c r="AQ903" t="s">
        <v>13</v>
      </c>
      <c r="AR903">
        <f t="shared" si="341"/>
        <v>0.25</v>
      </c>
      <c r="AS903">
        <f t="shared" si="338"/>
        <v>0.54600000000000004</v>
      </c>
      <c r="AT903">
        <f t="shared" si="339"/>
        <v>3115</v>
      </c>
      <c r="AU903">
        <f t="shared" si="340"/>
        <v>1038</v>
      </c>
      <c r="AV903">
        <f t="shared" si="344"/>
        <v>1689</v>
      </c>
      <c r="AW903">
        <f t="shared" si="345"/>
        <v>1609</v>
      </c>
      <c r="AX903" s="3">
        <f t="shared" si="346"/>
        <v>2407.8823529411757</v>
      </c>
      <c r="AY903">
        <f t="shared" si="347"/>
        <v>1558</v>
      </c>
      <c r="AZ903">
        <f t="shared" si="348"/>
        <v>1662</v>
      </c>
      <c r="BA903" s="3">
        <f t="shared" si="349"/>
        <v>2485.8823529411757</v>
      </c>
    </row>
    <row r="904" spans="1:53" x14ac:dyDescent="0.2">
      <c r="A904">
        <v>2020</v>
      </c>
      <c r="B904" t="s">
        <v>88</v>
      </c>
      <c r="C904" t="s">
        <v>85</v>
      </c>
      <c r="D904">
        <v>30.7</v>
      </c>
      <c r="E904">
        <v>1.4</v>
      </c>
      <c r="F904">
        <v>5.9</v>
      </c>
      <c r="G904">
        <v>11.9</v>
      </c>
      <c r="H904">
        <v>0</v>
      </c>
      <c r="I904">
        <v>0.6</v>
      </c>
      <c r="J904">
        <v>0</v>
      </c>
      <c r="K904">
        <f t="shared" si="342"/>
        <v>50.5</v>
      </c>
      <c r="L904">
        <v>0</v>
      </c>
      <c r="M904">
        <v>0</v>
      </c>
      <c r="N904">
        <v>0</v>
      </c>
      <c r="O904">
        <f t="shared" si="333"/>
        <v>0</v>
      </c>
      <c r="P904">
        <v>0</v>
      </c>
      <c r="Q904">
        <v>0</v>
      </c>
      <c r="R904">
        <v>0</v>
      </c>
      <c r="S904">
        <f t="shared" si="334"/>
        <v>0</v>
      </c>
      <c r="T904">
        <v>0.2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f t="shared" si="335"/>
        <v>0.2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14.8</v>
      </c>
      <c r="AI904">
        <v>4.2</v>
      </c>
      <c r="AJ904">
        <f t="shared" si="336"/>
        <v>19</v>
      </c>
      <c r="AK904">
        <v>0</v>
      </c>
      <c r="AL904">
        <v>0.30299999999999999</v>
      </c>
      <c r="AM904">
        <f t="shared" si="337"/>
        <v>0.69699999999999984</v>
      </c>
      <c r="AN904">
        <v>2273</v>
      </c>
      <c r="AO904" t="s">
        <v>13</v>
      </c>
      <c r="AP904" s="3">
        <f t="shared" si="343"/>
        <v>7501.6501650164973</v>
      </c>
      <c r="AQ904" t="s">
        <v>13</v>
      </c>
      <c r="AR904">
        <f t="shared" si="341"/>
        <v>0.27259684361549502</v>
      </c>
      <c r="AS904">
        <f t="shared" si="338"/>
        <v>0.50700000000000001</v>
      </c>
      <c r="AT904">
        <f t="shared" si="339"/>
        <v>3803</v>
      </c>
      <c r="AU904">
        <f t="shared" si="340"/>
        <v>1425</v>
      </c>
      <c r="AV904">
        <f t="shared" si="344"/>
        <v>1909</v>
      </c>
      <c r="AW904">
        <f t="shared" si="345"/>
        <v>2155</v>
      </c>
      <c r="AX904" s="3">
        <f t="shared" si="346"/>
        <v>3437.6501650164973</v>
      </c>
      <c r="AY904">
        <f t="shared" si="347"/>
        <v>1902</v>
      </c>
      <c r="AZ904">
        <f t="shared" si="348"/>
        <v>2157</v>
      </c>
      <c r="BA904" s="3">
        <f t="shared" si="349"/>
        <v>3442.6501650164973</v>
      </c>
    </row>
    <row r="905" spans="1:53" x14ac:dyDescent="0.2">
      <c r="A905">
        <v>2021</v>
      </c>
      <c r="B905" t="s">
        <v>88</v>
      </c>
      <c r="C905" t="s">
        <v>85</v>
      </c>
      <c r="D905">
        <v>30.2</v>
      </c>
      <c r="E905">
        <v>0.4</v>
      </c>
      <c r="F905">
        <v>4.7</v>
      </c>
      <c r="G905">
        <v>15.8</v>
      </c>
      <c r="H905">
        <v>5.6</v>
      </c>
      <c r="I905">
        <v>1.9</v>
      </c>
      <c r="J905">
        <v>0.8</v>
      </c>
      <c r="K905">
        <f t="shared" si="342"/>
        <v>59.399999999999991</v>
      </c>
      <c r="L905">
        <v>0</v>
      </c>
      <c r="M905">
        <v>0</v>
      </c>
      <c r="N905">
        <v>1.1000000000000001</v>
      </c>
      <c r="O905">
        <f t="shared" si="333"/>
        <v>1.1000000000000001</v>
      </c>
      <c r="P905">
        <v>0</v>
      </c>
      <c r="Q905">
        <v>0</v>
      </c>
      <c r="R905">
        <v>0</v>
      </c>
      <c r="S905">
        <f t="shared" si="334"/>
        <v>0</v>
      </c>
      <c r="T905">
        <v>0.3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f t="shared" si="335"/>
        <v>0.3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11.2</v>
      </c>
      <c r="AI905">
        <v>2</v>
      </c>
      <c r="AJ905">
        <f t="shared" si="336"/>
        <v>13.2</v>
      </c>
      <c r="AK905">
        <v>0</v>
      </c>
      <c r="AL905">
        <v>0.26</v>
      </c>
      <c r="AM905">
        <f t="shared" si="337"/>
        <v>0.74</v>
      </c>
      <c r="AN905">
        <v>2622</v>
      </c>
      <c r="AO905" t="s">
        <v>13</v>
      </c>
      <c r="AP905" s="3">
        <f t="shared" si="343"/>
        <v>10084.615384615385</v>
      </c>
      <c r="AQ905" t="s">
        <v>13</v>
      </c>
      <c r="AR905">
        <f t="shared" si="341"/>
        <v>0.17837837837837839</v>
      </c>
      <c r="AS905">
        <f t="shared" si="338"/>
        <v>0.60799999999999987</v>
      </c>
      <c r="AT905">
        <f t="shared" si="339"/>
        <v>6131</v>
      </c>
      <c r="AU905">
        <f t="shared" si="340"/>
        <v>1331</v>
      </c>
      <c r="AV905">
        <f t="shared" si="344"/>
        <v>3136</v>
      </c>
      <c r="AW905">
        <f t="shared" si="345"/>
        <v>2339</v>
      </c>
      <c r="AX905" s="3">
        <f t="shared" si="346"/>
        <v>4609.6153846153848</v>
      </c>
      <c r="AY905">
        <f t="shared" si="347"/>
        <v>3066</v>
      </c>
      <c r="AZ905">
        <f t="shared" si="348"/>
        <v>2363</v>
      </c>
      <c r="BA905" s="3">
        <f t="shared" si="349"/>
        <v>4655.6153846153848</v>
      </c>
    </row>
    <row r="906" spans="1:53" x14ac:dyDescent="0.2">
      <c r="A906">
        <v>2022</v>
      </c>
      <c r="B906" t="s">
        <v>88</v>
      </c>
      <c r="C906" t="s">
        <v>85</v>
      </c>
      <c r="D906">
        <v>23.8</v>
      </c>
      <c r="E906">
        <v>0.9</v>
      </c>
      <c r="F906">
        <v>7.2</v>
      </c>
      <c r="G906">
        <v>16.7</v>
      </c>
      <c r="H906">
        <v>4.3</v>
      </c>
      <c r="I906">
        <v>0.5</v>
      </c>
      <c r="J906">
        <v>0</v>
      </c>
      <c r="K906">
        <f t="shared" si="342"/>
        <v>53.399999999999991</v>
      </c>
      <c r="L906">
        <v>0</v>
      </c>
      <c r="M906">
        <v>0</v>
      </c>
      <c r="N906">
        <v>0</v>
      </c>
      <c r="O906">
        <f t="shared" ref="O906:O969" si="350">SUM(L906:N906)</f>
        <v>0</v>
      </c>
      <c r="P906">
        <v>0</v>
      </c>
      <c r="Q906">
        <v>0</v>
      </c>
      <c r="R906">
        <v>1</v>
      </c>
      <c r="S906">
        <f t="shared" ref="S906:S969" si="351">SUM(P906:R906)</f>
        <v>1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f t="shared" ref="AA906:AA969" si="352">SUM(T906:Z906)</f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8.1999999999999993</v>
      </c>
      <c r="AI906">
        <v>2.7</v>
      </c>
      <c r="AJ906">
        <f t="shared" ref="AJ906:AJ969" si="353">SUM(AB906:AI906)</f>
        <v>10.899999999999999</v>
      </c>
      <c r="AK906">
        <v>0</v>
      </c>
      <c r="AL906">
        <v>0.34700000000000003</v>
      </c>
      <c r="AM906">
        <f t="shared" si="337"/>
        <v>0.65300000000000002</v>
      </c>
      <c r="AN906">
        <v>1866</v>
      </c>
      <c r="AO906" t="s">
        <v>13</v>
      </c>
      <c r="AP906" s="3">
        <f t="shared" si="343"/>
        <v>5377.5216138328533</v>
      </c>
      <c r="AQ906" t="s">
        <v>13</v>
      </c>
      <c r="AR906">
        <f t="shared" si="341"/>
        <v>0.16692189892802448</v>
      </c>
      <c r="AS906">
        <f t="shared" si="338"/>
        <v>0.54399999999999993</v>
      </c>
      <c r="AT906">
        <f t="shared" si="339"/>
        <v>2925</v>
      </c>
      <c r="AU906">
        <f t="shared" si="340"/>
        <v>586</v>
      </c>
      <c r="AV906">
        <f t="shared" si="344"/>
        <v>1490</v>
      </c>
      <c r="AW906">
        <f t="shared" si="345"/>
        <v>929</v>
      </c>
      <c r="AX906" s="3">
        <f t="shared" si="346"/>
        <v>2958.5216138328533</v>
      </c>
      <c r="AY906">
        <f t="shared" si="347"/>
        <v>1463</v>
      </c>
      <c r="AZ906">
        <f t="shared" si="348"/>
        <v>935</v>
      </c>
      <c r="BA906" s="3">
        <f t="shared" si="349"/>
        <v>2979.5216138328533</v>
      </c>
    </row>
    <row r="907" spans="1:53" x14ac:dyDescent="0.2">
      <c r="A907">
        <v>2023</v>
      </c>
      <c r="B907" t="s">
        <v>88</v>
      </c>
      <c r="C907" t="s">
        <v>85</v>
      </c>
      <c r="D907" t="s">
        <v>13</v>
      </c>
      <c r="E907" t="s">
        <v>13</v>
      </c>
      <c r="F907" t="s">
        <v>13</v>
      </c>
      <c r="G907" t="s">
        <v>13</v>
      </c>
      <c r="H907" t="s">
        <v>13</v>
      </c>
      <c r="I907" t="s">
        <v>13</v>
      </c>
      <c r="J907" t="s">
        <v>13</v>
      </c>
      <c r="K907" t="s">
        <v>13</v>
      </c>
      <c r="L907" t="s">
        <v>13</v>
      </c>
      <c r="M907" t="s">
        <v>13</v>
      </c>
      <c r="N907" t="s">
        <v>13</v>
      </c>
      <c r="O907" t="s">
        <v>13</v>
      </c>
      <c r="P907" t="s">
        <v>13</v>
      </c>
      <c r="Q907" t="s">
        <v>13</v>
      </c>
      <c r="R907" t="s">
        <v>13</v>
      </c>
      <c r="S907" t="s">
        <v>13</v>
      </c>
      <c r="T907" t="s">
        <v>13</v>
      </c>
      <c r="U907" t="s">
        <v>13</v>
      </c>
      <c r="V907" t="s">
        <v>13</v>
      </c>
      <c r="W907" t="s">
        <v>13</v>
      </c>
      <c r="X907" t="s">
        <v>13</v>
      </c>
      <c r="Y907" t="s">
        <v>13</v>
      </c>
      <c r="Z907" t="s">
        <v>13</v>
      </c>
      <c r="AA907" t="s">
        <v>13</v>
      </c>
      <c r="AB907" t="s">
        <v>13</v>
      </c>
      <c r="AC907" t="s">
        <v>13</v>
      </c>
      <c r="AD907" t="s">
        <v>13</v>
      </c>
      <c r="AE907" t="s">
        <v>13</v>
      </c>
      <c r="AF907" t="s">
        <v>13</v>
      </c>
      <c r="AG907" t="s">
        <v>13</v>
      </c>
      <c r="AH907" t="s">
        <v>13</v>
      </c>
      <c r="AI907" t="s">
        <v>13</v>
      </c>
      <c r="AJ907" t="s">
        <v>13</v>
      </c>
      <c r="AK907" t="s">
        <v>13</v>
      </c>
      <c r="AL907" t="s">
        <v>13</v>
      </c>
      <c r="AM907" t="s">
        <v>13</v>
      </c>
      <c r="AN907" t="s">
        <v>13</v>
      </c>
      <c r="AO907" t="s">
        <v>13</v>
      </c>
      <c r="AP907" t="s">
        <v>13</v>
      </c>
      <c r="AQ907" t="s">
        <v>13</v>
      </c>
      <c r="AR907" t="s">
        <v>13</v>
      </c>
      <c r="AS907" t="s">
        <v>13</v>
      </c>
      <c r="AT907" t="s">
        <v>13</v>
      </c>
      <c r="AU907" t="s">
        <v>13</v>
      </c>
      <c r="AV907" t="s">
        <v>13</v>
      </c>
      <c r="AW907" t="s">
        <v>13</v>
      </c>
      <c r="AX907" t="s">
        <v>13</v>
      </c>
      <c r="AY907" t="s">
        <v>13</v>
      </c>
      <c r="AZ907" t="s">
        <v>13</v>
      </c>
      <c r="BA907" t="s">
        <v>13</v>
      </c>
    </row>
    <row r="908" spans="1:53" x14ac:dyDescent="0.2">
      <c r="A908">
        <v>1981</v>
      </c>
      <c r="B908" t="s">
        <v>87</v>
      </c>
      <c r="C908" t="s">
        <v>85</v>
      </c>
      <c r="D908">
        <f>D865*0.65</f>
        <v>8.84</v>
      </c>
      <c r="E908">
        <f t="shared" ref="E908:J908" si="354">E865*0.65</f>
        <v>0</v>
      </c>
      <c r="F908">
        <f t="shared" si="354"/>
        <v>0</v>
      </c>
      <c r="G908">
        <f t="shared" si="354"/>
        <v>10.790000000000001</v>
      </c>
      <c r="H908">
        <f t="shared" si="354"/>
        <v>0.13</v>
      </c>
      <c r="I908">
        <f t="shared" si="354"/>
        <v>7.93</v>
      </c>
      <c r="J908">
        <f t="shared" si="354"/>
        <v>0</v>
      </c>
      <c r="K908">
        <f t="shared" si="342"/>
        <v>27.69</v>
      </c>
      <c r="L908">
        <f>L865*0.65</f>
        <v>1.105</v>
      </c>
      <c r="M908">
        <f t="shared" ref="M908:T908" si="355">M865*0.65</f>
        <v>1.1700000000000002</v>
      </c>
      <c r="N908">
        <f t="shared" si="355"/>
        <v>0</v>
      </c>
      <c r="O908">
        <f t="shared" si="350"/>
        <v>2.2750000000000004</v>
      </c>
      <c r="P908">
        <f t="shared" si="355"/>
        <v>0</v>
      </c>
      <c r="Q908">
        <f t="shared" si="355"/>
        <v>0.52</v>
      </c>
      <c r="R908">
        <f t="shared" si="355"/>
        <v>0</v>
      </c>
      <c r="S908">
        <f t="shared" si="351"/>
        <v>0.52</v>
      </c>
      <c r="T908">
        <f t="shared" si="355"/>
        <v>0.19500000000000001</v>
      </c>
      <c r="U908">
        <f t="shared" ref="U908:Z908" si="356">U865*0.65</f>
        <v>0</v>
      </c>
      <c r="V908">
        <f t="shared" si="356"/>
        <v>1.105</v>
      </c>
      <c r="W908">
        <f t="shared" si="356"/>
        <v>0</v>
      </c>
      <c r="X908">
        <f t="shared" si="356"/>
        <v>0</v>
      </c>
      <c r="Y908">
        <f t="shared" si="356"/>
        <v>0</v>
      </c>
      <c r="Z908">
        <f t="shared" si="356"/>
        <v>2.08</v>
      </c>
      <c r="AA908">
        <f t="shared" si="352"/>
        <v>3.38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 s="5">
        <v>16.721635883905016</v>
      </c>
      <c r="AI908" t="s">
        <v>13</v>
      </c>
      <c r="AJ908" s="5">
        <f t="shared" si="353"/>
        <v>16.721635883905016</v>
      </c>
      <c r="AK908" t="s">
        <v>13</v>
      </c>
      <c r="AL908">
        <f>1-AM908</f>
        <v>0.49413364116094971</v>
      </c>
      <c r="AM908">
        <f t="shared" si="337"/>
        <v>0.50586635883905029</v>
      </c>
      <c r="AN908">
        <v>1498</v>
      </c>
      <c r="AO908" t="s">
        <v>13</v>
      </c>
      <c r="AP908">
        <v>3032</v>
      </c>
      <c r="AQ908" t="s">
        <v>13</v>
      </c>
      <c r="AR908">
        <f t="shared" si="341"/>
        <v>0.33055441603748315</v>
      </c>
      <c r="AS908">
        <f t="shared" ref="AS908:AS949" si="357">SUM(K908,O908,S908,AA908)/100</f>
        <v>0.33865000000000001</v>
      </c>
      <c r="AT908">
        <f t="shared" ref="AT908:AT949" si="358">ROUND(AS908*AP908,0)</f>
        <v>1027</v>
      </c>
      <c r="AU908">
        <f t="shared" ref="AU908:AU949" si="359">ROUND((AJ908/100)*AP908,0)</f>
        <v>507</v>
      </c>
      <c r="AV908">
        <f t="shared" si="344"/>
        <v>607</v>
      </c>
      <c r="AW908">
        <f t="shared" si="345"/>
        <v>613</v>
      </c>
      <c r="AX908" s="3">
        <f t="shared" si="346"/>
        <v>1812</v>
      </c>
      <c r="AY908">
        <f t="shared" si="347"/>
        <v>513</v>
      </c>
      <c r="AZ908">
        <f t="shared" si="348"/>
        <v>637</v>
      </c>
      <c r="BA908" s="3">
        <f t="shared" si="349"/>
        <v>1882</v>
      </c>
    </row>
    <row r="909" spans="1:53" x14ac:dyDescent="0.2">
      <c r="A909">
        <v>1982</v>
      </c>
      <c r="B909" t="s">
        <v>87</v>
      </c>
      <c r="C909" t="s">
        <v>85</v>
      </c>
      <c r="D909">
        <f t="shared" ref="D909:J949" si="360">D866*0.65</f>
        <v>8.9049999999999994</v>
      </c>
      <c r="E909">
        <f t="shared" si="360"/>
        <v>0.90999999999999992</v>
      </c>
      <c r="F909">
        <f t="shared" si="360"/>
        <v>0</v>
      </c>
      <c r="G909">
        <f t="shared" si="360"/>
        <v>13.325000000000001</v>
      </c>
      <c r="H909">
        <f t="shared" si="360"/>
        <v>0</v>
      </c>
      <c r="I909">
        <f t="shared" si="360"/>
        <v>9.1</v>
      </c>
      <c r="J909">
        <f t="shared" si="360"/>
        <v>0</v>
      </c>
      <c r="K909">
        <f t="shared" si="342"/>
        <v>32.24</v>
      </c>
      <c r="L909">
        <f t="shared" ref="L909:N909" si="361">L866*0.65</f>
        <v>0</v>
      </c>
      <c r="M909">
        <f t="shared" si="361"/>
        <v>0.52</v>
      </c>
      <c r="N909">
        <f t="shared" si="361"/>
        <v>0.84500000000000008</v>
      </c>
      <c r="O909">
        <f t="shared" si="350"/>
        <v>1.3650000000000002</v>
      </c>
      <c r="P909">
        <f t="shared" ref="P909:R909" si="362">P866*0.65</f>
        <v>0</v>
      </c>
      <c r="Q909">
        <f t="shared" si="362"/>
        <v>0</v>
      </c>
      <c r="R909">
        <f t="shared" si="362"/>
        <v>0</v>
      </c>
      <c r="S909">
        <f t="shared" si="351"/>
        <v>0</v>
      </c>
      <c r="T909">
        <f t="shared" ref="T909:U909" si="363">T866*0.65</f>
        <v>0</v>
      </c>
      <c r="U909">
        <f t="shared" si="363"/>
        <v>0</v>
      </c>
      <c r="V909">
        <f t="shared" ref="V909:Z909" si="364">V866*0.65</f>
        <v>0</v>
      </c>
      <c r="W909">
        <f t="shared" si="364"/>
        <v>0</v>
      </c>
      <c r="X909">
        <f t="shared" si="364"/>
        <v>0</v>
      </c>
      <c r="Y909">
        <f t="shared" si="364"/>
        <v>0</v>
      </c>
      <c r="Z909">
        <f t="shared" si="364"/>
        <v>0</v>
      </c>
      <c r="AA909">
        <f t="shared" si="352"/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 s="5">
        <v>17.869415807560138</v>
      </c>
      <c r="AI909" t="s">
        <v>13</v>
      </c>
      <c r="AJ909" s="5">
        <f t="shared" si="353"/>
        <v>17.869415807560138</v>
      </c>
      <c r="AK909" t="s">
        <v>13</v>
      </c>
      <c r="AL909">
        <f t="shared" ref="AL909:AL949" si="365">1-AM909</f>
        <v>0.48525584192439863</v>
      </c>
      <c r="AM909">
        <f t="shared" si="337"/>
        <v>0.51474415807560137</v>
      </c>
      <c r="AN909">
        <v>1553</v>
      </c>
      <c r="AO909" t="s">
        <v>13</v>
      </c>
      <c r="AP909">
        <v>3201</v>
      </c>
      <c r="AQ909" t="s">
        <v>13</v>
      </c>
      <c r="AR909">
        <f t="shared" si="341"/>
        <v>0.34715140574622366</v>
      </c>
      <c r="AS909">
        <f t="shared" si="357"/>
        <v>0.33605000000000002</v>
      </c>
      <c r="AT909">
        <f t="shared" si="358"/>
        <v>1076</v>
      </c>
      <c r="AU909">
        <f t="shared" si="359"/>
        <v>572</v>
      </c>
      <c r="AV909">
        <f t="shared" si="344"/>
        <v>560</v>
      </c>
      <c r="AW909">
        <f t="shared" si="345"/>
        <v>711</v>
      </c>
      <c r="AX909" s="3">
        <f t="shared" si="346"/>
        <v>1930</v>
      </c>
      <c r="AY909">
        <f t="shared" si="347"/>
        <v>538</v>
      </c>
      <c r="AZ909">
        <f t="shared" si="348"/>
        <v>717</v>
      </c>
      <c r="BA909" s="3">
        <f t="shared" si="349"/>
        <v>1946</v>
      </c>
    </row>
    <row r="910" spans="1:53" x14ac:dyDescent="0.2">
      <c r="A910">
        <v>1983</v>
      </c>
      <c r="B910" t="s">
        <v>87</v>
      </c>
      <c r="C910" t="s">
        <v>85</v>
      </c>
      <c r="D910">
        <f t="shared" si="360"/>
        <v>28.665000000000003</v>
      </c>
      <c r="E910">
        <f t="shared" si="360"/>
        <v>0</v>
      </c>
      <c r="F910">
        <f t="shared" si="360"/>
        <v>0</v>
      </c>
      <c r="G910">
        <f t="shared" si="360"/>
        <v>9.23</v>
      </c>
      <c r="H910">
        <f t="shared" si="360"/>
        <v>0</v>
      </c>
      <c r="I910">
        <f t="shared" si="360"/>
        <v>3.1850000000000005</v>
      </c>
      <c r="J910">
        <f t="shared" si="360"/>
        <v>0</v>
      </c>
      <c r="K910">
        <f t="shared" si="342"/>
        <v>41.080000000000005</v>
      </c>
      <c r="L910">
        <f t="shared" ref="L910:N910" si="366">L867*0.65</f>
        <v>0</v>
      </c>
      <c r="M910">
        <f t="shared" si="366"/>
        <v>0.32500000000000001</v>
      </c>
      <c r="N910">
        <f t="shared" si="366"/>
        <v>0</v>
      </c>
      <c r="O910">
        <f t="shared" si="350"/>
        <v>0.32500000000000001</v>
      </c>
      <c r="P910">
        <f t="shared" ref="P910:R910" si="367">P867*0.65</f>
        <v>0</v>
      </c>
      <c r="Q910">
        <f t="shared" si="367"/>
        <v>1.04</v>
      </c>
      <c r="R910">
        <f t="shared" si="367"/>
        <v>0</v>
      </c>
      <c r="S910">
        <f t="shared" si="351"/>
        <v>1.04</v>
      </c>
      <c r="T910">
        <f t="shared" ref="T910:U910" si="368">T867*0.65</f>
        <v>0.39</v>
      </c>
      <c r="U910">
        <f t="shared" si="368"/>
        <v>0</v>
      </c>
      <c r="V910">
        <f t="shared" ref="V910:Z910" si="369">V867*0.65</f>
        <v>0</v>
      </c>
      <c r="W910">
        <f t="shared" si="369"/>
        <v>0</v>
      </c>
      <c r="X910">
        <f t="shared" si="369"/>
        <v>0</v>
      </c>
      <c r="Y910">
        <f t="shared" si="369"/>
        <v>0.65</v>
      </c>
      <c r="Z910">
        <f t="shared" si="369"/>
        <v>0</v>
      </c>
      <c r="AA910">
        <f t="shared" si="352"/>
        <v>1.04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 s="5">
        <v>13.591495823842065</v>
      </c>
      <c r="AI910" t="s">
        <v>13</v>
      </c>
      <c r="AJ910" s="5">
        <f t="shared" si="353"/>
        <v>13.591495823842065</v>
      </c>
      <c r="AK910" t="s">
        <v>13</v>
      </c>
      <c r="AL910">
        <f t="shared" si="365"/>
        <v>0.42923504176157934</v>
      </c>
      <c r="AM910">
        <f t="shared" si="337"/>
        <v>0.57076495823842066</v>
      </c>
      <c r="AN910">
        <v>1696</v>
      </c>
      <c r="AO910" t="s">
        <v>13</v>
      </c>
      <c r="AP910">
        <v>3951</v>
      </c>
      <c r="AQ910" t="s">
        <v>13</v>
      </c>
      <c r="AR910">
        <f t="shared" si="341"/>
        <v>0.23812772013527517</v>
      </c>
      <c r="AS910">
        <f t="shared" si="357"/>
        <v>0.43485000000000007</v>
      </c>
      <c r="AT910">
        <f t="shared" si="358"/>
        <v>1718</v>
      </c>
      <c r="AU910">
        <f t="shared" si="359"/>
        <v>537</v>
      </c>
      <c r="AV910">
        <f t="shared" si="344"/>
        <v>907</v>
      </c>
      <c r="AW910">
        <f t="shared" si="345"/>
        <v>732</v>
      </c>
      <c r="AX910" s="3">
        <f t="shared" si="346"/>
        <v>2312</v>
      </c>
      <c r="AY910">
        <f t="shared" si="347"/>
        <v>859</v>
      </c>
      <c r="AZ910">
        <f t="shared" si="348"/>
        <v>744</v>
      </c>
      <c r="BA910" s="3">
        <f t="shared" si="349"/>
        <v>2348</v>
      </c>
    </row>
    <row r="911" spans="1:53" x14ac:dyDescent="0.2">
      <c r="A911">
        <v>1984</v>
      </c>
      <c r="B911" t="s">
        <v>87</v>
      </c>
      <c r="C911" t="s">
        <v>85</v>
      </c>
      <c r="D911">
        <f t="shared" si="360"/>
        <v>11.375</v>
      </c>
      <c r="E911">
        <f t="shared" si="360"/>
        <v>0.45499999999999996</v>
      </c>
      <c r="F911">
        <f t="shared" si="360"/>
        <v>0</v>
      </c>
      <c r="G911">
        <f t="shared" si="360"/>
        <v>16.509999999999998</v>
      </c>
      <c r="H911">
        <f t="shared" si="360"/>
        <v>1.6900000000000002</v>
      </c>
      <c r="I911">
        <f t="shared" si="360"/>
        <v>5.59</v>
      </c>
      <c r="J911">
        <f t="shared" si="360"/>
        <v>0</v>
      </c>
      <c r="K911">
        <f t="shared" si="342"/>
        <v>35.619999999999997</v>
      </c>
      <c r="L911">
        <f t="shared" ref="L911:N911" si="370">L868*0.65</f>
        <v>0</v>
      </c>
      <c r="M911">
        <f t="shared" si="370"/>
        <v>0</v>
      </c>
      <c r="N911">
        <f t="shared" si="370"/>
        <v>0</v>
      </c>
      <c r="O911">
        <f t="shared" si="350"/>
        <v>0</v>
      </c>
      <c r="P911">
        <f t="shared" ref="P911:R911" si="371">P868*0.65</f>
        <v>0</v>
      </c>
      <c r="Q911">
        <f t="shared" si="371"/>
        <v>0</v>
      </c>
      <c r="R911">
        <f t="shared" si="371"/>
        <v>0</v>
      </c>
      <c r="S911">
        <f t="shared" si="351"/>
        <v>0</v>
      </c>
      <c r="T911">
        <f t="shared" ref="T911:U911" si="372">T868*0.65</f>
        <v>1.885</v>
      </c>
      <c r="U911">
        <f t="shared" si="372"/>
        <v>0</v>
      </c>
      <c r="V911">
        <f t="shared" ref="V911:Z911" si="373">V868*0.65</f>
        <v>0</v>
      </c>
      <c r="W911">
        <f t="shared" si="373"/>
        <v>0</v>
      </c>
      <c r="X911">
        <f t="shared" si="373"/>
        <v>0</v>
      </c>
      <c r="Y911">
        <f t="shared" si="373"/>
        <v>0</v>
      </c>
      <c r="Z911">
        <f t="shared" si="373"/>
        <v>0</v>
      </c>
      <c r="AA911">
        <f t="shared" si="352"/>
        <v>1.885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 s="5">
        <v>17.923940149625935</v>
      </c>
      <c r="AI911" t="s">
        <v>13</v>
      </c>
      <c r="AJ911" s="5">
        <f t="shared" si="353"/>
        <v>17.923940149625935</v>
      </c>
      <c r="AK911" t="s">
        <v>13</v>
      </c>
      <c r="AL911">
        <f t="shared" si="365"/>
        <v>0.44571059850374073</v>
      </c>
      <c r="AM911">
        <f t="shared" si="337"/>
        <v>0.55428940149625927</v>
      </c>
      <c r="AN911">
        <v>1430</v>
      </c>
      <c r="AO911" t="s">
        <v>13</v>
      </c>
      <c r="AP911">
        <v>3208</v>
      </c>
      <c r="AQ911" t="s">
        <v>13</v>
      </c>
      <c r="AR911">
        <f t="shared" si="341"/>
        <v>0.32336790314304609</v>
      </c>
      <c r="AS911">
        <f t="shared" si="357"/>
        <v>0.37504999999999994</v>
      </c>
      <c r="AT911">
        <f t="shared" si="358"/>
        <v>1203</v>
      </c>
      <c r="AU911">
        <f t="shared" si="359"/>
        <v>575</v>
      </c>
      <c r="AV911">
        <f t="shared" si="344"/>
        <v>632</v>
      </c>
      <c r="AW911">
        <f t="shared" si="345"/>
        <v>739</v>
      </c>
      <c r="AX911" s="3">
        <f t="shared" si="346"/>
        <v>1837</v>
      </c>
      <c r="AY911">
        <f t="shared" si="347"/>
        <v>602</v>
      </c>
      <c r="AZ911">
        <f t="shared" si="348"/>
        <v>747</v>
      </c>
      <c r="BA911" s="3">
        <f t="shared" si="349"/>
        <v>1859</v>
      </c>
    </row>
    <row r="912" spans="1:53" x14ac:dyDescent="0.2">
      <c r="A912">
        <v>1985</v>
      </c>
      <c r="B912" t="s">
        <v>87</v>
      </c>
      <c r="C912" t="s">
        <v>85</v>
      </c>
      <c r="D912">
        <f t="shared" si="360"/>
        <v>14.559999999999999</v>
      </c>
      <c r="E912">
        <f t="shared" si="360"/>
        <v>0</v>
      </c>
      <c r="F912">
        <f t="shared" si="360"/>
        <v>0</v>
      </c>
      <c r="G912">
        <f t="shared" si="360"/>
        <v>19.824999999999999</v>
      </c>
      <c r="H912">
        <f t="shared" si="360"/>
        <v>0</v>
      </c>
      <c r="I912">
        <f t="shared" si="360"/>
        <v>1.4949999999999999</v>
      </c>
      <c r="J912">
        <f t="shared" si="360"/>
        <v>0</v>
      </c>
      <c r="K912">
        <f t="shared" si="342"/>
        <v>35.879999999999995</v>
      </c>
      <c r="L912">
        <f t="shared" ref="L912:N912" si="374">L869*0.65</f>
        <v>0</v>
      </c>
      <c r="M912">
        <f t="shared" si="374"/>
        <v>0</v>
      </c>
      <c r="N912">
        <f t="shared" si="374"/>
        <v>0</v>
      </c>
      <c r="O912">
        <f t="shared" si="350"/>
        <v>0</v>
      </c>
      <c r="P912">
        <f t="shared" ref="P912:R912" si="375">P869*0.65</f>
        <v>0</v>
      </c>
      <c r="Q912">
        <f t="shared" si="375"/>
        <v>0.90999999999999992</v>
      </c>
      <c r="R912">
        <f t="shared" si="375"/>
        <v>0</v>
      </c>
      <c r="S912">
        <f t="shared" si="351"/>
        <v>0.90999999999999992</v>
      </c>
      <c r="T912">
        <f t="shared" ref="T912:U912" si="376">T869*0.65</f>
        <v>0</v>
      </c>
      <c r="U912">
        <f t="shared" si="376"/>
        <v>0</v>
      </c>
      <c r="V912">
        <f t="shared" ref="V912:Z912" si="377">V869*0.65</f>
        <v>0</v>
      </c>
      <c r="W912">
        <f t="shared" si="377"/>
        <v>0</v>
      </c>
      <c r="X912">
        <f t="shared" si="377"/>
        <v>0</v>
      </c>
      <c r="Y912">
        <f t="shared" si="377"/>
        <v>0</v>
      </c>
      <c r="Z912">
        <f t="shared" si="377"/>
        <v>1.105</v>
      </c>
      <c r="AA912">
        <f t="shared" si="352"/>
        <v>1.105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 s="5">
        <v>17.209729233593389</v>
      </c>
      <c r="AI912" t="s">
        <v>13</v>
      </c>
      <c r="AJ912" s="5">
        <f t="shared" si="353"/>
        <v>17.209729233593389</v>
      </c>
      <c r="AK912" t="s">
        <v>13</v>
      </c>
      <c r="AL912">
        <f t="shared" si="365"/>
        <v>0.44895270766406614</v>
      </c>
      <c r="AM912">
        <f t="shared" si="337"/>
        <v>0.55104729233593386</v>
      </c>
      <c r="AN912">
        <v>978</v>
      </c>
      <c r="AO912" t="s">
        <v>13</v>
      </c>
      <c r="AP912">
        <v>2179</v>
      </c>
      <c r="AQ912" t="s">
        <v>13</v>
      </c>
      <c r="AR912">
        <f t="shared" si="341"/>
        <v>0.31230947820539978</v>
      </c>
      <c r="AS912">
        <f t="shared" si="357"/>
        <v>0.3789499999999999</v>
      </c>
      <c r="AT912">
        <f t="shared" si="358"/>
        <v>826</v>
      </c>
      <c r="AU912">
        <f t="shared" si="359"/>
        <v>375</v>
      </c>
      <c r="AV912">
        <f t="shared" si="344"/>
        <v>435</v>
      </c>
      <c r="AW912">
        <f t="shared" si="345"/>
        <v>483</v>
      </c>
      <c r="AX912" s="3">
        <f t="shared" si="346"/>
        <v>1261</v>
      </c>
      <c r="AY912">
        <f t="shared" si="347"/>
        <v>413</v>
      </c>
      <c r="AZ912">
        <f t="shared" si="348"/>
        <v>489</v>
      </c>
      <c r="BA912" s="3">
        <f t="shared" si="349"/>
        <v>1277</v>
      </c>
    </row>
    <row r="913" spans="1:53" x14ac:dyDescent="0.2">
      <c r="A913">
        <v>1986</v>
      </c>
      <c r="B913" t="s">
        <v>87</v>
      </c>
      <c r="C913" t="s">
        <v>85</v>
      </c>
      <c r="D913">
        <f t="shared" si="360"/>
        <v>16.315000000000001</v>
      </c>
      <c r="E913">
        <f t="shared" si="360"/>
        <v>0</v>
      </c>
      <c r="F913">
        <f t="shared" si="360"/>
        <v>0.78</v>
      </c>
      <c r="G913">
        <f t="shared" si="360"/>
        <v>7.41</v>
      </c>
      <c r="H913">
        <f t="shared" si="360"/>
        <v>0</v>
      </c>
      <c r="I913">
        <f t="shared" si="360"/>
        <v>4.42</v>
      </c>
      <c r="J913">
        <f t="shared" si="360"/>
        <v>0</v>
      </c>
      <c r="K913">
        <f t="shared" si="342"/>
        <v>28.925000000000004</v>
      </c>
      <c r="L913">
        <f t="shared" ref="L913:N913" si="378">L870*0.65</f>
        <v>1.04</v>
      </c>
      <c r="M913">
        <f t="shared" si="378"/>
        <v>0</v>
      </c>
      <c r="N913">
        <f t="shared" si="378"/>
        <v>0</v>
      </c>
      <c r="O913">
        <f t="shared" si="350"/>
        <v>1.04</v>
      </c>
      <c r="P913">
        <f t="shared" ref="P913:R913" si="379">P870*0.65</f>
        <v>0</v>
      </c>
      <c r="Q913">
        <f t="shared" si="379"/>
        <v>0.58500000000000008</v>
      </c>
      <c r="R913">
        <f t="shared" si="379"/>
        <v>0</v>
      </c>
      <c r="S913">
        <f t="shared" si="351"/>
        <v>0.58500000000000008</v>
      </c>
      <c r="T913">
        <f t="shared" ref="T913:U913" si="380">T870*0.65</f>
        <v>0</v>
      </c>
      <c r="U913">
        <f t="shared" si="380"/>
        <v>0</v>
      </c>
      <c r="V913">
        <f t="shared" ref="V913:Z913" si="381">V870*0.65</f>
        <v>0</v>
      </c>
      <c r="W913">
        <f t="shared" si="381"/>
        <v>0</v>
      </c>
      <c r="X913">
        <f t="shared" si="381"/>
        <v>0</v>
      </c>
      <c r="Y913">
        <f t="shared" si="381"/>
        <v>0</v>
      </c>
      <c r="Z913">
        <f t="shared" si="381"/>
        <v>6.5000000000000002E-2</v>
      </c>
      <c r="AA913">
        <f t="shared" si="352"/>
        <v>6.5000000000000002E-2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 s="5">
        <v>24.092888243831638</v>
      </c>
      <c r="AI913" t="s">
        <v>13</v>
      </c>
      <c r="AJ913" s="5">
        <f t="shared" si="353"/>
        <v>24.092888243831638</v>
      </c>
      <c r="AK913" t="s">
        <v>13</v>
      </c>
      <c r="AL913">
        <f t="shared" si="365"/>
        <v>0.45292111756168352</v>
      </c>
      <c r="AM913">
        <f t="shared" si="337"/>
        <v>0.54707888243831648</v>
      </c>
      <c r="AN913">
        <v>1248</v>
      </c>
      <c r="AO913" t="s">
        <v>13</v>
      </c>
      <c r="AP913">
        <v>2756</v>
      </c>
      <c r="AQ913" t="s">
        <v>13</v>
      </c>
      <c r="AR913">
        <f t="shared" si="341"/>
        <v>0.44039148680808615</v>
      </c>
      <c r="AS913">
        <f t="shared" si="357"/>
        <v>0.30615000000000003</v>
      </c>
      <c r="AT913">
        <f t="shared" si="358"/>
        <v>844</v>
      </c>
      <c r="AU913">
        <f t="shared" si="359"/>
        <v>664</v>
      </c>
      <c r="AV913">
        <f t="shared" si="344"/>
        <v>445</v>
      </c>
      <c r="AW913">
        <f t="shared" si="345"/>
        <v>803</v>
      </c>
      <c r="AX913" s="3">
        <f t="shared" si="346"/>
        <v>1508</v>
      </c>
      <c r="AY913">
        <f t="shared" si="347"/>
        <v>422</v>
      </c>
      <c r="AZ913">
        <f t="shared" si="348"/>
        <v>811</v>
      </c>
      <c r="BA913" s="3">
        <f t="shared" si="349"/>
        <v>1523</v>
      </c>
    </row>
    <row r="914" spans="1:53" x14ac:dyDescent="0.2">
      <c r="A914">
        <v>1987</v>
      </c>
      <c r="B914" t="s">
        <v>87</v>
      </c>
      <c r="C914" t="s">
        <v>85</v>
      </c>
      <c r="D914">
        <f t="shared" si="360"/>
        <v>17.225000000000001</v>
      </c>
      <c r="E914">
        <f t="shared" si="360"/>
        <v>1.105</v>
      </c>
      <c r="F914">
        <f t="shared" si="360"/>
        <v>6.5000000000000002E-2</v>
      </c>
      <c r="G914">
        <f t="shared" si="360"/>
        <v>8.32</v>
      </c>
      <c r="H914">
        <f t="shared" si="360"/>
        <v>0.58500000000000008</v>
      </c>
      <c r="I914">
        <f t="shared" si="360"/>
        <v>0.97500000000000009</v>
      </c>
      <c r="J914">
        <f t="shared" si="360"/>
        <v>0</v>
      </c>
      <c r="K914">
        <f t="shared" si="342"/>
        <v>28.275000000000006</v>
      </c>
      <c r="L914">
        <f t="shared" ref="L914:N914" si="382">L871*0.65</f>
        <v>0.84500000000000008</v>
      </c>
      <c r="M914">
        <f t="shared" si="382"/>
        <v>0.32500000000000001</v>
      </c>
      <c r="N914">
        <f t="shared" si="382"/>
        <v>0</v>
      </c>
      <c r="O914">
        <f t="shared" si="350"/>
        <v>1.1700000000000002</v>
      </c>
      <c r="P914">
        <f t="shared" ref="P914:R914" si="383">P871*0.65</f>
        <v>0</v>
      </c>
      <c r="Q914">
        <f t="shared" si="383"/>
        <v>0</v>
      </c>
      <c r="R914">
        <f t="shared" si="383"/>
        <v>0</v>
      </c>
      <c r="S914">
        <f t="shared" si="351"/>
        <v>0</v>
      </c>
      <c r="T914">
        <f t="shared" ref="T914:U914" si="384">T871*0.65</f>
        <v>0.26</v>
      </c>
      <c r="U914">
        <f t="shared" si="384"/>
        <v>0</v>
      </c>
      <c r="V914">
        <f t="shared" ref="V914:Z914" si="385">V871*0.65</f>
        <v>0</v>
      </c>
      <c r="W914">
        <f t="shared" si="385"/>
        <v>0</v>
      </c>
      <c r="X914">
        <f t="shared" si="385"/>
        <v>0</v>
      </c>
      <c r="Y914">
        <f t="shared" si="385"/>
        <v>0</v>
      </c>
      <c r="Z914">
        <f t="shared" si="385"/>
        <v>0.45499999999999996</v>
      </c>
      <c r="AA914">
        <f t="shared" si="352"/>
        <v>0.71499999999999997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 s="5">
        <v>21.684032666854407</v>
      </c>
      <c r="AI914" t="s">
        <v>13</v>
      </c>
      <c r="AJ914" s="5">
        <f t="shared" si="353"/>
        <v>21.684032666854407</v>
      </c>
      <c r="AK914" t="s">
        <v>13</v>
      </c>
      <c r="AL914">
        <f t="shared" si="365"/>
        <v>0.481559673331456</v>
      </c>
      <c r="AM914">
        <f t="shared" ref="AM914:AM977" si="386">SUM(AB914:AI914,T914:Z914,P914:R914,L914:N914,D914:J914)/100</f>
        <v>0.518440326668544</v>
      </c>
      <c r="AN914">
        <v>1710</v>
      </c>
      <c r="AO914" t="s">
        <v>13</v>
      </c>
      <c r="AP914">
        <v>3551</v>
      </c>
      <c r="AQ914" t="s">
        <v>13</v>
      </c>
      <c r="AR914">
        <f t="shared" si="341"/>
        <v>0.41825513084975974</v>
      </c>
      <c r="AS914">
        <f t="shared" si="357"/>
        <v>0.30160000000000009</v>
      </c>
      <c r="AT914">
        <f t="shared" si="358"/>
        <v>1071</v>
      </c>
      <c r="AU914">
        <f t="shared" si="359"/>
        <v>770</v>
      </c>
      <c r="AV914">
        <f t="shared" si="344"/>
        <v>569</v>
      </c>
      <c r="AW914">
        <f t="shared" si="345"/>
        <v>926</v>
      </c>
      <c r="AX914" s="3">
        <f t="shared" si="346"/>
        <v>2056</v>
      </c>
      <c r="AY914">
        <f t="shared" si="347"/>
        <v>535</v>
      </c>
      <c r="AZ914">
        <f t="shared" si="348"/>
        <v>936</v>
      </c>
      <c r="BA914" s="3">
        <f t="shared" si="349"/>
        <v>2080</v>
      </c>
    </row>
    <row r="915" spans="1:53" x14ac:dyDescent="0.2">
      <c r="A915">
        <v>1988</v>
      </c>
      <c r="B915" t="s">
        <v>87</v>
      </c>
      <c r="C915" t="s">
        <v>85</v>
      </c>
      <c r="D915">
        <f t="shared" si="360"/>
        <v>14.040000000000001</v>
      </c>
      <c r="E915">
        <f t="shared" si="360"/>
        <v>1.04</v>
      </c>
      <c r="F915">
        <f t="shared" si="360"/>
        <v>0.97500000000000009</v>
      </c>
      <c r="G915">
        <f t="shared" si="360"/>
        <v>5.5250000000000004</v>
      </c>
      <c r="H915">
        <f t="shared" si="360"/>
        <v>0.58500000000000008</v>
      </c>
      <c r="I915">
        <f t="shared" si="360"/>
        <v>3.5100000000000002</v>
      </c>
      <c r="J915">
        <f t="shared" si="360"/>
        <v>0</v>
      </c>
      <c r="K915">
        <f t="shared" si="342"/>
        <v>25.675000000000008</v>
      </c>
      <c r="L915">
        <f t="shared" ref="L915:N915" si="387">L872*0.65</f>
        <v>1.2349999999999999</v>
      </c>
      <c r="M915">
        <f t="shared" si="387"/>
        <v>0.26</v>
      </c>
      <c r="N915">
        <f t="shared" si="387"/>
        <v>0</v>
      </c>
      <c r="O915">
        <f t="shared" si="350"/>
        <v>1.4949999999999999</v>
      </c>
      <c r="P915">
        <f t="shared" ref="P915:R915" si="388">P872*0.65</f>
        <v>0</v>
      </c>
      <c r="Q915">
        <f t="shared" si="388"/>
        <v>0</v>
      </c>
      <c r="R915">
        <f t="shared" si="388"/>
        <v>0.65</v>
      </c>
      <c r="S915">
        <f t="shared" si="351"/>
        <v>0.65</v>
      </c>
      <c r="T915">
        <f t="shared" ref="T915:U915" si="389">T872*0.65</f>
        <v>0</v>
      </c>
      <c r="U915">
        <f t="shared" si="389"/>
        <v>0</v>
      </c>
      <c r="V915">
        <f t="shared" ref="V915:Z915" si="390">V872*0.65</f>
        <v>0</v>
      </c>
      <c r="W915">
        <f t="shared" si="390"/>
        <v>0</v>
      </c>
      <c r="X915">
        <f t="shared" si="390"/>
        <v>0</v>
      </c>
      <c r="Y915">
        <f t="shared" si="390"/>
        <v>0</v>
      </c>
      <c r="Z915">
        <f t="shared" si="390"/>
        <v>2.145</v>
      </c>
      <c r="AA915">
        <f t="shared" si="352"/>
        <v>2.145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 s="5">
        <v>20.83490744238761</v>
      </c>
      <c r="AI915" t="s">
        <v>13</v>
      </c>
      <c r="AJ915" s="5">
        <f t="shared" si="353"/>
        <v>20.83490744238761</v>
      </c>
      <c r="AK915" t="s">
        <v>13</v>
      </c>
      <c r="AL915">
        <f t="shared" si="365"/>
        <v>0.49200092557612396</v>
      </c>
      <c r="AM915">
        <f t="shared" si="386"/>
        <v>0.50799907442387604</v>
      </c>
      <c r="AN915">
        <v>2605</v>
      </c>
      <c r="AO915" t="s">
        <v>13</v>
      </c>
      <c r="AP915">
        <v>5294</v>
      </c>
      <c r="AQ915" t="s">
        <v>13</v>
      </c>
      <c r="AR915">
        <f t="shared" si="341"/>
        <v>0.41013672054455158</v>
      </c>
      <c r="AS915">
        <f t="shared" si="357"/>
        <v>0.29965000000000008</v>
      </c>
      <c r="AT915">
        <f t="shared" si="358"/>
        <v>1586</v>
      </c>
      <c r="AU915">
        <f t="shared" si="359"/>
        <v>1103</v>
      </c>
      <c r="AV915">
        <f t="shared" si="344"/>
        <v>907</v>
      </c>
      <c r="AW915">
        <f t="shared" si="345"/>
        <v>1305</v>
      </c>
      <c r="AX915" s="3">
        <f t="shared" si="346"/>
        <v>3082</v>
      </c>
      <c r="AY915">
        <f t="shared" si="347"/>
        <v>793</v>
      </c>
      <c r="AZ915">
        <f t="shared" si="348"/>
        <v>1339</v>
      </c>
      <c r="BA915" s="3">
        <f t="shared" si="349"/>
        <v>3162</v>
      </c>
    </row>
    <row r="916" spans="1:53" x14ac:dyDescent="0.2">
      <c r="A916">
        <v>1989</v>
      </c>
      <c r="B916" t="s">
        <v>87</v>
      </c>
      <c r="C916" t="s">
        <v>85</v>
      </c>
      <c r="D916">
        <f t="shared" si="360"/>
        <v>7.6049999999999995</v>
      </c>
      <c r="E916">
        <f t="shared" si="360"/>
        <v>0.19500000000000001</v>
      </c>
      <c r="F916">
        <f t="shared" si="360"/>
        <v>0.13</v>
      </c>
      <c r="G916">
        <f t="shared" si="360"/>
        <v>7.6049999999999995</v>
      </c>
      <c r="H916">
        <f t="shared" si="360"/>
        <v>0.13</v>
      </c>
      <c r="I916">
        <f t="shared" si="360"/>
        <v>6.8250000000000002</v>
      </c>
      <c r="J916">
        <f t="shared" si="360"/>
        <v>0</v>
      </c>
      <c r="K916">
        <f t="shared" si="342"/>
        <v>22.490000000000002</v>
      </c>
      <c r="L916">
        <f t="shared" ref="L916:N916" si="391">L873*0.65</f>
        <v>0.39</v>
      </c>
      <c r="M916">
        <f t="shared" si="391"/>
        <v>0.19500000000000001</v>
      </c>
      <c r="N916">
        <f t="shared" si="391"/>
        <v>0</v>
      </c>
      <c r="O916">
        <f t="shared" si="350"/>
        <v>0.58499999999999996</v>
      </c>
      <c r="P916">
        <f t="shared" ref="P916:R916" si="392">P873*0.65</f>
        <v>0</v>
      </c>
      <c r="Q916">
        <f t="shared" si="392"/>
        <v>0</v>
      </c>
      <c r="R916">
        <f t="shared" si="392"/>
        <v>0</v>
      </c>
      <c r="S916">
        <f t="shared" si="351"/>
        <v>0</v>
      </c>
      <c r="T916">
        <f t="shared" ref="T916:U916" si="393">T873*0.65</f>
        <v>0</v>
      </c>
      <c r="U916">
        <f t="shared" si="393"/>
        <v>0</v>
      </c>
      <c r="V916">
        <f t="shared" ref="V916:Z916" si="394">V873*0.65</f>
        <v>0</v>
      </c>
      <c r="W916">
        <f t="shared" si="394"/>
        <v>0</v>
      </c>
      <c r="X916">
        <f t="shared" si="394"/>
        <v>0</v>
      </c>
      <c r="Y916">
        <f t="shared" si="394"/>
        <v>0</v>
      </c>
      <c r="Z916">
        <f t="shared" si="394"/>
        <v>1.3</v>
      </c>
      <c r="AA916">
        <f t="shared" si="352"/>
        <v>1.3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 s="5">
        <v>23.541805278332227</v>
      </c>
      <c r="AI916" t="s">
        <v>13</v>
      </c>
      <c r="AJ916" s="5">
        <f t="shared" si="353"/>
        <v>23.541805278332227</v>
      </c>
      <c r="AK916" t="s">
        <v>13</v>
      </c>
      <c r="AL916">
        <f t="shared" si="365"/>
        <v>0.52083194721667758</v>
      </c>
      <c r="AM916">
        <f t="shared" si="386"/>
        <v>0.47916805278332236</v>
      </c>
      <c r="AN916">
        <v>4697</v>
      </c>
      <c r="AO916" t="s">
        <v>13</v>
      </c>
      <c r="AP916">
        <v>9018</v>
      </c>
      <c r="AQ916" t="s">
        <v>13</v>
      </c>
      <c r="AR916">
        <f t="shared" si="341"/>
        <v>0.49130581935890716</v>
      </c>
      <c r="AS916">
        <f t="shared" si="357"/>
        <v>0.24375000000000002</v>
      </c>
      <c r="AT916">
        <f t="shared" si="358"/>
        <v>2198</v>
      </c>
      <c r="AU916">
        <f t="shared" si="359"/>
        <v>2123</v>
      </c>
      <c r="AV916">
        <f t="shared" si="344"/>
        <v>1184</v>
      </c>
      <c r="AW916">
        <f t="shared" si="345"/>
        <v>2439</v>
      </c>
      <c r="AX916" s="3">
        <f t="shared" si="346"/>
        <v>5395</v>
      </c>
      <c r="AY916">
        <f t="shared" si="347"/>
        <v>1099</v>
      </c>
      <c r="AZ916">
        <f t="shared" si="348"/>
        <v>2465</v>
      </c>
      <c r="BA916" s="3">
        <f t="shared" si="349"/>
        <v>5454</v>
      </c>
    </row>
    <row r="917" spans="1:53" x14ac:dyDescent="0.2">
      <c r="A917">
        <v>1990</v>
      </c>
      <c r="B917" t="s">
        <v>87</v>
      </c>
      <c r="C917" t="s">
        <v>85</v>
      </c>
      <c r="D917">
        <f t="shared" si="360"/>
        <v>9.8149999999999995</v>
      </c>
      <c r="E917">
        <f t="shared" si="360"/>
        <v>0.32500000000000001</v>
      </c>
      <c r="F917">
        <f t="shared" si="360"/>
        <v>0.19500000000000001</v>
      </c>
      <c r="G917">
        <f t="shared" si="360"/>
        <v>4.0949999999999998</v>
      </c>
      <c r="H917">
        <f t="shared" si="360"/>
        <v>1.6900000000000002</v>
      </c>
      <c r="I917">
        <f t="shared" si="360"/>
        <v>4.6150000000000002</v>
      </c>
      <c r="J917">
        <f t="shared" si="360"/>
        <v>0</v>
      </c>
      <c r="K917">
        <f t="shared" si="342"/>
        <v>20.734999999999999</v>
      </c>
      <c r="L917">
        <f t="shared" ref="L917:N917" si="395">L874*0.65</f>
        <v>0.19500000000000001</v>
      </c>
      <c r="M917">
        <f t="shared" si="395"/>
        <v>0.13</v>
      </c>
      <c r="N917">
        <f t="shared" si="395"/>
        <v>0</v>
      </c>
      <c r="O917">
        <f t="shared" si="350"/>
        <v>0.32500000000000001</v>
      </c>
      <c r="P917">
        <f t="shared" ref="P917:R917" si="396">P874*0.65</f>
        <v>0</v>
      </c>
      <c r="Q917">
        <f t="shared" si="396"/>
        <v>0</v>
      </c>
      <c r="R917">
        <f t="shared" si="396"/>
        <v>0</v>
      </c>
      <c r="S917">
        <f t="shared" si="351"/>
        <v>0</v>
      </c>
      <c r="T917">
        <f t="shared" ref="T917:U917" si="397">T874*0.65</f>
        <v>0</v>
      </c>
      <c r="U917">
        <f t="shared" si="397"/>
        <v>0</v>
      </c>
      <c r="V917">
        <f t="shared" ref="V917:Z917" si="398">V874*0.65</f>
        <v>0</v>
      </c>
      <c r="W917">
        <f t="shared" si="398"/>
        <v>0</v>
      </c>
      <c r="X917">
        <f t="shared" si="398"/>
        <v>0</v>
      </c>
      <c r="Y917">
        <f t="shared" si="398"/>
        <v>0</v>
      </c>
      <c r="Z917">
        <f t="shared" si="398"/>
        <v>0</v>
      </c>
      <c r="AA917">
        <f t="shared" si="352"/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 s="5">
        <v>20.99612287503728</v>
      </c>
      <c r="AI917" t="s">
        <v>13</v>
      </c>
      <c r="AJ917" s="5">
        <f t="shared" si="353"/>
        <v>20.99612287503728</v>
      </c>
      <c r="AK917" t="s">
        <v>13</v>
      </c>
      <c r="AL917">
        <f t="shared" si="365"/>
        <v>0.57943877124962717</v>
      </c>
      <c r="AM917">
        <f t="shared" si="386"/>
        <v>0.42056122875037283</v>
      </c>
      <c r="AN917">
        <v>3886</v>
      </c>
      <c r="AO917" t="s">
        <v>13</v>
      </c>
      <c r="AP917">
        <v>6706</v>
      </c>
      <c r="AQ917" t="s">
        <v>13</v>
      </c>
      <c r="AR917">
        <f t="shared" si="341"/>
        <v>0.49924057282749856</v>
      </c>
      <c r="AS917">
        <f t="shared" si="357"/>
        <v>0.21059999999999998</v>
      </c>
      <c r="AT917">
        <f t="shared" si="358"/>
        <v>1412</v>
      </c>
      <c r="AU917">
        <f t="shared" si="359"/>
        <v>1408</v>
      </c>
      <c r="AV917">
        <f t="shared" si="344"/>
        <v>717</v>
      </c>
      <c r="AW917">
        <f t="shared" si="345"/>
        <v>1593</v>
      </c>
      <c r="AX917" s="3">
        <f t="shared" si="346"/>
        <v>4396</v>
      </c>
      <c r="AY917">
        <f t="shared" si="347"/>
        <v>706</v>
      </c>
      <c r="AZ917">
        <f t="shared" si="348"/>
        <v>1596</v>
      </c>
      <c r="BA917" s="3">
        <f t="shared" si="349"/>
        <v>4404</v>
      </c>
    </row>
    <row r="918" spans="1:53" x14ac:dyDescent="0.2">
      <c r="A918">
        <v>1991</v>
      </c>
      <c r="B918" t="s">
        <v>87</v>
      </c>
      <c r="C918" t="s">
        <v>85</v>
      </c>
      <c r="D918">
        <f t="shared" si="360"/>
        <v>15.990000000000002</v>
      </c>
      <c r="E918">
        <f t="shared" si="360"/>
        <v>0.19500000000000001</v>
      </c>
      <c r="F918">
        <f t="shared" si="360"/>
        <v>0.52</v>
      </c>
      <c r="G918">
        <f t="shared" si="360"/>
        <v>6.6950000000000003</v>
      </c>
      <c r="H918">
        <f t="shared" si="360"/>
        <v>0.84500000000000008</v>
      </c>
      <c r="I918">
        <f t="shared" si="360"/>
        <v>4.03</v>
      </c>
      <c r="J918">
        <f t="shared" si="360"/>
        <v>0</v>
      </c>
      <c r="K918">
        <f t="shared" si="342"/>
        <v>28.275000000000002</v>
      </c>
      <c r="L918">
        <f t="shared" ref="L918:N918" si="399">L875*0.65</f>
        <v>0</v>
      </c>
      <c r="M918">
        <f t="shared" si="399"/>
        <v>0</v>
      </c>
      <c r="N918">
        <f t="shared" si="399"/>
        <v>0</v>
      </c>
      <c r="O918">
        <f t="shared" si="350"/>
        <v>0</v>
      </c>
      <c r="P918">
        <f t="shared" ref="P918:R918" si="400">P875*0.65</f>
        <v>0</v>
      </c>
      <c r="Q918">
        <f t="shared" si="400"/>
        <v>0</v>
      </c>
      <c r="R918">
        <f t="shared" si="400"/>
        <v>0</v>
      </c>
      <c r="S918">
        <f t="shared" si="351"/>
        <v>0</v>
      </c>
      <c r="T918">
        <f t="shared" ref="T918:U918" si="401">T875*0.65</f>
        <v>0</v>
      </c>
      <c r="U918">
        <f t="shared" si="401"/>
        <v>0.19500000000000001</v>
      </c>
      <c r="V918">
        <f t="shared" ref="V918:Z918" si="402">V875*0.65</f>
        <v>0</v>
      </c>
      <c r="W918">
        <f t="shared" si="402"/>
        <v>0</v>
      </c>
      <c r="X918">
        <f t="shared" si="402"/>
        <v>0</v>
      </c>
      <c r="Y918">
        <f t="shared" si="402"/>
        <v>0</v>
      </c>
      <c r="Z918">
        <f t="shared" si="402"/>
        <v>0.32500000000000001</v>
      </c>
      <c r="AA918">
        <f t="shared" si="352"/>
        <v>0.52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 s="5">
        <v>25.862068965517242</v>
      </c>
      <c r="AI918" t="s">
        <v>13</v>
      </c>
      <c r="AJ918" s="5">
        <f t="shared" si="353"/>
        <v>25.862068965517242</v>
      </c>
      <c r="AK918" t="s">
        <v>13</v>
      </c>
      <c r="AL918">
        <f t="shared" si="365"/>
        <v>0.45342931034482747</v>
      </c>
      <c r="AM918">
        <f t="shared" si="386"/>
        <v>0.54657068965517253</v>
      </c>
      <c r="AN918">
        <v>1078</v>
      </c>
      <c r="AO918" t="s">
        <v>13</v>
      </c>
      <c r="AP918">
        <v>2378</v>
      </c>
      <c r="AQ918" t="s">
        <v>13</v>
      </c>
      <c r="AR918">
        <f t="shared" si="341"/>
        <v>0.47316970073593656</v>
      </c>
      <c r="AS918">
        <f t="shared" si="357"/>
        <v>0.28795000000000004</v>
      </c>
      <c r="AT918">
        <f t="shared" si="358"/>
        <v>685</v>
      </c>
      <c r="AU918">
        <f t="shared" si="359"/>
        <v>615</v>
      </c>
      <c r="AV918">
        <f t="shared" si="344"/>
        <v>349</v>
      </c>
      <c r="AW918">
        <f t="shared" si="345"/>
        <v>737</v>
      </c>
      <c r="AX918" s="3">
        <f t="shared" si="346"/>
        <v>1292</v>
      </c>
      <c r="AY918">
        <f t="shared" si="347"/>
        <v>342</v>
      </c>
      <c r="AZ918">
        <f t="shared" si="348"/>
        <v>740</v>
      </c>
      <c r="BA918" s="3">
        <f t="shared" si="349"/>
        <v>1296</v>
      </c>
    </row>
    <row r="919" spans="1:53" x14ac:dyDescent="0.2">
      <c r="A919">
        <v>1992</v>
      </c>
      <c r="B919" t="s">
        <v>87</v>
      </c>
      <c r="C919" t="s">
        <v>85</v>
      </c>
      <c r="D919">
        <f t="shared" si="360"/>
        <v>9.8149999999999995</v>
      </c>
      <c r="E919">
        <f t="shared" si="360"/>
        <v>3.9649999999999999</v>
      </c>
      <c r="F919">
        <f t="shared" si="360"/>
        <v>1.625</v>
      </c>
      <c r="G919">
        <f t="shared" si="360"/>
        <v>7.2799999999999994</v>
      </c>
      <c r="H919">
        <f t="shared" si="360"/>
        <v>1.2349999999999999</v>
      </c>
      <c r="I919">
        <f t="shared" si="360"/>
        <v>10.595000000000001</v>
      </c>
      <c r="J919">
        <f t="shared" si="360"/>
        <v>0</v>
      </c>
      <c r="K919">
        <f t="shared" si="342"/>
        <v>34.515000000000001</v>
      </c>
      <c r="L919">
        <f t="shared" ref="L919:N919" si="403">L876*0.65</f>
        <v>0</v>
      </c>
      <c r="M919">
        <f t="shared" si="403"/>
        <v>0.13</v>
      </c>
      <c r="N919">
        <f t="shared" si="403"/>
        <v>0</v>
      </c>
      <c r="O919">
        <f t="shared" si="350"/>
        <v>0.13</v>
      </c>
      <c r="P919">
        <f t="shared" ref="P919:R919" si="404">P876*0.65</f>
        <v>0</v>
      </c>
      <c r="Q919">
        <f t="shared" si="404"/>
        <v>0</v>
      </c>
      <c r="R919">
        <f t="shared" si="404"/>
        <v>0</v>
      </c>
      <c r="S919">
        <f t="shared" si="351"/>
        <v>0</v>
      </c>
      <c r="T919">
        <f t="shared" ref="T919:U919" si="405">T876*0.65</f>
        <v>0</v>
      </c>
      <c r="U919">
        <f t="shared" si="405"/>
        <v>0.19500000000000001</v>
      </c>
      <c r="V919">
        <f t="shared" ref="V919:Z919" si="406">V876*0.65</f>
        <v>0</v>
      </c>
      <c r="W919">
        <f t="shared" si="406"/>
        <v>0</v>
      </c>
      <c r="X919">
        <f t="shared" si="406"/>
        <v>0</v>
      </c>
      <c r="Y919">
        <f t="shared" si="406"/>
        <v>0</v>
      </c>
      <c r="Z919">
        <f t="shared" si="406"/>
        <v>0</v>
      </c>
      <c r="AA919">
        <f t="shared" si="352"/>
        <v>0.19500000000000001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 s="5">
        <v>19.187358916478555</v>
      </c>
      <c r="AI919" t="s">
        <v>13</v>
      </c>
      <c r="AJ919" s="5">
        <f t="shared" si="353"/>
        <v>19.187358916478555</v>
      </c>
      <c r="AK919" t="s">
        <v>13</v>
      </c>
      <c r="AL919">
        <f t="shared" si="365"/>
        <v>0.45972641083521448</v>
      </c>
      <c r="AM919">
        <f t="shared" si="386"/>
        <v>0.54027358916478552</v>
      </c>
      <c r="AN919">
        <v>1018</v>
      </c>
      <c r="AO919" t="s">
        <v>13</v>
      </c>
      <c r="AP919">
        <v>2215</v>
      </c>
      <c r="AQ919" t="s">
        <v>13</v>
      </c>
      <c r="AR919">
        <f t="shared" si="341"/>
        <v>0.35514153016697503</v>
      </c>
      <c r="AS919">
        <f t="shared" si="357"/>
        <v>0.34840000000000004</v>
      </c>
      <c r="AT919">
        <f t="shared" si="358"/>
        <v>772</v>
      </c>
      <c r="AU919">
        <f t="shared" si="359"/>
        <v>425</v>
      </c>
      <c r="AV919">
        <f t="shared" si="344"/>
        <v>389</v>
      </c>
      <c r="AW919">
        <f t="shared" si="345"/>
        <v>538</v>
      </c>
      <c r="AX919" s="3">
        <f t="shared" si="346"/>
        <v>1288</v>
      </c>
      <c r="AY919">
        <f t="shared" si="347"/>
        <v>386</v>
      </c>
      <c r="AZ919">
        <f t="shared" si="348"/>
        <v>539</v>
      </c>
      <c r="BA919" s="3">
        <f t="shared" si="349"/>
        <v>1290</v>
      </c>
    </row>
    <row r="920" spans="1:53" x14ac:dyDescent="0.2">
      <c r="A920">
        <v>1993</v>
      </c>
      <c r="B920" t="s">
        <v>87</v>
      </c>
      <c r="C920" t="s">
        <v>85</v>
      </c>
      <c r="D920">
        <f t="shared" si="360"/>
        <v>13.325000000000001</v>
      </c>
      <c r="E920">
        <f t="shared" si="360"/>
        <v>1.4300000000000002</v>
      </c>
      <c r="F920">
        <f t="shared" si="360"/>
        <v>0.45499999999999996</v>
      </c>
      <c r="G920">
        <f t="shared" si="360"/>
        <v>8.254999999999999</v>
      </c>
      <c r="H920">
        <f t="shared" si="360"/>
        <v>0.90999999999999992</v>
      </c>
      <c r="I920">
        <f t="shared" si="360"/>
        <v>8.58</v>
      </c>
      <c r="J920">
        <f t="shared" si="360"/>
        <v>0</v>
      </c>
      <c r="K920">
        <f t="shared" si="342"/>
        <v>32.954999999999998</v>
      </c>
      <c r="L920">
        <f t="shared" ref="L920:N920" si="407">L877*0.65</f>
        <v>0.19500000000000001</v>
      </c>
      <c r="M920">
        <f t="shared" si="407"/>
        <v>0</v>
      </c>
      <c r="N920">
        <f t="shared" si="407"/>
        <v>0</v>
      </c>
      <c r="O920">
        <f t="shared" si="350"/>
        <v>0.19500000000000001</v>
      </c>
      <c r="P920">
        <f t="shared" ref="P920:R920" si="408">P877*0.65</f>
        <v>0</v>
      </c>
      <c r="Q920">
        <f t="shared" si="408"/>
        <v>0</v>
      </c>
      <c r="R920">
        <f t="shared" si="408"/>
        <v>0</v>
      </c>
      <c r="S920">
        <f t="shared" si="351"/>
        <v>0</v>
      </c>
      <c r="T920">
        <f t="shared" ref="T920:U920" si="409">T877*0.65</f>
        <v>0.32500000000000001</v>
      </c>
      <c r="U920">
        <f t="shared" si="409"/>
        <v>1.2349999999999999</v>
      </c>
      <c r="V920">
        <f t="shared" ref="V920:Z920" si="410">V877*0.65</f>
        <v>0</v>
      </c>
      <c r="W920">
        <f t="shared" si="410"/>
        <v>0</v>
      </c>
      <c r="X920">
        <f t="shared" si="410"/>
        <v>0</v>
      </c>
      <c r="Y920">
        <f t="shared" si="410"/>
        <v>0</v>
      </c>
      <c r="Z920">
        <f t="shared" si="410"/>
        <v>0.65</v>
      </c>
      <c r="AA920">
        <f t="shared" si="352"/>
        <v>2.21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 s="5">
        <v>20.469483568075116</v>
      </c>
      <c r="AI920" t="s">
        <v>13</v>
      </c>
      <c r="AJ920" s="5">
        <f t="shared" si="353"/>
        <v>20.469483568075116</v>
      </c>
      <c r="AK920" t="s">
        <v>13</v>
      </c>
      <c r="AL920">
        <f t="shared" si="365"/>
        <v>0.441705164319249</v>
      </c>
      <c r="AM920">
        <f t="shared" si="386"/>
        <v>0.558294835680751</v>
      </c>
      <c r="AN920">
        <v>1411</v>
      </c>
      <c r="AO920" t="s">
        <v>13</v>
      </c>
      <c r="AP920">
        <v>3195</v>
      </c>
      <c r="AQ920" t="s">
        <v>13</v>
      </c>
      <c r="AR920">
        <f t="shared" si="341"/>
        <v>0.36664289654615673</v>
      </c>
      <c r="AS920">
        <f t="shared" si="357"/>
        <v>0.35359999999999997</v>
      </c>
      <c r="AT920">
        <f t="shared" si="358"/>
        <v>1130</v>
      </c>
      <c r="AU920">
        <f t="shared" si="359"/>
        <v>654</v>
      </c>
      <c r="AV920">
        <f t="shared" si="344"/>
        <v>603</v>
      </c>
      <c r="AW920">
        <f t="shared" si="345"/>
        <v>821</v>
      </c>
      <c r="AX920" s="3">
        <f t="shared" si="346"/>
        <v>1771</v>
      </c>
      <c r="AY920">
        <f t="shared" si="347"/>
        <v>565</v>
      </c>
      <c r="AZ920">
        <f t="shared" si="348"/>
        <v>833</v>
      </c>
      <c r="BA920" s="3">
        <f t="shared" si="349"/>
        <v>1797</v>
      </c>
    </row>
    <row r="921" spans="1:53" x14ac:dyDescent="0.2">
      <c r="A921">
        <v>1994</v>
      </c>
      <c r="B921" t="s">
        <v>87</v>
      </c>
      <c r="C921" t="s">
        <v>85</v>
      </c>
      <c r="D921">
        <f t="shared" si="360"/>
        <v>14.625</v>
      </c>
      <c r="E921">
        <f t="shared" si="360"/>
        <v>0.78</v>
      </c>
      <c r="F921">
        <f t="shared" si="360"/>
        <v>0.26</v>
      </c>
      <c r="G921">
        <f t="shared" si="360"/>
        <v>13.78</v>
      </c>
      <c r="H921">
        <f t="shared" si="360"/>
        <v>0.90999999999999992</v>
      </c>
      <c r="I921">
        <f t="shared" si="360"/>
        <v>2.6</v>
      </c>
      <c r="J921">
        <f t="shared" si="360"/>
        <v>0.32500000000000001</v>
      </c>
      <c r="K921">
        <f t="shared" si="342"/>
        <v>33.28</v>
      </c>
      <c r="L921">
        <f t="shared" ref="L921:N921" si="411">L878*0.65</f>
        <v>0.13</v>
      </c>
      <c r="M921">
        <f t="shared" si="411"/>
        <v>0.19500000000000001</v>
      </c>
      <c r="N921">
        <f t="shared" si="411"/>
        <v>0</v>
      </c>
      <c r="O921">
        <f t="shared" si="350"/>
        <v>0.32500000000000001</v>
      </c>
      <c r="P921">
        <f t="shared" ref="P921:R921" si="412">P878*0.65</f>
        <v>0</v>
      </c>
      <c r="Q921">
        <f t="shared" si="412"/>
        <v>0</v>
      </c>
      <c r="R921">
        <f t="shared" si="412"/>
        <v>0.45499999999999996</v>
      </c>
      <c r="S921">
        <f t="shared" si="351"/>
        <v>0.45499999999999996</v>
      </c>
      <c r="T921">
        <f t="shared" ref="T921:U921" si="413">T878*0.65</f>
        <v>0</v>
      </c>
      <c r="U921">
        <f t="shared" si="413"/>
        <v>0</v>
      </c>
      <c r="V921">
        <f t="shared" ref="V921:Z921" si="414">V878*0.65</f>
        <v>0</v>
      </c>
      <c r="W921">
        <f t="shared" si="414"/>
        <v>0</v>
      </c>
      <c r="X921">
        <f t="shared" si="414"/>
        <v>0</v>
      </c>
      <c r="Y921">
        <f t="shared" si="414"/>
        <v>0</v>
      </c>
      <c r="Z921">
        <f t="shared" si="414"/>
        <v>0</v>
      </c>
      <c r="AA921">
        <f t="shared" si="352"/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 s="5">
        <v>18.710036141228802</v>
      </c>
      <c r="AI921" t="s">
        <v>13</v>
      </c>
      <c r="AJ921" s="5">
        <f t="shared" si="353"/>
        <v>18.710036141228802</v>
      </c>
      <c r="AK921" t="s">
        <v>13</v>
      </c>
      <c r="AL921">
        <f t="shared" si="365"/>
        <v>0.47229963858771196</v>
      </c>
      <c r="AM921">
        <f t="shared" si="386"/>
        <v>0.52770036141228804</v>
      </c>
      <c r="AN921">
        <v>1699</v>
      </c>
      <c r="AO921" t="s">
        <v>13</v>
      </c>
      <c r="AP921">
        <v>3597</v>
      </c>
      <c r="AQ921" t="s">
        <v>13</v>
      </c>
      <c r="AR921">
        <f t="shared" si="341"/>
        <v>0.35455795579057414</v>
      </c>
      <c r="AS921">
        <f t="shared" si="357"/>
        <v>0.34060000000000001</v>
      </c>
      <c r="AT921">
        <f t="shared" si="358"/>
        <v>1225</v>
      </c>
      <c r="AU921">
        <f t="shared" si="359"/>
        <v>673</v>
      </c>
      <c r="AV921">
        <f t="shared" si="344"/>
        <v>627</v>
      </c>
      <c r="AW921">
        <f t="shared" si="345"/>
        <v>843</v>
      </c>
      <c r="AX921" s="3">
        <f t="shared" si="346"/>
        <v>2127</v>
      </c>
      <c r="AY921">
        <f t="shared" si="347"/>
        <v>613</v>
      </c>
      <c r="AZ921">
        <f t="shared" si="348"/>
        <v>847</v>
      </c>
      <c r="BA921" s="3">
        <f t="shared" si="349"/>
        <v>2137</v>
      </c>
    </row>
    <row r="922" spans="1:53" x14ac:dyDescent="0.2">
      <c r="A922">
        <v>1995</v>
      </c>
      <c r="B922" t="s">
        <v>87</v>
      </c>
      <c r="C922" t="s">
        <v>85</v>
      </c>
      <c r="D922">
        <f t="shared" si="360"/>
        <v>13.91</v>
      </c>
      <c r="E922">
        <f t="shared" si="360"/>
        <v>0</v>
      </c>
      <c r="F922">
        <f t="shared" si="360"/>
        <v>1.105</v>
      </c>
      <c r="G922">
        <f t="shared" si="360"/>
        <v>4.16</v>
      </c>
      <c r="H922">
        <f t="shared" si="360"/>
        <v>2.4699999999999998</v>
      </c>
      <c r="I922">
        <f t="shared" si="360"/>
        <v>0.52</v>
      </c>
      <c r="J922">
        <f t="shared" si="360"/>
        <v>0</v>
      </c>
      <c r="K922">
        <f t="shared" si="342"/>
        <v>22.164999999999999</v>
      </c>
      <c r="L922">
        <f t="shared" ref="L922:N922" si="415">L879*0.65</f>
        <v>0</v>
      </c>
      <c r="M922">
        <f t="shared" si="415"/>
        <v>0.13</v>
      </c>
      <c r="N922">
        <f t="shared" si="415"/>
        <v>0</v>
      </c>
      <c r="O922">
        <f t="shared" si="350"/>
        <v>0.13</v>
      </c>
      <c r="P922">
        <f t="shared" ref="P922:R922" si="416">P879*0.65</f>
        <v>0</v>
      </c>
      <c r="Q922">
        <f t="shared" si="416"/>
        <v>0</v>
      </c>
      <c r="R922">
        <f t="shared" si="416"/>
        <v>0.39</v>
      </c>
      <c r="S922">
        <f t="shared" si="351"/>
        <v>0.39</v>
      </c>
      <c r="T922">
        <f t="shared" ref="T922:U922" si="417">T879*0.65</f>
        <v>0.45499999999999996</v>
      </c>
      <c r="U922">
        <f t="shared" si="417"/>
        <v>0</v>
      </c>
      <c r="V922">
        <f t="shared" ref="V922:Z922" si="418">V879*0.65</f>
        <v>0</v>
      </c>
      <c r="W922">
        <f t="shared" si="418"/>
        <v>0</v>
      </c>
      <c r="X922">
        <f t="shared" si="418"/>
        <v>0</v>
      </c>
      <c r="Y922">
        <f t="shared" si="418"/>
        <v>0.13</v>
      </c>
      <c r="Z922">
        <f t="shared" si="418"/>
        <v>0</v>
      </c>
      <c r="AA922">
        <f t="shared" si="352"/>
        <v>0.58499999999999996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 s="5">
        <v>25.216203914428764</v>
      </c>
      <c r="AI922" t="s">
        <v>13</v>
      </c>
      <c r="AJ922" s="5">
        <f t="shared" si="353"/>
        <v>25.216203914428764</v>
      </c>
      <c r="AK922" t="s">
        <v>13</v>
      </c>
      <c r="AL922">
        <f t="shared" si="365"/>
        <v>0.51513796085571228</v>
      </c>
      <c r="AM922">
        <f t="shared" si="386"/>
        <v>0.48486203914428766</v>
      </c>
      <c r="AN922">
        <v>1132</v>
      </c>
      <c r="AO922" t="s">
        <v>13</v>
      </c>
      <c r="AP922">
        <v>2197</v>
      </c>
      <c r="AQ922" t="s">
        <v>13</v>
      </c>
      <c r="AR922">
        <f t="shared" si="341"/>
        <v>0.52006966680525801</v>
      </c>
      <c r="AS922">
        <f t="shared" si="357"/>
        <v>0.23269999999999999</v>
      </c>
      <c r="AT922">
        <f t="shared" si="358"/>
        <v>511</v>
      </c>
      <c r="AU922">
        <f t="shared" si="359"/>
        <v>554</v>
      </c>
      <c r="AV922">
        <f t="shared" si="344"/>
        <v>268</v>
      </c>
      <c r="AW922">
        <f t="shared" si="345"/>
        <v>634</v>
      </c>
      <c r="AX922" s="3">
        <f t="shared" si="346"/>
        <v>1295</v>
      </c>
      <c r="AY922">
        <f t="shared" si="347"/>
        <v>256</v>
      </c>
      <c r="AZ922">
        <f t="shared" si="348"/>
        <v>638</v>
      </c>
      <c r="BA922" s="3">
        <f t="shared" si="349"/>
        <v>1303</v>
      </c>
    </row>
    <row r="923" spans="1:53" x14ac:dyDescent="0.2">
      <c r="A923">
        <v>1996</v>
      </c>
      <c r="B923" t="s">
        <v>87</v>
      </c>
      <c r="C923" t="s">
        <v>85</v>
      </c>
      <c r="D923">
        <f t="shared" si="360"/>
        <v>14.105</v>
      </c>
      <c r="E923">
        <f t="shared" si="360"/>
        <v>0</v>
      </c>
      <c r="F923">
        <f t="shared" si="360"/>
        <v>1.7550000000000001</v>
      </c>
      <c r="G923">
        <f t="shared" si="360"/>
        <v>0.52</v>
      </c>
      <c r="H923">
        <f t="shared" si="360"/>
        <v>0</v>
      </c>
      <c r="I923">
        <f t="shared" si="360"/>
        <v>0.26</v>
      </c>
      <c r="J923">
        <f t="shared" si="360"/>
        <v>0</v>
      </c>
      <c r="K923">
        <f t="shared" si="342"/>
        <v>16.640000000000004</v>
      </c>
      <c r="L923">
        <f t="shared" ref="L923:N923" si="419">L880*0.65</f>
        <v>0.19500000000000001</v>
      </c>
      <c r="M923">
        <f t="shared" si="419"/>
        <v>0</v>
      </c>
      <c r="N923">
        <f t="shared" si="419"/>
        <v>0</v>
      </c>
      <c r="O923">
        <f t="shared" si="350"/>
        <v>0.19500000000000001</v>
      </c>
      <c r="P923">
        <f t="shared" ref="P923:R923" si="420">P880*0.65</f>
        <v>0</v>
      </c>
      <c r="Q923">
        <f t="shared" si="420"/>
        <v>0</v>
      </c>
      <c r="R923">
        <f t="shared" si="420"/>
        <v>0</v>
      </c>
      <c r="S923">
        <f t="shared" si="351"/>
        <v>0</v>
      </c>
      <c r="T923">
        <f t="shared" ref="T923:U923" si="421">T880*0.65</f>
        <v>0</v>
      </c>
      <c r="U923">
        <f t="shared" si="421"/>
        <v>0</v>
      </c>
      <c r="V923">
        <f t="shared" ref="V923:Z923" si="422">V880*0.65</f>
        <v>0</v>
      </c>
      <c r="W923">
        <f t="shared" si="422"/>
        <v>0</v>
      </c>
      <c r="X923">
        <f t="shared" si="422"/>
        <v>0</v>
      </c>
      <c r="Y923">
        <f t="shared" si="422"/>
        <v>0</v>
      </c>
      <c r="Z923">
        <f t="shared" si="422"/>
        <v>0</v>
      </c>
      <c r="AA923">
        <f t="shared" si="352"/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 s="5">
        <v>28.423153692614772</v>
      </c>
      <c r="AI923" t="s">
        <v>13</v>
      </c>
      <c r="AJ923" s="5">
        <f t="shared" si="353"/>
        <v>28.423153692614772</v>
      </c>
      <c r="AK923" t="s">
        <v>13</v>
      </c>
      <c r="AL923">
        <f t="shared" si="365"/>
        <v>0.54741846307385222</v>
      </c>
      <c r="AM923">
        <f t="shared" si="386"/>
        <v>0.45258153692614778</v>
      </c>
      <c r="AN923">
        <v>1371</v>
      </c>
      <c r="AO923" t="s">
        <v>13</v>
      </c>
      <c r="AP923">
        <v>2505</v>
      </c>
      <c r="AQ923" t="s">
        <v>13</v>
      </c>
      <c r="AR923">
        <f t="shared" si="341"/>
        <v>0.62802282845340329</v>
      </c>
      <c r="AS923">
        <f t="shared" si="357"/>
        <v>0.16835000000000006</v>
      </c>
      <c r="AT923">
        <f t="shared" si="358"/>
        <v>422</v>
      </c>
      <c r="AU923">
        <f t="shared" si="359"/>
        <v>712</v>
      </c>
      <c r="AV923">
        <f t="shared" si="344"/>
        <v>213</v>
      </c>
      <c r="AW923">
        <f t="shared" si="345"/>
        <v>783</v>
      </c>
      <c r="AX923" s="3">
        <f t="shared" si="346"/>
        <v>1509</v>
      </c>
      <c r="AY923">
        <f t="shared" si="347"/>
        <v>211</v>
      </c>
      <c r="AZ923">
        <f t="shared" si="348"/>
        <v>784</v>
      </c>
      <c r="BA923" s="3">
        <f t="shared" si="349"/>
        <v>1510</v>
      </c>
    </row>
    <row r="924" spans="1:53" x14ac:dyDescent="0.2">
      <c r="A924">
        <v>1997</v>
      </c>
      <c r="B924" t="s">
        <v>87</v>
      </c>
      <c r="C924" t="s">
        <v>85</v>
      </c>
      <c r="D924">
        <f t="shared" si="360"/>
        <v>24.57</v>
      </c>
      <c r="E924">
        <f t="shared" si="360"/>
        <v>0.39</v>
      </c>
      <c r="F924">
        <f t="shared" si="360"/>
        <v>0</v>
      </c>
      <c r="G924">
        <f t="shared" si="360"/>
        <v>5.07</v>
      </c>
      <c r="H924">
        <f t="shared" si="360"/>
        <v>0</v>
      </c>
      <c r="I924">
        <f t="shared" si="360"/>
        <v>0.19500000000000001</v>
      </c>
      <c r="J924">
        <f t="shared" si="360"/>
        <v>0</v>
      </c>
      <c r="K924">
        <f t="shared" si="342"/>
        <v>30.225000000000001</v>
      </c>
      <c r="L924">
        <f t="shared" ref="L924:N924" si="423">L881*0.65</f>
        <v>0.19500000000000001</v>
      </c>
      <c r="M924">
        <f t="shared" si="423"/>
        <v>0</v>
      </c>
      <c r="N924">
        <f t="shared" si="423"/>
        <v>0</v>
      </c>
      <c r="O924">
        <f t="shared" si="350"/>
        <v>0.19500000000000001</v>
      </c>
      <c r="P924">
        <f t="shared" ref="P924:R924" si="424">P881*0.65</f>
        <v>0</v>
      </c>
      <c r="Q924">
        <f t="shared" si="424"/>
        <v>0</v>
      </c>
      <c r="R924">
        <f t="shared" si="424"/>
        <v>0</v>
      </c>
      <c r="S924">
        <f t="shared" si="351"/>
        <v>0</v>
      </c>
      <c r="T924">
        <f t="shared" ref="T924:U924" si="425">T881*0.65</f>
        <v>0</v>
      </c>
      <c r="U924">
        <f t="shared" si="425"/>
        <v>0</v>
      </c>
      <c r="V924">
        <f t="shared" ref="V924:Z924" si="426">V881*0.65</f>
        <v>0</v>
      </c>
      <c r="W924">
        <f t="shared" si="426"/>
        <v>0</v>
      </c>
      <c r="X924">
        <f t="shared" si="426"/>
        <v>0</v>
      </c>
      <c r="Y924">
        <f t="shared" si="426"/>
        <v>0</v>
      </c>
      <c r="Z924">
        <f t="shared" si="426"/>
        <v>0</v>
      </c>
      <c r="AA924">
        <f t="shared" si="352"/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 s="5">
        <v>20.371867421180276</v>
      </c>
      <c r="AI924" t="s">
        <v>13</v>
      </c>
      <c r="AJ924" s="5">
        <f t="shared" si="353"/>
        <v>20.371867421180276</v>
      </c>
      <c r="AK924" t="s">
        <v>13</v>
      </c>
      <c r="AL924">
        <f t="shared" si="365"/>
        <v>0.49208132578819719</v>
      </c>
      <c r="AM924">
        <f t="shared" si="386"/>
        <v>0.50791867421180281</v>
      </c>
      <c r="AN924">
        <v>1826</v>
      </c>
      <c r="AO924" t="s">
        <v>13</v>
      </c>
      <c r="AP924">
        <v>3711</v>
      </c>
      <c r="AQ924" t="s">
        <v>13</v>
      </c>
      <c r="AR924">
        <f t="shared" si="341"/>
        <v>0.4010852220149948</v>
      </c>
      <c r="AS924">
        <f t="shared" si="357"/>
        <v>0.30420000000000003</v>
      </c>
      <c r="AT924">
        <f t="shared" si="358"/>
        <v>1129</v>
      </c>
      <c r="AU924">
        <f t="shared" si="359"/>
        <v>756</v>
      </c>
      <c r="AV924">
        <f t="shared" si="344"/>
        <v>568</v>
      </c>
      <c r="AW924">
        <f t="shared" si="345"/>
        <v>920</v>
      </c>
      <c r="AX924" s="3">
        <f t="shared" si="346"/>
        <v>2223</v>
      </c>
      <c r="AY924">
        <f t="shared" si="347"/>
        <v>564</v>
      </c>
      <c r="AZ924">
        <f t="shared" si="348"/>
        <v>921</v>
      </c>
      <c r="BA924" s="3">
        <f t="shared" si="349"/>
        <v>2226</v>
      </c>
    </row>
    <row r="925" spans="1:53" x14ac:dyDescent="0.2">
      <c r="A925">
        <v>1998</v>
      </c>
      <c r="B925" t="s">
        <v>87</v>
      </c>
      <c r="C925" t="s">
        <v>85</v>
      </c>
      <c r="D925">
        <f t="shared" si="360"/>
        <v>16.315000000000001</v>
      </c>
      <c r="E925">
        <f t="shared" si="360"/>
        <v>0</v>
      </c>
      <c r="F925">
        <f t="shared" si="360"/>
        <v>2.21</v>
      </c>
      <c r="G925">
        <f t="shared" si="360"/>
        <v>12.285</v>
      </c>
      <c r="H925">
        <f t="shared" si="360"/>
        <v>0</v>
      </c>
      <c r="I925">
        <f t="shared" si="360"/>
        <v>0</v>
      </c>
      <c r="J925">
        <f t="shared" si="360"/>
        <v>0</v>
      </c>
      <c r="K925">
        <f t="shared" si="342"/>
        <v>30.810000000000002</v>
      </c>
      <c r="L925">
        <f t="shared" ref="L925:N925" si="427">L882*0.65</f>
        <v>0</v>
      </c>
      <c r="M925">
        <f t="shared" si="427"/>
        <v>0</v>
      </c>
      <c r="N925">
        <f t="shared" si="427"/>
        <v>0</v>
      </c>
      <c r="O925">
        <f t="shared" si="350"/>
        <v>0</v>
      </c>
      <c r="P925">
        <f t="shared" ref="P925:R925" si="428">P882*0.65</f>
        <v>0</v>
      </c>
      <c r="Q925">
        <f t="shared" si="428"/>
        <v>0</v>
      </c>
      <c r="R925">
        <f t="shared" si="428"/>
        <v>0</v>
      </c>
      <c r="S925">
        <f t="shared" si="351"/>
        <v>0</v>
      </c>
      <c r="T925">
        <f t="shared" ref="T925:U925" si="429">T882*0.65</f>
        <v>0</v>
      </c>
      <c r="U925">
        <f t="shared" si="429"/>
        <v>0.52</v>
      </c>
      <c r="V925">
        <f t="shared" ref="V925:Z925" si="430">V882*0.65</f>
        <v>0</v>
      </c>
      <c r="W925">
        <f t="shared" si="430"/>
        <v>0</v>
      </c>
      <c r="X925">
        <f t="shared" si="430"/>
        <v>0</v>
      </c>
      <c r="Y925">
        <f t="shared" si="430"/>
        <v>0</v>
      </c>
      <c r="Z925">
        <f t="shared" si="430"/>
        <v>0</v>
      </c>
      <c r="AA925">
        <f t="shared" si="352"/>
        <v>0.52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 s="5">
        <v>21.658144631117604</v>
      </c>
      <c r="AI925" t="s">
        <v>13</v>
      </c>
      <c r="AJ925" s="5">
        <f t="shared" si="353"/>
        <v>21.658144631117604</v>
      </c>
      <c r="AK925" t="s">
        <v>13</v>
      </c>
      <c r="AL925">
        <f t="shared" si="365"/>
        <v>0.47011855368882394</v>
      </c>
      <c r="AM925">
        <f t="shared" si="386"/>
        <v>0.52988144631117606</v>
      </c>
      <c r="AN925">
        <v>1287</v>
      </c>
      <c r="AO925" t="s">
        <v>13</v>
      </c>
      <c r="AP925">
        <v>2738</v>
      </c>
      <c r="AQ925" t="s">
        <v>13</v>
      </c>
      <c r="AR925">
        <f t="shared" si="341"/>
        <v>0.40873566685327434</v>
      </c>
      <c r="AS925">
        <f t="shared" si="357"/>
        <v>0.31330000000000002</v>
      </c>
      <c r="AT925">
        <f t="shared" si="358"/>
        <v>858</v>
      </c>
      <c r="AU925">
        <f t="shared" si="359"/>
        <v>593</v>
      </c>
      <c r="AV925">
        <f t="shared" si="344"/>
        <v>436</v>
      </c>
      <c r="AW925">
        <f t="shared" si="345"/>
        <v>726</v>
      </c>
      <c r="AX925" s="3">
        <f t="shared" si="346"/>
        <v>1576</v>
      </c>
      <c r="AY925">
        <f t="shared" si="347"/>
        <v>429</v>
      </c>
      <c r="AZ925">
        <f t="shared" si="348"/>
        <v>728</v>
      </c>
      <c r="BA925" s="3">
        <f t="shared" si="349"/>
        <v>1581</v>
      </c>
    </row>
    <row r="926" spans="1:53" x14ac:dyDescent="0.2">
      <c r="A926">
        <v>1999</v>
      </c>
      <c r="B926" t="s">
        <v>87</v>
      </c>
      <c r="C926" t="s">
        <v>85</v>
      </c>
      <c r="D926">
        <f t="shared" si="360"/>
        <v>7.0850000000000009</v>
      </c>
      <c r="E926">
        <f t="shared" si="360"/>
        <v>0</v>
      </c>
      <c r="F926">
        <f t="shared" si="360"/>
        <v>1.7550000000000001</v>
      </c>
      <c r="G926">
        <f t="shared" si="360"/>
        <v>1.7550000000000001</v>
      </c>
      <c r="H926">
        <f t="shared" si="360"/>
        <v>0</v>
      </c>
      <c r="I926">
        <f t="shared" si="360"/>
        <v>0</v>
      </c>
      <c r="J926">
        <f t="shared" si="360"/>
        <v>0</v>
      </c>
      <c r="K926">
        <f t="shared" si="342"/>
        <v>10.595000000000002</v>
      </c>
      <c r="L926">
        <f t="shared" ref="L926:N926" si="431">L883*0.65</f>
        <v>0</v>
      </c>
      <c r="M926">
        <f t="shared" si="431"/>
        <v>0</v>
      </c>
      <c r="N926">
        <f t="shared" si="431"/>
        <v>0</v>
      </c>
      <c r="O926">
        <f t="shared" si="350"/>
        <v>0</v>
      </c>
      <c r="P926">
        <f t="shared" ref="P926:R926" si="432">P883*0.65</f>
        <v>0</v>
      </c>
      <c r="Q926">
        <f t="shared" si="432"/>
        <v>0</v>
      </c>
      <c r="R926">
        <f t="shared" si="432"/>
        <v>0</v>
      </c>
      <c r="S926">
        <f t="shared" si="351"/>
        <v>0</v>
      </c>
      <c r="T926">
        <f t="shared" ref="T926:U926" si="433">T883*0.65</f>
        <v>0</v>
      </c>
      <c r="U926">
        <f t="shared" si="433"/>
        <v>0.19500000000000001</v>
      </c>
      <c r="V926">
        <f t="shared" ref="V926:Z926" si="434">V883*0.65</f>
        <v>0</v>
      </c>
      <c r="W926">
        <f t="shared" si="434"/>
        <v>0</v>
      </c>
      <c r="X926">
        <f t="shared" si="434"/>
        <v>0</v>
      </c>
      <c r="Y926">
        <f t="shared" si="434"/>
        <v>0</v>
      </c>
      <c r="Z926">
        <f t="shared" si="434"/>
        <v>0</v>
      </c>
      <c r="AA926">
        <f t="shared" si="352"/>
        <v>0.19500000000000001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 s="5">
        <v>12.623762376237623</v>
      </c>
      <c r="AI926" t="s">
        <v>13</v>
      </c>
      <c r="AJ926" s="5">
        <f t="shared" si="353"/>
        <v>12.623762376237623</v>
      </c>
      <c r="AK926" t="s">
        <v>13</v>
      </c>
      <c r="AL926">
        <f t="shared" si="365"/>
        <v>0.76586237623762377</v>
      </c>
      <c r="AM926">
        <f t="shared" si="386"/>
        <v>0.23413762376237621</v>
      </c>
      <c r="AN926">
        <v>928</v>
      </c>
      <c r="AO926" t="s">
        <v>13</v>
      </c>
      <c r="AP926">
        <v>1212</v>
      </c>
      <c r="AQ926" t="s">
        <v>13</v>
      </c>
      <c r="AR926">
        <f t="shared" si="341"/>
        <v>0.53915992540563862</v>
      </c>
      <c r="AS926">
        <f t="shared" si="357"/>
        <v>0.10790000000000002</v>
      </c>
      <c r="AT926">
        <f t="shared" si="358"/>
        <v>131</v>
      </c>
      <c r="AU926">
        <f t="shared" si="359"/>
        <v>153</v>
      </c>
      <c r="AV926">
        <f t="shared" si="344"/>
        <v>67</v>
      </c>
      <c r="AW926">
        <f t="shared" si="345"/>
        <v>162</v>
      </c>
      <c r="AX926" s="3">
        <f t="shared" si="346"/>
        <v>983</v>
      </c>
      <c r="AY926">
        <f t="shared" si="347"/>
        <v>65</v>
      </c>
      <c r="AZ926">
        <f t="shared" si="348"/>
        <v>162</v>
      </c>
      <c r="BA926" s="3">
        <f t="shared" si="349"/>
        <v>985</v>
      </c>
    </row>
    <row r="927" spans="1:53" x14ac:dyDescent="0.2">
      <c r="A927">
        <v>2000</v>
      </c>
      <c r="B927" t="s">
        <v>87</v>
      </c>
      <c r="C927" t="s">
        <v>85</v>
      </c>
      <c r="D927">
        <f t="shared" si="360"/>
        <v>12.740000000000002</v>
      </c>
      <c r="E927">
        <f t="shared" si="360"/>
        <v>0</v>
      </c>
      <c r="F927">
        <f t="shared" si="360"/>
        <v>3.25</v>
      </c>
      <c r="G927">
        <f t="shared" si="360"/>
        <v>6.370000000000001</v>
      </c>
      <c r="H927">
        <f t="shared" si="360"/>
        <v>0</v>
      </c>
      <c r="I927">
        <f t="shared" si="360"/>
        <v>0</v>
      </c>
      <c r="J927">
        <f t="shared" si="360"/>
        <v>0</v>
      </c>
      <c r="K927">
        <f t="shared" si="342"/>
        <v>22.360000000000003</v>
      </c>
      <c r="L927">
        <f t="shared" ref="L927:N927" si="435">L884*0.65</f>
        <v>0</v>
      </c>
      <c r="M927">
        <f t="shared" si="435"/>
        <v>0</v>
      </c>
      <c r="N927">
        <f t="shared" si="435"/>
        <v>0</v>
      </c>
      <c r="O927">
        <f t="shared" si="350"/>
        <v>0</v>
      </c>
      <c r="P927">
        <f t="shared" ref="P927:R927" si="436">P884*0.65</f>
        <v>0</v>
      </c>
      <c r="Q927">
        <f t="shared" si="436"/>
        <v>0</v>
      </c>
      <c r="R927">
        <f t="shared" si="436"/>
        <v>0</v>
      </c>
      <c r="S927">
        <f t="shared" si="351"/>
        <v>0</v>
      </c>
      <c r="T927">
        <f t="shared" ref="T927:U927" si="437">T884*0.65</f>
        <v>0</v>
      </c>
      <c r="U927">
        <f t="shared" si="437"/>
        <v>0</v>
      </c>
      <c r="V927">
        <f t="shared" ref="V927:Z927" si="438">V884*0.65</f>
        <v>0</v>
      </c>
      <c r="W927">
        <f t="shared" si="438"/>
        <v>0</v>
      </c>
      <c r="X927">
        <f t="shared" si="438"/>
        <v>0</v>
      </c>
      <c r="Y927">
        <f t="shared" si="438"/>
        <v>0</v>
      </c>
      <c r="Z927">
        <f t="shared" si="438"/>
        <v>0</v>
      </c>
      <c r="AA927">
        <f t="shared" si="352"/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 s="5">
        <v>5.4331864904552125</v>
      </c>
      <c r="AI927" t="s">
        <v>13</v>
      </c>
      <c r="AJ927" s="5">
        <f t="shared" si="353"/>
        <v>5.4331864904552125</v>
      </c>
      <c r="AK927" t="s">
        <v>13</v>
      </c>
      <c r="AL927">
        <f t="shared" si="365"/>
        <v>0.72206813509544787</v>
      </c>
      <c r="AM927">
        <f t="shared" si="386"/>
        <v>0.27793186490455218</v>
      </c>
      <c r="AN927">
        <v>492</v>
      </c>
      <c r="AO927" t="s">
        <v>13</v>
      </c>
      <c r="AP927">
        <v>681</v>
      </c>
      <c r="AQ927" t="s">
        <v>13</v>
      </c>
      <c r="AR927">
        <f t="shared" si="341"/>
        <v>0.19548627475014738</v>
      </c>
      <c r="AS927">
        <f t="shared" si="357"/>
        <v>0.22360000000000002</v>
      </c>
      <c r="AT927">
        <f t="shared" si="358"/>
        <v>152</v>
      </c>
      <c r="AU927">
        <f t="shared" si="359"/>
        <v>37</v>
      </c>
      <c r="AV927">
        <f t="shared" si="344"/>
        <v>76</v>
      </c>
      <c r="AW927">
        <f t="shared" si="345"/>
        <v>42</v>
      </c>
      <c r="AX927" s="3">
        <f t="shared" si="346"/>
        <v>563</v>
      </c>
      <c r="AY927">
        <f t="shared" si="347"/>
        <v>76</v>
      </c>
      <c r="AZ927">
        <f t="shared" si="348"/>
        <v>42</v>
      </c>
      <c r="BA927" s="3">
        <f t="shared" si="349"/>
        <v>563</v>
      </c>
    </row>
    <row r="928" spans="1:53" x14ac:dyDescent="0.2">
      <c r="A928">
        <v>2001</v>
      </c>
      <c r="B928" t="s">
        <v>87</v>
      </c>
      <c r="C928" t="s">
        <v>85</v>
      </c>
      <c r="D928">
        <f t="shared" si="360"/>
        <v>7.41</v>
      </c>
      <c r="E928">
        <f t="shared" si="360"/>
        <v>0</v>
      </c>
      <c r="F928">
        <f t="shared" si="360"/>
        <v>2.3400000000000003</v>
      </c>
      <c r="G928">
        <f t="shared" si="360"/>
        <v>1.4949999999999999</v>
      </c>
      <c r="H928">
        <f t="shared" si="360"/>
        <v>0</v>
      </c>
      <c r="I928">
        <f t="shared" si="360"/>
        <v>0</v>
      </c>
      <c r="J928">
        <f t="shared" si="360"/>
        <v>0</v>
      </c>
      <c r="K928">
        <f t="shared" si="342"/>
        <v>11.244999999999999</v>
      </c>
      <c r="L928">
        <f t="shared" ref="L928:N928" si="439">L885*0.65</f>
        <v>0</v>
      </c>
      <c r="M928">
        <f t="shared" si="439"/>
        <v>0</v>
      </c>
      <c r="N928">
        <f t="shared" si="439"/>
        <v>0</v>
      </c>
      <c r="O928">
        <f t="shared" si="350"/>
        <v>0</v>
      </c>
      <c r="P928">
        <f t="shared" ref="P928:R928" si="440">P885*0.65</f>
        <v>0</v>
      </c>
      <c r="Q928">
        <f t="shared" si="440"/>
        <v>0</v>
      </c>
      <c r="R928">
        <f t="shared" si="440"/>
        <v>0</v>
      </c>
      <c r="S928">
        <f t="shared" si="351"/>
        <v>0</v>
      </c>
      <c r="T928">
        <f t="shared" ref="T928:U928" si="441">T885*0.65</f>
        <v>0.32500000000000001</v>
      </c>
      <c r="U928">
        <f t="shared" si="441"/>
        <v>0.19500000000000001</v>
      </c>
      <c r="V928">
        <f t="shared" ref="V928:Z928" si="442">V885*0.65</f>
        <v>0</v>
      </c>
      <c r="W928">
        <f t="shared" si="442"/>
        <v>0</v>
      </c>
      <c r="X928">
        <f t="shared" si="442"/>
        <v>0</v>
      </c>
      <c r="Y928">
        <f t="shared" si="442"/>
        <v>0</v>
      </c>
      <c r="Z928">
        <f t="shared" si="442"/>
        <v>0</v>
      </c>
      <c r="AA928">
        <f t="shared" si="352"/>
        <v>0.52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 s="5">
        <v>5.161290322580645</v>
      </c>
      <c r="AI928" t="s">
        <v>13</v>
      </c>
      <c r="AJ928" s="5">
        <f t="shared" si="353"/>
        <v>5.161290322580645</v>
      </c>
      <c r="AK928" t="s">
        <v>13</v>
      </c>
      <c r="AL928">
        <f t="shared" si="365"/>
        <v>0.83073709677419361</v>
      </c>
      <c r="AM928">
        <f t="shared" si="386"/>
        <v>0.16926290322580645</v>
      </c>
      <c r="AN928">
        <v>1159</v>
      </c>
      <c r="AO928" t="s">
        <v>13</v>
      </c>
      <c r="AP928">
        <v>1395</v>
      </c>
      <c r="AQ928" t="s">
        <v>13</v>
      </c>
      <c r="AR928">
        <f t="shared" si="341"/>
        <v>0.30492743679902423</v>
      </c>
      <c r="AS928">
        <f t="shared" si="357"/>
        <v>0.11764999999999999</v>
      </c>
      <c r="AT928">
        <f t="shared" si="358"/>
        <v>164</v>
      </c>
      <c r="AU928">
        <f t="shared" si="359"/>
        <v>72</v>
      </c>
      <c r="AV928">
        <f t="shared" si="344"/>
        <v>86</v>
      </c>
      <c r="AW928">
        <f t="shared" si="345"/>
        <v>77</v>
      </c>
      <c r="AX928" s="3">
        <f t="shared" si="346"/>
        <v>1232</v>
      </c>
      <c r="AY928">
        <f t="shared" si="347"/>
        <v>82</v>
      </c>
      <c r="AZ928">
        <f t="shared" si="348"/>
        <v>77</v>
      </c>
      <c r="BA928" s="3">
        <f t="shared" si="349"/>
        <v>1236</v>
      </c>
    </row>
    <row r="929" spans="1:53" x14ac:dyDescent="0.2">
      <c r="A929">
        <v>2002</v>
      </c>
      <c r="B929" t="s">
        <v>87</v>
      </c>
      <c r="C929" t="s">
        <v>85</v>
      </c>
      <c r="D929">
        <f t="shared" si="360"/>
        <v>14.43</v>
      </c>
      <c r="E929">
        <f t="shared" si="360"/>
        <v>0</v>
      </c>
      <c r="F929">
        <f t="shared" si="360"/>
        <v>1.6900000000000002</v>
      </c>
      <c r="G929">
        <f t="shared" si="360"/>
        <v>2.665</v>
      </c>
      <c r="H929">
        <f t="shared" si="360"/>
        <v>1.625</v>
      </c>
      <c r="I929">
        <f t="shared" si="360"/>
        <v>0</v>
      </c>
      <c r="J929">
        <f t="shared" si="360"/>
        <v>0</v>
      </c>
      <c r="K929">
        <f t="shared" si="342"/>
        <v>20.41</v>
      </c>
      <c r="L929">
        <f t="shared" ref="L929:N929" si="443">L886*0.65</f>
        <v>0</v>
      </c>
      <c r="M929">
        <f t="shared" si="443"/>
        <v>0</v>
      </c>
      <c r="N929">
        <f t="shared" si="443"/>
        <v>0</v>
      </c>
      <c r="O929">
        <f t="shared" si="350"/>
        <v>0</v>
      </c>
      <c r="P929">
        <f t="shared" ref="P929:R929" si="444">P886*0.65</f>
        <v>0</v>
      </c>
      <c r="Q929">
        <f t="shared" si="444"/>
        <v>0</v>
      </c>
      <c r="R929">
        <f t="shared" si="444"/>
        <v>0.13</v>
      </c>
      <c r="S929">
        <f t="shared" si="351"/>
        <v>0.13</v>
      </c>
      <c r="T929">
        <f t="shared" ref="T929:U929" si="445">T886*0.65</f>
        <v>0</v>
      </c>
      <c r="U929">
        <f t="shared" si="445"/>
        <v>0.13</v>
      </c>
      <c r="V929">
        <f t="shared" ref="V929:Z929" si="446">V886*0.65</f>
        <v>0</v>
      </c>
      <c r="W929">
        <f t="shared" si="446"/>
        <v>0</v>
      </c>
      <c r="X929">
        <f t="shared" si="446"/>
        <v>0</v>
      </c>
      <c r="Y929">
        <f t="shared" si="446"/>
        <v>0</v>
      </c>
      <c r="Z929">
        <f t="shared" si="446"/>
        <v>0</v>
      </c>
      <c r="AA929">
        <f t="shared" si="352"/>
        <v>0.13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 s="5">
        <v>21.41513869299483</v>
      </c>
      <c r="AI929" t="s">
        <v>13</v>
      </c>
      <c r="AJ929" s="5">
        <f t="shared" si="353"/>
        <v>21.41513869299483</v>
      </c>
      <c r="AK929" t="s">
        <v>13</v>
      </c>
      <c r="AL929">
        <f t="shared" si="365"/>
        <v>0.57914861307005183</v>
      </c>
      <c r="AM929">
        <f t="shared" si="386"/>
        <v>0.42085138692994822</v>
      </c>
      <c r="AN929">
        <v>2464</v>
      </c>
      <c r="AO929" t="s">
        <v>13</v>
      </c>
      <c r="AP929">
        <v>4254</v>
      </c>
      <c r="AQ929" t="s">
        <v>13</v>
      </c>
      <c r="AR929">
        <f t="shared" si="341"/>
        <v>0.50885275320619139</v>
      </c>
      <c r="AS929">
        <f t="shared" si="357"/>
        <v>0.20669999999999999</v>
      </c>
      <c r="AT929">
        <f t="shared" si="358"/>
        <v>879</v>
      </c>
      <c r="AU929">
        <f t="shared" si="359"/>
        <v>911</v>
      </c>
      <c r="AV929">
        <f t="shared" si="344"/>
        <v>445</v>
      </c>
      <c r="AW929">
        <f t="shared" si="345"/>
        <v>1028</v>
      </c>
      <c r="AX929" s="3">
        <f t="shared" si="346"/>
        <v>2781</v>
      </c>
      <c r="AY929">
        <f t="shared" si="347"/>
        <v>440</v>
      </c>
      <c r="AZ929">
        <f t="shared" si="348"/>
        <v>1029</v>
      </c>
      <c r="BA929" s="3">
        <f t="shared" si="349"/>
        <v>2785</v>
      </c>
    </row>
    <row r="930" spans="1:53" x14ac:dyDescent="0.2">
      <c r="A930">
        <v>2003</v>
      </c>
      <c r="B930" t="s">
        <v>87</v>
      </c>
      <c r="C930" t="s">
        <v>85</v>
      </c>
      <c r="D930">
        <f t="shared" si="360"/>
        <v>9.3600000000000012</v>
      </c>
      <c r="E930">
        <f t="shared" si="360"/>
        <v>0</v>
      </c>
      <c r="F930">
        <f t="shared" si="360"/>
        <v>1.7550000000000001</v>
      </c>
      <c r="G930">
        <f t="shared" si="360"/>
        <v>4.875</v>
      </c>
      <c r="H930">
        <f t="shared" si="360"/>
        <v>2.4699999999999998</v>
      </c>
      <c r="I930">
        <f t="shared" si="360"/>
        <v>0</v>
      </c>
      <c r="J930">
        <f t="shared" si="360"/>
        <v>0.13</v>
      </c>
      <c r="K930">
        <f t="shared" si="342"/>
        <v>18.59</v>
      </c>
      <c r="L930">
        <f t="shared" ref="L930:N930" si="447">L887*0.65</f>
        <v>0</v>
      </c>
      <c r="M930">
        <f t="shared" si="447"/>
        <v>0</v>
      </c>
      <c r="N930">
        <f t="shared" si="447"/>
        <v>0</v>
      </c>
      <c r="O930">
        <f t="shared" si="350"/>
        <v>0</v>
      </c>
      <c r="P930">
        <f t="shared" ref="P930:R930" si="448">P887*0.65</f>
        <v>0</v>
      </c>
      <c r="Q930">
        <f t="shared" si="448"/>
        <v>0</v>
      </c>
      <c r="R930">
        <f t="shared" si="448"/>
        <v>0</v>
      </c>
      <c r="S930">
        <f t="shared" si="351"/>
        <v>0</v>
      </c>
      <c r="T930">
        <f t="shared" ref="T930:U930" si="449">T887*0.65</f>
        <v>0</v>
      </c>
      <c r="U930">
        <f t="shared" si="449"/>
        <v>0.32500000000000001</v>
      </c>
      <c r="V930">
        <f t="shared" ref="V930:Z930" si="450">V887*0.65</f>
        <v>0</v>
      </c>
      <c r="W930">
        <f t="shared" si="450"/>
        <v>0</v>
      </c>
      <c r="X930">
        <f t="shared" si="450"/>
        <v>0</v>
      </c>
      <c r="Y930">
        <f t="shared" si="450"/>
        <v>0</v>
      </c>
      <c r="Z930">
        <f t="shared" si="450"/>
        <v>0</v>
      </c>
      <c r="AA930">
        <f t="shared" si="352"/>
        <v>0.32500000000000001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 s="5">
        <v>20.591133004926107</v>
      </c>
      <c r="AI930" t="s">
        <v>13</v>
      </c>
      <c r="AJ930" s="5">
        <f t="shared" si="353"/>
        <v>20.591133004926107</v>
      </c>
      <c r="AK930" t="s">
        <v>13</v>
      </c>
      <c r="AL930">
        <f t="shared" si="365"/>
        <v>0.60493866995073886</v>
      </c>
      <c r="AM930">
        <f t="shared" si="386"/>
        <v>0.39506133004926114</v>
      </c>
      <c r="AN930">
        <v>1228</v>
      </c>
      <c r="AO930" t="s">
        <v>13</v>
      </c>
      <c r="AP930">
        <v>2030</v>
      </c>
      <c r="AQ930" t="s">
        <v>13</v>
      </c>
      <c r="AR930">
        <f t="shared" si="341"/>
        <v>0.52121357973352012</v>
      </c>
      <c r="AS930">
        <f t="shared" si="357"/>
        <v>0.18914999999999998</v>
      </c>
      <c r="AT930">
        <f t="shared" si="358"/>
        <v>384</v>
      </c>
      <c r="AU930">
        <f t="shared" si="359"/>
        <v>418</v>
      </c>
      <c r="AV930">
        <f t="shared" si="344"/>
        <v>195</v>
      </c>
      <c r="AW930">
        <f t="shared" si="345"/>
        <v>466</v>
      </c>
      <c r="AX930" s="3">
        <f t="shared" si="346"/>
        <v>1369</v>
      </c>
      <c r="AY930">
        <f t="shared" si="347"/>
        <v>192</v>
      </c>
      <c r="AZ930">
        <f t="shared" si="348"/>
        <v>467</v>
      </c>
      <c r="BA930" s="3">
        <f t="shared" si="349"/>
        <v>1371</v>
      </c>
    </row>
    <row r="931" spans="1:53" x14ac:dyDescent="0.2">
      <c r="A931">
        <v>2004</v>
      </c>
      <c r="B931" t="s">
        <v>87</v>
      </c>
      <c r="C931" t="s">
        <v>85</v>
      </c>
      <c r="D931">
        <f t="shared" si="360"/>
        <v>8.9049999999999994</v>
      </c>
      <c r="E931">
        <f t="shared" si="360"/>
        <v>0.45499999999999996</v>
      </c>
      <c r="F931">
        <f t="shared" si="360"/>
        <v>1.625</v>
      </c>
      <c r="G931">
        <f t="shared" si="360"/>
        <v>3.9649999999999999</v>
      </c>
      <c r="H931">
        <f t="shared" si="360"/>
        <v>4.42</v>
      </c>
      <c r="I931">
        <f t="shared" si="360"/>
        <v>1.3</v>
      </c>
      <c r="J931">
        <f t="shared" si="360"/>
        <v>0</v>
      </c>
      <c r="K931">
        <f t="shared" si="342"/>
        <v>20.669999999999998</v>
      </c>
      <c r="L931">
        <f t="shared" ref="L931:N931" si="451">L888*0.65</f>
        <v>0</v>
      </c>
      <c r="M931">
        <f t="shared" si="451"/>
        <v>0</v>
      </c>
      <c r="N931">
        <f t="shared" si="451"/>
        <v>0</v>
      </c>
      <c r="O931">
        <f t="shared" si="350"/>
        <v>0</v>
      </c>
      <c r="P931">
        <f t="shared" ref="P931:R931" si="452">P888*0.65</f>
        <v>0</v>
      </c>
      <c r="Q931">
        <f t="shared" si="452"/>
        <v>0</v>
      </c>
      <c r="R931">
        <f t="shared" si="452"/>
        <v>0</v>
      </c>
      <c r="S931">
        <f t="shared" si="351"/>
        <v>0</v>
      </c>
      <c r="T931">
        <f t="shared" ref="T931:U931" si="453">T888*0.65</f>
        <v>0.13</v>
      </c>
      <c r="U931">
        <f t="shared" si="453"/>
        <v>0.13</v>
      </c>
      <c r="V931">
        <f t="shared" ref="V931:Z931" si="454">V888*0.65</f>
        <v>0</v>
      </c>
      <c r="W931">
        <f t="shared" si="454"/>
        <v>0</v>
      </c>
      <c r="X931">
        <f t="shared" si="454"/>
        <v>0</v>
      </c>
      <c r="Y931">
        <f t="shared" si="454"/>
        <v>0</v>
      </c>
      <c r="Z931">
        <f t="shared" si="454"/>
        <v>0</v>
      </c>
      <c r="AA931">
        <f t="shared" si="352"/>
        <v>0.26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 s="5">
        <v>15.995762711864407</v>
      </c>
      <c r="AI931" t="s">
        <v>13</v>
      </c>
      <c r="AJ931" s="5">
        <f t="shared" si="353"/>
        <v>15.995762711864407</v>
      </c>
      <c r="AK931" t="s">
        <v>13</v>
      </c>
      <c r="AL931">
        <f t="shared" si="365"/>
        <v>0.63074237288135593</v>
      </c>
      <c r="AM931">
        <f t="shared" si="386"/>
        <v>0.36925762711864402</v>
      </c>
      <c r="AN931">
        <v>1786</v>
      </c>
      <c r="AO931" t="s">
        <v>13</v>
      </c>
      <c r="AP931">
        <v>2832</v>
      </c>
      <c r="AQ931" t="s">
        <v>13</v>
      </c>
      <c r="AR931">
        <f t="shared" si="341"/>
        <v>0.43318706337039048</v>
      </c>
      <c r="AS931">
        <f t="shared" si="357"/>
        <v>0.20929999999999999</v>
      </c>
      <c r="AT931">
        <f t="shared" si="358"/>
        <v>593</v>
      </c>
      <c r="AU931">
        <f t="shared" si="359"/>
        <v>453</v>
      </c>
      <c r="AV931">
        <f t="shared" si="344"/>
        <v>300</v>
      </c>
      <c r="AW931">
        <f t="shared" si="345"/>
        <v>512</v>
      </c>
      <c r="AX931" s="3">
        <f t="shared" si="346"/>
        <v>2020</v>
      </c>
      <c r="AY931">
        <f t="shared" si="347"/>
        <v>296</v>
      </c>
      <c r="AZ931">
        <f t="shared" si="348"/>
        <v>513</v>
      </c>
      <c r="BA931" s="3">
        <f t="shared" si="349"/>
        <v>2023</v>
      </c>
    </row>
    <row r="932" spans="1:53" x14ac:dyDescent="0.2">
      <c r="A932">
        <v>2005</v>
      </c>
      <c r="B932" t="s">
        <v>87</v>
      </c>
      <c r="C932" t="s">
        <v>85</v>
      </c>
      <c r="D932">
        <f t="shared" si="360"/>
        <v>9.4250000000000007</v>
      </c>
      <c r="E932">
        <f t="shared" si="360"/>
        <v>0</v>
      </c>
      <c r="F932">
        <f t="shared" si="360"/>
        <v>1.7550000000000001</v>
      </c>
      <c r="G932">
        <f t="shared" si="360"/>
        <v>3.77</v>
      </c>
      <c r="H932">
        <f t="shared" si="360"/>
        <v>1.3</v>
      </c>
      <c r="I932">
        <f t="shared" si="360"/>
        <v>1.8199999999999998</v>
      </c>
      <c r="J932">
        <f t="shared" si="360"/>
        <v>0</v>
      </c>
      <c r="K932">
        <f t="shared" si="342"/>
        <v>18.07</v>
      </c>
      <c r="L932">
        <f t="shared" ref="L932:N932" si="455">L889*0.65</f>
        <v>0</v>
      </c>
      <c r="M932">
        <f t="shared" si="455"/>
        <v>0</v>
      </c>
      <c r="N932">
        <f t="shared" si="455"/>
        <v>0</v>
      </c>
      <c r="O932">
        <f t="shared" si="350"/>
        <v>0</v>
      </c>
      <c r="P932">
        <f t="shared" ref="P932:R932" si="456">P889*0.65</f>
        <v>0</v>
      </c>
      <c r="Q932">
        <f t="shared" si="456"/>
        <v>0</v>
      </c>
      <c r="R932">
        <f t="shared" si="456"/>
        <v>0.19500000000000001</v>
      </c>
      <c r="S932">
        <f t="shared" si="351"/>
        <v>0.19500000000000001</v>
      </c>
      <c r="T932">
        <f t="shared" ref="T932:U932" si="457">T889*0.65</f>
        <v>0</v>
      </c>
      <c r="U932">
        <f t="shared" si="457"/>
        <v>0.19500000000000001</v>
      </c>
      <c r="V932">
        <f t="shared" ref="V932:Z932" si="458">V889*0.65</f>
        <v>0</v>
      </c>
      <c r="W932">
        <f t="shared" si="458"/>
        <v>0</v>
      </c>
      <c r="X932">
        <f t="shared" si="458"/>
        <v>0</v>
      </c>
      <c r="Y932">
        <f t="shared" si="458"/>
        <v>0</v>
      </c>
      <c r="Z932">
        <f t="shared" si="458"/>
        <v>0</v>
      </c>
      <c r="AA932">
        <f t="shared" si="352"/>
        <v>0.19500000000000001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 s="5">
        <v>11.509101585437463</v>
      </c>
      <c r="AI932" t="s">
        <v>13</v>
      </c>
      <c r="AJ932" s="5">
        <f t="shared" si="353"/>
        <v>11.509101585437463</v>
      </c>
      <c r="AK932" t="s">
        <v>13</v>
      </c>
      <c r="AL932">
        <f t="shared" si="365"/>
        <v>0.70030898414562537</v>
      </c>
      <c r="AM932">
        <f t="shared" si="386"/>
        <v>0.29969101585437463</v>
      </c>
      <c r="AN932">
        <v>1193</v>
      </c>
      <c r="AO932" t="s">
        <v>13</v>
      </c>
      <c r="AP932">
        <v>1703</v>
      </c>
      <c r="AQ932" t="s">
        <v>13</v>
      </c>
      <c r="AR932">
        <f t="shared" ref="AR932:AR995" si="459">(AJ932/100)/AM932</f>
        <v>0.38403225243929057</v>
      </c>
      <c r="AS932">
        <f t="shared" si="357"/>
        <v>0.18460000000000001</v>
      </c>
      <c r="AT932">
        <f t="shared" si="358"/>
        <v>314</v>
      </c>
      <c r="AU932">
        <f t="shared" si="359"/>
        <v>196</v>
      </c>
      <c r="AV932">
        <f t="shared" si="344"/>
        <v>161</v>
      </c>
      <c r="AW932">
        <f t="shared" si="345"/>
        <v>218</v>
      </c>
      <c r="AX932" s="3">
        <f t="shared" si="346"/>
        <v>1324</v>
      </c>
      <c r="AY932">
        <f t="shared" si="347"/>
        <v>157</v>
      </c>
      <c r="AZ932">
        <f t="shared" si="348"/>
        <v>218</v>
      </c>
      <c r="BA932" s="3">
        <f t="shared" si="349"/>
        <v>1328</v>
      </c>
    </row>
    <row r="933" spans="1:53" x14ac:dyDescent="0.2">
      <c r="A933">
        <v>2006</v>
      </c>
      <c r="B933" t="s">
        <v>87</v>
      </c>
      <c r="C933" t="s">
        <v>85</v>
      </c>
      <c r="D933">
        <f t="shared" si="360"/>
        <v>12.415000000000001</v>
      </c>
      <c r="E933">
        <f t="shared" si="360"/>
        <v>0.13</v>
      </c>
      <c r="F933">
        <f t="shared" si="360"/>
        <v>2.145</v>
      </c>
      <c r="G933">
        <f t="shared" si="360"/>
        <v>7.0200000000000005</v>
      </c>
      <c r="H933">
        <f t="shared" si="360"/>
        <v>1.4949999999999999</v>
      </c>
      <c r="I933">
        <f t="shared" si="360"/>
        <v>1.9500000000000002</v>
      </c>
      <c r="J933">
        <f t="shared" si="360"/>
        <v>0.32500000000000001</v>
      </c>
      <c r="K933">
        <f t="shared" si="342"/>
        <v>25.48</v>
      </c>
      <c r="L933">
        <f t="shared" ref="L933:N933" si="460">L890*0.65</f>
        <v>0</v>
      </c>
      <c r="M933">
        <f t="shared" si="460"/>
        <v>0</v>
      </c>
      <c r="N933">
        <f t="shared" si="460"/>
        <v>0</v>
      </c>
      <c r="O933">
        <f t="shared" si="350"/>
        <v>0</v>
      </c>
      <c r="P933">
        <f t="shared" ref="P933:R933" si="461">P890*0.65</f>
        <v>0</v>
      </c>
      <c r="Q933">
        <f t="shared" si="461"/>
        <v>0</v>
      </c>
      <c r="R933">
        <f t="shared" si="461"/>
        <v>0</v>
      </c>
      <c r="S933">
        <f t="shared" si="351"/>
        <v>0</v>
      </c>
      <c r="T933">
        <f t="shared" ref="T933:U933" si="462">T890*0.65</f>
        <v>0.26</v>
      </c>
      <c r="U933">
        <f t="shared" si="462"/>
        <v>0</v>
      </c>
      <c r="V933">
        <f t="shared" ref="V933:Z933" si="463">V890*0.65</f>
        <v>0</v>
      </c>
      <c r="W933">
        <f t="shared" si="463"/>
        <v>0</v>
      </c>
      <c r="X933">
        <f t="shared" si="463"/>
        <v>0</v>
      </c>
      <c r="Y933">
        <f t="shared" si="463"/>
        <v>0</v>
      </c>
      <c r="Z933">
        <f t="shared" si="463"/>
        <v>0</v>
      </c>
      <c r="AA933">
        <f t="shared" si="352"/>
        <v>0.26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 s="5">
        <v>10.98670398880336</v>
      </c>
      <c r="AI933" t="s">
        <v>13</v>
      </c>
      <c r="AJ933" s="5">
        <f t="shared" si="353"/>
        <v>10.98670398880336</v>
      </c>
      <c r="AK933" t="s">
        <v>13</v>
      </c>
      <c r="AL933">
        <f t="shared" si="365"/>
        <v>0.63273296011196634</v>
      </c>
      <c r="AM933">
        <f t="shared" si="386"/>
        <v>0.36726703988803366</v>
      </c>
      <c r="AN933">
        <v>904</v>
      </c>
      <c r="AO933" t="s">
        <v>13</v>
      </c>
      <c r="AP933">
        <v>1429</v>
      </c>
      <c r="AQ933" t="s">
        <v>13</v>
      </c>
      <c r="AR933">
        <f t="shared" si="459"/>
        <v>0.29914756282384625</v>
      </c>
      <c r="AS933">
        <f t="shared" si="357"/>
        <v>0.25740000000000002</v>
      </c>
      <c r="AT933">
        <f t="shared" si="358"/>
        <v>368</v>
      </c>
      <c r="AU933">
        <f t="shared" si="359"/>
        <v>157</v>
      </c>
      <c r="AV933">
        <f t="shared" si="344"/>
        <v>186</v>
      </c>
      <c r="AW933">
        <f t="shared" si="345"/>
        <v>184</v>
      </c>
      <c r="AX933" s="3">
        <f t="shared" si="346"/>
        <v>1059</v>
      </c>
      <c r="AY933">
        <f t="shared" si="347"/>
        <v>184</v>
      </c>
      <c r="AZ933">
        <f t="shared" si="348"/>
        <v>184</v>
      </c>
      <c r="BA933" s="3">
        <f t="shared" si="349"/>
        <v>1061</v>
      </c>
    </row>
    <row r="934" spans="1:53" x14ac:dyDescent="0.2">
      <c r="A934">
        <v>2007</v>
      </c>
      <c r="B934" t="s">
        <v>87</v>
      </c>
      <c r="C934" t="s">
        <v>85</v>
      </c>
      <c r="D934">
        <f t="shared" si="360"/>
        <v>19.37</v>
      </c>
      <c r="E934">
        <f t="shared" si="360"/>
        <v>0</v>
      </c>
      <c r="F934">
        <f t="shared" si="360"/>
        <v>4.55</v>
      </c>
      <c r="G934">
        <f t="shared" si="360"/>
        <v>6.3049999999999997</v>
      </c>
      <c r="H934">
        <f t="shared" si="360"/>
        <v>9.0350000000000001</v>
      </c>
      <c r="I934">
        <f t="shared" si="360"/>
        <v>0</v>
      </c>
      <c r="J934">
        <f t="shared" si="360"/>
        <v>0</v>
      </c>
      <c r="K934">
        <f t="shared" si="342"/>
        <v>39.260000000000005</v>
      </c>
      <c r="L934">
        <f t="shared" ref="L934:N934" si="464">L891*0.65</f>
        <v>0</v>
      </c>
      <c r="M934">
        <f t="shared" si="464"/>
        <v>0</v>
      </c>
      <c r="N934">
        <f t="shared" si="464"/>
        <v>0</v>
      </c>
      <c r="O934">
        <f t="shared" si="350"/>
        <v>0</v>
      </c>
      <c r="P934">
        <f t="shared" ref="P934:R934" si="465">P891*0.65</f>
        <v>0</v>
      </c>
      <c r="Q934">
        <f t="shared" si="465"/>
        <v>0</v>
      </c>
      <c r="R934">
        <f t="shared" si="465"/>
        <v>0</v>
      </c>
      <c r="S934">
        <f t="shared" si="351"/>
        <v>0</v>
      </c>
      <c r="T934">
        <f t="shared" ref="T934:U934" si="466">T891*0.65</f>
        <v>1.4949999999999999</v>
      </c>
      <c r="U934">
        <f t="shared" si="466"/>
        <v>6.5000000000000002E-2</v>
      </c>
      <c r="V934">
        <f t="shared" ref="V934:Z934" si="467">V891*0.65</f>
        <v>0</v>
      </c>
      <c r="W934">
        <f t="shared" si="467"/>
        <v>0</v>
      </c>
      <c r="X934">
        <f t="shared" si="467"/>
        <v>0</v>
      </c>
      <c r="Y934">
        <f t="shared" si="467"/>
        <v>0</v>
      </c>
      <c r="Z934">
        <f t="shared" si="467"/>
        <v>0</v>
      </c>
      <c r="AA934">
        <f t="shared" si="352"/>
        <v>1.5599999999999998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 s="5">
        <v>12.319259687680741</v>
      </c>
      <c r="AI934" t="s">
        <v>13</v>
      </c>
      <c r="AJ934" s="5">
        <f t="shared" si="353"/>
        <v>12.319259687680741</v>
      </c>
      <c r="AK934" t="s">
        <v>13</v>
      </c>
      <c r="AL934">
        <f t="shared" si="365"/>
        <v>0.4686074031231926</v>
      </c>
      <c r="AM934">
        <f t="shared" si="386"/>
        <v>0.5313925968768074</v>
      </c>
      <c r="AN934">
        <v>810</v>
      </c>
      <c r="AO934" t="s">
        <v>13</v>
      </c>
      <c r="AP934">
        <v>1729</v>
      </c>
      <c r="AQ934" t="s">
        <v>13</v>
      </c>
      <c r="AR934">
        <f t="shared" si="459"/>
        <v>0.23182971987351025</v>
      </c>
      <c r="AS934">
        <f t="shared" si="357"/>
        <v>0.40820000000000006</v>
      </c>
      <c r="AT934">
        <f t="shared" si="358"/>
        <v>706</v>
      </c>
      <c r="AU934">
        <f t="shared" si="359"/>
        <v>213</v>
      </c>
      <c r="AV934">
        <f t="shared" si="344"/>
        <v>366</v>
      </c>
      <c r="AW934">
        <f t="shared" si="345"/>
        <v>284</v>
      </c>
      <c r="AX934" s="3">
        <f t="shared" si="346"/>
        <v>1079</v>
      </c>
      <c r="AY934">
        <f t="shared" si="347"/>
        <v>353</v>
      </c>
      <c r="AZ934">
        <f t="shared" si="348"/>
        <v>286</v>
      </c>
      <c r="BA934" s="3">
        <f t="shared" si="349"/>
        <v>1090</v>
      </c>
    </row>
    <row r="935" spans="1:53" x14ac:dyDescent="0.2">
      <c r="A935">
        <v>2008</v>
      </c>
      <c r="B935" t="s">
        <v>87</v>
      </c>
      <c r="C935" t="s">
        <v>85</v>
      </c>
      <c r="D935">
        <f t="shared" si="360"/>
        <v>11.115000000000002</v>
      </c>
      <c r="E935">
        <f t="shared" si="360"/>
        <v>0</v>
      </c>
      <c r="F935">
        <f t="shared" si="360"/>
        <v>1.6900000000000002</v>
      </c>
      <c r="G935">
        <f t="shared" si="360"/>
        <v>5.2</v>
      </c>
      <c r="H935">
        <f t="shared" si="360"/>
        <v>3.3149999999999999</v>
      </c>
      <c r="I935">
        <f t="shared" si="360"/>
        <v>0.52</v>
      </c>
      <c r="J935">
        <f t="shared" si="360"/>
        <v>0.71500000000000008</v>
      </c>
      <c r="K935">
        <f t="shared" si="342"/>
        <v>22.555000000000003</v>
      </c>
      <c r="L935">
        <f t="shared" ref="L935:N935" si="468">L892*0.65</f>
        <v>0</v>
      </c>
      <c r="M935">
        <f t="shared" si="468"/>
        <v>0</v>
      </c>
      <c r="N935">
        <f t="shared" si="468"/>
        <v>0</v>
      </c>
      <c r="O935">
        <f t="shared" si="350"/>
        <v>0</v>
      </c>
      <c r="P935">
        <f t="shared" ref="P935:R935" si="469">P892*0.65</f>
        <v>0</v>
      </c>
      <c r="Q935">
        <f t="shared" si="469"/>
        <v>0</v>
      </c>
      <c r="R935">
        <f t="shared" si="469"/>
        <v>0</v>
      </c>
      <c r="S935">
        <f t="shared" si="351"/>
        <v>0</v>
      </c>
      <c r="T935">
        <f t="shared" ref="T935:U935" si="470">T892*0.65</f>
        <v>0</v>
      </c>
      <c r="U935">
        <f t="shared" si="470"/>
        <v>0</v>
      </c>
      <c r="V935">
        <f t="shared" ref="V935:Z935" si="471">V892*0.65</f>
        <v>0</v>
      </c>
      <c r="W935">
        <f t="shared" si="471"/>
        <v>0</v>
      </c>
      <c r="X935">
        <f t="shared" si="471"/>
        <v>0</v>
      </c>
      <c r="Y935">
        <f t="shared" si="471"/>
        <v>0</v>
      </c>
      <c r="Z935">
        <f t="shared" si="471"/>
        <v>0</v>
      </c>
      <c r="AA935">
        <f t="shared" si="352"/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 s="5">
        <v>3.5242290748898681</v>
      </c>
      <c r="AI935" t="s">
        <v>13</v>
      </c>
      <c r="AJ935" s="5">
        <f t="shared" si="353"/>
        <v>3.5242290748898681</v>
      </c>
      <c r="AK935" t="s">
        <v>13</v>
      </c>
      <c r="AL935">
        <f t="shared" si="365"/>
        <v>0.73920770925110135</v>
      </c>
      <c r="AM935">
        <f t="shared" si="386"/>
        <v>0.2607922907488987</v>
      </c>
      <c r="AN935">
        <v>671</v>
      </c>
      <c r="AO935" t="s">
        <v>13</v>
      </c>
      <c r="AP935">
        <v>908</v>
      </c>
      <c r="AQ935" t="s">
        <v>13</v>
      </c>
      <c r="AR935">
        <f t="shared" si="459"/>
        <v>0.13513547753921673</v>
      </c>
      <c r="AS935">
        <f t="shared" si="357"/>
        <v>0.22555000000000003</v>
      </c>
      <c r="AT935">
        <f t="shared" si="358"/>
        <v>205</v>
      </c>
      <c r="AU935">
        <f t="shared" si="359"/>
        <v>32</v>
      </c>
      <c r="AV935">
        <f t="shared" si="344"/>
        <v>102</v>
      </c>
      <c r="AW935">
        <f t="shared" si="345"/>
        <v>37</v>
      </c>
      <c r="AX935" s="3">
        <f t="shared" si="346"/>
        <v>769</v>
      </c>
      <c r="AY935">
        <f t="shared" si="347"/>
        <v>102</v>
      </c>
      <c r="AZ935">
        <f t="shared" si="348"/>
        <v>37</v>
      </c>
      <c r="BA935" s="3">
        <f t="shared" si="349"/>
        <v>769</v>
      </c>
    </row>
    <row r="936" spans="1:53" x14ac:dyDescent="0.2">
      <c r="A936">
        <v>2009</v>
      </c>
      <c r="B936" t="s">
        <v>87</v>
      </c>
      <c r="C936" t="s">
        <v>85</v>
      </c>
      <c r="D936">
        <f t="shared" si="360"/>
        <v>17.484999999999999</v>
      </c>
      <c r="E936">
        <f t="shared" si="360"/>
        <v>0.97500000000000009</v>
      </c>
      <c r="F936">
        <f t="shared" si="360"/>
        <v>3.9000000000000004</v>
      </c>
      <c r="G936">
        <f t="shared" si="360"/>
        <v>6.24</v>
      </c>
      <c r="H936">
        <f t="shared" si="360"/>
        <v>2.5350000000000001</v>
      </c>
      <c r="I936">
        <f t="shared" si="360"/>
        <v>6.5000000000000002E-2</v>
      </c>
      <c r="J936">
        <f t="shared" si="360"/>
        <v>0.78</v>
      </c>
      <c r="K936">
        <f t="shared" si="342"/>
        <v>31.980000000000004</v>
      </c>
      <c r="L936">
        <f t="shared" ref="L936:N936" si="472">L893*0.65</f>
        <v>0</v>
      </c>
      <c r="M936">
        <f t="shared" si="472"/>
        <v>0</v>
      </c>
      <c r="N936">
        <f t="shared" si="472"/>
        <v>0</v>
      </c>
      <c r="O936">
        <f t="shared" si="350"/>
        <v>0</v>
      </c>
      <c r="P936">
        <f t="shared" ref="P936:R936" si="473">P893*0.65</f>
        <v>0</v>
      </c>
      <c r="Q936">
        <f t="shared" si="473"/>
        <v>0</v>
      </c>
      <c r="R936">
        <f t="shared" si="473"/>
        <v>0</v>
      </c>
      <c r="S936">
        <f t="shared" si="351"/>
        <v>0</v>
      </c>
      <c r="T936">
        <f t="shared" ref="T936:U936" si="474">T893*0.65</f>
        <v>0</v>
      </c>
      <c r="U936">
        <f t="shared" si="474"/>
        <v>0</v>
      </c>
      <c r="V936">
        <f t="shared" ref="V936:Z936" si="475">V893*0.65</f>
        <v>0</v>
      </c>
      <c r="W936">
        <f t="shared" si="475"/>
        <v>0</v>
      </c>
      <c r="X936">
        <f t="shared" si="475"/>
        <v>0</v>
      </c>
      <c r="Y936">
        <f t="shared" si="475"/>
        <v>0</v>
      </c>
      <c r="Z936">
        <f t="shared" si="475"/>
        <v>0</v>
      </c>
      <c r="AA936">
        <f t="shared" si="352"/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 s="5">
        <v>2.459016393442623</v>
      </c>
      <c r="AI936" t="s">
        <v>13</v>
      </c>
      <c r="AJ936" s="5">
        <f t="shared" si="353"/>
        <v>2.459016393442623</v>
      </c>
      <c r="AK936" t="s">
        <v>13</v>
      </c>
      <c r="AL936">
        <f t="shared" si="365"/>
        <v>0.65560983606557377</v>
      </c>
      <c r="AM936">
        <f t="shared" si="386"/>
        <v>0.34439016393442629</v>
      </c>
      <c r="AN936">
        <v>880</v>
      </c>
      <c r="AO936" t="s">
        <v>13</v>
      </c>
      <c r="AP936">
        <v>1342</v>
      </c>
      <c r="AQ936" t="s">
        <v>13</v>
      </c>
      <c r="AR936">
        <f t="shared" si="459"/>
        <v>7.1402050666895145E-2</v>
      </c>
      <c r="AS936">
        <f t="shared" si="357"/>
        <v>0.31980000000000003</v>
      </c>
      <c r="AT936">
        <f t="shared" si="358"/>
        <v>429</v>
      </c>
      <c r="AU936">
        <f t="shared" si="359"/>
        <v>33</v>
      </c>
      <c r="AV936">
        <f t="shared" si="344"/>
        <v>215</v>
      </c>
      <c r="AW936">
        <f t="shared" si="345"/>
        <v>41</v>
      </c>
      <c r="AX936" s="3">
        <f t="shared" si="346"/>
        <v>1086</v>
      </c>
      <c r="AY936">
        <f t="shared" si="347"/>
        <v>215</v>
      </c>
      <c r="AZ936">
        <f t="shared" si="348"/>
        <v>41</v>
      </c>
      <c r="BA936" s="3">
        <f t="shared" si="349"/>
        <v>1086</v>
      </c>
    </row>
    <row r="937" spans="1:53" x14ac:dyDescent="0.2">
      <c r="A937">
        <v>2010</v>
      </c>
      <c r="B937" t="s">
        <v>87</v>
      </c>
      <c r="C937" t="s">
        <v>85</v>
      </c>
      <c r="D937">
        <f t="shared" si="360"/>
        <v>13.584999999999999</v>
      </c>
      <c r="E937">
        <f t="shared" si="360"/>
        <v>0</v>
      </c>
      <c r="F937">
        <f t="shared" si="360"/>
        <v>3.3800000000000003</v>
      </c>
      <c r="G937">
        <f t="shared" si="360"/>
        <v>2.9250000000000003</v>
      </c>
      <c r="H937">
        <f t="shared" si="360"/>
        <v>3.0550000000000002</v>
      </c>
      <c r="I937">
        <f t="shared" si="360"/>
        <v>0</v>
      </c>
      <c r="J937">
        <f t="shared" si="360"/>
        <v>0.32500000000000001</v>
      </c>
      <c r="K937">
        <f t="shared" si="342"/>
        <v>23.27</v>
      </c>
      <c r="L937">
        <f t="shared" ref="L937:N937" si="476">L894*0.65</f>
        <v>0</v>
      </c>
      <c r="M937">
        <f t="shared" si="476"/>
        <v>0</v>
      </c>
      <c r="N937">
        <f t="shared" si="476"/>
        <v>0</v>
      </c>
      <c r="O937">
        <f t="shared" si="350"/>
        <v>0</v>
      </c>
      <c r="P937">
        <f t="shared" ref="P937:R937" si="477">P894*0.65</f>
        <v>0</v>
      </c>
      <c r="Q937">
        <f t="shared" si="477"/>
        <v>0</v>
      </c>
      <c r="R937">
        <f t="shared" si="477"/>
        <v>6.5000000000000002E-2</v>
      </c>
      <c r="S937">
        <f t="shared" si="351"/>
        <v>6.5000000000000002E-2</v>
      </c>
      <c r="T937">
        <f t="shared" ref="T937:U937" si="478">T894*0.65</f>
        <v>0.13</v>
      </c>
      <c r="U937">
        <f t="shared" si="478"/>
        <v>0.19500000000000001</v>
      </c>
      <c r="V937">
        <f t="shared" ref="V937:Z937" si="479">V894*0.65</f>
        <v>0</v>
      </c>
      <c r="W937">
        <f t="shared" si="479"/>
        <v>0</v>
      </c>
      <c r="X937">
        <f t="shared" si="479"/>
        <v>0</v>
      </c>
      <c r="Y937">
        <f t="shared" si="479"/>
        <v>0</v>
      </c>
      <c r="Z937">
        <f t="shared" si="479"/>
        <v>0</v>
      </c>
      <c r="AA937">
        <f t="shared" si="352"/>
        <v>0.32500000000000001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 s="5">
        <v>2.1505376344086025</v>
      </c>
      <c r="AI937" t="s">
        <v>13</v>
      </c>
      <c r="AJ937" s="5">
        <f t="shared" si="353"/>
        <v>2.1505376344086025</v>
      </c>
      <c r="AK937" t="s">
        <v>13</v>
      </c>
      <c r="AL937">
        <f t="shared" si="365"/>
        <v>0.74189462365591408</v>
      </c>
      <c r="AM937">
        <f t="shared" si="386"/>
        <v>0.25810537634408598</v>
      </c>
      <c r="AN937">
        <v>828</v>
      </c>
      <c r="AO937" t="s">
        <v>13</v>
      </c>
      <c r="AP937">
        <v>1116</v>
      </c>
      <c r="AQ937" t="s">
        <v>13</v>
      </c>
      <c r="AR937">
        <f t="shared" si="459"/>
        <v>8.332014097767855E-2</v>
      </c>
      <c r="AS937">
        <f t="shared" si="357"/>
        <v>0.2366</v>
      </c>
      <c r="AT937">
        <f t="shared" si="358"/>
        <v>264</v>
      </c>
      <c r="AU937">
        <f t="shared" si="359"/>
        <v>24</v>
      </c>
      <c r="AV937">
        <f t="shared" si="344"/>
        <v>134</v>
      </c>
      <c r="AW937">
        <f t="shared" si="345"/>
        <v>28</v>
      </c>
      <c r="AX937" s="3">
        <f t="shared" si="346"/>
        <v>954</v>
      </c>
      <c r="AY937">
        <f t="shared" si="347"/>
        <v>132</v>
      </c>
      <c r="AZ937">
        <f t="shared" si="348"/>
        <v>28</v>
      </c>
      <c r="BA937" s="3">
        <f t="shared" si="349"/>
        <v>956</v>
      </c>
    </row>
    <row r="938" spans="1:53" x14ac:dyDescent="0.2">
      <c r="A938">
        <v>2011</v>
      </c>
      <c r="B938" t="s">
        <v>87</v>
      </c>
      <c r="C938" t="s">
        <v>85</v>
      </c>
      <c r="D938">
        <f t="shared" si="360"/>
        <v>14.625</v>
      </c>
      <c r="E938">
        <f t="shared" si="360"/>
        <v>0.13</v>
      </c>
      <c r="F938">
        <f t="shared" si="360"/>
        <v>3.8350000000000004</v>
      </c>
      <c r="G938">
        <f t="shared" si="360"/>
        <v>3.7050000000000001</v>
      </c>
      <c r="H938">
        <f t="shared" si="360"/>
        <v>3.1850000000000005</v>
      </c>
      <c r="I938">
        <f t="shared" si="360"/>
        <v>6.5000000000000002E-2</v>
      </c>
      <c r="J938">
        <f t="shared" si="360"/>
        <v>0.13</v>
      </c>
      <c r="K938">
        <f t="shared" ref="K938:K1001" si="480">SUM(D938:J938)</f>
        <v>25.675000000000004</v>
      </c>
      <c r="L938">
        <f t="shared" ref="L938:N938" si="481">L895*0.65</f>
        <v>0</v>
      </c>
      <c r="M938">
        <f t="shared" si="481"/>
        <v>0</v>
      </c>
      <c r="N938">
        <f t="shared" si="481"/>
        <v>6.5000000000000002E-2</v>
      </c>
      <c r="O938">
        <f t="shared" si="350"/>
        <v>6.5000000000000002E-2</v>
      </c>
      <c r="P938">
        <f t="shared" ref="P938:R938" si="482">P895*0.65</f>
        <v>0</v>
      </c>
      <c r="Q938">
        <f t="shared" si="482"/>
        <v>0</v>
      </c>
      <c r="R938">
        <f t="shared" si="482"/>
        <v>0</v>
      </c>
      <c r="S938">
        <f t="shared" si="351"/>
        <v>0</v>
      </c>
      <c r="T938">
        <f t="shared" ref="T938:U938" si="483">T895*0.65</f>
        <v>0.19500000000000001</v>
      </c>
      <c r="U938">
        <f t="shared" si="483"/>
        <v>6.5000000000000002E-2</v>
      </c>
      <c r="V938">
        <f t="shared" ref="V938:Z938" si="484">V895*0.65</f>
        <v>0</v>
      </c>
      <c r="W938">
        <f t="shared" si="484"/>
        <v>0</v>
      </c>
      <c r="X938">
        <f t="shared" si="484"/>
        <v>0</v>
      </c>
      <c r="Y938">
        <f t="shared" si="484"/>
        <v>0</v>
      </c>
      <c r="Z938">
        <f t="shared" si="484"/>
        <v>0</v>
      </c>
      <c r="AA938">
        <f t="shared" si="352"/>
        <v>0.26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 s="5">
        <v>4.8494983277591972</v>
      </c>
      <c r="AI938" t="s">
        <v>13</v>
      </c>
      <c r="AJ938" s="5">
        <f t="shared" si="353"/>
        <v>4.8494983277591972</v>
      </c>
      <c r="AK938" t="s">
        <v>13</v>
      </c>
      <c r="AL938">
        <f t="shared" si="365"/>
        <v>0.69150501672240794</v>
      </c>
      <c r="AM938">
        <f t="shared" si="386"/>
        <v>0.30849498327759201</v>
      </c>
      <c r="AN938">
        <v>827</v>
      </c>
      <c r="AO938" t="s">
        <v>13</v>
      </c>
      <c r="AP938">
        <v>1196</v>
      </c>
      <c r="AQ938" t="s">
        <v>13</v>
      </c>
      <c r="AR938">
        <f t="shared" si="459"/>
        <v>0.15719861231569815</v>
      </c>
      <c r="AS938">
        <f t="shared" si="357"/>
        <v>0.26000000000000006</v>
      </c>
      <c r="AT938">
        <f t="shared" si="358"/>
        <v>311</v>
      </c>
      <c r="AU938">
        <f t="shared" si="359"/>
        <v>58</v>
      </c>
      <c r="AV938">
        <f t="shared" si="344"/>
        <v>157</v>
      </c>
      <c r="AW938">
        <f t="shared" si="345"/>
        <v>68</v>
      </c>
      <c r="AX938" s="3">
        <f t="shared" si="346"/>
        <v>971</v>
      </c>
      <c r="AY938">
        <f t="shared" si="347"/>
        <v>155</v>
      </c>
      <c r="AZ938">
        <f t="shared" si="348"/>
        <v>68</v>
      </c>
      <c r="BA938" s="3">
        <f t="shared" si="349"/>
        <v>973</v>
      </c>
    </row>
    <row r="939" spans="1:53" x14ac:dyDescent="0.2">
      <c r="A939">
        <v>2012</v>
      </c>
      <c r="B939" t="s">
        <v>87</v>
      </c>
      <c r="C939" t="s">
        <v>85</v>
      </c>
      <c r="D939">
        <f t="shared" si="360"/>
        <v>23.27</v>
      </c>
      <c r="E939">
        <f t="shared" si="360"/>
        <v>0.13</v>
      </c>
      <c r="F939">
        <f t="shared" si="360"/>
        <v>4.2250000000000005</v>
      </c>
      <c r="G939">
        <f t="shared" si="360"/>
        <v>5.33</v>
      </c>
      <c r="H939">
        <f t="shared" si="360"/>
        <v>4.9399999999999995</v>
      </c>
      <c r="I939">
        <f t="shared" si="360"/>
        <v>0.58500000000000008</v>
      </c>
      <c r="J939">
        <f t="shared" si="360"/>
        <v>0.45499999999999996</v>
      </c>
      <c r="K939">
        <f t="shared" si="480"/>
        <v>38.934999999999995</v>
      </c>
      <c r="L939">
        <f t="shared" ref="L939:N939" si="485">L896*0.65</f>
        <v>0</v>
      </c>
      <c r="M939">
        <f t="shared" si="485"/>
        <v>0</v>
      </c>
      <c r="N939">
        <f t="shared" si="485"/>
        <v>0</v>
      </c>
      <c r="O939">
        <f t="shared" si="350"/>
        <v>0</v>
      </c>
      <c r="P939">
        <f t="shared" ref="P939:R939" si="486">P896*0.65</f>
        <v>0</v>
      </c>
      <c r="Q939">
        <f t="shared" si="486"/>
        <v>0</v>
      </c>
      <c r="R939">
        <f t="shared" si="486"/>
        <v>0.13</v>
      </c>
      <c r="S939">
        <f t="shared" si="351"/>
        <v>0.13</v>
      </c>
      <c r="T939">
        <f t="shared" ref="T939:U939" si="487">T896*0.65</f>
        <v>0.45499999999999996</v>
      </c>
      <c r="U939">
        <f t="shared" si="487"/>
        <v>6.5000000000000002E-2</v>
      </c>
      <c r="V939">
        <f t="shared" ref="V939:Z939" si="488">V896*0.65</f>
        <v>0</v>
      </c>
      <c r="W939">
        <f t="shared" si="488"/>
        <v>0</v>
      </c>
      <c r="X939">
        <f t="shared" si="488"/>
        <v>0</v>
      </c>
      <c r="Y939">
        <f t="shared" si="488"/>
        <v>0</v>
      </c>
      <c r="Z939">
        <f t="shared" si="488"/>
        <v>0</v>
      </c>
      <c r="AA939">
        <f t="shared" si="352"/>
        <v>0.52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 s="5">
        <v>8.2144894466628635</v>
      </c>
      <c r="AI939" t="s">
        <v>13</v>
      </c>
      <c r="AJ939" s="5">
        <f t="shared" si="353"/>
        <v>8.2144894466628635</v>
      </c>
      <c r="AK939" t="s">
        <v>13</v>
      </c>
      <c r="AL939">
        <f t="shared" si="365"/>
        <v>0.52200510553337143</v>
      </c>
      <c r="AM939">
        <f t="shared" si="386"/>
        <v>0.47799489446662863</v>
      </c>
      <c r="AN939">
        <v>915</v>
      </c>
      <c r="AO939" t="s">
        <v>13</v>
      </c>
      <c r="AP939">
        <v>1753</v>
      </c>
      <c r="AQ939" t="s">
        <v>13</v>
      </c>
      <c r="AR939">
        <f t="shared" si="459"/>
        <v>0.17185307922230036</v>
      </c>
      <c r="AS939">
        <f t="shared" si="357"/>
        <v>0.39585000000000004</v>
      </c>
      <c r="AT939">
        <f t="shared" si="358"/>
        <v>694</v>
      </c>
      <c r="AU939">
        <f t="shared" si="359"/>
        <v>144</v>
      </c>
      <c r="AV939">
        <f t="shared" si="344"/>
        <v>353</v>
      </c>
      <c r="AW939">
        <f t="shared" si="345"/>
        <v>190</v>
      </c>
      <c r="AX939" s="3">
        <f t="shared" si="346"/>
        <v>1210</v>
      </c>
      <c r="AY939">
        <f t="shared" si="347"/>
        <v>347</v>
      </c>
      <c r="AZ939">
        <f t="shared" si="348"/>
        <v>191</v>
      </c>
      <c r="BA939" s="3">
        <f t="shared" si="349"/>
        <v>1215</v>
      </c>
    </row>
    <row r="940" spans="1:53" x14ac:dyDescent="0.2">
      <c r="A940">
        <v>2013</v>
      </c>
      <c r="B940" t="s">
        <v>87</v>
      </c>
      <c r="C940" t="s">
        <v>85</v>
      </c>
      <c r="D940">
        <f t="shared" si="360"/>
        <v>11.57</v>
      </c>
      <c r="E940">
        <f t="shared" si="360"/>
        <v>0.52</v>
      </c>
      <c r="F940">
        <f t="shared" si="360"/>
        <v>7.6700000000000008</v>
      </c>
      <c r="G940">
        <f t="shared" si="360"/>
        <v>5.1350000000000007</v>
      </c>
      <c r="H940">
        <f t="shared" si="360"/>
        <v>10.53</v>
      </c>
      <c r="I940">
        <f t="shared" si="360"/>
        <v>0.26</v>
      </c>
      <c r="J940">
        <f t="shared" si="360"/>
        <v>0.58500000000000008</v>
      </c>
      <c r="K940">
        <f t="shared" si="480"/>
        <v>36.270000000000003</v>
      </c>
      <c r="L940">
        <f t="shared" ref="L940:N940" si="489">L897*0.65</f>
        <v>0</v>
      </c>
      <c r="M940">
        <f t="shared" si="489"/>
        <v>0</v>
      </c>
      <c r="N940">
        <f t="shared" si="489"/>
        <v>0.32500000000000001</v>
      </c>
      <c r="O940">
        <f t="shared" si="350"/>
        <v>0.32500000000000001</v>
      </c>
      <c r="P940">
        <f t="shared" ref="P940:R940" si="490">P897*0.65</f>
        <v>0</v>
      </c>
      <c r="Q940">
        <f t="shared" si="490"/>
        <v>0</v>
      </c>
      <c r="R940">
        <f t="shared" si="490"/>
        <v>0</v>
      </c>
      <c r="S940">
        <f t="shared" si="351"/>
        <v>0</v>
      </c>
      <c r="T940">
        <f t="shared" ref="T940:U940" si="491">T897*0.65</f>
        <v>0.52</v>
      </c>
      <c r="U940">
        <f t="shared" si="491"/>
        <v>0.13</v>
      </c>
      <c r="V940">
        <f t="shared" ref="V940:Z940" si="492">V897*0.65</f>
        <v>0</v>
      </c>
      <c r="W940">
        <f t="shared" si="492"/>
        <v>0</v>
      </c>
      <c r="X940">
        <f t="shared" si="492"/>
        <v>0</v>
      </c>
      <c r="Y940">
        <f t="shared" si="492"/>
        <v>0</v>
      </c>
      <c r="Z940">
        <f t="shared" si="492"/>
        <v>0</v>
      </c>
      <c r="AA940">
        <f t="shared" si="352"/>
        <v>0.65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 s="5">
        <v>8.8425593098490296</v>
      </c>
      <c r="AI940" t="s">
        <v>13</v>
      </c>
      <c r="AJ940" s="5">
        <f t="shared" si="353"/>
        <v>8.8425593098490296</v>
      </c>
      <c r="AK940" t="s">
        <v>13</v>
      </c>
      <c r="AL940">
        <f t="shared" si="365"/>
        <v>0.53912440690150965</v>
      </c>
      <c r="AM940">
        <f t="shared" si="386"/>
        <v>0.46087559309849035</v>
      </c>
      <c r="AN940">
        <v>750</v>
      </c>
      <c r="AO940" t="s">
        <v>13</v>
      </c>
      <c r="AP940">
        <v>1391</v>
      </c>
      <c r="AQ940" t="s">
        <v>13</v>
      </c>
      <c r="AR940">
        <f t="shared" si="459"/>
        <v>0.19186434348584286</v>
      </c>
      <c r="AS940">
        <f t="shared" si="357"/>
        <v>0.37245000000000006</v>
      </c>
      <c r="AT940">
        <f t="shared" si="358"/>
        <v>518</v>
      </c>
      <c r="AU940">
        <f t="shared" si="359"/>
        <v>123</v>
      </c>
      <c r="AV940">
        <f t="shared" si="344"/>
        <v>266</v>
      </c>
      <c r="AW940">
        <f t="shared" si="345"/>
        <v>159</v>
      </c>
      <c r="AX940" s="3">
        <f t="shared" si="346"/>
        <v>966</v>
      </c>
      <c r="AY940">
        <f t="shared" si="347"/>
        <v>259</v>
      </c>
      <c r="AZ940">
        <f t="shared" si="348"/>
        <v>159</v>
      </c>
      <c r="BA940" s="3">
        <f t="shared" si="349"/>
        <v>973</v>
      </c>
    </row>
    <row r="941" spans="1:53" x14ac:dyDescent="0.2">
      <c r="A941">
        <v>2014</v>
      </c>
      <c r="B941" t="s">
        <v>87</v>
      </c>
      <c r="C941" t="s">
        <v>85</v>
      </c>
      <c r="D941">
        <f t="shared" si="360"/>
        <v>15.600000000000001</v>
      </c>
      <c r="E941">
        <f t="shared" si="360"/>
        <v>0.71500000000000008</v>
      </c>
      <c r="F941">
        <f t="shared" si="360"/>
        <v>4.7450000000000001</v>
      </c>
      <c r="G941">
        <f t="shared" si="360"/>
        <v>4.7450000000000001</v>
      </c>
      <c r="H941">
        <f t="shared" si="360"/>
        <v>4.3550000000000004</v>
      </c>
      <c r="I941">
        <f t="shared" si="360"/>
        <v>0.45499999999999996</v>
      </c>
      <c r="J941">
        <f t="shared" si="360"/>
        <v>0.32500000000000001</v>
      </c>
      <c r="K941">
        <f t="shared" si="480"/>
        <v>30.94</v>
      </c>
      <c r="L941">
        <f t="shared" ref="L941:N941" si="493">L898*0.65</f>
        <v>0</v>
      </c>
      <c r="M941">
        <f t="shared" si="493"/>
        <v>0</v>
      </c>
      <c r="N941">
        <f t="shared" si="493"/>
        <v>0</v>
      </c>
      <c r="O941">
        <f t="shared" si="350"/>
        <v>0</v>
      </c>
      <c r="P941">
        <f t="shared" ref="P941:R941" si="494">P898*0.65</f>
        <v>0</v>
      </c>
      <c r="Q941">
        <f t="shared" si="494"/>
        <v>0</v>
      </c>
      <c r="R941">
        <f t="shared" si="494"/>
        <v>0</v>
      </c>
      <c r="S941">
        <f t="shared" si="351"/>
        <v>0</v>
      </c>
      <c r="T941">
        <f t="shared" ref="T941:U941" si="495">T898*0.65</f>
        <v>0.19500000000000001</v>
      </c>
      <c r="U941">
        <f t="shared" si="495"/>
        <v>0.19500000000000001</v>
      </c>
      <c r="V941">
        <f t="shared" ref="V941:Z941" si="496">V898*0.65</f>
        <v>0</v>
      </c>
      <c r="W941">
        <f t="shared" si="496"/>
        <v>0</v>
      </c>
      <c r="X941">
        <f t="shared" si="496"/>
        <v>0</v>
      </c>
      <c r="Y941">
        <f t="shared" si="496"/>
        <v>0</v>
      </c>
      <c r="Z941">
        <f t="shared" si="496"/>
        <v>6.5000000000000002E-2</v>
      </c>
      <c r="AA941">
        <f t="shared" si="352"/>
        <v>0.45500000000000002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 s="5">
        <v>6.2814070351758788</v>
      </c>
      <c r="AI941" t="s">
        <v>13</v>
      </c>
      <c r="AJ941" s="5">
        <f t="shared" si="353"/>
        <v>6.2814070351758788</v>
      </c>
      <c r="AK941" t="s">
        <v>13</v>
      </c>
      <c r="AL941">
        <f t="shared" si="365"/>
        <v>0.62323592964824115</v>
      </c>
      <c r="AM941">
        <f t="shared" si="386"/>
        <v>0.37676407035175885</v>
      </c>
      <c r="AN941">
        <v>744</v>
      </c>
      <c r="AO941" t="s">
        <v>13</v>
      </c>
      <c r="AP941">
        <v>1194</v>
      </c>
      <c r="AQ941" t="s">
        <v>13</v>
      </c>
      <c r="AR941">
        <f t="shared" si="459"/>
        <v>0.16671990588994748</v>
      </c>
      <c r="AS941">
        <f t="shared" si="357"/>
        <v>0.31395000000000001</v>
      </c>
      <c r="AT941">
        <f t="shared" si="358"/>
        <v>375</v>
      </c>
      <c r="AU941">
        <f t="shared" si="359"/>
        <v>75</v>
      </c>
      <c r="AV941">
        <f t="shared" si="344"/>
        <v>190</v>
      </c>
      <c r="AW941">
        <f t="shared" si="345"/>
        <v>92</v>
      </c>
      <c r="AX941" s="3">
        <f t="shared" si="346"/>
        <v>912</v>
      </c>
      <c r="AY941">
        <f t="shared" si="347"/>
        <v>187</v>
      </c>
      <c r="AZ941">
        <f t="shared" si="348"/>
        <v>92</v>
      </c>
      <c r="BA941" s="3">
        <f t="shared" si="349"/>
        <v>915</v>
      </c>
    </row>
    <row r="942" spans="1:53" x14ac:dyDescent="0.2">
      <c r="A942">
        <v>2015</v>
      </c>
      <c r="B942" t="s">
        <v>87</v>
      </c>
      <c r="C942" t="s">
        <v>85</v>
      </c>
      <c r="D942">
        <f t="shared" si="360"/>
        <v>12.154999999999999</v>
      </c>
      <c r="E942">
        <f t="shared" si="360"/>
        <v>0</v>
      </c>
      <c r="F942">
        <f t="shared" si="360"/>
        <v>4.7450000000000001</v>
      </c>
      <c r="G942">
        <f t="shared" si="360"/>
        <v>4.875</v>
      </c>
      <c r="H942">
        <f t="shared" si="360"/>
        <v>5.2649999999999997</v>
      </c>
      <c r="I942">
        <f t="shared" si="360"/>
        <v>0.26</v>
      </c>
      <c r="J942">
        <f t="shared" si="360"/>
        <v>0.19500000000000001</v>
      </c>
      <c r="K942">
        <f t="shared" si="480"/>
        <v>27.495000000000001</v>
      </c>
      <c r="L942">
        <f t="shared" ref="L942:N942" si="497">L899*0.65</f>
        <v>0</v>
      </c>
      <c r="M942">
        <f t="shared" si="497"/>
        <v>0</v>
      </c>
      <c r="N942">
        <f t="shared" si="497"/>
        <v>0</v>
      </c>
      <c r="O942">
        <f t="shared" si="350"/>
        <v>0</v>
      </c>
      <c r="P942">
        <f t="shared" ref="P942:R942" si="498">P899*0.65</f>
        <v>0</v>
      </c>
      <c r="Q942">
        <f t="shared" si="498"/>
        <v>0</v>
      </c>
      <c r="R942">
        <f t="shared" si="498"/>
        <v>0</v>
      </c>
      <c r="S942">
        <f t="shared" si="351"/>
        <v>0</v>
      </c>
      <c r="T942">
        <f t="shared" ref="T942:U942" si="499">T899*0.65</f>
        <v>0.39</v>
      </c>
      <c r="U942">
        <f t="shared" si="499"/>
        <v>0.19500000000000001</v>
      </c>
      <c r="V942">
        <f t="shared" ref="V942:Z942" si="500">V899*0.65</f>
        <v>0</v>
      </c>
      <c r="W942">
        <f t="shared" si="500"/>
        <v>0</v>
      </c>
      <c r="X942">
        <f t="shared" si="500"/>
        <v>0</v>
      </c>
      <c r="Y942">
        <f t="shared" si="500"/>
        <v>0</v>
      </c>
      <c r="Z942">
        <f t="shared" si="500"/>
        <v>0</v>
      </c>
      <c r="AA942">
        <f t="shared" si="352"/>
        <v>0.58499999999999996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 s="5">
        <v>1.7060367454068242</v>
      </c>
      <c r="AI942" t="s">
        <v>13</v>
      </c>
      <c r="AJ942" s="5">
        <f t="shared" si="353"/>
        <v>1.7060367454068242</v>
      </c>
      <c r="AK942" t="s">
        <v>13</v>
      </c>
      <c r="AL942">
        <f t="shared" si="365"/>
        <v>0.7021396325459317</v>
      </c>
      <c r="AM942">
        <f t="shared" si="386"/>
        <v>0.29786036745406824</v>
      </c>
      <c r="AN942">
        <v>1070</v>
      </c>
      <c r="AO942" t="s">
        <v>13</v>
      </c>
      <c r="AP942">
        <v>1524</v>
      </c>
      <c r="AQ942" t="s">
        <v>13</v>
      </c>
      <c r="AR942">
        <f t="shared" si="459"/>
        <v>5.7276392961876831E-2</v>
      </c>
      <c r="AS942">
        <f t="shared" si="357"/>
        <v>0.28079999999999999</v>
      </c>
      <c r="AT942">
        <f t="shared" si="358"/>
        <v>428</v>
      </c>
      <c r="AU942">
        <f t="shared" si="359"/>
        <v>26</v>
      </c>
      <c r="AV942">
        <f t="shared" si="344"/>
        <v>218</v>
      </c>
      <c r="AW942">
        <f t="shared" si="345"/>
        <v>31</v>
      </c>
      <c r="AX942" s="3">
        <f t="shared" si="346"/>
        <v>1275</v>
      </c>
      <c r="AY942">
        <f t="shared" si="347"/>
        <v>214</v>
      </c>
      <c r="AZ942">
        <f t="shared" si="348"/>
        <v>31</v>
      </c>
      <c r="BA942" s="3">
        <f t="shared" si="349"/>
        <v>1279</v>
      </c>
    </row>
    <row r="943" spans="1:53" x14ac:dyDescent="0.2">
      <c r="A943">
        <v>2016</v>
      </c>
      <c r="B943" t="s">
        <v>87</v>
      </c>
      <c r="C943" t="s">
        <v>85</v>
      </c>
      <c r="D943">
        <f t="shared" si="360"/>
        <v>18.330000000000002</v>
      </c>
      <c r="E943">
        <f t="shared" si="360"/>
        <v>6.5000000000000002E-2</v>
      </c>
      <c r="F943">
        <f t="shared" si="360"/>
        <v>2.3400000000000003</v>
      </c>
      <c r="G943">
        <f t="shared" si="360"/>
        <v>11.57</v>
      </c>
      <c r="H943">
        <f t="shared" si="360"/>
        <v>1.3</v>
      </c>
      <c r="I943">
        <f t="shared" si="360"/>
        <v>0.19500000000000001</v>
      </c>
      <c r="J943">
        <f t="shared" si="360"/>
        <v>0</v>
      </c>
      <c r="K943">
        <f t="shared" si="480"/>
        <v>33.800000000000004</v>
      </c>
      <c r="L943">
        <f t="shared" ref="L943:N943" si="501">L900*0.65</f>
        <v>0</v>
      </c>
      <c r="M943">
        <f t="shared" si="501"/>
        <v>0</v>
      </c>
      <c r="N943">
        <f t="shared" si="501"/>
        <v>0</v>
      </c>
      <c r="O943">
        <f t="shared" si="350"/>
        <v>0</v>
      </c>
      <c r="P943">
        <f t="shared" ref="P943:R943" si="502">P900*0.65</f>
        <v>0</v>
      </c>
      <c r="Q943">
        <f t="shared" si="502"/>
        <v>0</v>
      </c>
      <c r="R943">
        <f t="shared" si="502"/>
        <v>0</v>
      </c>
      <c r="S943">
        <f t="shared" si="351"/>
        <v>0</v>
      </c>
      <c r="T943">
        <f t="shared" ref="T943:U943" si="503">T900*0.65</f>
        <v>0</v>
      </c>
      <c r="U943">
        <f t="shared" si="503"/>
        <v>0</v>
      </c>
      <c r="V943">
        <f t="shared" ref="V943:Z943" si="504">V900*0.65</f>
        <v>0</v>
      </c>
      <c r="W943">
        <f t="shared" si="504"/>
        <v>0</v>
      </c>
      <c r="X943">
        <f t="shared" si="504"/>
        <v>0</v>
      </c>
      <c r="Y943">
        <f t="shared" si="504"/>
        <v>0</v>
      </c>
      <c r="Z943">
        <f t="shared" si="504"/>
        <v>0</v>
      </c>
      <c r="AA943">
        <f t="shared" si="352"/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 s="5">
        <v>0.80045740423098921</v>
      </c>
      <c r="AI943" t="s">
        <v>13</v>
      </c>
      <c r="AJ943" s="5">
        <f t="shared" si="353"/>
        <v>0.80045740423098921</v>
      </c>
      <c r="AK943" t="s">
        <v>13</v>
      </c>
      <c r="AL943">
        <f t="shared" si="365"/>
        <v>0.65399542595769011</v>
      </c>
      <c r="AM943">
        <f t="shared" si="386"/>
        <v>0.34600457404230989</v>
      </c>
      <c r="AN943">
        <v>1144</v>
      </c>
      <c r="AO943" t="s">
        <v>13</v>
      </c>
      <c r="AP943">
        <v>1749</v>
      </c>
      <c r="AQ943" t="s">
        <v>13</v>
      </c>
      <c r="AR943">
        <f t="shared" si="459"/>
        <v>2.3134301228431398E-2</v>
      </c>
      <c r="AS943">
        <f t="shared" si="357"/>
        <v>0.33800000000000002</v>
      </c>
      <c r="AT943">
        <f t="shared" si="358"/>
        <v>591</v>
      </c>
      <c r="AU943">
        <f t="shared" si="359"/>
        <v>14</v>
      </c>
      <c r="AV943">
        <f t="shared" si="344"/>
        <v>296</v>
      </c>
      <c r="AW943">
        <f t="shared" si="345"/>
        <v>18</v>
      </c>
      <c r="AX943" s="3">
        <f t="shared" si="346"/>
        <v>1435</v>
      </c>
      <c r="AY943">
        <f t="shared" si="347"/>
        <v>296</v>
      </c>
      <c r="AZ943">
        <f t="shared" si="348"/>
        <v>18</v>
      </c>
      <c r="BA943" s="3">
        <f t="shared" si="349"/>
        <v>1435</v>
      </c>
    </row>
    <row r="944" spans="1:53" x14ac:dyDescent="0.2">
      <c r="A944">
        <v>2017</v>
      </c>
      <c r="B944" t="s">
        <v>87</v>
      </c>
      <c r="C944" t="s">
        <v>85</v>
      </c>
      <c r="D944">
        <f t="shared" si="360"/>
        <v>8.58</v>
      </c>
      <c r="E944">
        <f t="shared" si="360"/>
        <v>0</v>
      </c>
      <c r="F944">
        <f t="shared" si="360"/>
        <v>3.3149999999999999</v>
      </c>
      <c r="G944">
        <f t="shared" si="360"/>
        <v>5.59</v>
      </c>
      <c r="H944">
        <f t="shared" ref="E944:J949" si="505">H901*0.65</f>
        <v>1.3</v>
      </c>
      <c r="I944">
        <f t="shared" si="505"/>
        <v>0.78</v>
      </c>
      <c r="J944">
        <f t="shared" si="505"/>
        <v>1.1700000000000002</v>
      </c>
      <c r="K944">
        <f t="shared" si="480"/>
        <v>20.735000000000003</v>
      </c>
      <c r="L944">
        <f t="shared" ref="L944:N944" si="506">L901*0.65</f>
        <v>0</v>
      </c>
      <c r="M944">
        <f t="shared" si="506"/>
        <v>0</v>
      </c>
      <c r="N944">
        <f t="shared" si="506"/>
        <v>0</v>
      </c>
      <c r="O944">
        <f t="shared" si="350"/>
        <v>0</v>
      </c>
      <c r="P944">
        <f t="shared" ref="P944:R944" si="507">P901*0.65</f>
        <v>0</v>
      </c>
      <c r="Q944">
        <f t="shared" si="507"/>
        <v>0</v>
      </c>
      <c r="R944">
        <f t="shared" si="507"/>
        <v>0</v>
      </c>
      <c r="S944">
        <f t="shared" si="351"/>
        <v>0</v>
      </c>
      <c r="T944">
        <f t="shared" ref="T944:U944" si="508">T901*0.65</f>
        <v>0</v>
      </c>
      <c r="U944">
        <f t="shared" si="508"/>
        <v>0</v>
      </c>
      <c r="V944">
        <f t="shared" ref="V944:Z944" si="509">V901*0.65</f>
        <v>0</v>
      </c>
      <c r="W944">
        <f t="shared" si="509"/>
        <v>0</v>
      </c>
      <c r="X944">
        <f t="shared" si="509"/>
        <v>0</v>
      </c>
      <c r="Y944">
        <f t="shared" si="509"/>
        <v>0</v>
      </c>
      <c r="Z944">
        <f t="shared" si="509"/>
        <v>0</v>
      </c>
      <c r="AA944">
        <f t="shared" si="352"/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 s="5">
        <v>0.86206896551724133</v>
      </c>
      <c r="AI944" t="s">
        <v>13</v>
      </c>
      <c r="AJ944" s="5">
        <f t="shared" si="353"/>
        <v>0.86206896551724133</v>
      </c>
      <c r="AK944" t="s">
        <v>13</v>
      </c>
      <c r="AL944">
        <f t="shared" si="365"/>
        <v>0.78402931034482759</v>
      </c>
      <c r="AM944">
        <f t="shared" si="386"/>
        <v>0.21597068965517244</v>
      </c>
      <c r="AN944">
        <v>1364</v>
      </c>
      <c r="AO944" t="s">
        <v>13</v>
      </c>
      <c r="AP944">
        <v>1740</v>
      </c>
      <c r="AQ944" t="s">
        <v>13</v>
      </c>
      <c r="AR944">
        <f t="shared" si="459"/>
        <v>3.9916016700861381E-2</v>
      </c>
      <c r="AS944">
        <f t="shared" si="357"/>
        <v>0.20735000000000003</v>
      </c>
      <c r="AT944">
        <f t="shared" si="358"/>
        <v>361</v>
      </c>
      <c r="AU944">
        <f t="shared" si="359"/>
        <v>15</v>
      </c>
      <c r="AV944">
        <f t="shared" si="344"/>
        <v>180</v>
      </c>
      <c r="AW944">
        <f t="shared" si="345"/>
        <v>17</v>
      </c>
      <c r="AX944" s="3">
        <f t="shared" si="346"/>
        <v>1543</v>
      </c>
      <c r="AY944">
        <f t="shared" si="347"/>
        <v>180</v>
      </c>
      <c r="AZ944">
        <f t="shared" si="348"/>
        <v>17</v>
      </c>
      <c r="BA944" s="3">
        <f t="shared" si="349"/>
        <v>1543</v>
      </c>
    </row>
    <row r="945" spans="1:53" x14ac:dyDescent="0.2">
      <c r="A945">
        <v>2018</v>
      </c>
      <c r="B945" t="s">
        <v>87</v>
      </c>
      <c r="C945" t="s">
        <v>85</v>
      </c>
      <c r="D945">
        <f t="shared" si="360"/>
        <v>13.325000000000001</v>
      </c>
      <c r="E945">
        <f t="shared" si="505"/>
        <v>0</v>
      </c>
      <c r="F945">
        <f t="shared" si="505"/>
        <v>4.6150000000000002</v>
      </c>
      <c r="G945">
        <f t="shared" si="505"/>
        <v>13.13</v>
      </c>
      <c r="H945">
        <f t="shared" si="505"/>
        <v>2.08</v>
      </c>
      <c r="I945">
        <f t="shared" si="505"/>
        <v>0.58500000000000008</v>
      </c>
      <c r="J945">
        <f t="shared" si="505"/>
        <v>0</v>
      </c>
      <c r="K945">
        <f t="shared" si="480"/>
        <v>33.734999999999999</v>
      </c>
      <c r="L945">
        <f t="shared" ref="L945:N945" si="510">L902*0.65</f>
        <v>0</v>
      </c>
      <c r="M945">
        <f t="shared" si="510"/>
        <v>0</v>
      </c>
      <c r="N945">
        <f t="shared" si="510"/>
        <v>0</v>
      </c>
      <c r="O945">
        <f t="shared" si="350"/>
        <v>0</v>
      </c>
      <c r="P945">
        <f t="shared" ref="P945:R945" si="511">P902*0.65</f>
        <v>0</v>
      </c>
      <c r="Q945">
        <f t="shared" si="511"/>
        <v>0</v>
      </c>
      <c r="R945">
        <f t="shared" si="511"/>
        <v>0.71500000000000008</v>
      </c>
      <c r="S945">
        <f t="shared" si="351"/>
        <v>0.71500000000000008</v>
      </c>
      <c r="T945">
        <f t="shared" ref="T945:U945" si="512">T902*0.65</f>
        <v>0.13</v>
      </c>
      <c r="U945">
        <f t="shared" si="512"/>
        <v>0</v>
      </c>
      <c r="V945">
        <f t="shared" ref="V945:Z945" si="513">V902*0.65</f>
        <v>0</v>
      </c>
      <c r="W945">
        <f t="shared" si="513"/>
        <v>0</v>
      </c>
      <c r="X945">
        <f t="shared" si="513"/>
        <v>0</v>
      </c>
      <c r="Y945">
        <f t="shared" si="513"/>
        <v>0</v>
      </c>
      <c r="Z945">
        <f t="shared" si="513"/>
        <v>0</v>
      </c>
      <c r="AA945">
        <f t="shared" si="352"/>
        <v>0.13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 s="5">
        <v>1.214574898785425</v>
      </c>
      <c r="AI945" t="s">
        <v>13</v>
      </c>
      <c r="AJ945" s="5">
        <f t="shared" si="353"/>
        <v>1.214574898785425</v>
      </c>
      <c r="AK945" t="s">
        <v>13</v>
      </c>
      <c r="AL945">
        <f t="shared" si="365"/>
        <v>0.64205425101214575</v>
      </c>
      <c r="AM945">
        <f t="shared" si="386"/>
        <v>0.35794574898785425</v>
      </c>
      <c r="AN945">
        <v>793</v>
      </c>
      <c r="AO945" t="s">
        <v>13</v>
      </c>
      <c r="AP945">
        <v>1235</v>
      </c>
      <c r="AQ945" t="s">
        <v>13</v>
      </c>
      <c r="AR945">
        <f t="shared" si="459"/>
        <v>3.3931815148519548E-2</v>
      </c>
      <c r="AS945">
        <f t="shared" si="357"/>
        <v>0.34580000000000005</v>
      </c>
      <c r="AT945">
        <f t="shared" si="358"/>
        <v>427</v>
      </c>
      <c r="AU945">
        <f t="shared" si="359"/>
        <v>15</v>
      </c>
      <c r="AV945">
        <f t="shared" si="344"/>
        <v>219</v>
      </c>
      <c r="AW945">
        <f t="shared" si="345"/>
        <v>19</v>
      </c>
      <c r="AX945" s="3">
        <f t="shared" si="346"/>
        <v>997</v>
      </c>
      <c r="AY945">
        <f t="shared" si="347"/>
        <v>214</v>
      </c>
      <c r="AZ945">
        <f t="shared" si="348"/>
        <v>19</v>
      </c>
      <c r="BA945" s="3">
        <f t="shared" si="349"/>
        <v>1002</v>
      </c>
    </row>
    <row r="946" spans="1:53" x14ac:dyDescent="0.2">
      <c r="A946">
        <v>2019</v>
      </c>
      <c r="B946" t="s">
        <v>87</v>
      </c>
      <c r="C946" t="s">
        <v>85</v>
      </c>
      <c r="D946">
        <f t="shared" si="360"/>
        <v>13.455</v>
      </c>
      <c r="E946">
        <f t="shared" si="505"/>
        <v>0.39</v>
      </c>
      <c r="F946">
        <f t="shared" si="505"/>
        <v>0.78</v>
      </c>
      <c r="G946">
        <f t="shared" si="505"/>
        <v>13.455</v>
      </c>
      <c r="H946">
        <f t="shared" si="505"/>
        <v>3.3800000000000003</v>
      </c>
      <c r="I946">
        <f t="shared" si="505"/>
        <v>0.65</v>
      </c>
      <c r="J946">
        <f t="shared" si="505"/>
        <v>0.39</v>
      </c>
      <c r="K946">
        <f t="shared" si="480"/>
        <v>32.5</v>
      </c>
      <c r="L946">
        <f t="shared" ref="L946:N946" si="514">L903*0.65</f>
        <v>0</v>
      </c>
      <c r="M946">
        <f t="shared" si="514"/>
        <v>0</v>
      </c>
      <c r="N946">
        <f t="shared" si="514"/>
        <v>0.52</v>
      </c>
      <c r="O946">
        <f t="shared" si="350"/>
        <v>0.52</v>
      </c>
      <c r="P946">
        <f t="shared" ref="P946:R946" si="515">P903*0.65</f>
        <v>0</v>
      </c>
      <c r="Q946">
        <f t="shared" si="515"/>
        <v>0</v>
      </c>
      <c r="R946">
        <f t="shared" si="515"/>
        <v>1.2349999999999999</v>
      </c>
      <c r="S946">
        <f t="shared" si="351"/>
        <v>1.2349999999999999</v>
      </c>
      <c r="T946">
        <f t="shared" ref="T946:U946" si="516">T903*0.65</f>
        <v>0.84500000000000008</v>
      </c>
      <c r="U946">
        <f t="shared" si="516"/>
        <v>0.19500000000000001</v>
      </c>
      <c r="V946">
        <f t="shared" ref="V946:Z946" si="517">V903*0.65</f>
        <v>0</v>
      </c>
      <c r="W946">
        <f t="shared" si="517"/>
        <v>0.19500000000000001</v>
      </c>
      <c r="X946">
        <f t="shared" si="517"/>
        <v>0</v>
      </c>
      <c r="Y946">
        <f t="shared" si="517"/>
        <v>0</v>
      </c>
      <c r="Z946">
        <f t="shared" si="517"/>
        <v>0</v>
      </c>
      <c r="AA946">
        <f t="shared" si="352"/>
        <v>1.2350000000000001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 s="5">
        <v>0.91362126245847186</v>
      </c>
      <c r="AI946" t="s">
        <v>13</v>
      </c>
      <c r="AJ946" s="5">
        <f t="shared" si="353"/>
        <v>0.91362126245847186</v>
      </c>
      <c r="AK946" t="s">
        <v>13</v>
      </c>
      <c r="AL946">
        <f t="shared" si="365"/>
        <v>0.63596378737541526</v>
      </c>
      <c r="AM946">
        <f t="shared" si="386"/>
        <v>0.36403621262458474</v>
      </c>
      <c r="AN946">
        <v>766</v>
      </c>
      <c r="AO946" t="s">
        <v>13</v>
      </c>
      <c r="AP946">
        <v>1204</v>
      </c>
      <c r="AQ946" t="s">
        <v>13</v>
      </c>
      <c r="AR946">
        <f t="shared" si="459"/>
        <v>2.5096988452647458E-2</v>
      </c>
      <c r="AS946">
        <f t="shared" si="357"/>
        <v>0.35489999999999999</v>
      </c>
      <c r="AT946">
        <f t="shared" si="358"/>
        <v>427</v>
      </c>
      <c r="AU946">
        <f t="shared" si="359"/>
        <v>11</v>
      </c>
      <c r="AV946">
        <f t="shared" si="344"/>
        <v>232</v>
      </c>
      <c r="AW946">
        <f t="shared" si="345"/>
        <v>14</v>
      </c>
      <c r="AX946" s="3">
        <f t="shared" si="346"/>
        <v>958</v>
      </c>
      <c r="AY946">
        <f t="shared" si="347"/>
        <v>214</v>
      </c>
      <c r="AZ946">
        <f t="shared" si="348"/>
        <v>14</v>
      </c>
      <c r="BA946" s="3">
        <f t="shared" si="349"/>
        <v>976</v>
      </c>
    </row>
    <row r="947" spans="1:53" x14ac:dyDescent="0.2">
      <c r="A947">
        <v>2020</v>
      </c>
      <c r="B947" t="s">
        <v>87</v>
      </c>
      <c r="C947" t="s">
        <v>85</v>
      </c>
      <c r="D947">
        <f t="shared" si="360"/>
        <v>19.955000000000002</v>
      </c>
      <c r="E947">
        <f t="shared" si="505"/>
        <v>0.90999999999999992</v>
      </c>
      <c r="F947">
        <f t="shared" si="505"/>
        <v>3.8350000000000004</v>
      </c>
      <c r="G947">
        <f t="shared" si="505"/>
        <v>7.7350000000000003</v>
      </c>
      <c r="H947">
        <f t="shared" si="505"/>
        <v>0</v>
      </c>
      <c r="I947">
        <f t="shared" si="505"/>
        <v>0.39</v>
      </c>
      <c r="J947">
        <f t="shared" si="505"/>
        <v>0</v>
      </c>
      <c r="K947">
        <f t="shared" si="480"/>
        <v>32.825000000000003</v>
      </c>
      <c r="L947">
        <f t="shared" ref="L947:N947" si="518">L904*0.65</f>
        <v>0</v>
      </c>
      <c r="M947">
        <f t="shared" si="518"/>
        <v>0</v>
      </c>
      <c r="N947">
        <f t="shared" si="518"/>
        <v>0</v>
      </c>
      <c r="O947">
        <f t="shared" si="350"/>
        <v>0</v>
      </c>
      <c r="P947">
        <f t="shared" ref="P947:R947" si="519">P904*0.65</f>
        <v>0</v>
      </c>
      <c r="Q947">
        <f t="shared" si="519"/>
        <v>0</v>
      </c>
      <c r="R947">
        <f t="shared" si="519"/>
        <v>0</v>
      </c>
      <c r="S947">
        <f t="shared" si="351"/>
        <v>0</v>
      </c>
      <c r="T947">
        <f t="shared" ref="T947:U947" si="520">T904*0.65</f>
        <v>0.13</v>
      </c>
      <c r="U947">
        <f t="shared" si="520"/>
        <v>0</v>
      </c>
      <c r="V947">
        <f t="shared" ref="V947:Z947" si="521">V904*0.65</f>
        <v>0</v>
      </c>
      <c r="W947">
        <f t="shared" si="521"/>
        <v>0</v>
      </c>
      <c r="X947">
        <f t="shared" si="521"/>
        <v>0</v>
      </c>
      <c r="Y947">
        <f t="shared" si="521"/>
        <v>0</v>
      </c>
      <c r="Z947">
        <f t="shared" si="521"/>
        <v>0</v>
      </c>
      <c r="AA947">
        <f t="shared" si="352"/>
        <v>0.13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 s="5">
        <v>0</v>
      </c>
      <c r="AI947" t="s">
        <v>13</v>
      </c>
      <c r="AJ947" s="5">
        <f t="shared" si="353"/>
        <v>0</v>
      </c>
      <c r="AK947" t="s">
        <v>13</v>
      </c>
      <c r="AL947">
        <f t="shared" si="365"/>
        <v>0.67044999999999999</v>
      </c>
      <c r="AM947">
        <f t="shared" si="386"/>
        <v>0.32955000000000007</v>
      </c>
      <c r="AN947">
        <v>1248</v>
      </c>
      <c r="AO947" t="s">
        <v>13</v>
      </c>
      <c r="AP947">
        <v>1861</v>
      </c>
      <c r="AQ947" t="s">
        <v>13</v>
      </c>
      <c r="AR947">
        <f t="shared" si="459"/>
        <v>0</v>
      </c>
      <c r="AS947">
        <f t="shared" si="357"/>
        <v>0.32955000000000007</v>
      </c>
      <c r="AT947">
        <f t="shared" si="358"/>
        <v>613</v>
      </c>
      <c r="AU947">
        <f t="shared" si="359"/>
        <v>0</v>
      </c>
      <c r="AV947">
        <f t="shared" si="344"/>
        <v>308</v>
      </c>
      <c r="AW947">
        <f t="shared" si="345"/>
        <v>0</v>
      </c>
      <c r="AX947" s="3">
        <f t="shared" si="346"/>
        <v>1553</v>
      </c>
      <c r="AY947">
        <f t="shared" si="347"/>
        <v>307</v>
      </c>
      <c r="AZ947">
        <f t="shared" si="348"/>
        <v>0</v>
      </c>
      <c r="BA947" s="3">
        <f t="shared" si="349"/>
        <v>1554</v>
      </c>
    </row>
    <row r="948" spans="1:53" x14ac:dyDescent="0.2">
      <c r="A948">
        <v>2021</v>
      </c>
      <c r="B948" t="s">
        <v>87</v>
      </c>
      <c r="C948" t="s">
        <v>85</v>
      </c>
      <c r="D948">
        <f t="shared" si="360"/>
        <v>19.63</v>
      </c>
      <c r="E948">
        <f t="shared" si="505"/>
        <v>0.26</v>
      </c>
      <c r="F948">
        <f t="shared" si="505"/>
        <v>3.0550000000000002</v>
      </c>
      <c r="G948">
        <f t="shared" si="505"/>
        <v>10.270000000000001</v>
      </c>
      <c r="H948">
        <f t="shared" si="505"/>
        <v>3.6399999999999997</v>
      </c>
      <c r="I948">
        <f t="shared" si="505"/>
        <v>1.2349999999999999</v>
      </c>
      <c r="J948">
        <f t="shared" si="505"/>
        <v>0.52</v>
      </c>
      <c r="K948">
        <f t="shared" si="480"/>
        <v>38.610000000000007</v>
      </c>
      <c r="L948">
        <f t="shared" ref="L948:N948" si="522">L905*0.65</f>
        <v>0</v>
      </c>
      <c r="M948">
        <f t="shared" si="522"/>
        <v>0</v>
      </c>
      <c r="N948">
        <f t="shared" si="522"/>
        <v>0.71500000000000008</v>
      </c>
      <c r="O948">
        <f t="shared" si="350"/>
        <v>0.71500000000000008</v>
      </c>
      <c r="P948">
        <f t="shared" ref="P948:R948" si="523">P905*0.65</f>
        <v>0</v>
      </c>
      <c r="Q948">
        <f t="shared" si="523"/>
        <v>0</v>
      </c>
      <c r="R948">
        <f t="shared" si="523"/>
        <v>0</v>
      </c>
      <c r="S948">
        <f t="shared" si="351"/>
        <v>0</v>
      </c>
      <c r="T948">
        <f t="shared" ref="T948:U948" si="524">T905*0.65</f>
        <v>0.19500000000000001</v>
      </c>
      <c r="U948">
        <f t="shared" si="524"/>
        <v>0</v>
      </c>
      <c r="V948">
        <f t="shared" ref="V948:Z948" si="525">V905*0.65</f>
        <v>0</v>
      </c>
      <c r="W948">
        <f t="shared" si="525"/>
        <v>0</v>
      </c>
      <c r="X948">
        <f t="shared" si="525"/>
        <v>0</v>
      </c>
      <c r="Y948">
        <f t="shared" si="525"/>
        <v>0</v>
      </c>
      <c r="Z948">
        <f t="shared" si="525"/>
        <v>0</v>
      </c>
      <c r="AA948">
        <f t="shared" si="352"/>
        <v>0.19500000000000001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 s="5">
        <v>5.577956989247312</v>
      </c>
      <c r="AI948" t="s">
        <v>13</v>
      </c>
      <c r="AJ948" s="5">
        <f t="shared" si="353"/>
        <v>5.577956989247312</v>
      </c>
      <c r="AK948" t="s">
        <v>13</v>
      </c>
      <c r="AL948">
        <f t="shared" si="365"/>
        <v>0.54902043010752677</v>
      </c>
      <c r="AM948">
        <f t="shared" si="386"/>
        <v>0.45097956989247318</v>
      </c>
      <c r="AN948">
        <v>817</v>
      </c>
      <c r="AO948" t="s">
        <v>13</v>
      </c>
      <c r="AP948">
        <v>1488</v>
      </c>
      <c r="AQ948" t="s">
        <v>13</v>
      </c>
      <c r="AR948">
        <f t="shared" si="459"/>
        <v>0.1236853587531085</v>
      </c>
      <c r="AS948">
        <f t="shared" si="357"/>
        <v>0.39520000000000011</v>
      </c>
      <c r="AT948">
        <f t="shared" si="358"/>
        <v>588</v>
      </c>
      <c r="AU948">
        <f t="shared" si="359"/>
        <v>83</v>
      </c>
      <c r="AV948">
        <f t="shared" si="344"/>
        <v>301</v>
      </c>
      <c r="AW948">
        <f t="shared" si="345"/>
        <v>109</v>
      </c>
      <c r="AX948" s="3">
        <f t="shared" si="346"/>
        <v>1078</v>
      </c>
      <c r="AY948">
        <f t="shared" si="347"/>
        <v>294</v>
      </c>
      <c r="AZ948">
        <f t="shared" si="348"/>
        <v>110</v>
      </c>
      <c r="BA948" s="3">
        <f t="shared" si="349"/>
        <v>1084</v>
      </c>
    </row>
    <row r="949" spans="1:53" x14ac:dyDescent="0.2">
      <c r="A949">
        <v>2022</v>
      </c>
      <c r="B949" t="s">
        <v>87</v>
      </c>
      <c r="C949" t="s">
        <v>85</v>
      </c>
      <c r="D949">
        <f t="shared" si="360"/>
        <v>15.47</v>
      </c>
      <c r="E949">
        <f t="shared" si="505"/>
        <v>0.58500000000000008</v>
      </c>
      <c r="F949">
        <f t="shared" si="505"/>
        <v>4.6800000000000006</v>
      </c>
      <c r="G949">
        <f t="shared" si="505"/>
        <v>10.855</v>
      </c>
      <c r="H949">
        <f t="shared" si="505"/>
        <v>2.7949999999999999</v>
      </c>
      <c r="I949">
        <f t="shared" si="505"/>
        <v>0.32500000000000001</v>
      </c>
      <c r="J949">
        <f t="shared" si="505"/>
        <v>0</v>
      </c>
      <c r="K949">
        <f t="shared" si="480"/>
        <v>34.71</v>
      </c>
      <c r="L949">
        <f t="shared" ref="L949:N949" si="526">L906*0.65</f>
        <v>0</v>
      </c>
      <c r="M949">
        <f t="shared" si="526"/>
        <v>0</v>
      </c>
      <c r="N949">
        <f t="shared" si="526"/>
        <v>0</v>
      </c>
      <c r="O949">
        <f t="shared" si="350"/>
        <v>0</v>
      </c>
      <c r="P949">
        <f t="shared" ref="P949:R949" si="527">P906*0.65</f>
        <v>0</v>
      </c>
      <c r="Q949">
        <f t="shared" si="527"/>
        <v>0</v>
      </c>
      <c r="R949">
        <f t="shared" si="527"/>
        <v>0.65</v>
      </c>
      <c r="S949">
        <f t="shared" si="351"/>
        <v>0.65</v>
      </c>
      <c r="T949">
        <f t="shared" ref="T949:U949" si="528">T906*0.65</f>
        <v>0</v>
      </c>
      <c r="U949">
        <f t="shared" si="528"/>
        <v>0</v>
      </c>
      <c r="V949">
        <f t="shared" ref="V949:Z949" si="529">V906*0.65</f>
        <v>0</v>
      </c>
      <c r="W949">
        <f t="shared" si="529"/>
        <v>0</v>
      </c>
      <c r="X949">
        <f t="shared" si="529"/>
        <v>0</v>
      </c>
      <c r="Y949">
        <f t="shared" si="529"/>
        <v>0</v>
      </c>
      <c r="Z949">
        <f t="shared" si="529"/>
        <v>0</v>
      </c>
      <c r="AA949">
        <f t="shared" si="352"/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 s="5">
        <v>0.66707095209217704</v>
      </c>
      <c r="AI949" t="s">
        <v>13</v>
      </c>
      <c r="AJ949" s="5">
        <f t="shared" si="353"/>
        <v>0.66707095209217704</v>
      </c>
      <c r="AK949" t="s">
        <v>13</v>
      </c>
      <c r="AL949">
        <f t="shared" si="365"/>
        <v>0.63972929047907812</v>
      </c>
      <c r="AM949">
        <f t="shared" si="386"/>
        <v>0.36027070952092188</v>
      </c>
      <c r="AN949">
        <v>1055</v>
      </c>
      <c r="AO949" t="s">
        <v>13</v>
      </c>
      <c r="AP949">
        <v>1649</v>
      </c>
      <c r="AQ949" t="s">
        <v>13</v>
      </c>
      <c r="AR949">
        <f t="shared" si="459"/>
        <v>1.8515825307564685E-2</v>
      </c>
      <c r="AS949">
        <f t="shared" si="357"/>
        <v>0.35359999999999997</v>
      </c>
      <c r="AT949">
        <f t="shared" si="358"/>
        <v>583</v>
      </c>
      <c r="AU949">
        <f t="shared" si="359"/>
        <v>11</v>
      </c>
      <c r="AV949">
        <f t="shared" si="344"/>
        <v>297</v>
      </c>
      <c r="AW949">
        <f t="shared" si="345"/>
        <v>14</v>
      </c>
      <c r="AX949" s="3">
        <f t="shared" si="346"/>
        <v>1338</v>
      </c>
      <c r="AY949">
        <f t="shared" si="347"/>
        <v>292</v>
      </c>
      <c r="AZ949">
        <f t="shared" si="348"/>
        <v>14</v>
      </c>
      <c r="BA949" s="3">
        <f t="shared" si="349"/>
        <v>1343</v>
      </c>
    </row>
    <row r="950" spans="1:53" x14ac:dyDescent="0.2">
      <c r="A950">
        <v>2023</v>
      </c>
      <c r="B950" t="s">
        <v>87</v>
      </c>
      <c r="C950" t="s">
        <v>85</v>
      </c>
      <c r="D950" t="s">
        <v>13</v>
      </c>
      <c r="E950" t="s">
        <v>13</v>
      </c>
      <c r="F950" t="s">
        <v>13</v>
      </c>
      <c r="G950" t="s">
        <v>13</v>
      </c>
      <c r="H950" t="s">
        <v>13</v>
      </c>
      <c r="I950" t="s">
        <v>13</v>
      </c>
      <c r="J950" t="s">
        <v>13</v>
      </c>
      <c r="K950" t="s">
        <v>13</v>
      </c>
      <c r="L950" t="s">
        <v>13</v>
      </c>
      <c r="M950" t="s">
        <v>13</v>
      </c>
      <c r="N950" t="s">
        <v>13</v>
      </c>
      <c r="O950" t="s">
        <v>13</v>
      </c>
      <c r="P950" t="s">
        <v>13</v>
      </c>
      <c r="Q950" t="s">
        <v>13</v>
      </c>
      <c r="R950" t="s">
        <v>13</v>
      </c>
      <c r="S950" t="s">
        <v>13</v>
      </c>
      <c r="T950" t="s">
        <v>13</v>
      </c>
      <c r="U950" t="s">
        <v>13</v>
      </c>
      <c r="V950" t="s">
        <v>13</v>
      </c>
      <c r="W950" t="s">
        <v>13</v>
      </c>
      <c r="X950" t="s">
        <v>13</v>
      </c>
      <c r="Y950" t="s">
        <v>13</v>
      </c>
      <c r="Z950" t="s">
        <v>13</v>
      </c>
      <c r="AA950" t="s">
        <v>13</v>
      </c>
      <c r="AB950" t="s">
        <v>13</v>
      </c>
      <c r="AC950" t="s">
        <v>13</v>
      </c>
      <c r="AD950" t="s">
        <v>13</v>
      </c>
      <c r="AE950" t="s">
        <v>13</v>
      </c>
      <c r="AF950" t="s">
        <v>13</v>
      </c>
      <c r="AG950" t="s">
        <v>13</v>
      </c>
      <c r="AH950" t="s">
        <v>13</v>
      </c>
      <c r="AI950" t="s">
        <v>13</v>
      </c>
      <c r="AJ950" s="5">
        <f t="shared" si="353"/>
        <v>0</v>
      </c>
      <c r="AK950" t="s">
        <v>13</v>
      </c>
      <c r="AL950" t="s">
        <v>13</v>
      </c>
      <c r="AM950" t="s">
        <v>13</v>
      </c>
      <c r="AN950">
        <v>980</v>
      </c>
      <c r="AO950" t="s">
        <v>13</v>
      </c>
      <c r="AP950" t="s">
        <v>13</v>
      </c>
      <c r="AQ950" t="s">
        <v>13</v>
      </c>
      <c r="AR950" t="s">
        <v>13</v>
      </c>
      <c r="AS950" t="s">
        <v>13</v>
      </c>
      <c r="AT950" t="s">
        <v>13</v>
      </c>
      <c r="AU950" t="s">
        <v>13</v>
      </c>
      <c r="AV950" t="s">
        <v>13</v>
      </c>
      <c r="AW950" t="s">
        <v>13</v>
      </c>
      <c r="AX950" t="s">
        <v>13</v>
      </c>
      <c r="AY950" t="s">
        <v>13</v>
      </c>
      <c r="AZ950" t="s">
        <v>13</v>
      </c>
      <c r="BA950" t="s">
        <v>13</v>
      </c>
    </row>
    <row r="951" spans="1:53" x14ac:dyDescent="0.2">
      <c r="A951">
        <v>1982</v>
      </c>
      <c r="B951" t="s">
        <v>131</v>
      </c>
      <c r="C951" t="s">
        <v>85</v>
      </c>
      <c r="D951">
        <f t="shared" ref="D951:J951" si="530">D823*0.65</f>
        <v>8.9049999999999994</v>
      </c>
      <c r="E951">
        <f t="shared" si="530"/>
        <v>0.90999999999999992</v>
      </c>
      <c r="F951">
        <f t="shared" si="530"/>
        <v>0</v>
      </c>
      <c r="G951">
        <f t="shared" si="530"/>
        <v>13.325000000000001</v>
      </c>
      <c r="H951">
        <f t="shared" si="530"/>
        <v>0</v>
      </c>
      <c r="I951">
        <f t="shared" si="530"/>
        <v>9.1</v>
      </c>
      <c r="J951">
        <f t="shared" si="530"/>
        <v>0</v>
      </c>
      <c r="K951">
        <f t="shared" si="480"/>
        <v>32.24</v>
      </c>
      <c r="L951">
        <f>L823*0.65</f>
        <v>0</v>
      </c>
      <c r="M951">
        <f>M823*0.65</f>
        <v>0.52</v>
      </c>
      <c r="N951">
        <f>N823*0.65</f>
        <v>0.84500000000000008</v>
      </c>
      <c r="O951">
        <f t="shared" si="350"/>
        <v>1.3650000000000002</v>
      </c>
      <c r="P951">
        <f>P823*0.65</f>
        <v>0</v>
      </c>
      <c r="Q951">
        <f>Q823*0.65</f>
        <v>0</v>
      </c>
      <c r="R951">
        <f>R823*0.65</f>
        <v>0</v>
      </c>
      <c r="S951">
        <f t="shared" si="351"/>
        <v>0</v>
      </c>
      <c r="T951">
        <f t="shared" ref="T951:Z951" si="531">T823*0.65</f>
        <v>0</v>
      </c>
      <c r="U951">
        <f t="shared" si="531"/>
        <v>0</v>
      </c>
      <c r="V951">
        <f t="shared" si="531"/>
        <v>0</v>
      </c>
      <c r="W951">
        <f t="shared" si="531"/>
        <v>0</v>
      </c>
      <c r="X951">
        <f t="shared" si="531"/>
        <v>0</v>
      </c>
      <c r="Y951">
        <f t="shared" si="531"/>
        <v>0</v>
      </c>
      <c r="Z951">
        <f t="shared" si="531"/>
        <v>0</v>
      </c>
      <c r="AA951">
        <f t="shared" si="352"/>
        <v>0</v>
      </c>
      <c r="AB951">
        <f t="shared" ref="AB951:AG951" si="532">AB823*0.65</f>
        <v>0</v>
      </c>
      <c r="AC951">
        <f t="shared" si="532"/>
        <v>0</v>
      </c>
      <c r="AD951">
        <f t="shared" si="532"/>
        <v>0</v>
      </c>
      <c r="AE951">
        <f t="shared" si="532"/>
        <v>0</v>
      </c>
      <c r="AF951">
        <f t="shared" si="532"/>
        <v>0</v>
      </c>
      <c r="AG951">
        <f t="shared" si="532"/>
        <v>0</v>
      </c>
      <c r="AH951" s="5">
        <v>24.706510138740661</v>
      </c>
      <c r="AI951" t="s">
        <v>13</v>
      </c>
      <c r="AJ951" s="5">
        <f t="shared" si="353"/>
        <v>24.706510138740661</v>
      </c>
      <c r="AK951" t="s">
        <v>13</v>
      </c>
      <c r="AL951">
        <f>1-AM951</f>
        <v>0.41688489861259337</v>
      </c>
      <c r="AM951">
        <f t="shared" si="386"/>
        <v>0.58311510138740663</v>
      </c>
      <c r="AN951">
        <v>781</v>
      </c>
      <c r="AO951" t="s">
        <v>13</v>
      </c>
      <c r="AP951">
        <v>1874</v>
      </c>
      <c r="AQ951" t="s">
        <v>13</v>
      </c>
      <c r="AR951">
        <f t="shared" si="459"/>
        <v>0.423698684529974</v>
      </c>
      <c r="AS951">
        <f t="shared" ref="AS951:AS991" si="533">SUM(K951,O951,S951,AA951)/100</f>
        <v>0.33605000000000002</v>
      </c>
      <c r="AT951">
        <f t="shared" ref="AT951:AT991" si="534">ROUND(AS951*AP951,0)</f>
        <v>630</v>
      </c>
      <c r="AU951">
        <f t="shared" ref="AU951:AU991" si="535">ROUND((AJ951/100)*AP951,0)</f>
        <v>463</v>
      </c>
      <c r="AV951">
        <f t="shared" si="344"/>
        <v>328</v>
      </c>
      <c r="AW951">
        <f t="shared" si="345"/>
        <v>575</v>
      </c>
      <c r="AX951" s="3">
        <f t="shared" si="346"/>
        <v>971</v>
      </c>
      <c r="AY951">
        <f t="shared" si="347"/>
        <v>315</v>
      </c>
      <c r="AZ951">
        <f t="shared" si="348"/>
        <v>580</v>
      </c>
      <c r="BA951" s="3">
        <f t="shared" si="349"/>
        <v>979</v>
      </c>
    </row>
    <row r="952" spans="1:53" x14ac:dyDescent="0.2">
      <c r="A952">
        <v>1983</v>
      </c>
      <c r="B952" t="s">
        <v>131</v>
      </c>
      <c r="C952" t="s">
        <v>85</v>
      </c>
      <c r="D952">
        <f t="shared" ref="D952:E991" si="536">D824*0.65</f>
        <v>28.665000000000003</v>
      </c>
      <c r="E952">
        <f t="shared" si="536"/>
        <v>0</v>
      </c>
      <c r="F952">
        <f t="shared" ref="F952:J952" si="537">F824*0.65</f>
        <v>0</v>
      </c>
      <c r="G952">
        <f t="shared" si="537"/>
        <v>9.23</v>
      </c>
      <c r="H952">
        <f t="shared" si="537"/>
        <v>0</v>
      </c>
      <c r="I952">
        <f t="shared" si="537"/>
        <v>3.1850000000000005</v>
      </c>
      <c r="J952">
        <f t="shared" si="537"/>
        <v>0</v>
      </c>
      <c r="K952">
        <f t="shared" si="480"/>
        <v>41.080000000000005</v>
      </c>
      <c r="L952">
        <f t="shared" ref="L952:N952" si="538">L824*0.65</f>
        <v>0</v>
      </c>
      <c r="M952">
        <f t="shared" si="538"/>
        <v>0.32500000000000001</v>
      </c>
      <c r="N952">
        <f t="shared" si="538"/>
        <v>0</v>
      </c>
      <c r="O952">
        <f t="shared" si="350"/>
        <v>0.32500000000000001</v>
      </c>
      <c r="P952">
        <f t="shared" ref="P952:R952" si="539">P824*0.65</f>
        <v>0</v>
      </c>
      <c r="Q952">
        <f t="shared" si="539"/>
        <v>1.04</v>
      </c>
      <c r="R952">
        <f t="shared" si="539"/>
        <v>0</v>
      </c>
      <c r="S952">
        <f t="shared" si="351"/>
        <v>1.04</v>
      </c>
      <c r="T952">
        <f t="shared" ref="T952:Z952" si="540">T824*0.65</f>
        <v>0.39</v>
      </c>
      <c r="U952">
        <f t="shared" si="540"/>
        <v>0</v>
      </c>
      <c r="V952">
        <f t="shared" si="540"/>
        <v>0</v>
      </c>
      <c r="W952">
        <f t="shared" si="540"/>
        <v>0</v>
      </c>
      <c r="X952">
        <f t="shared" si="540"/>
        <v>0</v>
      </c>
      <c r="Y952">
        <f t="shared" si="540"/>
        <v>0.65</v>
      </c>
      <c r="Z952">
        <f t="shared" si="540"/>
        <v>0</v>
      </c>
      <c r="AA952">
        <f t="shared" si="352"/>
        <v>1.04</v>
      </c>
      <c r="AB952">
        <f t="shared" ref="AB952:AG952" si="541">AB824*0.65</f>
        <v>0</v>
      </c>
      <c r="AC952">
        <f t="shared" si="541"/>
        <v>0</v>
      </c>
      <c r="AD952">
        <f t="shared" si="541"/>
        <v>0</v>
      </c>
      <c r="AE952">
        <f t="shared" si="541"/>
        <v>0</v>
      </c>
      <c r="AF952">
        <f t="shared" si="541"/>
        <v>0</v>
      </c>
      <c r="AG952">
        <f t="shared" si="541"/>
        <v>0</v>
      </c>
      <c r="AH952" s="5">
        <v>6.2138728323699421</v>
      </c>
      <c r="AI952" t="s">
        <v>13</v>
      </c>
      <c r="AJ952" s="5">
        <f t="shared" si="353"/>
        <v>6.2138728323699421</v>
      </c>
      <c r="AK952" t="s">
        <v>13</v>
      </c>
      <c r="AL952">
        <f t="shared" ref="AL952:AL991" si="542">1-AM952</f>
        <v>0.50301127167630055</v>
      </c>
      <c r="AM952">
        <f t="shared" si="386"/>
        <v>0.49698872832369945</v>
      </c>
      <c r="AN952">
        <v>1044</v>
      </c>
      <c r="AO952" t="s">
        <v>13</v>
      </c>
      <c r="AP952">
        <v>2076</v>
      </c>
      <c r="AQ952" t="s">
        <v>13</v>
      </c>
      <c r="AR952">
        <f t="shared" si="459"/>
        <v>0.12503045800110607</v>
      </c>
      <c r="AS952">
        <f t="shared" si="533"/>
        <v>0.43485000000000007</v>
      </c>
      <c r="AT952">
        <f t="shared" si="534"/>
        <v>903</v>
      </c>
      <c r="AU952">
        <f t="shared" si="535"/>
        <v>129</v>
      </c>
      <c r="AV952">
        <f t="shared" si="344"/>
        <v>476</v>
      </c>
      <c r="AW952">
        <f t="shared" si="345"/>
        <v>176</v>
      </c>
      <c r="AX952" s="3">
        <f t="shared" si="346"/>
        <v>1424</v>
      </c>
      <c r="AY952">
        <f t="shared" si="347"/>
        <v>451</v>
      </c>
      <c r="AZ952">
        <f t="shared" si="348"/>
        <v>179</v>
      </c>
      <c r="BA952" s="3">
        <f t="shared" si="349"/>
        <v>1446</v>
      </c>
    </row>
    <row r="953" spans="1:53" x14ac:dyDescent="0.2">
      <c r="A953">
        <v>1984</v>
      </c>
      <c r="B953" t="s">
        <v>131</v>
      </c>
      <c r="C953" t="s">
        <v>85</v>
      </c>
      <c r="D953">
        <f t="shared" si="536"/>
        <v>11.375</v>
      </c>
      <c r="E953">
        <f t="shared" si="536"/>
        <v>0.45499999999999996</v>
      </c>
      <c r="F953">
        <f t="shared" ref="F953:J953" si="543">F825*0.65</f>
        <v>0</v>
      </c>
      <c r="G953">
        <f t="shared" si="543"/>
        <v>16.509999999999998</v>
      </c>
      <c r="H953">
        <f t="shared" si="543"/>
        <v>1.6900000000000002</v>
      </c>
      <c r="I953">
        <f t="shared" si="543"/>
        <v>5.59</v>
      </c>
      <c r="J953">
        <f t="shared" si="543"/>
        <v>0</v>
      </c>
      <c r="K953">
        <f t="shared" si="480"/>
        <v>35.619999999999997</v>
      </c>
      <c r="L953">
        <f t="shared" ref="L953:N953" si="544">L825*0.65</f>
        <v>0</v>
      </c>
      <c r="M953">
        <f t="shared" si="544"/>
        <v>0</v>
      </c>
      <c r="N953">
        <f t="shared" si="544"/>
        <v>0</v>
      </c>
      <c r="O953">
        <f t="shared" si="350"/>
        <v>0</v>
      </c>
      <c r="P953">
        <f t="shared" ref="P953:R953" si="545">P825*0.65</f>
        <v>0</v>
      </c>
      <c r="Q953">
        <f t="shared" si="545"/>
        <v>0</v>
      </c>
      <c r="R953">
        <f t="shared" si="545"/>
        <v>0</v>
      </c>
      <c r="S953">
        <f t="shared" si="351"/>
        <v>0</v>
      </c>
      <c r="T953">
        <f t="shared" ref="T953:Z953" si="546">T825*0.65</f>
        <v>1.885</v>
      </c>
      <c r="U953">
        <f t="shared" si="546"/>
        <v>0</v>
      </c>
      <c r="V953">
        <f t="shared" si="546"/>
        <v>0</v>
      </c>
      <c r="W953">
        <f t="shared" si="546"/>
        <v>0</v>
      </c>
      <c r="X953">
        <f t="shared" si="546"/>
        <v>0</v>
      </c>
      <c r="Y953">
        <f t="shared" si="546"/>
        <v>0</v>
      </c>
      <c r="Z953">
        <f t="shared" si="546"/>
        <v>0</v>
      </c>
      <c r="AA953">
        <f t="shared" si="352"/>
        <v>1.885</v>
      </c>
      <c r="AB953">
        <f t="shared" ref="AB953:AG953" si="547">AB825*0.65</f>
        <v>0</v>
      </c>
      <c r="AC953">
        <f t="shared" si="547"/>
        <v>0</v>
      </c>
      <c r="AD953">
        <f t="shared" si="547"/>
        <v>0</v>
      </c>
      <c r="AE953">
        <f t="shared" si="547"/>
        <v>0</v>
      </c>
      <c r="AF953">
        <f t="shared" si="547"/>
        <v>0</v>
      </c>
      <c r="AG953">
        <f t="shared" si="547"/>
        <v>0</v>
      </c>
      <c r="AH953" s="5">
        <v>12.138728323699421</v>
      </c>
      <c r="AI953" t="s">
        <v>13</v>
      </c>
      <c r="AJ953" s="5">
        <f t="shared" si="353"/>
        <v>12.138728323699421</v>
      </c>
      <c r="AK953" t="s">
        <v>13</v>
      </c>
      <c r="AL953">
        <f t="shared" si="542"/>
        <v>0.50356271676300579</v>
      </c>
      <c r="AM953">
        <f t="shared" si="386"/>
        <v>0.49643728323699421</v>
      </c>
      <c r="AN953">
        <v>958</v>
      </c>
      <c r="AO953" t="s">
        <v>13</v>
      </c>
      <c r="AP953">
        <v>1903</v>
      </c>
      <c r="AQ953" t="s">
        <v>13</v>
      </c>
      <c r="AR953">
        <f t="shared" si="459"/>
        <v>0.24451685507078472</v>
      </c>
      <c r="AS953">
        <f t="shared" si="533"/>
        <v>0.37504999999999994</v>
      </c>
      <c r="AT953">
        <f t="shared" si="534"/>
        <v>714</v>
      </c>
      <c r="AU953">
        <f t="shared" si="535"/>
        <v>231</v>
      </c>
      <c r="AV953">
        <f t="shared" si="344"/>
        <v>375</v>
      </c>
      <c r="AW953">
        <f t="shared" si="345"/>
        <v>297</v>
      </c>
      <c r="AX953" s="3">
        <f t="shared" si="346"/>
        <v>1231</v>
      </c>
      <c r="AY953">
        <f t="shared" si="347"/>
        <v>357</v>
      </c>
      <c r="AZ953">
        <f t="shared" si="348"/>
        <v>300</v>
      </c>
      <c r="BA953" s="3">
        <f t="shared" si="349"/>
        <v>1246</v>
      </c>
    </row>
    <row r="954" spans="1:53" x14ac:dyDescent="0.2">
      <c r="A954">
        <v>1985</v>
      </c>
      <c r="B954" t="s">
        <v>131</v>
      </c>
      <c r="C954" t="s">
        <v>85</v>
      </c>
      <c r="D954">
        <f t="shared" si="536"/>
        <v>14.559999999999999</v>
      </c>
      <c r="E954">
        <f t="shared" si="536"/>
        <v>0</v>
      </c>
      <c r="F954">
        <f t="shared" ref="F954:J954" si="548">F826*0.65</f>
        <v>0</v>
      </c>
      <c r="G954">
        <f t="shared" si="548"/>
        <v>19.824999999999999</v>
      </c>
      <c r="H954">
        <f t="shared" si="548"/>
        <v>0</v>
      </c>
      <c r="I954">
        <f t="shared" si="548"/>
        <v>1.4949999999999999</v>
      </c>
      <c r="J954">
        <f t="shared" si="548"/>
        <v>0</v>
      </c>
      <c r="K954">
        <f t="shared" si="480"/>
        <v>35.879999999999995</v>
      </c>
      <c r="L954">
        <f t="shared" ref="L954:N954" si="549">L826*0.65</f>
        <v>0</v>
      </c>
      <c r="M954">
        <f t="shared" si="549"/>
        <v>0</v>
      </c>
      <c r="N954">
        <f t="shared" si="549"/>
        <v>0</v>
      </c>
      <c r="O954">
        <f t="shared" si="350"/>
        <v>0</v>
      </c>
      <c r="P954">
        <f t="shared" ref="P954:R954" si="550">P826*0.65</f>
        <v>0</v>
      </c>
      <c r="Q954">
        <f t="shared" si="550"/>
        <v>0.90999999999999992</v>
      </c>
      <c r="R954">
        <f t="shared" si="550"/>
        <v>0</v>
      </c>
      <c r="S954">
        <f t="shared" si="351"/>
        <v>0.90999999999999992</v>
      </c>
      <c r="T954">
        <f t="shared" ref="T954:Z954" si="551">T826*0.65</f>
        <v>0</v>
      </c>
      <c r="U954">
        <f t="shared" si="551"/>
        <v>0</v>
      </c>
      <c r="V954">
        <f t="shared" si="551"/>
        <v>0</v>
      </c>
      <c r="W954">
        <f t="shared" si="551"/>
        <v>0</v>
      </c>
      <c r="X954">
        <f t="shared" si="551"/>
        <v>0</v>
      </c>
      <c r="Y954">
        <f t="shared" si="551"/>
        <v>0</v>
      </c>
      <c r="Z954">
        <f t="shared" si="551"/>
        <v>1.105</v>
      </c>
      <c r="AA954">
        <f t="shared" si="352"/>
        <v>1.105</v>
      </c>
      <c r="AB954">
        <f t="shared" ref="AB954:AG954" si="552">AB826*0.65</f>
        <v>0</v>
      </c>
      <c r="AC954">
        <f t="shared" si="552"/>
        <v>0</v>
      </c>
      <c r="AD954">
        <f t="shared" si="552"/>
        <v>0</v>
      </c>
      <c r="AE954">
        <f t="shared" si="552"/>
        <v>0</v>
      </c>
      <c r="AF954">
        <f t="shared" si="552"/>
        <v>0</v>
      </c>
      <c r="AG954">
        <f t="shared" si="552"/>
        <v>0</v>
      </c>
      <c r="AH954" s="5">
        <v>14.646110721793972</v>
      </c>
      <c r="AI954" t="s">
        <v>13</v>
      </c>
      <c r="AJ954" s="5">
        <f t="shared" si="353"/>
        <v>14.646110721793972</v>
      </c>
      <c r="AK954" t="s">
        <v>13</v>
      </c>
      <c r="AL954">
        <f t="shared" si="542"/>
        <v>0.4745888927820604</v>
      </c>
      <c r="AM954">
        <f t="shared" si="386"/>
        <v>0.5254111072179396</v>
      </c>
      <c r="AN954">
        <v>677</v>
      </c>
      <c r="AO954" t="s">
        <v>13</v>
      </c>
      <c r="AP954">
        <v>1427</v>
      </c>
      <c r="AQ954" t="s">
        <v>13</v>
      </c>
      <c r="AR954">
        <f t="shared" si="459"/>
        <v>0.27875525508673327</v>
      </c>
      <c r="AS954">
        <f t="shared" si="533"/>
        <v>0.3789499999999999</v>
      </c>
      <c r="AT954">
        <f t="shared" si="534"/>
        <v>541</v>
      </c>
      <c r="AU954">
        <f t="shared" si="535"/>
        <v>209</v>
      </c>
      <c r="AV954">
        <f t="shared" si="344"/>
        <v>285</v>
      </c>
      <c r="AW954">
        <f t="shared" si="345"/>
        <v>269</v>
      </c>
      <c r="AX954" s="3">
        <f t="shared" si="346"/>
        <v>873</v>
      </c>
      <c r="AY954">
        <f t="shared" si="347"/>
        <v>270</v>
      </c>
      <c r="AZ954">
        <f t="shared" si="348"/>
        <v>273</v>
      </c>
      <c r="BA954" s="3">
        <f t="shared" si="349"/>
        <v>884</v>
      </c>
    </row>
    <row r="955" spans="1:53" x14ac:dyDescent="0.2">
      <c r="A955">
        <v>1986</v>
      </c>
      <c r="B955" t="s">
        <v>131</v>
      </c>
      <c r="C955" t="s">
        <v>85</v>
      </c>
      <c r="D955">
        <f t="shared" si="536"/>
        <v>16.315000000000001</v>
      </c>
      <c r="E955">
        <f t="shared" si="536"/>
        <v>0</v>
      </c>
      <c r="F955">
        <f t="shared" ref="F955:J955" si="553">F827*0.65</f>
        <v>0.78</v>
      </c>
      <c r="G955">
        <f t="shared" si="553"/>
        <v>7.41</v>
      </c>
      <c r="H955">
        <f t="shared" si="553"/>
        <v>0</v>
      </c>
      <c r="I955">
        <f t="shared" si="553"/>
        <v>4.42</v>
      </c>
      <c r="J955">
        <f t="shared" si="553"/>
        <v>0</v>
      </c>
      <c r="K955">
        <f t="shared" si="480"/>
        <v>28.925000000000004</v>
      </c>
      <c r="L955">
        <f t="shared" ref="L955:N955" si="554">L827*0.65</f>
        <v>1.04</v>
      </c>
      <c r="M955">
        <f t="shared" si="554"/>
        <v>0</v>
      </c>
      <c r="N955">
        <f t="shared" si="554"/>
        <v>0</v>
      </c>
      <c r="O955">
        <f t="shared" si="350"/>
        <v>1.04</v>
      </c>
      <c r="P955">
        <f t="shared" ref="P955:R955" si="555">P827*0.65</f>
        <v>0</v>
      </c>
      <c r="Q955">
        <f t="shared" si="555"/>
        <v>0.58500000000000008</v>
      </c>
      <c r="R955">
        <f t="shared" si="555"/>
        <v>0</v>
      </c>
      <c r="S955">
        <f t="shared" si="351"/>
        <v>0.58500000000000008</v>
      </c>
      <c r="T955">
        <f t="shared" ref="T955:Z955" si="556">T827*0.65</f>
        <v>0</v>
      </c>
      <c r="U955">
        <f t="shared" si="556"/>
        <v>0</v>
      </c>
      <c r="V955">
        <f t="shared" si="556"/>
        <v>0</v>
      </c>
      <c r="W955">
        <f t="shared" si="556"/>
        <v>0</v>
      </c>
      <c r="X955">
        <f t="shared" si="556"/>
        <v>0</v>
      </c>
      <c r="Y955">
        <f t="shared" si="556"/>
        <v>0</v>
      </c>
      <c r="Z955">
        <f t="shared" si="556"/>
        <v>6.5000000000000002E-2</v>
      </c>
      <c r="AA955">
        <f t="shared" si="352"/>
        <v>6.5000000000000002E-2</v>
      </c>
      <c r="AB955">
        <f t="shared" ref="AB955:AG955" si="557">AB827*0.65</f>
        <v>0</v>
      </c>
      <c r="AC955">
        <f t="shared" si="557"/>
        <v>0</v>
      </c>
      <c r="AD955">
        <f t="shared" si="557"/>
        <v>0</v>
      </c>
      <c r="AE955">
        <f t="shared" si="557"/>
        <v>0</v>
      </c>
      <c r="AF955">
        <f t="shared" si="557"/>
        <v>0</v>
      </c>
      <c r="AG955">
        <f t="shared" si="557"/>
        <v>0</v>
      </c>
      <c r="AH955" s="5">
        <v>15.590459569517161</v>
      </c>
      <c r="AI955" t="s">
        <v>13</v>
      </c>
      <c r="AJ955" s="5">
        <f t="shared" si="353"/>
        <v>15.590459569517161</v>
      </c>
      <c r="AK955" t="s">
        <v>13</v>
      </c>
      <c r="AL955">
        <f t="shared" si="542"/>
        <v>0.5379454043048284</v>
      </c>
      <c r="AM955">
        <f t="shared" si="386"/>
        <v>0.4620545956951716</v>
      </c>
      <c r="AN955">
        <v>925</v>
      </c>
      <c r="AO955" t="s">
        <v>13</v>
      </c>
      <c r="AP955">
        <v>1719</v>
      </c>
      <c r="AQ955" t="s">
        <v>13</v>
      </c>
      <c r="AR955">
        <f t="shared" si="459"/>
        <v>0.33741596155019221</v>
      </c>
      <c r="AS955">
        <f t="shared" si="533"/>
        <v>0.30615000000000003</v>
      </c>
      <c r="AT955">
        <f t="shared" si="534"/>
        <v>526</v>
      </c>
      <c r="AU955">
        <f t="shared" si="535"/>
        <v>268</v>
      </c>
      <c r="AV955">
        <f t="shared" si="344"/>
        <v>278</v>
      </c>
      <c r="AW955">
        <f t="shared" si="345"/>
        <v>324</v>
      </c>
      <c r="AX955" s="3">
        <f t="shared" si="346"/>
        <v>1117</v>
      </c>
      <c r="AY955">
        <f t="shared" si="347"/>
        <v>263</v>
      </c>
      <c r="AZ955">
        <f t="shared" si="348"/>
        <v>327</v>
      </c>
      <c r="BA955" s="3">
        <f t="shared" si="349"/>
        <v>1129</v>
      </c>
    </row>
    <row r="956" spans="1:53" x14ac:dyDescent="0.2">
      <c r="A956">
        <v>1987</v>
      </c>
      <c r="B956" t="s">
        <v>131</v>
      </c>
      <c r="C956" t="s">
        <v>85</v>
      </c>
      <c r="D956">
        <f t="shared" si="536"/>
        <v>17.225000000000001</v>
      </c>
      <c r="E956">
        <f t="shared" si="536"/>
        <v>1.105</v>
      </c>
      <c r="F956">
        <f t="shared" ref="F956:J956" si="558">F828*0.65</f>
        <v>6.5000000000000002E-2</v>
      </c>
      <c r="G956">
        <f t="shared" si="558"/>
        <v>8.32</v>
      </c>
      <c r="H956">
        <f t="shared" si="558"/>
        <v>0.58500000000000008</v>
      </c>
      <c r="I956">
        <f t="shared" si="558"/>
        <v>0.97500000000000009</v>
      </c>
      <c r="J956">
        <f t="shared" si="558"/>
        <v>0</v>
      </c>
      <c r="K956">
        <f t="shared" si="480"/>
        <v>28.275000000000006</v>
      </c>
      <c r="L956">
        <f t="shared" ref="L956:N956" si="559">L828*0.65</f>
        <v>0.84500000000000008</v>
      </c>
      <c r="M956">
        <f t="shared" si="559"/>
        <v>0.32500000000000001</v>
      </c>
      <c r="N956">
        <f t="shared" si="559"/>
        <v>0</v>
      </c>
      <c r="O956">
        <f t="shared" si="350"/>
        <v>1.1700000000000002</v>
      </c>
      <c r="P956">
        <f t="shared" ref="P956:R956" si="560">P828*0.65</f>
        <v>0</v>
      </c>
      <c r="Q956">
        <f t="shared" si="560"/>
        <v>0</v>
      </c>
      <c r="R956">
        <f t="shared" si="560"/>
        <v>0</v>
      </c>
      <c r="S956">
        <f t="shared" si="351"/>
        <v>0</v>
      </c>
      <c r="T956">
        <f t="shared" ref="T956:Z956" si="561">T828*0.65</f>
        <v>0.26</v>
      </c>
      <c r="U956">
        <f t="shared" si="561"/>
        <v>0</v>
      </c>
      <c r="V956">
        <f t="shared" si="561"/>
        <v>0</v>
      </c>
      <c r="W956">
        <f t="shared" si="561"/>
        <v>0</v>
      </c>
      <c r="X956">
        <f t="shared" si="561"/>
        <v>0</v>
      </c>
      <c r="Y956">
        <f t="shared" si="561"/>
        <v>0</v>
      </c>
      <c r="Z956">
        <f t="shared" si="561"/>
        <v>0.45499999999999996</v>
      </c>
      <c r="AA956">
        <f t="shared" si="352"/>
        <v>0.71499999999999997</v>
      </c>
      <c r="AB956">
        <f t="shared" ref="AB956:AG956" si="562">AB828*0.65</f>
        <v>0</v>
      </c>
      <c r="AC956">
        <f t="shared" si="562"/>
        <v>0</v>
      </c>
      <c r="AD956">
        <f t="shared" si="562"/>
        <v>0</v>
      </c>
      <c r="AE956">
        <f t="shared" si="562"/>
        <v>0</v>
      </c>
      <c r="AF956">
        <f t="shared" si="562"/>
        <v>0</v>
      </c>
      <c r="AG956">
        <f t="shared" si="562"/>
        <v>0</v>
      </c>
      <c r="AH956" s="5">
        <v>42.77953825260299</v>
      </c>
      <c r="AI956" t="s">
        <v>13</v>
      </c>
      <c r="AJ956" s="5">
        <f t="shared" si="353"/>
        <v>42.77953825260299</v>
      </c>
      <c r="AK956" t="s">
        <v>13</v>
      </c>
      <c r="AL956">
        <f t="shared" si="542"/>
        <v>0.27060461747397024</v>
      </c>
      <c r="AM956">
        <f t="shared" si="386"/>
        <v>0.72939538252602976</v>
      </c>
      <c r="AN956">
        <v>598</v>
      </c>
      <c r="AO956" t="s">
        <v>13</v>
      </c>
      <c r="AP956">
        <v>2209</v>
      </c>
      <c r="AQ956" t="s">
        <v>13</v>
      </c>
      <c r="AR956">
        <f t="shared" si="459"/>
        <v>0.58650684220744054</v>
      </c>
      <c r="AS956">
        <f t="shared" si="533"/>
        <v>0.30160000000000009</v>
      </c>
      <c r="AT956">
        <f t="shared" si="534"/>
        <v>666</v>
      </c>
      <c r="AU956">
        <f t="shared" si="535"/>
        <v>945</v>
      </c>
      <c r="AV956">
        <f t="shared" si="344"/>
        <v>354</v>
      </c>
      <c r="AW956">
        <f t="shared" si="345"/>
        <v>1136</v>
      </c>
      <c r="AX956" s="3">
        <f t="shared" si="346"/>
        <v>719</v>
      </c>
      <c r="AY956">
        <f t="shared" si="347"/>
        <v>333</v>
      </c>
      <c r="AZ956">
        <f t="shared" si="348"/>
        <v>1149</v>
      </c>
      <c r="BA956" s="3">
        <f t="shared" si="349"/>
        <v>727</v>
      </c>
    </row>
    <row r="957" spans="1:53" x14ac:dyDescent="0.2">
      <c r="A957">
        <v>1988</v>
      </c>
      <c r="B957" t="s">
        <v>131</v>
      </c>
      <c r="C957" t="s">
        <v>85</v>
      </c>
      <c r="D957">
        <f t="shared" si="536"/>
        <v>14.040000000000001</v>
      </c>
      <c r="E957">
        <f t="shared" si="536"/>
        <v>1.04</v>
      </c>
      <c r="F957">
        <f t="shared" ref="F957:J957" si="563">F829*0.65</f>
        <v>0.97500000000000009</v>
      </c>
      <c r="G957">
        <f t="shared" si="563"/>
        <v>5.5250000000000004</v>
      </c>
      <c r="H957">
        <f t="shared" si="563"/>
        <v>0.58500000000000008</v>
      </c>
      <c r="I957">
        <f t="shared" si="563"/>
        <v>3.5100000000000002</v>
      </c>
      <c r="J957">
        <f t="shared" si="563"/>
        <v>0</v>
      </c>
      <c r="K957">
        <f t="shared" si="480"/>
        <v>25.675000000000008</v>
      </c>
      <c r="L957">
        <f t="shared" ref="L957:N957" si="564">L829*0.65</f>
        <v>1.2349999999999999</v>
      </c>
      <c r="M957">
        <f t="shared" si="564"/>
        <v>0.26</v>
      </c>
      <c r="N957">
        <f t="shared" si="564"/>
        <v>0</v>
      </c>
      <c r="O957">
        <f t="shared" si="350"/>
        <v>1.4949999999999999</v>
      </c>
      <c r="P957">
        <f t="shared" ref="P957:R957" si="565">P829*0.65</f>
        <v>0</v>
      </c>
      <c r="Q957">
        <f t="shared" si="565"/>
        <v>0</v>
      </c>
      <c r="R957">
        <f t="shared" si="565"/>
        <v>0.65</v>
      </c>
      <c r="S957">
        <f t="shared" si="351"/>
        <v>0.65</v>
      </c>
      <c r="T957">
        <f t="shared" ref="T957:Z957" si="566">T829*0.65</f>
        <v>0</v>
      </c>
      <c r="U957">
        <f t="shared" si="566"/>
        <v>0</v>
      </c>
      <c r="V957">
        <f t="shared" si="566"/>
        <v>0</v>
      </c>
      <c r="W957">
        <f t="shared" si="566"/>
        <v>0</v>
      </c>
      <c r="X957">
        <f t="shared" si="566"/>
        <v>0</v>
      </c>
      <c r="Y957">
        <f t="shared" si="566"/>
        <v>0</v>
      </c>
      <c r="Z957">
        <f t="shared" si="566"/>
        <v>2.145</v>
      </c>
      <c r="AA957">
        <f t="shared" si="352"/>
        <v>2.145</v>
      </c>
      <c r="AB957">
        <f t="shared" ref="AB957:AG957" si="567">AB829*0.65</f>
        <v>0</v>
      </c>
      <c r="AC957">
        <f t="shared" si="567"/>
        <v>0</v>
      </c>
      <c r="AD957">
        <f t="shared" si="567"/>
        <v>0</v>
      </c>
      <c r="AE957">
        <f t="shared" si="567"/>
        <v>0</v>
      </c>
      <c r="AF957">
        <f t="shared" si="567"/>
        <v>0</v>
      </c>
      <c r="AG957">
        <f t="shared" si="567"/>
        <v>0</v>
      </c>
      <c r="AH957" s="5">
        <v>15.508186592523943</v>
      </c>
      <c r="AI957" t="s">
        <v>13</v>
      </c>
      <c r="AJ957" s="5">
        <f t="shared" si="353"/>
        <v>15.508186592523943</v>
      </c>
      <c r="AK957" t="s">
        <v>13</v>
      </c>
      <c r="AL957">
        <f t="shared" si="542"/>
        <v>0.54526813407476049</v>
      </c>
      <c r="AM957">
        <f t="shared" si="386"/>
        <v>0.45473186592523945</v>
      </c>
      <c r="AN957">
        <v>1765</v>
      </c>
      <c r="AO957" t="s">
        <v>13</v>
      </c>
      <c r="AP957">
        <v>3237</v>
      </c>
      <c r="AQ957" t="s">
        <v>13</v>
      </c>
      <c r="AR957">
        <f t="shared" si="459"/>
        <v>0.34104024271467215</v>
      </c>
      <c r="AS957">
        <f t="shared" si="533"/>
        <v>0.29965000000000008</v>
      </c>
      <c r="AT957">
        <f t="shared" si="534"/>
        <v>970</v>
      </c>
      <c r="AU957">
        <f t="shared" si="535"/>
        <v>502</v>
      </c>
      <c r="AV957">
        <f t="shared" si="344"/>
        <v>554</v>
      </c>
      <c r="AW957">
        <f t="shared" si="345"/>
        <v>594</v>
      </c>
      <c r="AX957" s="3">
        <f t="shared" si="346"/>
        <v>2089</v>
      </c>
      <c r="AY957">
        <f t="shared" si="347"/>
        <v>485</v>
      </c>
      <c r="AZ957">
        <f t="shared" si="348"/>
        <v>609</v>
      </c>
      <c r="BA957" s="3">
        <f t="shared" si="349"/>
        <v>2143</v>
      </c>
    </row>
    <row r="958" spans="1:53" x14ac:dyDescent="0.2">
      <c r="A958">
        <v>1989</v>
      </c>
      <c r="B958" t="s">
        <v>131</v>
      </c>
      <c r="C958" t="s">
        <v>85</v>
      </c>
      <c r="D958">
        <f t="shared" si="536"/>
        <v>7.6049999999999995</v>
      </c>
      <c r="E958">
        <f t="shared" si="536"/>
        <v>0.19500000000000001</v>
      </c>
      <c r="F958">
        <f t="shared" ref="F958:J958" si="568">F830*0.65</f>
        <v>0.13</v>
      </c>
      <c r="G958">
        <f t="shared" si="568"/>
        <v>7.6049999999999995</v>
      </c>
      <c r="H958">
        <f t="shared" si="568"/>
        <v>0.13</v>
      </c>
      <c r="I958">
        <f t="shared" si="568"/>
        <v>6.8250000000000002</v>
      </c>
      <c r="J958">
        <f t="shared" si="568"/>
        <v>0</v>
      </c>
      <c r="K958">
        <f t="shared" si="480"/>
        <v>22.490000000000002</v>
      </c>
      <c r="L958">
        <f t="shared" ref="L958:N958" si="569">L830*0.65</f>
        <v>0.39</v>
      </c>
      <c r="M958">
        <f t="shared" si="569"/>
        <v>0.19500000000000001</v>
      </c>
      <c r="N958">
        <f t="shared" si="569"/>
        <v>0</v>
      </c>
      <c r="O958">
        <f t="shared" si="350"/>
        <v>0.58499999999999996</v>
      </c>
      <c r="P958">
        <f t="shared" ref="P958:R958" si="570">P830*0.65</f>
        <v>0</v>
      </c>
      <c r="Q958">
        <f t="shared" si="570"/>
        <v>0</v>
      </c>
      <c r="R958">
        <f t="shared" si="570"/>
        <v>0</v>
      </c>
      <c r="S958">
        <f t="shared" si="351"/>
        <v>0</v>
      </c>
      <c r="T958">
        <f t="shared" ref="T958:Z958" si="571">T830*0.65</f>
        <v>0</v>
      </c>
      <c r="U958">
        <f t="shared" si="571"/>
        <v>0</v>
      </c>
      <c r="V958">
        <f t="shared" si="571"/>
        <v>0</v>
      </c>
      <c r="W958">
        <f t="shared" si="571"/>
        <v>0</v>
      </c>
      <c r="X958">
        <f t="shared" si="571"/>
        <v>0</v>
      </c>
      <c r="Y958">
        <f t="shared" si="571"/>
        <v>0</v>
      </c>
      <c r="Z958">
        <f t="shared" si="571"/>
        <v>1.3</v>
      </c>
      <c r="AA958">
        <f t="shared" si="352"/>
        <v>1.3</v>
      </c>
      <c r="AB958">
        <f t="shared" ref="AB958:AG958" si="572">AB830*0.65</f>
        <v>0</v>
      </c>
      <c r="AC958">
        <f t="shared" si="572"/>
        <v>0</v>
      </c>
      <c r="AD958">
        <f t="shared" si="572"/>
        <v>0</v>
      </c>
      <c r="AE958">
        <f t="shared" si="572"/>
        <v>0</v>
      </c>
      <c r="AF958">
        <f t="shared" si="572"/>
        <v>0</v>
      </c>
      <c r="AG958">
        <f t="shared" si="572"/>
        <v>0</v>
      </c>
      <c r="AH958" s="5">
        <v>26.511094108645754</v>
      </c>
      <c r="AI958" t="s">
        <v>13</v>
      </c>
      <c r="AJ958" s="5">
        <f t="shared" si="353"/>
        <v>26.511094108645754</v>
      </c>
      <c r="AK958" t="s">
        <v>13</v>
      </c>
      <c r="AL958">
        <f t="shared" si="542"/>
        <v>0.49113905891354248</v>
      </c>
      <c r="AM958">
        <f t="shared" si="386"/>
        <v>0.50886094108645752</v>
      </c>
      <c r="AN958">
        <v>2568</v>
      </c>
      <c r="AO958" t="s">
        <v>13</v>
      </c>
      <c r="AP958">
        <v>5228</v>
      </c>
      <c r="AQ958" t="s">
        <v>13</v>
      </c>
      <c r="AR958">
        <f t="shared" si="459"/>
        <v>0.52098897691071588</v>
      </c>
      <c r="AS958">
        <f t="shared" si="533"/>
        <v>0.24375000000000002</v>
      </c>
      <c r="AT958">
        <f t="shared" si="534"/>
        <v>1274</v>
      </c>
      <c r="AU958">
        <f t="shared" si="535"/>
        <v>1386</v>
      </c>
      <c r="AV958">
        <f t="shared" si="344"/>
        <v>686</v>
      </c>
      <c r="AW958">
        <f t="shared" si="345"/>
        <v>1592</v>
      </c>
      <c r="AX958" s="3">
        <f t="shared" si="346"/>
        <v>2950</v>
      </c>
      <c r="AY958">
        <f t="shared" si="347"/>
        <v>637</v>
      </c>
      <c r="AZ958">
        <f t="shared" si="348"/>
        <v>1609</v>
      </c>
      <c r="BA958" s="3">
        <f t="shared" si="349"/>
        <v>2982</v>
      </c>
    </row>
    <row r="959" spans="1:53" x14ac:dyDescent="0.2">
      <c r="A959">
        <v>1990</v>
      </c>
      <c r="B959" t="s">
        <v>131</v>
      </c>
      <c r="C959" t="s">
        <v>85</v>
      </c>
      <c r="D959">
        <f t="shared" si="536"/>
        <v>9.8149999999999995</v>
      </c>
      <c r="E959">
        <f t="shared" si="536"/>
        <v>0.32500000000000001</v>
      </c>
      <c r="F959">
        <f t="shared" ref="F959:J959" si="573">F831*0.65</f>
        <v>0.19500000000000001</v>
      </c>
      <c r="G959">
        <f t="shared" si="573"/>
        <v>4.0949999999999998</v>
      </c>
      <c r="H959">
        <f t="shared" si="573"/>
        <v>1.6900000000000002</v>
      </c>
      <c r="I959">
        <f t="shared" si="573"/>
        <v>4.6150000000000002</v>
      </c>
      <c r="J959">
        <f t="shared" si="573"/>
        <v>0</v>
      </c>
      <c r="K959">
        <f t="shared" si="480"/>
        <v>20.734999999999999</v>
      </c>
      <c r="L959">
        <f t="shared" ref="L959:N959" si="574">L831*0.65</f>
        <v>0.19500000000000001</v>
      </c>
      <c r="M959">
        <f t="shared" si="574"/>
        <v>0.13</v>
      </c>
      <c r="N959">
        <f t="shared" si="574"/>
        <v>0</v>
      </c>
      <c r="O959">
        <f t="shared" si="350"/>
        <v>0.32500000000000001</v>
      </c>
      <c r="P959">
        <f t="shared" ref="P959:R959" si="575">P831*0.65</f>
        <v>0</v>
      </c>
      <c r="Q959">
        <f t="shared" si="575"/>
        <v>0</v>
      </c>
      <c r="R959">
        <f t="shared" si="575"/>
        <v>0</v>
      </c>
      <c r="S959">
        <f t="shared" si="351"/>
        <v>0</v>
      </c>
      <c r="T959">
        <f t="shared" ref="T959:Z959" si="576">T831*0.65</f>
        <v>0</v>
      </c>
      <c r="U959">
        <f t="shared" si="576"/>
        <v>0</v>
      </c>
      <c r="V959">
        <f t="shared" si="576"/>
        <v>0</v>
      </c>
      <c r="W959">
        <f t="shared" si="576"/>
        <v>0</v>
      </c>
      <c r="X959">
        <f t="shared" si="576"/>
        <v>0</v>
      </c>
      <c r="Y959">
        <f t="shared" si="576"/>
        <v>0</v>
      </c>
      <c r="Z959">
        <f t="shared" si="576"/>
        <v>0</v>
      </c>
      <c r="AA959">
        <f t="shared" si="352"/>
        <v>0</v>
      </c>
      <c r="AB959">
        <f t="shared" ref="AB959:AG959" si="577">AB831*0.65</f>
        <v>0</v>
      </c>
      <c r="AC959">
        <f t="shared" si="577"/>
        <v>0</v>
      </c>
      <c r="AD959">
        <f t="shared" si="577"/>
        <v>0</v>
      </c>
      <c r="AE959">
        <f t="shared" si="577"/>
        <v>0</v>
      </c>
      <c r="AF959">
        <f t="shared" si="577"/>
        <v>0</v>
      </c>
      <c r="AG959">
        <f t="shared" si="577"/>
        <v>0</v>
      </c>
      <c r="AH959" s="5">
        <v>22.278803309993634</v>
      </c>
      <c r="AI959" t="s">
        <v>13</v>
      </c>
      <c r="AJ959" s="5">
        <f t="shared" si="353"/>
        <v>22.278803309993634</v>
      </c>
      <c r="AK959" t="s">
        <v>13</v>
      </c>
      <c r="AL959">
        <f t="shared" si="542"/>
        <v>0.56661196690006366</v>
      </c>
      <c r="AM959">
        <f t="shared" si="386"/>
        <v>0.43338803309993634</v>
      </c>
      <c r="AN959">
        <v>1780</v>
      </c>
      <c r="AO959" t="s">
        <v>13</v>
      </c>
      <c r="AP959">
        <v>3142</v>
      </c>
      <c r="AQ959" t="s">
        <v>13</v>
      </c>
      <c r="AR959">
        <f t="shared" si="459"/>
        <v>0.51406134014910121</v>
      </c>
      <c r="AS959">
        <f t="shared" si="533"/>
        <v>0.21059999999999998</v>
      </c>
      <c r="AT959">
        <f t="shared" si="534"/>
        <v>662</v>
      </c>
      <c r="AU959">
        <f t="shared" si="535"/>
        <v>700</v>
      </c>
      <c r="AV959">
        <f t="shared" si="344"/>
        <v>336</v>
      </c>
      <c r="AW959">
        <f t="shared" si="345"/>
        <v>792</v>
      </c>
      <c r="AX959" s="3">
        <f t="shared" si="346"/>
        <v>2014</v>
      </c>
      <c r="AY959">
        <f t="shared" si="347"/>
        <v>331</v>
      </c>
      <c r="AZ959">
        <f t="shared" si="348"/>
        <v>793</v>
      </c>
      <c r="BA959" s="3">
        <f t="shared" si="349"/>
        <v>2018</v>
      </c>
    </row>
    <row r="960" spans="1:53" x14ac:dyDescent="0.2">
      <c r="A960">
        <v>1991</v>
      </c>
      <c r="B960" t="s">
        <v>131</v>
      </c>
      <c r="C960" t="s">
        <v>85</v>
      </c>
      <c r="D960">
        <f t="shared" si="536"/>
        <v>15.990000000000002</v>
      </c>
      <c r="E960">
        <f t="shared" si="536"/>
        <v>0.19500000000000001</v>
      </c>
      <c r="F960">
        <f t="shared" ref="F960:J960" si="578">F832*0.65</f>
        <v>0.52</v>
      </c>
      <c r="G960">
        <f t="shared" si="578"/>
        <v>6.6950000000000003</v>
      </c>
      <c r="H960">
        <f t="shared" si="578"/>
        <v>0.84500000000000008</v>
      </c>
      <c r="I960">
        <f t="shared" si="578"/>
        <v>4.03</v>
      </c>
      <c r="J960">
        <f t="shared" si="578"/>
        <v>0</v>
      </c>
      <c r="K960">
        <f t="shared" si="480"/>
        <v>28.275000000000002</v>
      </c>
      <c r="L960">
        <f t="shared" ref="L960:N960" si="579">L832*0.65</f>
        <v>0</v>
      </c>
      <c r="M960">
        <f t="shared" si="579"/>
        <v>0</v>
      </c>
      <c r="N960">
        <f t="shared" si="579"/>
        <v>0</v>
      </c>
      <c r="O960">
        <f t="shared" si="350"/>
        <v>0</v>
      </c>
      <c r="P960">
        <f t="shared" ref="P960:R960" si="580">P832*0.65</f>
        <v>0</v>
      </c>
      <c r="Q960">
        <f t="shared" si="580"/>
        <v>0</v>
      </c>
      <c r="R960">
        <f t="shared" si="580"/>
        <v>0</v>
      </c>
      <c r="S960">
        <f t="shared" si="351"/>
        <v>0</v>
      </c>
      <c r="T960">
        <f t="shared" ref="T960:Z960" si="581">T832*0.65</f>
        <v>0</v>
      </c>
      <c r="U960">
        <f t="shared" si="581"/>
        <v>0.19500000000000001</v>
      </c>
      <c r="V960">
        <f t="shared" si="581"/>
        <v>0</v>
      </c>
      <c r="W960">
        <f t="shared" si="581"/>
        <v>0</v>
      </c>
      <c r="X960">
        <f t="shared" si="581"/>
        <v>0</v>
      </c>
      <c r="Y960">
        <f t="shared" si="581"/>
        <v>0</v>
      </c>
      <c r="Z960">
        <f t="shared" si="581"/>
        <v>0.32500000000000001</v>
      </c>
      <c r="AA960">
        <f t="shared" si="352"/>
        <v>0.52</v>
      </c>
      <c r="AB960">
        <f t="shared" ref="AB960:AG960" si="582">AB832*0.65</f>
        <v>0</v>
      </c>
      <c r="AC960">
        <f t="shared" si="582"/>
        <v>0</v>
      </c>
      <c r="AD960">
        <f t="shared" si="582"/>
        <v>0</v>
      </c>
      <c r="AE960">
        <f t="shared" si="582"/>
        <v>0</v>
      </c>
      <c r="AF960">
        <f t="shared" si="582"/>
        <v>0</v>
      </c>
      <c r="AG960">
        <f t="shared" si="582"/>
        <v>0</v>
      </c>
      <c r="AH960" s="5">
        <v>12.25444340505145</v>
      </c>
      <c r="AI960" t="s">
        <v>13</v>
      </c>
      <c r="AJ960" s="5">
        <f t="shared" si="353"/>
        <v>12.25444340505145</v>
      </c>
      <c r="AK960" t="s">
        <v>13</v>
      </c>
      <c r="AL960">
        <f t="shared" si="542"/>
        <v>0.58950556594948544</v>
      </c>
      <c r="AM960">
        <f t="shared" si="386"/>
        <v>0.4104944340505145</v>
      </c>
      <c r="AN960">
        <v>630</v>
      </c>
      <c r="AO960" t="s">
        <v>13</v>
      </c>
      <c r="AP960">
        <v>1069</v>
      </c>
      <c r="AQ960" t="s">
        <v>13</v>
      </c>
      <c r="AR960">
        <f t="shared" si="459"/>
        <v>0.29852885663106082</v>
      </c>
      <c r="AS960">
        <f t="shared" si="533"/>
        <v>0.28795000000000004</v>
      </c>
      <c r="AT960">
        <f t="shared" si="534"/>
        <v>308</v>
      </c>
      <c r="AU960">
        <f t="shared" si="535"/>
        <v>131</v>
      </c>
      <c r="AV960">
        <f t="shared" si="344"/>
        <v>157</v>
      </c>
      <c r="AW960">
        <f t="shared" si="345"/>
        <v>157</v>
      </c>
      <c r="AX960" s="3">
        <f t="shared" si="346"/>
        <v>755</v>
      </c>
      <c r="AY960">
        <f t="shared" si="347"/>
        <v>154</v>
      </c>
      <c r="AZ960">
        <f t="shared" si="348"/>
        <v>158</v>
      </c>
      <c r="BA960" s="3">
        <f t="shared" si="349"/>
        <v>757</v>
      </c>
    </row>
    <row r="961" spans="1:53" x14ac:dyDescent="0.2">
      <c r="A961">
        <v>1992</v>
      </c>
      <c r="B961" t="s">
        <v>131</v>
      </c>
      <c r="C961" t="s">
        <v>85</v>
      </c>
      <c r="D961">
        <f t="shared" si="536"/>
        <v>9.8149999999999995</v>
      </c>
      <c r="E961">
        <f t="shared" si="536"/>
        <v>3.9649999999999999</v>
      </c>
      <c r="F961">
        <f t="shared" ref="F961:J961" si="583">F833*0.65</f>
        <v>1.625</v>
      </c>
      <c r="G961">
        <f t="shared" si="583"/>
        <v>7.2799999999999994</v>
      </c>
      <c r="H961">
        <f t="shared" si="583"/>
        <v>1.2349999999999999</v>
      </c>
      <c r="I961">
        <f t="shared" si="583"/>
        <v>10.595000000000001</v>
      </c>
      <c r="J961">
        <f t="shared" si="583"/>
        <v>0</v>
      </c>
      <c r="K961">
        <f t="shared" si="480"/>
        <v>34.515000000000001</v>
      </c>
      <c r="L961">
        <f t="shared" ref="L961:N961" si="584">L833*0.65</f>
        <v>0</v>
      </c>
      <c r="M961">
        <f t="shared" si="584"/>
        <v>0.13</v>
      </c>
      <c r="N961">
        <f t="shared" si="584"/>
        <v>0</v>
      </c>
      <c r="O961">
        <f t="shared" si="350"/>
        <v>0.13</v>
      </c>
      <c r="P961">
        <f t="shared" ref="P961:R961" si="585">P833*0.65</f>
        <v>0</v>
      </c>
      <c r="Q961">
        <f t="shared" si="585"/>
        <v>0</v>
      </c>
      <c r="R961">
        <f t="shared" si="585"/>
        <v>0</v>
      </c>
      <c r="S961">
        <f t="shared" si="351"/>
        <v>0</v>
      </c>
      <c r="T961">
        <f t="shared" ref="T961:Z961" si="586">T833*0.65</f>
        <v>0</v>
      </c>
      <c r="U961">
        <f t="shared" si="586"/>
        <v>0.19500000000000001</v>
      </c>
      <c r="V961">
        <f t="shared" si="586"/>
        <v>0</v>
      </c>
      <c r="W961">
        <f t="shared" si="586"/>
        <v>0</v>
      </c>
      <c r="X961">
        <f t="shared" si="586"/>
        <v>0</v>
      </c>
      <c r="Y961">
        <f t="shared" si="586"/>
        <v>0</v>
      </c>
      <c r="Z961">
        <f t="shared" si="586"/>
        <v>0</v>
      </c>
      <c r="AA961">
        <f t="shared" si="352"/>
        <v>0.19500000000000001</v>
      </c>
      <c r="AB961">
        <f t="shared" ref="AB961:AG961" si="587">AB833*0.65</f>
        <v>0</v>
      </c>
      <c r="AC961">
        <f t="shared" si="587"/>
        <v>0</v>
      </c>
      <c r="AD961">
        <f t="shared" si="587"/>
        <v>0</v>
      </c>
      <c r="AE961">
        <f t="shared" si="587"/>
        <v>0</v>
      </c>
      <c r="AF961">
        <f t="shared" si="587"/>
        <v>0</v>
      </c>
      <c r="AG961">
        <f t="shared" si="587"/>
        <v>0</v>
      </c>
      <c r="AH961" s="5">
        <v>16.7741935483871</v>
      </c>
      <c r="AI961" t="s">
        <v>13</v>
      </c>
      <c r="AJ961" s="5">
        <f t="shared" si="353"/>
        <v>16.7741935483871</v>
      </c>
      <c r="AK961" t="s">
        <v>13</v>
      </c>
      <c r="AL961">
        <f t="shared" si="542"/>
        <v>0.48385806451612912</v>
      </c>
      <c r="AM961">
        <f t="shared" si="386"/>
        <v>0.51614193548387088</v>
      </c>
      <c r="AN961">
        <v>375</v>
      </c>
      <c r="AO961" t="s">
        <v>13</v>
      </c>
      <c r="AP961">
        <v>775</v>
      </c>
      <c r="AQ961" t="s">
        <v>13</v>
      </c>
      <c r="AR961">
        <f t="shared" si="459"/>
        <v>0.32499187520312006</v>
      </c>
      <c r="AS961">
        <f t="shared" si="533"/>
        <v>0.34840000000000004</v>
      </c>
      <c r="AT961">
        <f t="shared" si="534"/>
        <v>270</v>
      </c>
      <c r="AU961">
        <f t="shared" si="535"/>
        <v>130</v>
      </c>
      <c r="AV961">
        <f t="shared" si="344"/>
        <v>136</v>
      </c>
      <c r="AW961">
        <f t="shared" si="345"/>
        <v>164</v>
      </c>
      <c r="AX961" s="3">
        <f t="shared" si="346"/>
        <v>475</v>
      </c>
      <c r="AY961">
        <f t="shared" si="347"/>
        <v>135</v>
      </c>
      <c r="AZ961">
        <f t="shared" si="348"/>
        <v>165</v>
      </c>
      <c r="BA961" s="3">
        <f t="shared" si="349"/>
        <v>475</v>
      </c>
    </row>
    <row r="962" spans="1:53" x14ac:dyDescent="0.2">
      <c r="A962">
        <v>1993</v>
      </c>
      <c r="B962" t="s">
        <v>131</v>
      </c>
      <c r="C962" t="s">
        <v>85</v>
      </c>
      <c r="D962">
        <f t="shared" si="536"/>
        <v>13.325000000000001</v>
      </c>
      <c r="E962">
        <f t="shared" si="536"/>
        <v>1.4300000000000002</v>
      </c>
      <c r="F962">
        <f t="shared" ref="F962:J962" si="588">F834*0.65</f>
        <v>0.45499999999999996</v>
      </c>
      <c r="G962">
        <f t="shared" si="588"/>
        <v>8.254999999999999</v>
      </c>
      <c r="H962">
        <f t="shared" si="588"/>
        <v>0.90999999999999992</v>
      </c>
      <c r="I962">
        <f t="shared" si="588"/>
        <v>8.58</v>
      </c>
      <c r="J962">
        <f t="shared" si="588"/>
        <v>0</v>
      </c>
      <c r="K962">
        <f t="shared" si="480"/>
        <v>32.954999999999998</v>
      </c>
      <c r="L962">
        <f t="shared" ref="L962:N962" si="589">L834*0.65</f>
        <v>0.19500000000000001</v>
      </c>
      <c r="M962">
        <f t="shared" si="589"/>
        <v>0</v>
      </c>
      <c r="N962">
        <f t="shared" si="589"/>
        <v>0</v>
      </c>
      <c r="O962">
        <f t="shared" si="350"/>
        <v>0.19500000000000001</v>
      </c>
      <c r="P962">
        <f t="shared" ref="P962:R962" si="590">P834*0.65</f>
        <v>0</v>
      </c>
      <c r="Q962">
        <f t="shared" si="590"/>
        <v>0</v>
      </c>
      <c r="R962">
        <f t="shared" si="590"/>
        <v>0</v>
      </c>
      <c r="S962">
        <f t="shared" si="351"/>
        <v>0</v>
      </c>
      <c r="T962">
        <f t="shared" ref="T962:Z962" si="591">T834*0.65</f>
        <v>0.32500000000000001</v>
      </c>
      <c r="U962">
        <f t="shared" si="591"/>
        <v>1.2349999999999999</v>
      </c>
      <c r="V962">
        <f t="shared" si="591"/>
        <v>0</v>
      </c>
      <c r="W962">
        <f t="shared" si="591"/>
        <v>0</v>
      </c>
      <c r="X962">
        <f t="shared" si="591"/>
        <v>0</v>
      </c>
      <c r="Y962">
        <f t="shared" si="591"/>
        <v>0</v>
      </c>
      <c r="Z962">
        <f t="shared" si="591"/>
        <v>0.65</v>
      </c>
      <c r="AA962">
        <f t="shared" si="352"/>
        <v>2.21</v>
      </c>
      <c r="AB962">
        <f t="shared" ref="AB962:AG962" si="592">AB834*0.65</f>
        <v>0</v>
      </c>
      <c r="AC962">
        <f t="shared" si="592"/>
        <v>0</v>
      </c>
      <c r="AD962">
        <f t="shared" si="592"/>
        <v>0</v>
      </c>
      <c r="AE962">
        <f t="shared" si="592"/>
        <v>0</v>
      </c>
      <c r="AF962">
        <f t="shared" si="592"/>
        <v>0</v>
      </c>
      <c r="AG962">
        <f t="shared" si="592"/>
        <v>0</v>
      </c>
      <c r="AH962" s="5">
        <v>6.1525840853158327</v>
      </c>
      <c r="AI962" t="s">
        <v>13</v>
      </c>
      <c r="AJ962" s="5">
        <f t="shared" si="353"/>
        <v>6.1525840853158327</v>
      </c>
      <c r="AK962" t="s">
        <v>13</v>
      </c>
      <c r="AL962">
        <f t="shared" si="542"/>
        <v>0.58487415914684182</v>
      </c>
      <c r="AM962">
        <f t="shared" si="386"/>
        <v>0.41512584085315823</v>
      </c>
      <c r="AN962">
        <v>713</v>
      </c>
      <c r="AO962" t="s">
        <v>13</v>
      </c>
      <c r="AP962">
        <v>1219</v>
      </c>
      <c r="AQ962" t="s">
        <v>13</v>
      </c>
      <c r="AR962">
        <f t="shared" si="459"/>
        <v>0.14821009630889675</v>
      </c>
      <c r="AS962">
        <f t="shared" si="533"/>
        <v>0.35359999999999997</v>
      </c>
      <c r="AT962">
        <f t="shared" si="534"/>
        <v>431</v>
      </c>
      <c r="AU962">
        <f t="shared" si="535"/>
        <v>75</v>
      </c>
      <c r="AV962">
        <f t="shared" si="344"/>
        <v>230</v>
      </c>
      <c r="AW962">
        <f t="shared" si="345"/>
        <v>94</v>
      </c>
      <c r="AX962" s="3">
        <f t="shared" si="346"/>
        <v>895</v>
      </c>
      <c r="AY962">
        <f t="shared" si="347"/>
        <v>216</v>
      </c>
      <c r="AZ962">
        <f t="shared" si="348"/>
        <v>95</v>
      </c>
      <c r="BA962" s="3">
        <f t="shared" si="349"/>
        <v>908</v>
      </c>
    </row>
    <row r="963" spans="1:53" x14ac:dyDescent="0.2">
      <c r="A963">
        <v>1994</v>
      </c>
      <c r="B963" t="s">
        <v>131</v>
      </c>
      <c r="C963" t="s">
        <v>85</v>
      </c>
      <c r="D963">
        <f t="shared" si="536"/>
        <v>14.625</v>
      </c>
      <c r="E963">
        <f t="shared" si="536"/>
        <v>0.78</v>
      </c>
      <c r="F963">
        <f t="shared" ref="F963:J963" si="593">F835*0.65</f>
        <v>0.26</v>
      </c>
      <c r="G963">
        <f t="shared" si="593"/>
        <v>13.78</v>
      </c>
      <c r="H963">
        <f t="shared" si="593"/>
        <v>0.90999999999999992</v>
      </c>
      <c r="I963">
        <f t="shared" si="593"/>
        <v>2.6</v>
      </c>
      <c r="J963">
        <f t="shared" si="593"/>
        <v>0.32500000000000001</v>
      </c>
      <c r="K963">
        <f t="shared" si="480"/>
        <v>33.28</v>
      </c>
      <c r="L963">
        <f t="shared" ref="L963:N963" si="594">L835*0.65</f>
        <v>0.13</v>
      </c>
      <c r="M963">
        <f t="shared" si="594"/>
        <v>0.19500000000000001</v>
      </c>
      <c r="N963">
        <f t="shared" si="594"/>
        <v>0</v>
      </c>
      <c r="O963">
        <f t="shared" si="350"/>
        <v>0.32500000000000001</v>
      </c>
      <c r="P963">
        <f t="shared" ref="P963:R963" si="595">P835*0.65</f>
        <v>0</v>
      </c>
      <c r="Q963">
        <f t="shared" si="595"/>
        <v>0</v>
      </c>
      <c r="R963">
        <f t="shared" si="595"/>
        <v>0.45499999999999996</v>
      </c>
      <c r="S963">
        <f t="shared" si="351"/>
        <v>0.45499999999999996</v>
      </c>
      <c r="T963">
        <f t="shared" ref="T963:Z963" si="596">T835*0.65</f>
        <v>0</v>
      </c>
      <c r="U963">
        <f t="shared" si="596"/>
        <v>0</v>
      </c>
      <c r="V963">
        <f t="shared" si="596"/>
        <v>0</v>
      </c>
      <c r="W963">
        <f t="shared" si="596"/>
        <v>0</v>
      </c>
      <c r="X963">
        <f t="shared" si="596"/>
        <v>0</v>
      </c>
      <c r="Y963">
        <f t="shared" si="596"/>
        <v>0</v>
      </c>
      <c r="Z963">
        <f t="shared" si="596"/>
        <v>0</v>
      </c>
      <c r="AA963">
        <f t="shared" si="352"/>
        <v>0</v>
      </c>
      <c r="AB963">
        <f t="shared" ref="AB963:AG963" si="597">AB835*0.65</f>
        <v>0</v>
      </c>
      <c r="AC963">
        <f t="shared" si="597"/>
        <v>0</v>
      </c>
      <c r="AD963">
        <f t="shared" si="597"/>
        <v>0</v>
      </c>
      <c r="AE963">
        <f t="shared" si="597"/>
        <v>0</v>
      </c>
      <c r="AF963">
        <f t="shared" si="597"/>
        <v>0</v>
      </c>
      <c r="AG963">
        <f t="shared" si="597"/>
        <v>0</v>
      </c>
      <c r="AH963" s="5">
        <v>1.9945602901178603</v>
      </c>
      <c r="AI963" t="s">
        <v>13</v>
      </c>
      <c r="AJ963" s="5">
        <f t="shared" si="353"/>
        <v>1.9945602901178603</v>
      </c>
      <c r="AK963" t="s">
        <v>13</v>
      </c>
      <c r="AL963">
        <f t="shared" si="542"/>
        <v>0.63945439709882135</v>
      </c>
      <c r="AM963">
        <f t="shared" si="386"/>
        <v>0.36054560290117865</v>
      </c>
      <c r="AN963">
        <v>705</v>
      </c>
      <c r="AO963" t="s">
        <v>13</v>
      </c>
      <c r="AP963">
        <v>1103</v>
      </c>
      <c r="AQ963" t="s">
        <v>13</v>
      </c>
      <c r="AR963">
        <f t="shared" si="459"/>
        <v>5.5320610598724902E-2</v>
      </c>
      <c r="AS963">
        <f t="shared" si="533"/>
        <v>0.34060000000000001</v>
      </c>
      <c r="AT963">
        <f t="shared" si="534"/>
        <v>376</v>
      </c>
      <c r="AU963">
        <f t="shared" si="535"/>
        <v>22</v>
      </c>
      <c r="AV963">
        <f t="shared" ref="AV963:AV1026" si="598">ROUND((((K963*0.5)+O963+S963+AA963)/100)*AP963,0)</f>
        <v>192</v>
      </c>
      <c r="AW963">
        <f t="shared" ref="AW963:AW1026" si="599">ROUND((AU963/(AP963-AT963))*(AP963-AV963),0)</f>
        <v>28</v>
      </c>
      <c r="AX963" s="3">
        <f t="shared" ref="AX963:AX1026" si="600">AP963-AV963-AW963</f>
        <v>883</v>
      </c>
      <c r="AY963">
        <f t="shared" ref="AY963:AY1026" si="601">ROUND((0.5*AS963)*AP963,0)</f>
        <v>188</v>
      </c>
      <c r="AZ963">
        <f t="shared" ref="AZ963:AZ1026" si="602">ROUND((AU963/(AP963-AT963))*(AP963-AY963),0)</f>
        <v>28</v>
      </c>
      <c r="BA963" s="3">
        <f t="shared" ref="BA963:BA1026" si="603">AP963-AZ963-AY963</f>
        <v>887</v>
      </c>
    </row>
    <row r="964" spans="1:53" x14ac:dyDescent="0.2">
      <c r="A964">
        <v>1995</v>
      </c>
      <c r="B964" t="s">
        <v>131</v>
      </c>
      <c r="C964" t="s">
        <v>85</v>
      </c>
      <c r="D964">
        <f t="shared" si="536"/>
        <v>13.91</v>
      </c>
      <c r="E964">
        <f t="shared" si="536"/>
        <v>0</v>
      </c>
      <c r="F964">
        <f t="shared" ref="F964:J964" si="604">F836*0.65</f>
        <v>1.105</v>
      </c>
      <c r="G964">
        <f t="shared" si="604"/>
        <v>4.16</v>
      </c>
      <c r="H964">
        <f t="shared" si="604"/>
        <v>2.4699999999999998</v>
      </c>
      <c r="I964">
        <f t="shared" si="604"/>
        <v>0.52</v>
      </c>
      <c r="J964">
        <f t="shared" si="604"/>
        <v>0</v>
      </c>
      <c r="K964">
        <f t="shared" si="480"/>
        <v>22.164999999999999</v>
      </c>
      <c r="L964">
        <f t="shared" ref="L964:N964" si="605">L836*0.65</f>
        <v>0</v>
      </c>
      <c r="M964">
        <f t="shared" si="605"/>
        <v>0.13</v>
      </c>
      <c r="N964">
        <f t="shared" si="605"/>
        <v>0</v>
      </c>
      <c r="O964">
        <f t="shared" si="350"/>
        <v>0.13</v>
      </c>
      <c r="P964">
        <f t="shared" ref="P964:R964" si="606">P836*0.65</f>
        <v>0</v>
      </c>
      <c r="Q964">
        <f t="shared" si="606"/>
        <v>0</v>
      </c>
      <c r="R964">
        <f t="shared" si="606"/>
        <v>0.39</v>
      </c>
      <c r="S964">
        <f t="shared" si="351"/>
        <v>0.39</v>
      </c>
      <c r="T964">
        <f t="shared" ref="T964:Z964" si="607">T836*0.65</f>
        <v>0.45499999999999996</v>
      </c>
      <c r="U964">
        <f t="shared" si="607"/>
        <v>0</v>
      </c>
      <c r="V964">
        <f t="shared" si="607"/>
        <v>0</v>
      </c>
      <c r="W964">
        <f t="shared" si="607"/>
        <v>0</v>
      </c>
      <c r="X964">
        <f t="shared" si="607"/>
        <v>0</v>
      </c>
      <c r="Y964">
        <f t="shared" si="607"/>
        <v>0.13</v>
      </c>
      <c r="Z964">
        <f t="shared" si="607"/>
        <v>0</v>
      </c>
      <c r="AA964">
        <f t="shared" si="352"/>
        <v>0.58499999999999996</v>
      </c>
      <c r="AB964">
        <f t="shared" ref="AB964:AG964" si="608">AB836*0.65</f>
        <v>0</v>
      </c>
      <c r="AC964">
        <f t="shared" si="608"/>
        <v>0</v>
      </c>
      <c r="AD964">
        <f t="shared" si="608"/>
        <v>0</v>
      </c>
      <c r="AE964">
        <f t="shared" si="608"/>
        <v>0</v>
      </c>
      <c r="AF964">
        <f t="shared" si="608"/>
        <v>0</v>
      </c>
      <c r="AG964">
        <f t="shared" si="608"/>
        <v>0</v>
      </c>
      <c r="AH964" s="5">
        <v>4.2873696407879489</v>
      </c>
      <c r="AI964" t="s">
        <v>13</v>
      </c>
      <c r="AJ964" s="5">
        <f t="shared" si="353"/>
        <v>4.2873696407879489</v>
      </c>
      <c r="AK964" t="s">
        <v>13</v>
      </c>
      <c r="AL964">
        <f t="shared" si="542"/>
        <v>0.72442630359212057</v>
      </c>
      <c r="AM964">
        <f t="shared" si="386"/>
        <v>0.27557369640787949</v>
      </c>
      <c r="AN964">
        <v>625</v>
      </c>
      <c r="AO964" t="s">
        <v>13</v>
      </c>
      <c r="AP964">
        <v>863</v>
      </c>
      <c r="AQ964" t="s">
        <v>13</v>
      </c>
      <c r="AR964">
        <f t="shared" si="459"/>
        <v>0.15557978488782068</v>
      </c>
      <c r="AS964">
        <f t="shared" si="533"/>
        <v>0.23269999999999999</v>
      </c>
      <c r="AT964">
        <f t="shared" si="534"/>
        <v>201</v>
      </c>
      <c r="AU964">
        <f t="shared" si="535"/>
        <v>37</v>
      </c>
      <c r="AV964">
        <f t="shared" si="598"/>
        <v>105</v>
      </c>
      <c r="AW964">
        <f t="shared" si="599"/>
        <v>42</v>
      </c>
      <c r="AX964" s="3">
        <f t="shared" si="600"/>
        <v>716</v>
      </c>
      <c r="AY964">
        <f t="shared" si="601"/>
        <v>100</v>
      </c>
      <c r="AZ964">
        <f t="shared" si="602"/>
        <v>43</v>
      </c>
      <c r="BA964" s="3">
        <f t="shared" si="603"/>
        <v>720</v>
      </c>
    </row>
    <row r="965" spans="1:53" x14ac:dyDescent="0.2">
      <c r="A965">
        <v>1996</v>
      </c>
      <c r="B965" t="s">
        <v>131</v>
      </c>
      <c r="C965" t="s">
        <v>85</v>
      </c>
      <c r="D965">
        <f t="shared" si="536"/>
        <v>14.105</v>
      </c>
      <c r="E965">
        <f t="shared" si="536"/>
        <v>0</v>
      </c>
      <c r="F965">
        <f t="shared" ref="F965:J965" si="609">F837*0.65</f>
        <v>1.7550000000000001</v>
      </c>
      <c r="G965">
        <f t="shared" si="609"/>
        <v>0.52</v>
      </c>
      <c r="H965">
        <f t="shared" si="609"/>
        <v>0</v>
      </c>
      <c r="I965">
        <f t="shared" si="609"/>
        <v>0.26</v>
      </c>
      <c r="J965">
        <f t="shared" si="609"/>
        <v>0</v>
      </c>
      <c r="K965">
        <f t="shared" si="480"/>
        <v>16.640000000000004</v>
      </c>
      <c r="L965">
        <f t="shared" ref="L965:N965" si="610">L837*0.65</f>
        <v>0.19500000000000001</v>
      </c>
      <c r="M965">
        <f t="shared" si="610"/>
        <v>0</v>
      </c>
      <c r="N965">
        <f t="shared" si="610"/>
        <v>0</v>
      </c>
      <c r="O965">
        <f t="shared" si="350"/>
        <v>0.19500000000000001</v>
      </c>
      <c r="P965">
        <f t="shared" ref="P965:R965" si="611">P837*0.65</f>
        <v>0</v>
      </c>
      <c r="Q965">
        <f t="shared" si="611"/>
        <v>0</v>
      </c>
      <c r="R965">
        <f t="shared" si="611"/>
        <v>0</v>
      </c>
      <c r="S965">
        <f t="shared" si="351"/>
        <v>0</v>
      </c>
      <c r="T965">
        <f t="shared" ref="T965:Z965" si="612">T837*0.65</f>
        <v>0</v>
      </c>
      <c r="U965">
        <f t="shared" si="612"/>
        <v>0</v>
      </c>
      <c r="V965">
        <f t="shared" si="612"/>
        <v>0</v>
      </c>
      <c r="W965">
        <f t="shared" si="612"/>
        <v>0</v>
      </c>
      <c r="X965">
        <f t="shared" si="612"/>
        <v>0</v>
      </c>
      <c r="Y965">
        <f t="shared" si="612"/>
        <v>0</v>
      </c>
      <c r="Z965">
        <f t="shared" si="612"/>
        <v>0</v>
      </c>
      <c r="AA965">
        <f t="shared" si="352"/>
        <v>0</v>
      </c>
      <c r="AB965">
        <f t="shared" ref="AB965:AG965" si="613">AB837*0.65</f>
        <v>0</v>
      </c>
      <c r="AC965">
        <f t="shared" si="613"/>
        <v>0</v>
      </c>
      <c r="AD965">
        <f t="shared" si="613"/>
        <v>0</v>
      </c>
      <c r="AE965">
        <f t="shared" si="613"/>
        <v>0</v>
      </c>
      <c r="AF965">
        <v>0</v>
      </c>
      <c r="AG965">
        <f t="shared" si="613"/>
        <v>0</v>
      </c>
      <c r="AH965" s="5">
        <v>10.737628384687207</v>
      </c>
      <c r="AI965" t="s">
        <v>13</v>
      </c>
      <c r="AJ965" s="5">
        <f t="shared" si="353"/>
        <v>10.737628384687207</v>
      </c>
      <c r="AK965" t="s">
        <v>13</v>
      </c>
      <c r="AL965">
        <f t="shared" si="542"/>
        <v>0.72427371615312786</v>
      </c>
      <c r="AM965">
        <f t="shared" si="386"/>
        <v>0.27572628384687209</v>
      </c>
      <c r="AN965">
        <v>776</v>
      </c>
      <c r="AO965" t="s">
        <v>13</v>
      </c>
      <c r="AP965">
        <v>1071</v>
      </c>
      <c r="AQ965" t="s">
        <v>13</v>
      </c>
      <c r="AR965">
        <f t="shared" si="459"/>
        <v>0.38943071494230413</v>
      </c>
      <c r="AS965">
        <f t="shared" si="533"/>
        <v>0.16835000000000006</v>
      </c>
      <c r="AT965">
        <f t="shared" si="534"/>
        <v>180</v>
      </c>
      <c r="AU965">
        <f t="shared" si="535"/>
        <v>115</v>
      </c>
      <c r="AV965">
        <f t="shared" si="598"/>
        <v>91</v>
      </c>
      <c r="AW965">
        <f t="shared" si="599"/>
        <v>126</v>
      </c>
      <c r="AX965" s="3">
        <f t="shared" si="600"/>
        <v>854</v>
      </c>
      <c r="AY965">
        <f t="shared" si="601"/>
        <v>90</v>
      </c>
      <c r="AZ965">
        <f t="shared" si="602"/>
        <v>127</v>
      </c>
      <c r="BA965" s="3">
        <f t="shared" si="603"/>
        <v>854</v>
      </c>
    </row>
    <row r="966" spans="1:53" x14ac:dyDescent="0.2">
      <c r="A966">
        <v>1997</v>
      </c>
      <c r="B966" t="s">
        <v>131</v>
      </c>
      <c r="C966" t="s">
        <v>85</v>
      </c>
      <c r="D966">
        <f t="shared" si="536"/>
        <v>24.57</v>
      </c>
      <c r="E966">
        <f t="shared" si="536"/>
        <v>0.39</v>
      </c>
      <c r="F966">
        <f t="shared" ref="F966:J966" si="614">F838*0.65</f>
        <v>0</v>
      </c>
      <c r="G966">
        <f t="shared" si="614"/>
        <v>5.07</v>
      </c>
      <c r="H966">
        <f t="shared" si="614"/>
        <v>0</v>
      </c>
      <c r="I966">
        <f t="shared" si="614"/>
        <v>0.19500000000000001</v>
      </c>
      <c r="J966">
        <f t="shared" si="614"/>
        <v>0</v>
      </c>
      <c r="K966">
        <f t="shared" si="480"/>
        <v>30.225000000000001</v>
      </c>
      <c r="L966">
        <f t="shared" ref="L966:N966" si="615">L838*0.65</f>
        <v>0.19500000000000001</v>
      </c>
      <c r="M966">
        <f t="shared" si="615"/>
        <v>0</v>
      </c>
      <c r="N966">
        <f t="shared" si="615"/>
        <v>0</v>
      </c>
      <c r="O966">
        <f t="shared" si="350"/>
        <v>0.19500000000000001</v>
      </c>
      <c r="P966">
        <f t="shared" ref="P966:R966" si="616">P838*0.65</f>
        <v>0</v>
      </c>
      <c r="Q966">
        <f t="shared" si="616"/>
        <v>0</v>
      </c>
      <c r="R966">
        <f t="shared" si="616"/>
        <v>0</v>
      </c>
      <c r="S966">
        <f t="shared" si="351"/>
        <v>0</v>
      </c>
      <c r="T966">
        <f t="shared" ref="T966:Z966" si="617">T838*0.65</f>
        <v>0</v>
      </c>
      <c r="U966">
        <f t="shared" si="617"/>
        <v>0</v>
      </c>
      <c r="V966">
        <f t="shared" si="617"/>
        <v>0</v>
      </c>
      <c r="W966">
        <f t="shared" si="617"/>
        <v>0</v>
      </c>
      <c r="X966">
        <f t="shared" si="617"/>
        <v>0</v>
      </c>
      <c r="Y966">
        <f t="shared" si="617"/>
        <v>0</v>
      </c>
      <c r="Z966">
        <f t="shared" si="617"/>
        <v>0</v>
      </c>
      <c r="AA966">
        <f t="shared" si="352"/>
        <v>0</v>
      </c>
      <c r="AB966">
        <f t="shared" ref="AB966:AG966" si="618">AB838*0.65</f>
        <v>0</v>
      </c>
      <c r="AC966">
        <f t="shared" si="618"/>
        <v>0</v>
      </c>
      <c r="AD966">
        <f t="shared" si="618"/>
        <v>0</v>
      </c>
      <c r="AE966">
        <f t="shared" si="618"/>
        <v>0</v>
      </c>
      <c r="AF966">
        <f t="shared" si="618"/>
        <v>0</v>
      </c>
      <c r="AG966">
        <f t="shared" si="618"/>
        <v>0</v>
      </c>
      <c r="AH966" s="5">
        <v>15.361445783132529</v>
      </c>
      <c r="AI966" t="s">
        <v>13</v>
      </c>
      <c r="AJ966" s="5">
        <f t="shared" si="353"/>
        <v>15.361445783132529</v>
      </c>
      <c r="AK966" t="s">
        <v>13</v>
      </c>
      <c r="AL966">
        <f t="shared" si="542"/>
        <v>0.54218554216867465</v>
      </c>
      <c r="AM966">
        <f t="shared" si="386"/>
        <v>0.45781445783132535</v>
      </c>
      <c r="AN966">
        <v>540</v>
      </c>
      <c r="AO966" t="s">
        <v>13</v>
      </c>
      <c r="AP966">
        <v>996</v>
      </c>
      <c r="AQ966" t="s">
        <v>13</v>
      </c>
      <c r="AR966">
        <f t="shared" si="459"/>
        <v>0.33553867774075885</v>
      </c>
      <c r="AS966">
        <f t="shared" si="533"/>
        <v>0.30420000000000003</v>
      </c>
      <c r="AT966">
        <f t="shared" si="534"/>
        <v>303</v>
      </c>
      <c r="AU966">
        <f t="shared" si="535"/>
        <v>153</v>
      </c>
      <c r="AV966">
        <f t="shared" si="598"/>
        <v>152</v>
      </c>
      <c r="AW966">
        <f t="shared" si="599"/>
        <v>186</v>
      </c>
      <c r="AX966" s="3">
        <f t="shared" si="600"/>
        <v>658</v>
      </c>
      <c r="AY966">
        <f t="shared" si="601"/>
        <v>151</v>
      </c>
      <c r="AZ966">
        <f t="shared" si="602"/>
        <v>187</v>
      </c>
      <c r="BA966" s="3">
        <f t="shared" si="603"/>
        <v>658</v>
      </c>
    </row>
    <row r="967" spans="1:53" x14ac:dyDescent="0.2">
      <c r="A967">
        <v>1998</v>
      </c>
      <c r="B967" t="s">
        <v>131</v>
      </c>
      <c r="C967" t="s">
        <v>85</v>
      </c>
      <c r="D967">
        <f t="shared" si="536"/>
        <v>16.315000000000001</v>
      </c>
      <c r="E967">
        <f t="shared" si="536"/>
        <v>0</v>
      </c>
      <c r="F967">
        <f t="shared" ref="F967:J967" si="619">F839*0.65</f>
        <v>2.21</v>
      </c>
      <c r="G967">
        <f t="shared" si="619"/>
        <v>12.285</v>
      </c>
      <c r="H967">
        <f t="shared" si="619"/>
        <v>0</v>
      </c>
      <c r="I967">
        <f t="shared" si="619"/>
        <v>0</v>
      </c>
      <c r="J967">
        <f t="shared" si="619"/>
        <v>0</v>
      </c>
      <c r="K967">
        <f t="shared" si="480"/>
        <v>30.810000000000002</v>
      </c>
      <c r="L967">
        <f t="shared" ref="L967:N967" si="620">L839*0.65</f>
        <v>0</v>
      </c>
      <c r="M967">
        <f t="shared" si="620"/>
        <v>0</v>
      </c>
      <c r="N967">
        <f t="shared" si="620"/>
        <v>0</v>
      </c>
      <c r="O967">
        <f t="shared" si="350"/>
        <v>0</v>
      </c>
      <c r="P967">
        <f t="shared" ref="P967:R967" si="621">P839*0.65</f>
        <v>0</v>
      </c>
      <c r="Q967">
        <f t="shared" si="621"/>
        <v>0</v>
      </c>
      <c r="R967">
        <f t="shared" si="621"/>
        <v>0</v>
      </c>
      <c r="S967">
        <f t="shared" si="351"/>
        <v>0</v>
      </c>
      <c r="T967">
        <f t="shared" ref="T967:Z967" si="622">T839*0.65</f>
        <v>0</v>
      </c>
      <c r="U967">
        <f t="shared" si="622"/>
        <v>0.52</v>
      </c>
      <c r="V967">
        <f t="shared" si="622"/>
        <v>0</v>
      </c>
      <c r="W967">
        <f t="shared" si="622"/>
        <v>0</v>
      </c>
      <c r="X967">
        <f t="shared" si="622"/>
        <v>0</v>
      </c>
      <c r="Y967">
        <f t="shared" si="622"/>
        <v>0</v>
      </c>
      <c r="Z967">
        <f t="shared" si="622"/>
        <v>0</v>
      </c>
      <c r="AA967">
        <f t="shared" si="352"/>
        <v>0.52</v>
      </c>
      <c r="AB967">
        <f t="shared" ref="AB967:AG967" si="623">AB839*0.65</f>
        <v>0</v>
      </c>
      <c r="AC967">
        <f t="shared" si="623"/>
        <v>0</v>
      </c>
      <c r="AD967">
        <f t="shared" si="623"/>
        <v>0</v>
      </c>
      <c r="AE967">
        <f t="shared" si="623"/>
        <v>0</v>
      </c>
      <c r="AF967">
        <f t="shared" si="623"/>
        <v>0</v>
      </c>
      <c r="AG967">
        <f t="shared" si="623"/>
        <v>0</v>
      </c>
      <c r="AH967" s="5">
        <v>5.7544757033248084</v>
      </c>
      <c r="AI967" t="s">
        <v>13</v>
      </c>
      <c r="AJ967" s="5">
        <f t="shared" si="353"/>
        <v>5.7544757033248084</v>
      </c>
      <c r="AK967" t="s">
        <v>13</v>
      </c>
      <c r="AL967">
        <f t="shared" si="542"/>
        <v>0.62915524296675185</v>
      </c>
      <c r="AM967">
        <f t="shared" si="386"/>
        <v>0.37084475703324815</v>
      </c>
      <c r="AN967">
        <v>492</v>
      </c>
      <c r="AO967" t="s">
        <v>13</v>
      </c>
      <c r="AP967">
        <v>782</v>
      </c>
      <c r="AQ967" t="s">
        <v>13</v>
      </c>
      <c r="AR967">
        <f t="shared" si="459"/>
        <v>0.1551720927473943</v>
      </c>
      <c r="AS967">
        <f t="shared" si="533"/>
        <v>0.31330000000000002</v>
      </c>
      <c r="AT967">
        <f t="shared" si="534"/>
        <v>245</v>
      </c>
      <c r="AU967">
        <f t="shared" si="535"/>
        <v>45</v>
      </c>
      <c r="AV967">
        <f t="shared" si="598"/>
        <v>125</v>
      </c>
      <c r="AW967">
        <f t="shared" si="599"/>
        <v>55</v>
      </c>
      <c r="AX967" s="3">
        <f t="shared" si="600"/>
        <v>602</v>
      </c>
      <c r="AY967">
        <f t="shared" si="601"/>
        <v>123</v>
      </c>
      <c r="AZ967">
        <f t="shared" si="602"/>
        <v>55</v>
      </c>
      <c r="BA967" s="3">
        <f t="shared" si="603"/>
        <v>604</v>
      </c>
    </row>
    <row r="968" spans="1:53" x14ac:dyDescent="0.2">
      <c r="A968">
        <v>1999</v>
      </c>
      <c r="B968" t="s">
        <v>131</v>
      </c>
      <c r="C968" t="s">
        <v>85</v>
      </c>
      <c r="D968">
        <f t="shared" si="536"/>
        <v>7.0850000000000009</v>
      </c>
      <c r="E968">
        <f t="shared" si="536"/>
        <v>0</v>
      </c>
      <c r="F968">
        <f t="shared" ref="F968:J968" si="624">F840*0.65</f>
        <v>1.7550000000000001</v>
      </c>
      <c r="G968">
        <f t="shared" si="624"/>
        <v>1.7550000000000001</v>
      </c>
      <c r="H968">
        <f t="shared" si="624"/>
        <v>0</v>
      </c>
      <c r="I968">
        <f t="shared" si="624"/>
        <v>0</v>
      </c>
      <c r="J968">
        <f t="shared" si="624"/>
        <v>0</v>
      </c>
      <c r="K968">
        <f t="shared" si="480"/>
        <v>10.595000000000002</v>
      </c>
      <c r="L968">
        <f t="shared" ref="L968:N968" si="625">L840*0.65</f>
        <v>0</v>
      </c>
      <c r="M968">
        <f t="shared" si="625"/>
        <v>0</v>
      </c>
      <c r="N968">
        <f t="shared" si="625"/>
        <v>0</v>
      </c>
      <c r="O968">
        <f t="shared" si="350"/>
        <v>0</v>
      </c>
      <c r="P968">
        <f t="shared" ref="P968:R968" si="626">P840*0.65</f>
        <v>0</v>
      </c>
      <c r="Q968">
        <f t="shared" si="626"/>
        <v>0</v>
      </c>
      <c r="R968">
        <f t="shared" si="626"/>
        <v>0</v>
      </c>
      <c r="S968">
        <f t="shared" si="351"/>
        <v>0</v>
      </c>
      <c r="T968">
        <f t="shared" ref="T968:Z968" si="627">T840*0.65</f>
        <v>0</v>
      </c>
      <c r="U968">
        <f t="shared" si="627"/>
        <v>0.19500000000000001</v>
      </c>
      <c r="V968">
        <f t="shared" si="627"/>
        <v>0</v>
      </c>
      <c r="W968">
        <f t="shared" si="627"/>
        <v>0</v>
      </c>
      <c r="X968">
        <f t="shared" si="627"/>
        <v>0</v>
      </c>
      <c r="Y968">
        <f t="shared" si="627"/>
        <v>0</v>
      </c>
      <c r="Z968">
        <f t="shared" si="627"/>
        <v>0</v>
      </c>
      <c r="AA968">
        <f t="shared" si="352"/>
        <v>0.19500000000000001</v>
      </c>
      <c r="AB968">
        <f t="shared" ref="AB968:AG968" si="628">AB840*0.65</f>
        <v>0</v>
      </c>
      <c r="AC968">
        <f t="shared" si="628"/>
        <v>0</v>
      </c>
      <c r="AD968">
        <f t="shared" si="628"/>
        <v>0</v>
      </c>
      <c r="AE968">
        <f t="shared" si="628"/>
        <v>0</v>
      </c>
      <c r="AF968">
        <f t="shared" si="628"/>
        <v>0</v>
      </c>
      <c r="AG968">
        <f t="shared" si="628"/>
        <v>0</v>
      </c>
      <c r="AH968" s="5">
        <v>11.08786610878661</v>
      </c>
      <c r="AI968" t="s">
        <v>13</v>
      </c>
      <c r="AJ968" s="5">
        <f t="shared" si="353"/>
        <v>11.08786610878661</v>
      </c>
      <c r="AK968" t="s">
        <v>13</v>
      </c>
      <c r="AL968">
        <f t="shared" si="542"/>
        <v>0.78122133891213386</v>
      </c>
      <c r="AM968">
        <f t="shared" si="386"/>
        <v>0.21877866108786609</v>
      </c>
      <c r="AN968">
        <v>373</v>
      </c>
      <c r="AO968" t="s">
        <v>13</v>
      </c>
      <c r="AP968">
        <v>478</v>
      </c>
      <c r="AQ968" t="s">
        <v>13</v>
      </c>
      <c r="AR968">
        <f t="shared" si="459"/>
        <v>0.5068074762708914</v>
      </c>
      <c r="AS968">
        <f t="shared" si="533"/>
        <v>0.10790000000000002</v>
      </c>
      <c r="AT968">
        <f t="shared" si="534"/>
        <v>52</v>
      </c>
      <c r="AU968">
        <f t="shared" si="535"/>
        <v>53</v>
      </c>
      <c r="AV968">
        <f t="shared" si="598"/>
        <v>26</v>
      </c>
      <c r="AW968">
        <f t="shared" si="599"/>
        <v>56</v>
      </c>
      <c r="AX968" s="3">
        <f t="shared" si="600"/>
        <v>396</v>
      </c>
      <c r="AY968">
        <f t="shared" si="601"/>
        <v>26</v>
      </c>
      <c r="AZ968">
        <f t="shared" si="602"/>
        <v>56</v>
      </c>
      <c r="BA968" s="3">
        <f t="shared" si="603"/>
        <v>396</v>
      </c>
    </row>
    <row r="969" spans="1:53" x14ac:dyDescent="0.2">
      <c r="A969">
        <v>2000</v>
      </c>
      <c r="B969" t="s">
        <v>131</v>
      </c>
      <c r="C969" t="s">
        <v>85</v>
      </c>
      <c r="D969">
        <f t="shared" si="536"/>
        <v>12.740000000000002</v>
      </c>
      <c r="E969">
        <f t="shared" si="536"/>
        <v>0</v>
      </c>
      <c r="F969">
        <f t="shared" ref="F969:J969" si="629">F841*0.65</f>
        <v>3.25</v>
      </c>
      <c r="G969">
        <f t="shared" si="629"/>
        <v>6.370000000000001</v>
      </c>
      <c r="H969">
        <f t="shared" si="629"/>
        <v>0</v>
      </c>
      <c r="I969">
        <f t="shared" si="629"/>
        <v>0</v>
      </c>
      <c r="J969">
        <f t="shared" si="629"/>
        <v>0</v>
      </c>
      <c r="K969">
        <f t="shared" si="480"/>
        <v>22.360000000000003</v>
      </c>
      <c r="L969">
        <f t="shared" ref="L969:N969" si="630">L841*0.65</f>
        <v>0</v>
      </c>
      <c r="M969">
        <f t="shared" si="630"/>
        <v>0</v>
      </c>
      <c r="N969">
        <f t="shared" si="630"/>
        <v>0</v>
      </c>
      <c r="O969">
        <f t="shared" si="350"/>
        <v>0</v>
      </c>
      <c r="P969">
        <f t="shared" ref="P969:R969" si="631">P841*0.65</f>
        <v>0</v>
      </c>
      <c r="Q969">
        <f t="shared" si="631"/>
        <v>0</v>
      </c>
      <c r="R969">
        <f t="shared" si="631"/>
        <v>0</v>
      </c>
      <c r="S969">
        <f t="shared" si="351"/>
        <v>0</v>
      </c>
      <c r="T969">
        <f t="shared" ref="T969:Z969" si="632">T841*0.65</f>
        <v>0</v>
      </c>
      <c r="U969">
        <f t="shared" si="632"/>
        <v>0</v>
      </c>
      <c r="V969">
        <f t="shared" si="632"/>
        <v>0</v>
      </c>
      <c r="W969">
        <f t="shared" si="632"/>
        <v>0</v>
      </c>
      <c r="X969">
        <f t="shared" si="632"/>
        <v>0</v>
      </c>
      <c r="Y969">
        <f t="shared" si="632"/>
        <v>0</v>
      </c>
      <c r="Z969">
        <f t="shared" si="632"/>
        <v>0</v>
      </c>
      <c r="AA969">
        <f t="shared" si="352"/>
        <v>0</v>
      </c>
      <c r="AB969">
        <f t="shared" ref="AB969:AG969" si="633">AB841*0.65</f>
        <v>0</v>
      </c>
      <c r="AC969">
        <f t="shared" si="633"/>
        <v>0</v>
      </c>
      <c r="AD969">
        <f t="shared" si="633"/>
        <v>0</v>
      </c>
      <c r="AE969">
        <f t="shared" si="633"/>
        <v>0</v>
      </c>
      <c r="AF969">
        <f t="shared" si="633"/>
        <v>0</v>
      </c>
      <c r="AG969">
        <f t="shared" si="633"/>
        <v>0</v>
      </c>
      <c r="AH969" s="5">
        <v>0.6211180124223602</v>
      </c>
      <c r="AI969" t="s">
        <v>13</v>
      </c>
      <c r="AJ969" s="5">
        <f t="shared" si="353"/>
        <v>0.6211180124223602</v>
      </c>
      <c r="AK969" t="s">
        <v>13</v>
      </c>
      <c r="AL969">
        <f t="shared" si="542"/>
        <v>0.77018881987577636</v>
      </c>
      <c r="AM969">
        <f t="shared" si="386"/>
        <v>0.22981118012422364</v>
      </c>
      <c r="AN969">
        <v>248</v>
      </c>
      <c r="AO969" t="s">
        <v>13</v>
      </c>
      <c r="AP969">
        <v>322</v>
      </c>
      <c r="AQ969" t="s">
        <v>13</v>
      </c>
      <c r="AR969">
        <f t="shared" si="459"/>
        <v>2.7027319214261769E-2</v>
      </c>
      <c r="AS969">
        <f t="shared" si="533"/>
        <v>0.22360000000000002</v>
      </c>
      <c r="AT969">
        <f t="shared" si="534"/>
        <v>72</v>
      </c>
      <c r="AU969">
        <f t="shared" si="535"/>
        <v>2</v>
      </c>
      <c r="AV969">
        <f t="shared" si="598"/>
        <v>36</v>
      </c>
      <c r="AW969">
        <f t="shared" si="599"/>
        <v>2</v>
      </c>
      <c r="AX969" s="3">
        <f t="shared" si="600"/>
        <v>284</v>
      </c>
      <c r="AY969">
        <f t="shared" si="601"/>
        <v>36</v>
      </c>
      <c r="AZ969">
        <f t="shared" si="602"/>
        <v>2</v>
      </c>
      <c r="BA969" s="3">
        <f t="shared" si="603"/>
        <v>284</v>
      </c>
    </row>
    <row r="970" spans="1:53" x14ac:dyDescent="0.2">
      <c r="A970">
        <v>2001</v>
      </c>
      <c r="B970" t="s">
        <v>131</v>
      </c>
      <c r="C970" t="s">
        <v>85</v>
      </c>
      <c r="D970">
        <f t="shared" si="536"/>
        <v>7.41</v>
      </c>
      <c r="E970">
        <f t="shared" si="536"/>
        <v>0</v>
      </c>
      <c r="F970">
        <f t="shared" ref="F970:J970" si="634">F842*0.65</f>
        <v>2.3400000000000003</v>
      </c>
      <c r="G970">
        <f t="shared" si="634"/>
        <v>1.4949999999999999</v>
      </c>
      <c r="H970">
        <f t="shared" si="634"/>
        <v>0</v>
      </c>
      <c r="I970">
        <f t="shared" si="634"/>
        <v>0</v>
      </c>
      <c r="J970">
        <f t="shared" si="634"/>
        <v>0</v>
      </c>
      <c r="K970">
        <f t="shared" si="480"/>
        <v>11.244999999999999</v>
      </c>
      <c r="L970">
        <f t="shared" ref="L970:N970" si="635">L842*0.65</f>
        <v>0</v>
      </c>
      <c r="M970">
        <f t="shared" si="635"/>
        <v>0</v>
      </c>
      <c r="N970">
        <f t="shared" si="635"/>
        <v>0</v>
      </c>
      <c r="O970">
        <f t="shared" ref="O970:O1033" si="636">SUM(L970:N970)</f>
        <v>0</v>
      </c>
      <c r="P970">
        <f t="shared" ref="P970:R970" si="637">P842*0.65</f>
        <v>0</v>
      </c>
      <c r="Q970">
        <f t="shared" si="637"/>
        <v>0</v>
      </c>
      <c r="R970">
        <f t="shared" si="637"/>
        <v>0</v>
      </c>
      <c r="S970">
        <f t="shared" ref="S970:S1033" si="638">SUM(P970:R970)</f>
        <v>0</v>
      </c>
      <c r="T970">
        <f t="shared" ref="T970:Z970" si="639">T842*0.65</f>
        <v>0.32500000000000001</v>
      </c>
      <c r="U970">
        <f t="shared" si="639"/>
        <v>0.19500000000000001</v>
      </c>
      <c r="V970">
        <f t="shared" si="639"/>
        <v>0</v>
      </c>
      <c r="W970">
        <f t="shared" si="639"/>
        <v>0</v>
      </c>
      <c r="X970">
        <f t="shared" si="639"/>
        <v>0</v>
      </c>
      <c r="Y970">
        <f t="shared" si="639"/>
        <v>0</v>
      </c>
      <c r="Z970">
        <f t="shared" si="639"/>
        <v>0</v>
      </c>
      <c r="AA970">
        <f t="shared" ref="AA970:AA1033" si="640">SUM(T970:Z970)</f>
        <v>0.52</v>
      </c>
      <c r="AB970">
        <f t="shared" ref="AB970:AG970" si="641">AB842*0.65</f>
        <v>0</v>
      </c>
      <c r="AC970">
        <f t="shared" si="641"/>
        <v>0</v>
      </c>
      <c r="AD970">
        <f t="shared" si="641"/>
        <v>0</v>
      </c>
      <c r="AE970">
        <f t="shared" si="641"/>
        <v>0</v>
      </c>
      <c r="AF970">
        <f t="shared" si="641"/>
        <v>0</v>
      </c>
      <c r="AG970">
        <f t="shared" si="641"/>
        <v>0</v>
      </c>
      <c r="AH970" s="5">
        <v>2.65625</v>
      </c>
      <c r="AI970" t="s">
        <v>13</v>
      </c>
      <c r="AJ970" s="5">
        <f t="shared" ref="AJ970:AJ1033" si="642">SUM(AB970:AI970)</f>
        <v>2.65625</v>
      </c>
      <c r="AK970" t="s">
        <v>13</v>
      </c>
      <c r="AL970">
        <f t="shared" si="542"/>
        <v>0.85578750000000003</v>
      </c>
      <c r="AM970">
        <f t="shared" si="386"/>
        <v>0.14421249999999999</v>
      </c>
      <c r="AN970">
        <v>548</v>
      </c>
      <c r="AO970" t="s">
        <v>13</v>
      </c>
      <c r="AP970">
        <v>640</v>
      </c>
      <c r="AQ970" t="s">
        <v>13</v>
      </c>
      <c r="AR970">
        <f t="shared" si="459"/>
        <v>0.18418999739967062</v>
      </c>
      <c r="AS970">
        <f t="shared" si="533"/>
        <v>0.11764999999999999</v>
      </c>
      <c r="AT970">
        <f t="shared" si="534"/>
        <v>75</v>
      </c>
      <c r="AU970">
        <f t="shared" si="535"/>
        <v>17</v>
      </c>
      <c r="AV970">
        <f t="shared" si="598"/>
        <v>39</v>
      </c>
      <c r="AW970">
        <f t="shared" si="599"/>
        <v>18</v>
      </c>
      <c r="AX970" s="3">
        <f t="shared" si="600"/>
        <v>583</v>
      </c>
      <c r="AY970">
        <f t="shared" si="601"/>
        <v>38</v>
      </c>
      <c r="AZ970">
        <f t="shared" si="602"/>
        <v>18</v>
      </c>
      <c r="BA970" s="3">
        <f t="shared" si="603"/>
        <v>584</v>
      </c>
    </row>
    <row r="971" spans="1:53" x14ac:dyDescent="0.2">
      <c r="A971">
        <v>2002</v>
      </c>
      <c r="B971" t="s">
        <v>131</v>
      </c>
      <c r="C971" t="s">
        <v>85</v>
      </c>
      <c r="D971">
        <f t="shared" si="536"/>
        <v>14.43</v>
      </c>
      <c r="E971">
        <f t="shared" si="536"/>
        <v>0</v>
      </c>
      <c r="F971">
        <f t="shared" ref="F971:J971" si="643">F843*0.65</f>
        <v>1.6900000000000002</v>
      </c>
      <c r="G971">
        <f t="shared" si="643"/>
        <v>2.665</v>
      </c>
      <c r="H971">
        <f t="shared" si="643"/>
        <v>1.625</v>
      </c>
      <c r="I971">
        <f t="shared" si="643"/>
        <v>0</v>
      </c>
      <c r="J971">
        <f t="shared" si="643"/>
        <v>0</v>
      </c>
      <c r="K971">
        <f t="shared" si="480"/>
        <v>20.41</v>
      </c>
      <c r="L971">
        <f t="shared" ref="L971:N971" si="644">L843*0.65</f>
        <v>0</v>
      </c>
      <c r="M971">
        <f t="shared" si="644"/>
        <v>0</v>
      </c>
      <c r="N971">
        <f t="shared" si="644"/>
        <v>0</v>
      </c>
      <c r="O971">
        <f t="shared" si="636"/>
        <v>0</v>
      </c>
      <c r="P971">
        <f t="shared" ref="P971:R971" si="645">P843*0.65</f>
        <v>0</v>
      </c>
      <c r="Q971">
        <f t="shared" si="645"/>
        <v>0</v>
      </c>
      <c r="R971">
        <f t="shared" si="645"/>
        <v>0.13</v>
      </c>
      <c r="S971">
        <f t="shared" si="638"/>
        <v>0.13</v>
      </c>
      <c r="T971">
        <f t="shared" ref="T971:Z971" si="646">T843*0.65</f>
        <v>0</v>
      </c>
      <c r="U971">
        <f t="shared" si="646"/>
        <v>0.13</v>
      </c>
      <c r="V971">
        <f t="shared" si="646"/>
        <v>0</v>
      </c>
      <c r="W971">
        <f t="shared" si="646"/>
        <v>0</v>
      </c>
      <c r="X971">
        <f t="shared" si="646"/>
        <v>0</v>
      </c>
      <c r="Y971">
        <f t="shared" si="646"/>
        <v>0</v>
      </c>
      <c r="Z971">
        <f t="shared" si="646"/>
        <v>0</v>
      </c>
      <c r="AA971">
        <f t="shared" si="640"/>
        <v>0.13</v>
      </c>
      <c r="AB971">
        <f t="shared" ref="AB971:AG971" si="647">AB843*0.65</f>
        <v>0</v>
      </c>
      <c r="AC971">
        <f t="shared" si="647"/>
        <v>0</v>
      </c>
      <c r="AD971">
        <f t="shared" si="647"/>
        <v>0</v>
      </c>
      <c r="AE971">
        <f t="shared" si="647"/>
        <v>0</v>
      </c>
      <c r="AF971">
        <f t="shared" si="647"/>
        <v>0</v>
      </c>
      <c r="AG971">
        <f t="shared" si="647"/>
        <v>0</v>
      </c>
      <c r="AH971" s="5">
        <v>1.7857142857142856</v>
      </c>
      <c r="AI971" t="s">
        <v>13</v>
      </c>
      <c r="AJ971" s="5">
        <f t="shared" si="642"/>
        <v>1.7857142857142856</v>
      </c>
      <c r="AK971" t="s">
        <v>13</v>
      </c>
      <c r="AL971">
        <f t="shared" si="542"/>
        <v>0.7754428571428571</v>
      </c>
      <c r="AM971">
        <f t="shared" si="386"/>
        <v>0.22455714285714287</v>
      </c>
      <c r="AN971">
        <v>738</v>
      </c>
      <c r="AO971" t="s">
        <v>13</v>
      </c>
      <c r="AP971">
        <v>952</v>
      </c>
      <c r="AQ971" t="s">
        <v>13</v>
      </c>
      <c r="AR971">
        <f t="shared" si="459"/>
        <v>7.9521598066034732E-2</v>
      </c>
      <c r="AS971">
        <f t="shared" si="533"/>
        <v>0.20669999999999999</v>
      </c>
      <c r="AT971">
        <f t="shared" si="534"/>
        <v>197</v>
      </c>
      <c r="AU971">
        <f t="shared" si="535"/>
        <v>17</v>
      </c>
      <c r="AV971">
        <f t="shared" si="598"/>
        <v>100</v>
      </c>
      <c r="AW971">
        <f t="shared" si="599"/>
        <v>19</v>
      </c>
      <c r="AX971" s="3">
        <f t="shared" si="600"/>
        <v>833</v>
      </c>
      <c r="AY971">
        <f t="shared" si="601"/>
        <v>98</v>
      </c>
      <c r="AZ971">
        <f t="shared" si="602"/>
        <v>19</v>
      </c>
      <c r="BA971" s="3">
        <f t="shared" si="603"/>
        <v>835</v>
      </c>
    </row>
    <row r="972" spans="1:53" x14ac:dyDescent="0.2">
      <c r="A972">
        <v>2003</v>
      </c>
      <c r="B972" t="s">
        <v>131</v>
      </c>
      <c r="C972" t="s">
        <v>85</v>
      </c>
      <c r="D972">
        <f t="shared" si="536"/>
        <v>9.3600000000000012</v>
      </c>
      <c r="E972">
        <f t="shared" si="536"/>
        <v>0</v>
      </c>
      <c r="F972">
        <f t="shared" ref="F972:J972" si="648">F844*0.65</f>
        <v>1.7550000000000001</v>
      </c>
      <c r="G972">
        <f t="shared" si="648"/>
        <v>4.875</v>
      </c>
      <c r="H972">
        <f t="shared" si="648"/>
        <v>2.4699999999999998</v>
      </c>
      <c r="I972">
        <f t="shared" si="648"/>
        <v>0</v>
      </c>
      <c r="J972">
        <f t="shared" si="648"/>
        <v>0.13</v>
      </c>
      <c r="K972">
        <f t="shared" si="480"/>
        <v>18.59</v>
      </c>
      <c r="L972">
        <f t="shared" ref="L972:N972" si="649">L844*0.65</f>
        <v>0</v>
      </c>
      <c r="M972">
        <f t="shared" si="649"/>
        <v>0</v>
      </c>
      <c r="N972">
        <f t="shared" si="649"/>
        <v>0</v>
      </c>
      <c r="O972">
        <f t="shared" si="636"/>
        <v>0</v>
      </c>
      <c r="P972">
        <f t="shared" ref="P972:R972" si="650">P844*0.65</f>
        <v>0</v>
      </c>
      <c r="Q972">
        <f t="shared" si="650"/>
        <v>0</v>
      </c>
      <c r="R972">
        <f t="shared" si="650"/>
        <v>0</v>
      </c>
      <c r="S972">
        <f t="shared" si="638"/>
        <v>0</v>
      </c>
      <c r="T972">
        <f t="shared" ref="T972:Z972" si="651">T844*0.65</f>
        <v>0</v>
      </c>
      <c r="U972">
        <f t="shared" si="651"/>
        <v>0.32500000000000001</v>
      </c>
      <c r="V972">
        <f t="shared" si="651"/>
        <v>0</v>
      </c>
      <c r="W972">
        <f t="shared" si="651"/>
        <v>0</v>
      </c>
      <c r="X972">
        <f t="shared" si="651"/>
        <v>0</v>
      </c>
      <c r="Y972">
        <f t="shared" si="651"/>
        <v>0</v>
      </c>
      <c r="Z972">
        <f t="shared" si="651"/>
        <v>0</v>
      </c>
      <c r="AA972">
        <f t="shared" si="640"/>
        <v>0.32500000000000001</v>
      </c>
      <c r="AB972">
        <f t="shared" ref="AB972:AG972" si="652">AB844*0.65</f>
        <v>0</v>
      </c>
      <c r="AC972">
        <f t="shared" si="652"/>
        <v>0</v>
      </c>
      <c r="AD972">
        <f t="shared" si="652"/>
        <v>0</v>
      </c>
      <c r="AE972">
        <f t="shared" si="652"/>
        <v>0</v>
      </c>
      <c r="AF972">
        <f t="shared" si="652"/>
        <v>0</v>
      </c>
      <c r="AG972">
        <f t="shared" si="652"/>
        <v>0</v>
      </c>
      <c r="AH972" s="5">
        <v>2.5</v>
      </c>
      <c r="AI972" t="s">
        <v>13</v>
      </c>
      <c r="AJ972" s="5">
        <f t="shared" si="642"/>
        <v>2.5</v>
      </c>
      <c r="AK972" t="s">
        <v>13</v>
      </c>
      <c r="AL972">
        <f t="shared" si="542"/>
        <v>0.78584999999999994</v>
      </c>
      <c r="AM972">
        <f t="shared" si="386"/>
        <v>0.21415000000000003</v>
      </c>
      <c r="AN972">
        <v>189</v>
      </c>
      <c r="AO972" t="s">
        <v>13</v>
      </c>
      <c r="AP972">
        <v>240</v>
      </c>
      <c r="AQ972" t="s">
        <v>13</v>
      </c>
      <c r="AR972">
        <f t="shared" si="459"/>
        <v>0.11674060238150828</v>
      </c>
      <c r="AS972">
        <f t="shared" si="533"/>
        <v>0.18914999999999998</v>
      </c>
      <c r="AT972">
        <f t="shared" si="534"/>
        <v>45</v>
      </c>
      <c r="AU972">
        <f t="shared" si="535"/>
        <v>6</v>
      </c>
      <c r="AV972">
        <f t="shared" si="598"/>
        <v>23</v>
      </c>
      <c r="AW972">
        <f t="shared" si="599"/>
        <v>7</v>
      </c>
      <c r="AX972" s="3">
        <f t="shared" si="600"/>
        <v>210</v>
      </c>
      <c r="AY972">
        <f t="shared" si="601"/>
        <v>23</v>
      </c>
      <c r="AZ972">
        <f t="shared" si="602"/>
        <v>7</v>
      </c>
      <c r="BA972" s="3">
        <f t="shared" si="603"/>
        <v>210</v>
      </c>
    </row>
    <row r="973" spans="1:53" x14ac:dyDescent="0.2">
      <c r="A973">
        <v>2004</v>
      </c>
      <c r="B973" t="s">
        <v>131</v>
      </c>
      <c r="C973" t="s">
        <v>85</v>
      </c>
      <c r="D973">
        <f t="shared" si="536"/>
        <v>8.9049999999999994</v>
      </c>
      <c r="E973">
        <f t="shared" si="536"/>
        <v>0.45499999999999996</v>
      </c>
      <c r="F973">
        <f t="shared" ref="F973:J973" si="653">F845*0.65</f>
        <v>1.625</v>
      </c>
      <c r="G973">
        <f t="shared" si="653"/>
        <v>3.9649999999999999</v>
      </c>
      <c r="H973">
        <f t="shared" si="653"/>
        <v>4.42</v>
      </c>
      <c r="I973">
        <f t="shared" si="653"/>
        <v>1.3</v>
      </c>
      <c r="J973">
        <f t="shared" si="653"/>
        <v>0</v>
      </c>
      <c r="K973">
        <f t="shared" si="480"/>
        <v>20.669999999999998</v>
      </c>
      <c r="L973">
        <f t="shared" ref="L973:N973" si="654">L845*0.65</f>
        <v>0</v>
      </c>
      <c r="M973">
        <f t="shared" si="654"/>
        <v>0</v>
      </c>
      <c r="N973">
        <f t="shared" si="654"/>
        <v>0</v>
      </c>
      <c r="O973">
        <f t="shared" si="636"/>
        <v>0</v>
      </c>
      <c r="P973">
        <f t="shared" ref="P973:R973" si="655">P845*0.65</f>
        <v>0</v>
      </c>
      <c r="Q973">
        <f t="shared" si="655"/>
        <v>0</v>
      </c>
      <c r="R973">
        <f t="shared" si="655"/>
        <v>0</v>
      </c>
      <c r="S973">
        <f t="shared" si="638"/>
        <v>0</v>
      </c>
      <c r="T973">
        <f t="shared" ref="T973:Z973" si="656">T845*0.65</f>
        <v>0.13</v>
      </c>
      <c r="U973">
        <f t="shared" si="656"/>
        <v>0.13</v>
      </c>
      <c r="V973">
        <f t="shared" si="656"/>
        <v>0</v>
      </c>
      <c r="W973">
        <f t="shared" si="656"/>
        <v>0</v>
      </c>
      <c r="X973">
        <f t="shared" si="656"/>
        <v>0</v>
      </c>
      <c r="Y973">
        <f t="shared" si="656"/>
        <v>0</v>
      </c>
      <c r="Z973">
        <f t="shared" si="656"/>
        <v>0</v>
      </c>
      <c r="AA973">
        <f t="shared" si="640"/>
        <v>0.26</v>
      </c>
      <c r="AB973">
        <f t="shared" ref="AB973:AG973" si="657">AB845*0.65</f>
        <v>0</v>
      </c>
      <c r="AC973">
        <f t="shared" si="657"/>
        <v>0</v>
      </c>
      <c r="AD973">
        <f t="shared" si="657"/>
        <v>0</v>
      </c>
      <c r="AE973">
        <f t="shared" si="657"/>
        <v>0</v>
      </c>
      <c r="AF973">
        <f t="shared" si="657"/>
        <v>0</v>
      </c>
      <c r="AG973">
        <f t="shared" si="657"/>
        <v>0</v>
      </c>
      <c r="AH973" s="5">
        <v>1.9157088122605364</v>
      </c>
      <c r="AI973" t="s">
        <v>13</v>
      </c>
      <c r="AJ973" s="5">
        <f t="shared" si="642"/>
        <v>1.9157088122605364</v>
      </c>
      <c r="AK973" t="s">
        <v>13</v>
      </c>
      <c r="AL973">
        <f t="shared" si="542"/>
        <v>0.77154291187739465</v>
      </c>
      <c r="AM973">
        <f t="shared" si="386"/>
        <v>0.22845708812260537</v>
      </c>
      <c r="AN973">
        <v>604</v>
      </c>
      <c r="AO973" t="s">
        <v>13</v>
      </c>
      <c r="AP973">
        <v>783</v>
      </c>
      <c r="AQ973" t="s">
        <v>13</v>
      </c>
      <c r="AR973">
        <f t="shared" si="459"/>
        <v>8.3854207720289189E-2</v>
      </c>
      <c r="AS973">
        <f t="shared" si="533"/>
        <v>0.20929999999999999</v>
      </c>
      <c r="AT973">
        <f t="shared" si="534"/>
        <v>164</v>
      </c>
      <c r="AU973">
        <f t="shared" si="535"/>
        <v>15</v>
      </c>
      <c r="AV973">
        <f t="shared" si="598"/>
        <v>83</v>
      </c>
      <c r="AW973">
        <f t="shared" si="599"/>
        <v>17</v>
      </c>
      <c r="AX973" s="3">
        <f t="shared" si="600"/>
        <v>683</v>
      </c>
      <c r="AY973">
        <f t="shared" si="601"/>
        <v>82</v>
      </c>
      <c r="AZ973">
        <f t="shared" si="602"/>
        <v>17</v>
      </c>
      <c r="BA973" s="3">
        <f t="shared" si="603"/>
        <v>684</v>
      </c>
    </row>
    <row r="974" spans="1:53" x14ac:dyDescent="0.2">
      <c r="A974">
        <v>2005</v>
      </c>
      <c r="B974" t="s">
        <v>131</v>
      </c>
      <c r="C974" t="s">
        <v>85</v>
      </c>
      <c r="D974">
        <f t="shared" si="536"/>
        <v>9.4250000000000007</v>
      </c>
      <c r="E974">
        <f t="shared" si="536"/>
        <v>0</v>
      </c>
      <c r="F974">
        <f t="shared" ref="F974:J974" si="658">F846*0.65</f>
        <v>1.7550000000000001</v>
      </c>
      <c r="G974">
        <f t="shared" si="658"/>
        <v>3.77</v>
      </c>
      <c r="H974">
        <f t="shared" si="658"/>
        <v>1.3</v>
      </c>
      <c r="I974">
        <f t="shared" si="658"/>
        <v>1.8199999999999998</v>
      </c>
      <c r="J974">
        <f t="shared" si="658"/>
        <v>0</v>
      </c>
      <c r="K974">
        <f t="shared" si="480"/>
        <v>18.07</v>
      </c>
      <c r="L974">
        <f t="shared" ref="L974:N974" si="659">L846*0.65</f>
        <v>0</v>
      </c>
      <c r="M974">
        <f t="shared" si="659"/>
        <v>0</v>
      </c>
      <c r="N974">
        <f t="shared" si="659"/>
        <v>0</v>
      </c>
      <c r="O974">
        <f t="shared" si="636"/>
        <v>0</v>
      </c>
      <c r="P974">
        <f t="shared" ref="P974:R974" si="660">P846*0.65</f>
        <v>0</v>
      </c>
      <c r="Q974">
        <f t="shared" si="660"/>
        <v>0</v>
      </c>
      <c r="R974">
        <f t="shared" si="660"/>
        <v>0.19500000000000001</v>
      </c>
      <c r="S974">
        <f t="shared" si="638"/>
        <v>0.19500000000000001</v>
      </c>
      <c r="T974">
        <f t="shared" ref="T974:Z974" si="661">T846*0.65</f>
        <v>0</v>
      </c>
      <c r="U974">
        <f t="shared" si="661"/>
        <v>0.19500000000000001</v>
      </c>
      <c r="V974">
        <f t="shared" si="661"/>
        <v>0</v>
      </c>
      <c r="W974">
        <f t="shared" si="661"/>
        <v>0</v>
      </c>
      <c r="X974">
        <f t="shared" si="661"/>
        <v>0</v>
      </c>
      <c r="Y974">
        <f t="shared" si="661"/>
        <v>0</v>
      </c>
      <c r="Z974">
        <f t="shared" si="661"/>
        <v>0</v>
      </c>
      <c r="AA974">
        <f t="shared" si="640"/>
        <v>0.19500000000000001</v>
      </c>
      <c r="AB974">
        <f t="shared" ref="AB974:AG974" si="662">AB846*0.65</f>
        <v>0</v>
      </c>
      <c r="AC974">
        <f t="shared" si="662"/>
        <v>0</v>
      </c>
      <c r="AD974">
        <f t="shared" si="662"/>
        <v>0</v>
      </c>
      <c r="AE974">
        <f t="shared" si="662"/>
        <v>0</v>
      </c>
      <c r="AF974">
        <f t="shared" si="662"/>
        <v>0</v>
      </c>
      <c r="AG974">
        <f t="shared" si="662"/>
        <v>0</v>
      </c>
      <c r="AH974" s="5">
        <v>2.1333333333333333</v>
      </c>
      <c r="AI974" t="s">
        <v>13</v>
      </c>
      <c r="AJ974" s="5">
        <f t="shared" si="642"/>
        <v>2.1333333333333333</v>
      </c>
      <c r="AK974" t="s">
        <v>13</v>
      </c>
      <c r="AL974">
        <f t="shared" si="542"/>
        <v>0.79406666666666659</v>
      </c>
      <c r="AM974">
        <f t="shared" si="386"/>
        <v>0.20593333333333338</v>
      </c>
      <c r="AN974">
        <v>298</v>
      </c>
      <c r="AO974" t="s">
        <v>13</v>
      </c>
      <c r="AP974">
        <v>375</v>
      </c>
      <c r="AQ974" t="s">
        <v>13</v>
      </c>
      <c r="AR974">
        <f t="shared" si="459"/>
        <v>0.10359339592101001</v>
      </c>
      <c r="AS974">
        <f t="shared" si="533"/>
        <v>0.18460000000000001</v>
      </c>
      <c r="AT974">
        <f t="shared" si="534"/>
        <v>69</v>
      </c>
      <c r="AU974">
        <f t="shared" si="535"/>
        <v>8</v>
      </c>
      <c r="AV974">
        <f t="shared" si="598"/>
        <v>35</v>
      </c>
      <c r="AW974">
        <f t="shared" si="599"/>
        <v>9</v>
      </c>
      <c r="AX974" s="3">
        <f t="shared" si="600"/>
        <v>331</v>
      </c>
      <c r="AY974">
        <f t="shared" si="601"/>
        <v>35</v>
      </c>
      <c r="AZ974">
        <f t="shared" si="602"/>
        <v>9</v>
      </c>
      <c r="BA974" s="3">
        <f t="shared" si="603"/>
        <v>331</v>
      </c>
    </row>
    <row r="975" spans="1:53" x14ac:dyDescent="0.2">
      <c r="A975">
        <v>2006</v>
      </c>
      <c r="B975" t="s">
        <v>131</v>
      </c>
      <c r="C975" t="s">
        <v>85</v>
      </c>
      <c r="D975">
        <f t="shared" si="536"/>
        <v>12.415000000000001</v>
      </c>
      <c r="E975">
        <f t="shared" si="536"/>
        <v>0.13</v>
      </c>
      <c r="F975">
        <f t="shared" ref="F975:J975" si="663">F847*0.65</f>
        <v>2.145</v>
      </c>
      <c r="G975">
        <f t="shared" si="663"/>
        <v>7.0200000000000005</v>
      </c>
      <c r="H975">
        <f t="shared" si="663"/>
        <v>1.4949999999999999</v>
      </c>
      <c r="I975">
        <f t="shared" si="663"/>
        <v>1.9500000000000002</v>
      </c>
      <c r="J975">
        <f t="shared" si="663"/>
        <v>0.32500000000000001</v>
      </c>
      <c r="K975">
        <f t="shared" si="480"/>
        <v>25.48</v>
      </c>
      <c r="L975">
        <f t="shared" ref="L975:N975" si="664">L847*0.65</f>
        <v>0</v>
      </c>
      <c r="M975">
        <f t="shared" si="664"/>
        <v>0</v>
      </c>
      <c r="N975">
        <f t="shared" si="664"/>
        <v>0</v>
      </c>
      <c r="O975">
        <f t="shared" si="636"/>
        <v>0</v>
      </c>
      <c r="P975">
        <f t="shared" ref="P975:R975" si="665">P847*0.65</f>
        <v>0</v>
      </c>
      <c r="Q975">
        <f t="shared" si="665"/>
        <v>0</v>
      </c>
      <c r="R975">
        <f t="shared" si="665"/>
        <v>0</v>
      </c>
      <c r="S975">
        <f t="shared" si="638"/>
        <v>0</v>
      </c>
      <c r="T975">
        <f t="shared" ref="T975:Z975" si="666">T847*0.65</f>
        <v>0.26</v>
      </c>
      <c r="U975">
        <f t="shared" si="666"/>
        <v>0</v>
      </c>
      <c r="V975">
        <f t="shared" si="666"/>
        <v>0</v>
      </c>
      <c r="W975">
        <f t="shared" si="666"/>
        <v>0</v>
      </c>
      <c r="X975">
        <f t="shared" si="666"/>
        <v>0</v>
      </c>
      <c r="Y975">
        <f t="shared" si="666"/>
        <v>0</v>
      </c>
      <c r="Z975">
        <f t="shared" si="666"/>
        <v>0</v>
      </c>
      <c r="AA975">
        <f t="shared" si="640"/>
        <v>0.26</v>
      </c>
      <c r="AB975">
        <f t="shared" ref="AB975:AG975" si="667">AB847*0.65</f>
        <v>0</v>
      </c>
      <c r="AC975">
        <f t="shared" si="667"/>
        <v>0</v>
      </c>
      <c r="AD975">
        <f t="shared" si="667"/>
        <v>0</v>
      </c>
      <c r="AE975">
        <f t="shared" si="667"/>
        <v>0</v>
      </c>
      <c r="AF975">
        <f t="shared" si="667"/>
        <v>0</v>
      </c>
      <c r="AG975">
        <f t="shared" si="667"/>
        <v>0</v>
      </c>
      <c r="AH975" s="5">
        <v>1.3274336283185841</v>
      </c>
      <c r="AI975" t="s">
        <v>13</v>
      </c>
      <c r="AJ975" s="5">
        <f t="shared" si="642"/>
        <v>1.3274336283185841</v>
      </c>
      <c r="AK975" t="s">
        <v>13</v>
      </c>
      <c r="AL975">
        <f t="shared" si="542"/>
        <v>0.72932566371681418</v>
      </c>
      <c r="AM975">
        <f t="shared" si="386"/>
        <v>0.27067433628318588</v>
      </c>
      <c r="AN975">
        <v>330</v>
      </c>
      <c r="AO975" t="s">
        <v>13</v>
      </c>
      <c r="AP975">
        <v>452</v>
      </c>
      <c r="AQ975" t="s">
        <v>13</v>
      </c>
      <c r="AR975">
        <f t="shared" si="459"/>
        <v>4.904172469937422E-2</v>
      </c>
      <c r="AS975">
        <f t="shared" si="533"/>
        <v>0.25740000000000002</v>
      </c>
      <c r="AT975">
        <f t="shared" si="534"/>
        <v>116</v>
      </c>
      <c r="AU975">
        <f t="shared" si="535"/>
        <v>6</v>
      </c>
      <c r="AV975">
        <f t="shared" si="598"/>
        <v>59</v>
      </c>
      <c r="AW975">
        <f t="shared" si="599"/>
        <v>7</v>
      </c>
      <c r="AX975" s="3">
        <f t="shared" si="600"/>
        <v>386</v>
      </c>
      <c r="AY975">
        <f t="shared" si="601"/>
        <v>58</v>
      </c>
      <c r="AZ975">
        <f t="shared" si="602"/>
        <v>7</v>
      </c>
      <c r="BA975" s="3">
        <f t="shared" si="603"/>
        <v>387</v>
      </c>
    </row>
    <row r="976" spans="1:53" x14ac:dyDescent="0.2">
      <c r="A976">
        <v>2007</v>
      </c>
      <c r="B976" t="s">
        <v>131</v>
      </c>
      <c r="C976" t="s">
        <v>85</v>
      </c>
      <c r="D976">
        <f t="shared" si="536"/>
        <v>19.37</v>
      </c>
      <c r="E976">
        <f t="shared" si="536"/>
        <v>0</v>
      </c>
      <c r="F976">
        <f t="shared" ref="F976:J976" si="668">F848*0.65</f>
        <v>4.55</v>
      </c>
      <c r="G976">
        <f t="shared" si="668"/>
        <v>6.3049999999999997</v>
      </c>
      <c r="H976">
        <f t="shared" si="668"/>
        <v>9.0350000000000001</v>
      </c>
      <c r="I976">
        <f t="shared" si="668"/>
        <v>0</v>
      </c>
      <c r="J976">
        <f t="shared" si="668"/>
        <v>0</v>
      </c>
      <c r="K976">
        <f t="shared" si="480"/>
        <v>39.260000000000005</v>
      </c>
      <c r="L976">
        <f t="shared" ref="L976:N976" si="669">L848*0.65</f>
        <v>0</v>
      </c>
      <c r="M976">
        <f t="shared" si="669"/>
        <v>0</v>
      </c>
      <c r="N976">
        <f t="shared" si="669"/>
        <v>0</v>
      </c>
      <c r="O976">
        <f t="shared" si="636"/>
        <v>0</v>
      </c>
      <c r="P976">
        <f t="shared" ref="P976:R976" si="670">P848*0.65</f>
        <v>0</v>
      </c>
      <c r="Q976">
        <f t="shared" si="670"/>
        <v>0</v>
      </c>
      <c r="R976">
        <f t="shared" si="670"/>
        <v>0</v>
      </c>
      <c r="S976">
        <f t="shared" si="638"/>
        <v>0</v>
      </c>
      <c r="T976">
        <f t="shared" ref="T976:Z976" si="671">T848*0.65</f>
        <v>1.4949999999999999</v>
      </c>
      <c r="U976">
        <f t="shared" si="671"/>
        <v>6.5000000000000002E-2</v>
      </c>
      <c r="V976">
        <f t="shared" si="671"/>
        <v>0</v>
      </c>
      <c r="W976">
        <f t="shared" si="671"/>
        <v>0</v>
      </c>
      <c r="X976">
        <f t="shared" si="671"/>
        <v>0.13</v>
      </c>
      <c r="Y976">
        <f t="shared" si="671"/>
        <v>0</v>
      </c>
      <c r="Z976">
        <f t="shared" si="671"/>
        <v>0</v>
      </c>
      <c r="AA976">
        <f t="shared" si="640"/>
        <v>1.69</v>
      </c>
      <c r="AB976">
        <f t="shared" ref="AB976:AG976" si="672">AB848*0.65</f>
        <v>0</v>
      </c>
      <c r="AC976">
        <f t="shared" si="672"/>
        <v>0</v>
      </c>
      <c r="AD976">
        <f t="shared" si="672"/>
        <v>0</v>
      </c>
      <c r="AE976">
        <f t="shared" si="672"/>
        <v>0</v>
      </c>
      <c r="AF976">
        <f t="shared" si="672"/>
        <v>0</v>
      </c>
      <c r="AG976">
        <f t="shared" si="672"/>
        <v>0</v>
      </c>
      <c r="AH976" s="5">
        <v>0.99009900990099009</v>
      </c>
      <c r="AI976" t="s">
        <v>13</v>
      </c>
      <c r="AJ976" s="5">
        <f t="shared" si="642"/>
        <v>0.99009900990099009</v>
      </c>
      <c r="AK976" t="s">
        <v>13</v>
      </c>
      <c r="AL976">
        <f t="shared" si="542"/>
        <v>0.58059900990099012</v>
      </c>
      <c r="AM976">
        <f t="shared" si="386"/>
        <v>0.41940099009900988</v>
      </c>
      <c r="AN976">
        <v>352</v>
      </c>
      <c r="AO976" t="s">
        <v>13</v>
      </c>
      <c r="AP976">
        <v>606</v>
      </c>
      <c r="AQ976" t="s">
        <v>13</v>
      </c>
      <c r="AR976">
        <f t="shared" si="459"/>
        <v>2.3607455234363015E-2</v>
      </c>
      <c r="AS976">
        <f t="shared" si="533"/>
        <v>0.40950000000000003</v>
      </c>
      <c r="AT976">
        <f t="shared" si="534"/>
        <v>248</v>
      </c>
      <c r="AU976">
        <f t="shared" si="535"/>
        <v>6</v>
      </c>
      <c r="AV976">
        <f t="shared" si="598"/>
        <v>129</v>
      </c>
      <c r="AW976">
        <f t="shared" si="599"/>
        <v>8</v>
      </c>
      <c r="AX976" s="3">
        <f t="shared" si="600"/>
        <v>469</v>
      </c>
      <c r="AY976">
        <f t="shared" si="601"/>
        <v>124</v>
      </c>
      <c r="AZ976">
        <f t="shared" si="602"/>
        <v>8</v>
      </c>
      <c r="BA976" s="3">
        <f t="shared" si="603"/>
        <v>474</v>
      </c>
    </row>
    <row r="977" spans="1:53" x14ac:dyDescent="0.2">
      <c r="A977">
        <v>2008</v>
      </c>
      <c r="B977" t="s">
        <v>131</v>
      </c>
      <c r="C977" t="s">
        <v>85</v>
      </c>
      <c r="D977">
        <f t="shared" si="536"/>
        <v>11.115000000000002</v>
      </c>
      <c r="E977">
        <f t="shared" si="536"/>
        <v>0</v>
      </c>
      <c r="F977">
        <f t="shared" ref="F977:J977" si="673">F849*0.65</f>
        <v>1.6900000000000002</v>
      </c>
      <c r="G977">
        <f t="shared" si="673"/>
        <v>5.2</v>
      </c>
      <c r="H977">
        <f t="shared" si="673"/>
        <v>3.3149999999999999</v>
      </c>
      <c r="I977">
        <f t="shared" si="673"/>
        <v>0.52</v>
      </c>
      <c r="J977">
        <f t="shared" si="673"/>
        <v>0.71500000000000008</v>
      </c>
      <c r="K977">
        <f t="shared" si="480"/>
        <v>22.555000000000003</v>
      </c>
      <c r="L977">
        <f t="shared" ref="L977:N977" si="674">L849*0.65</f>
        <v>0</v>
      </c>
      <c r="M977">
        <f t="shared" si="674"/>
        <v>0</v>
      </c>
      <c r="N977">
        <f t="shared" si="674"/>
        <v>0</v>
      </c>
      <c r="O977">
        <f t="shared" si="636"/>
        <v>0</v>
      </c>
      <c r="P977">
        <f t="shared" ref="P977:R977" si="675">P849*0.65</f>
        <v>0</v>
      </c>
      <c r="Q977">
        <f t="shared" si="675"/>
        <v>0</v>
      </c>
      <c r="R977">
        <f t="shared" si="675"/>
        <v>0</v>
      </c>
      <c r="S977">
        <f t="shared" si="638"/>
        <v>0</v>
      </c>
      <c r="T977">
        <f t="shared" ref="T977:Z977" si="676">T849*0.65</f>
        <v>0</v>
      </c>
      <c r="U977">
        <f t="shared" si="676"/>
        <v>0</v>
      </c>
      <c r="V977">
        <f t="shared" si="676"/>
        <v>0</v>
      </c>
      <c r="W977">
        <f t="shared" si="676"/>
        <v>0</v>
      </c>
      <c r="X977">
        <f t="shared" si="676"/>
        <v>0</v>
      </c>
      <c r="Y977">
        <f t="shared" si="676"/>
        <v>0</v>
      </c>
      <c r="Z977">
        <f t="shared" si="676"/>
        <v>0</v>
      </c>
      <c r="AA977">
        <f t="shared" si="640"/>
        <v>0</v>
      </c>
      <c r="AB977">
        <f t="shared" ref="AB977:AG977" si="677">AB849*0.65</f>
        <v>0</v>
      </c>
      <c r="AC977">
        <f t="shared" si="677"/>
        <v>0</v>
      </c>
      <c r="AD977">
        <f t="shared" si="677"/>
        <v>0</v>
      </c>
      <c r="AE977">
        <f t="shared" si="677"/>
        <v>0</v>
      </c>
      <c r="AF977">
        <f t="shared" si="677"/>
        <v>0</v>
      </c>
      <c r="AG977">
        <f t="shared" si="677"/>
        <v>0</v>
      </c>
      <c r="AH977" s="5">
        <v>0</v>
      </c>
      <c r="AI977" t="s">
        <v>13</v>
      </c>
      <c r="AJ977" s="5">
        <f t="shared" si="642"/>
        <v>0</v>
      </c>
      <c r="AK977" t="s">
        <v>13</v>
      </c>
      <c r="AL977">
        <f t="shared" si="542"/>
        <v>0.77444999999999997</v>
      </c>
      <c r="AM977">
        <f t="shared" si="386"/>
        <v>0.22555000000000003</v>
      </c>
      <c r="AN977">
        <v>305</v>
      </c>
      <c r="AO977" t="s">
        <v>13</v>
      </c>
      <c r="AP977">
        <v>394</v>
      </c>
      <c r="AQ977" t="s">
        <v>13</v>
      </c>
      <c r="AR977">
        <f t="shared" si="459"/>
        <v>0</v>
      </c>
      <c r="AS977">
        <f t="shared" si="533"/>
        <v>0.22555000000000003</v>
      </c>
      <c r="AT977">
        <f t="shared" si="534"/>
        <v>89</v>
      </c>
      <c r="AU977">
        <f t="shared" si="535"/>
        <v>0</v>
      </c>
      <c r="AV977">
        <f t="shared" si="598"/>
        <v>44</v>
      </c>
      <c r="AW977">
        <f t="shared" si="599"/>
        <v>0</v>
      </c>
      <c r="AX977" s="3">
        <f t="shared" si="600"/>
        <v>350</v>
      </c>
      <c r="AY977">
        <f t="shared" si="601"/>
        <v>44</v>
      </c>
      <c r="AZ977">
        <f t="shared" si="602"/>
        <v>0</v>
      </c>
      <c r="BA977" s="3">
        <f t="shared" si="603"/>
        <v>350</v>
      </c>
    </row>
    <row r="978" spans="1:53" x14ac:dyDescent="0.2">
      <c r="A978">
        <v>2009</v>
      </c>
      <c r="B978" t="s">
        <v>131</v>
      </c>
      <c r="C978" t="s">
        <v>85</v>
      </c>
      <c r="D978">
        <f t="shared" si="536"/>
        <v>17.484999999999999</v>
      </c>
      <c r="E978">
        <f t="shared" si="536"/>
        <v>0.97500000000000009</v>
      </c>
      <c r="F978">
        <f t="shared" ref="F978:J978" si="678">F850*0.65</f>
        <v>3.9000000000000004</v>
      </c>
      <c r="G978">
        <f t="shared" si="678"/>
        <v>6.24</v>
      </c>
      <c r="H978">
        <f t="shared" si="678"/>
        <v>2.5350000000000001</v>
      </c>
      <c r="I978">
        <f t="shared" si="678"/>
        <v>6.5000000000000002E-2</v>
      </c>
      <c r="J978">
        <f t="shared" si="678"/>
        <v>0.78</v>
      </c>
      <c r="K978">
        <f t="shared" si="480"/>
        <v>31.980000000000004</v>
      </c>
      <c r="L978">
        <f t="shared" ref="L978:N978" si="679">L850*0.65</f>
        <v>0</v>
      </c>
      <c r="M978">
        <f t="shared" si="679"/>
        <v>0</v>
      </c>
      <c r="N978">
        <f t="shared" si="679"/>
        <v>0</v>
      </c>
      <c r="O978">
        <f t="shared" si="636"/>
        <v>0</v>
      </c>
      <c r="P978">
        <f t="shared" ref="P978:R978" si="680">P850*0.65</f>
        <v>0</v>
      </c>
      <c r="Q978">
        <f t="shared" si="680"/>
        <v>0</v>
      </c>
      <c r="R978">
        <f t="shared" si="680"/>
        <v>0</v>
      </c>
      <c r="S978">
        <f t="shared" si="638"/>
        <v>0</v>
      </c>
      <c r="T978">
        <f t="shared" ref="T978:Z978" si="681">T850*0.65</f>
        <v>0</v>
      </c>
      <c r="U978">
        <f t="shared" si="681"/>
        <v>0</v>
      </c>
      <c r="V978">
        <f t="shared" si="681"/>
        <v>0</v>
      </c>
      <c r="W978">
        <f t="shared" si="681"/>
        <v>0</v>
      </c>
      <c r="X978">
        <f t="shared" si="681"/>
        <v>0</v>
      </c>
      <c r="Y978">
        <f t="shared" si="681"/>
        <v>0</v>
      </c>
      <c r="Z978">
        <f t="shared" si="681"/>
        <v>0</v>
      </c>
      <c r="AA978">
        <f t="shared" si="640"/>
        <v>0</v>
      </c>
      <c r="AB978">
        <f t="shared" ref="AB978:AG978" si="682">AB850*0.65</f>
        <v>0</v>
      </c>
      <c r="AC978">
        <f t="shared" si="682"/>
        <v>0</v>
      </c>
      <c r="AD978">
        <f t="shared" si="682"/>
        <v>0</v>
      </c>
      <c r="AE978">
        <f t="shared" si="682"/>
        <v>0</v>
      </c>
      <c r="AF978">
        <f t="shared" si="682"/>
        <v>0</v>
      </c>
      <c r="AG978">
        <f t="shared" si="682"/>
        <v>0</v>
      </c>
      <c r="AH978" s="5">
        <v>0.81411126187245586</v>
      </c>
      <c r="AI978" t="s">
        <v>13</v>
      </c>
      <c r="AJ978" s="5">
        <f t="shared" si="642"/>
        <v>0.81411126187245586</v>
      </c>
      <c r="AK978" t="s">
        <v>13</v>
      </c>
      <c r="AL978">
        <f t="shared" si="542"/>
        <v>0.67205888738127539</v>
      </c>
      <c r="AM978">
        <f t="shared" ref="AM978:AM1041" si="683">SUM(AB978:AI978,T978:Z978,P978:R978,L978:N978,D978:J978)/100</f>
        <v>0.32794111261872461</v>
      </c>
      <c r="AN978">
        <v>495</v>
      </c>
      <c r="AO978" t="s">
        <v>13</v>
      </c>
      <c r="AP978">
        <v>737</v>
      </c>
      <c r="AQ978" t="s">
        <v>13</v>
      </c>
      <c r="AR978">
        <f t="shared" si="459"/>
        <v>2.482492223593109E-2</v>
      </c>
      <c r="AS978">
        <f t="shared" si="533"/>
        <v>0.31980000000000003</v>
      </c>
      <c r="AT978">
        <f t="shared" si="534"/>
        <v>236</v>
      </c>
      <c r="AU978">
        <f t="shared" si="535"/>
        <v>6</v>
      </c>
      <c r="AV978">
        <f t="shared" si="598"/>
        <v>118</v>
      </c>
      <c r="AW978">
        <f t="shared" si="599"/>
        <v>7</v>
      </c>
      <c r="AX978" s="3">
        <f t="shared" si="600"/>
        <v>612</v>
      </c>
      <c r="AY978">
        <f t="shared" si="601"/>
        <v>118</v>
      </c>
      <c r="AZ978">
        <f t="shared" si="602"/>
        <v>7</v>
      </c>
      <c r="BA978" s="3">
        <f t="shared" si="603"/>
        <v>612</v>
      </c>
    </row>
    <row r="979" spans="1:53" x14ac:dyDescent="0.2">
      <c r="A979">
        <v>2010</v>
      </c>
      <c r="B979" t="s">
        <v>131</v>
      </c>
      <c r="C979" t="s">
        <v>85</v>
      </c>
      <c r="D979">
        <f t="shared" si="536"/>
        <v>13.584999999999999</v>
      </c>
      <c r="E979">
        <f t="shared" si="536"/>
        <v>0</v>
      </c>
      <c r="F979">
        <f t="shared" ref="F979:J979" si="684">F851*0.65</f>
        <v>3.3800000000000003</v>
      </c>
      <c r="G979">
        <f t="shared" si="684"/>
        <v>2.9250000000000003</v>
      </c>
      <c r="H979">
        <f t="shared" si="684"/>
        <v>3.0550000000000002</v>
      </c>
      <c r="I979">
        <f t="shared" si="684"/>
        <v>0</v>
      </c>
      <c r="J979">
        <f t="shared" si="684"/>
        <v>0.32500000000000001</v>
      </c>
      <c r="K979">
        <f t="shared" si="480"/>
        <v>23.27</v>
      </c>
      <c r="L979">
        <f t="shared" ref="L979:N979" si="685">L851*0.65</f>
        <v>0</v>
      </c>
      <c r="M979">
        <f t="shared" si="685"/>
        <v>0</v>
      </c>
      <c r="N979">
        <f t="shared" si="685"/>
        <v>0</v>
      </c>
      <c r="O979">
        <f t="shared" si="636"/>
        <v>0</v>
      </c>
      <c r="P979">
        <f t="shared" ref="P979:R979" si="686">P851*0.65</f>
        <v>0</v>
      </c>
      <c r="Q979">
        <f t="shared" si="686"/>
        <v>0</v>
      </c>
      <c r="R979">
        <f t="shared" si="686"/>
        <v>6.5000000000000002E-2</v>
      </c>
      <c r="S979">
        <f t="shared" si="638"/>
        <v>6.5000000000000002E-2</v>
      </c>
      <c r="T979">
        <f t="shared" ref="T979:Z979" si="687">T851*0.65</f>
        <v>0.13</v>
      </c>
      <c r="U979">
        <f t="shared" si="687"/>
        <v>0.19500000000000001</v>
      </c>
      <c r="V979">
        <f t="shared" si="687"/>
        <v>0</v>
      </c>
      <c r="W979">
        <f t="shared" si="687"/>
        <v>0</v>
      </c>
      <c r="X979">
        <f t="shared" si="687"/>
        <v>0</v>
      </c>
      <c r="Y979">
        <f t="shared" si="687"/>
        <v>0</v>
      </c>
      <c r="Z979">
        <f t="shared" si="687"/>
        <v>0</v>
      </c>
      <c r="AA979">
        <f t="shared" si="640"/>
        <v>0.32500000000000001</v>
      </c>
      <c r="AB979">
        <f t="shared" ref="AB979:AG979" si="688">AB851*0.65</f>
        <v>0</v>
      </c>
      <c r="AC979">
        <f t="shared" si="688"/>
        <v>0</v>
      </c>
      <c r="AD979">
        <f t="shared" si="688"/>
        <v>0</v>
      </c>
      <c r="AE979">
        <f t="shared" si="688"/>
        <v>0</v>
      </c>
      <c r="AF979">
        <f t="shared" si="688"/>
        <v>0</v>
      </c>
      <c r="AG979">
        <f t="shared" si="688"/>
        <v>0</v>
      </c>
      <c r="AH979" s="5">
        <v>0.87463556851311952</v>
      </c>
      <c r="AI979" t="s">
        <v>13</v>
      </c>
      <c r="AJ979" s="5">
        <f t="shared" si="642"/>
        <v>0.87463556851311952</v>
      </c>
      <c r="AK979" t="s">
        <v>13</v>
      </c>
      <c r="AL979">
        <f t="shared" si="542"/>
        <v>0.75465364431486881</v>
      </c>
      <c r="AM979">
        <f t="shared" si="683"/>
        <v>0.24534635568513116</v>
      </c>
      <c r="AN979">
        <v>259</v>
      </c>
      <c r="AO979" t="s">
        <v>13</v>
      </c>
      <c r="AP979">
        <v>343</v>
      </c>
      <c r="AQ979" t="s">
        <v>13</v>
      </c>
      <c r="AR979">
        <f t="shared" si="459"/>
        <v>3.5649014067100956E-2</v>
      </c>
      <c r="AS979">
        <f t="shared" si="533"/>
        <v>0.2366</v>
      </c>
      <c r="AT979">
        <f t="shared" si="534"/>
        <v>81</v>
      </c>
      <c r="AU979">
        <f t="shared" si="535"/>
        <v>3</v>
      </c>
      <c r="AV979">
        <f t="shared" si="598"/>
        <v>41</v>
      </c>
      <c r="AW979">
        <f t="shared" si="599"/>
        <v>3</v>
      </c>
      <c r="AX979" s="3">
        <f t="shared" si="600"/>
        <v>299</v>
      </c>
      <c r="AY979">
        <f t="shared" si="601"/>
        <v>41</v>
      </c>
      <c r="AZ979">
        <f t="shared" si="602"/>
        <v>3</v>
      </c>
      <c r="BA979" s="3">
        <f t="shared" si="603"/>
        <v>299</v>
      </c>
    </row>
    <row r="980" spans="1:53" x14ac:dyDescent="0.2">
      <c r="A980">
        <v>2011</v>
      </c>
      <c r="B980" t="s">
        <v>131</v>
      </c>
      <c r="C980" t="s">
        <v>85</v>
      </c>
      <c r="D980">
        <f t="shared" si="536"/>
        <v>14.625</v>
      </c>
      <c r="E980">
        <f t="shared" si="536"/>
        <v>0.13</v>
      </c>
      <c r="F980">
        <f t="shared" ref="F980:J980" si="689">F852*0.65</f>
        <v>3.8350000000000004</v>
      </c>
      <c r="G980">
        <f t="shared" si="689"/>
        <v>3.7050000000000001</v>
      </c>
      <c r="H980">
        <f t="shared" si="689"/>
        <v>3.1850000000000005</v>
      </c>
      <c r="I980">
        <f t="shared" si="689"/>
        <v>6.5000000000000002E-2</v>
      </c>
      <c r="J980">
        <f t="shared" si="689"/>
        <v>0.13</v>
      </c>
      <c r="K980">
        <f t="shared" si="480"/>
        <v>25.675000000000004</v>
      </c>
      <c r="L980">
        <f t="shared" ref="L980:N980" si="690">L852*0.65</f>
        <v>0</v>
      </c>
      <c r="M980">
        <f t="shared" si="690"/>
        <v>0</v>
      </c>
      <c r="N980">
        <f t="shared" si="690"/>
        <v>6.5000000000000002E-2</v>
      </c>
      <c r="O980">
        <f t="shared" si="636"/>
        <v>6.5000000000000002E-2</v>
      </c>
      <c r="P980">
        <f t="shared" ref="P980:R980" si="691">P852*0.65</f>
        <v>0</v>
      </c>
      <c r="Q980">
        <f t="shared" si="691"/>
        <v>0</v>
      </c>
      <c r="R980">
        <f t="shared" si="691"/>
        <v>0</v>
      </c>
      <c r="S980">
        <f t="shared" si="638"/>
        <v>0</v>
      </c>
      <c r="T980">
        <f t="shared" ref="T980:Z980" si="692">T852*0.65</f>
        <v>0.19500000000000001</v>
      </c>
      <c r="U980">
        <f t="shared" si="692"/>
        <v>6.5000000000000002E-2</v>
      </c>
      <c r="V980">
        <f t="shared" si="692"/>
        <v>0</v>
      </c>
      <c r="W980">
        <f t="shared" si="692"/>
        <v>0</v>
      </c>
      <c r="X980">
        <f t="shared" si="692"/>
        <v>0</v>
      </c>
      <c r="Y980">
        <f t="shared" si="692"/>
        <v>0</v>
      </c>
      <c r="Z980">
        <f t="shared" si="692"/>
        <v>0</v>
      </c>
      <c r="AA980">
        <f t="shared" si="640"/>
        <v>0.26</v>
      </c>
      <c r="AB980">
        <f t="shared" ref="AB980:AG980" si="693">AB852*0.65</f>
        <v>0</v>
      </c>
      <c r="AC980">
        <f t="shared" si="693"/>
        <v>0</v>
      </c>
      <c r="AD980">
        <f t="shared" si="693"/>
        <v>0</v>
      </c>
      <c r="AE980">
        <f t="shared" si="693"/>
        <v>0</v>
      </c>
      <c r="AF980">
        <f t="shared" si="693"/>
        <v>0</v>
      </c>
      <c r="AG980">
        <f t="shared" si="693"/>
        <v>0</v>
      </c>
      <c r="AH980" s="5">
        <v>0.97847358121330719</v>
      </c>
      <c r="AI980" t="s">
        <v>13</v>
      </c>
      <c r="AJ980" s="5">
        <f t="shared" si="642"/>
        <v>0.97847358121330719</v>
      </c>
      <c r="AK980" t="s">
        <v>13</v>
      </c>
      <c r="AL980">
        <f t="shared" si="542"/>
        <v>0.73021526418786697</v>
      </c>
      <c r="AM980">
        <f t="shared" si="683"/>
        <v>0.26978473581213308</v>
      </c>
      <c r="AN980">
        <v>373</v>
      </c>
      <c r="AO980" t="s">
        <v>13</v>
      </c>
      <c r="AP980">
        <v>511</v>
      </c>
      <c r="AQ980" t="s">
        <v>13</v>
      </c>
      <c r="AR980">
        <f t="shared" si="459"/>
        <v>3.6268678369360215E-2</v>
      </c>
      <c r="AS980">
        <f t="shared" si="533"/>
        <v>0.26000000000000006</v>
      </c>
      <c r="AT980">
        <f t="shared" si="534"/>
        <v>133</v>
      </c>
      <c r="AU980">
        <f t="shared" si="535"/>
        <v>5</v>
      </c>
      <c r="AV980">
        <f t="shared" si="598"/>
        <v>67</v>
      </c>
      <c r="AW980">
        <f t="shared" si="599"/>
        <v>6</v>
      </c>
      <c r="AX980" s="3">
        <f t="shared" si="600"/>
        <v>438</v>
      </c>
      <c r="AY980">
        <f t="shared" si="601"/>
        <v>66</v>
      </c>
      <c r="AZ980">
        <f t="shared" si="602"/>
        <v>6</v>
      </c>
      <c r="BA980" s="3">
        <f t="shared" si="603"/>
        <v>439</v>
      </c>
    </row>
    <row r="981" spans="1:53" x14ac:dyDescent="0.2">
      <c r="A981">
        <v>2012</v>
      </c>
      <c r="B981" t="s">
        <v>131</v>
      </c>
      <c r="C981" t="s">
        <v>85</v>
      </c>
      <c r="D981">
        <f t="shared" si="536"/>
        <v>23.27</v>
      </c>
      <c r="E981">
        <f t="shared" si="536"/>
        <v>0.13</v>
      </c>
      <c r="F981">
        <f t="shared" ref="F981:J981" si="694">F853*0.65</f>
        <v>4.2250000000000005</v>
      </c>
      <c r="G981">
        <f t="shared" si="694"/>
        <v>5.33</v>
      </c>
      <c r="H981">
        <f t="shared" si="694"/>
        <v>4.9399999999999995</v>
      </c>
      <c r="I981">
        <f t="shared" si="694"/>
        <v>0.58500000000000008</v>
      </c>
      <c r="J981">
        <f t="shared" si="694"/>
        <v>0.45499999999999996</v>
      </c>
      <c r="K981">
        <f t="shared" si="480"/>
        <v>38.934999999999995</v>
      </c>
      <c r="L981">
        <f t="shared" ref="L981:N981" si="695">L853*0.65</f>
        <v>0</v>
      </c>
      <c r="M981">
        <f t="shared" si="695"/>
        <v>0</v>
      </c>
      <c r="N981">
        <f t="shared" si="695"/>
        <v>0</v>
      </c>
      <c r="O981">
        <f t="shared" si="636"/>
        <v>0</v>
      </c>
      <c r="P981">
        <f t="shared" ref="P981:R981" si="696">P853*0.65</f>
        <v>0</v>
      </c>
      <c r="Q981">
        <f t="shared" si="696"/>
        <v>0</v>
      </c>
      <c r="R981">
        <f t="shared" si="696"/>
        <v>0.13</v>
      </c>
      <c r="S981">
        <f t="shared" si="638"/>
        <v>0.13</v>
      </c>
      <c r="T981">
        <f t="shared" ref="T981:Z981" si="697">T853*0.65</f>
        <v>0.45499999999999996</v>
      </c>
      <c r="U981">
        <f t="shared" si="697"/>
        <v>6.5000000000000002E-2</v>
      </c>
      <c r="V981">
        <f t="shared" si="697"/>
        <v>0</v>
      </c>
      <c r="W981">
        <f t="shared" si="697"/>
        <v>0</v>
      </c>
      <c r="X981">
        <f t="shared" si="697"/>
        <v>0</v>
      </c>
      <c r="Y981">
        <f t="shared" si="697"/>
        <v>0</v>
      </c>
      <c r="Z981">
        <f t="shared" si="697"/>
        <v>0</v>
      </c>
      <c r="AA981">
        <f t="shared" si="640"/>
        <v>0.52</v>
      </c>
      <c r="AB981">
        <v>0</v>
      </c>
      <c r="AC981">
        <f t="shared" ref="AC981:AG981" si="698">AC853*0.65</f>
        <v>0</v>
      </c>
      <c r="AD981">
        <f t="shared" si="698"/>
        <v>0</v>
      </c>
      <c r="AE981">
        <f t="shared" si="698"/>
        <v>0</v>
      </c>
      <c r="AF981">
        <f t="shared" si="698"/>
        <v>0</v>
      </c>
      <c r="AG981">
        <f t="shared" si="698"/>
        <v>0</v>
      </c>
      <c r="AH981" s="5">
        <v>0.70699135899450116</v>
      </c>
      <c r="AI981" t="s">
        <v>13</v>
      </c>
      <c r="AJ981" s="5">
        <f t="shared" si="642"/>
        <v>0.70699135899450116</v>
      </c>
      <c r="AK981" t="s">
        <v>13</v>
      </c>
      <c r="AL981">
        <f t="shared" si="542"/>
        <v>0.59708008641005494</v>
      </c>
      <c r="AM981">
        <f t="shared" si="683"/>
        <v>0.402919913589945</v>
      </c>
      <c r="AN981">
        <v>760</v>
      </c>
      <c r="AO981" t="s">
        <v>13</v>
      </c>
      <c r="AP981">
        <v>1273</v>
      </c>
      <c r="AQ981" t="s">
        <v>13</v>
      </c>
      <c r="AR981">
        <f t="shared" si="459"/>
        <v>1.7546696878179426E-2</v>
      </c>
      <c r="AS981">
        <f t="shared" si="533"/>
        <v>0.39585000000000004</v>
      </c>
      <c r="AT981">
        <f t="shared" si="534"/>
        <v>504</v>
      </c>
      <c r="AU981">
        <f t="shared" si="535"/>
        <v>9</v>
      </c>
      <c r="AV981">
        <f t="shared" si="598"/>
        <v>256</v>
      </c>
      <c r="AW981">
        <f t="shared" si="599"/>
        <v>12</v>
      </c>
      <c r="AX981" s="3">
        <f t="shared" si="600"/>
        <v>1005</v>
      </c>
      <c r="AY981">
        <f t="shared" si="601"/>
        <v>252</v>
      </c>
      <c r="AZ981">
        <f t="shared" si="602"/>
        <v>12</v>
      </c>
      <c r="BA981" s="3">
        <f t="shared" si="603"/>
        <v>1009</v>
      </c>
    </row>
    <row r="982" spans="1:53" x14ac:dyDescent="0.2">
      <c r="A982">
        <v>2013</v>
      </c>
      <c r="B982" t="s">
        <v>131</v>
      </c>
      <c r="C982" t="s">
        <v>85</v>
      </c>
      <c r="D982">
        <f t="shared" si="536"/>
        <v>11.57</v>
      </c>
      <c r="E982">
        <f t="shared" si="536"/>
        <v>0.52</v>
      </c>
      <c r="F982">
        <f t="shared" ref="F982:J982" si="699">F854*0.65</f>
        <v>7.6700000000000008</v>
      </c>
      <c r="G982">
        <f t="shared" si="699"/>
        <v>5.1350000000000007</v>
      </c>
      <c r="H982">
        <f t="shared" si="699"/>
        <v>10.53</v>
      </c>
      <c r="I982">
        <f t="shared" si="699"/>
        <v>0.26</v>
      </c>
      <c r="J982">
        <f t="shared" si="699"/>
        <v>0.58500000000000008</v>
      </c>
      <c r="K982">
        <f t="shared" si="480"/>
        <v>36.270000000000003</v>
      </c>
      <c r="L982">
        <f t="shared" ref="L982:N982" si="700">L854*0.65</f>
        <v>0</v>
      </c>
      <c r="M982">
        <f t="shared" si="700"/>
        <v>0</v>
      </c>
      <c r="N982">
        <f t="shared" si="700"/>
        <v>0.32500000000000001</v>
      </c>
      <c r="O982">
        <f t="shared" si="636"/>
        <v>0.32500000000000001</v>
      </c>
      <c r="P982">
        <f t="shared" ref="P982:R982" si="701">P854*0.65</f>
        <v>0</v>
      </c>
      <c r="Q982">
        <f t="shared" si="701"/>
        <v>0</v>
      </c>
      <c r="R982">
        <f t="shared" si="701"/>
        <v>0</v>
      </c>
      <c r="S982">
        <f t="shared" si="638"/>
        <v>0</v>
      </c>
      <c r="T982">
        <f t="shared" ref="T982:Z982" si="702">T854*0.65</f>
        <v>0.52</v>
      </c>
      <c r="U982">
        <f t="shared" si="702"/>
        <v>0.13</v>
      </c>
      <c r="V982">
        <f t="shared" si="702"/>
        <v>0</v>
      </c>
      <c r="W982">
        <f t="shared" si="702"/>
        <v>0</v>
      </c>
      <c r="X982">
        <f t="shared" si="702"/>
        <v>0</v>
      </c>
      <c r="Y982">
        <f t="shared" si="702"/>
        <v>0</v>
      </c>
      <c r="Z982">
        <f t="shared" si="702"/>
        <v>0</v>
      </c>
      <c r="AA982">
        <f t="shared" si="640"/>
        <v>0.65</v>
      </c>
      <c r="AB982">
        <f t="shared" ref="AB982:AG982" si="703">AB854*0.65</f>
        <v>0</v>
      </c>
      <c r="AC982">
        <f t="shared" si="703"/>
        <v>0</v>
      </c>
      <c r="AD982">
        <f t="shared" si="703"/>
        <v>0</v>
      </c>
      <c r="AE982">
        <f t="shared" si="703"/>
        <v>0</v>
      </c>
      <c r="AF982">
        <f t="shared" si="703"/>
        <v>0</v>
      </c>
      <c r="AG982">
        <f t="shared" si="703"/>
        <v>0</v>
      </c>
      <c r="AH982" s="5">
        <v>0.71599045346062051</v>
      </c>
      <c r="AI982" t="s">
        <v>13</v>
      </c>
      <c r="AJ982" s="5">
        <f t="shared" si="642"/>
        <v>0.71599045346062051</v>
      </c>
      <c r="AK982" t="s">
        <v>13</v>
      </c>
      <c r="AL982">
        <f t="shared" si="542"/>
        <v>0.62039009546539381</v>
      </c>
      <c r="AM982">
        <f t="shared" si="683"/>
        <v>0.37960990453460625</v>
      </c>
      <c r="AN982">
        <v>520</v>
      </c>
      <c r="AO982" t="s">
        <v>13</v>
      </c>
      <c r="AP982">
        <v>838</v>
      </c>
      <c r="AQ982" t="s">
        <v>13</v>
      </c>
      <c r="AR982">
        <f t="shared" si="459"/>
        <v>1.8861216340980608E-2</v>
      </c>
      <c r="AS982">
        <f t="shared" si="533"/>
        <v>0.37245000000000006</v>
      </c>
      <c r="AT982">
        <f t="shared" si="534"/>
        <v>312</v>
      </c>
      <c r="AU982">
        <f t="shared" si="535"/>
        <v>6</v>
      </c>
      <c r="AV982">
        <f t="shared" si="598"/>
        <v>160</v>
      </c>
      <c r="AW982">
        <f t="shared" si="599"/>
        <v>8</v>
      </c>
      <c r="AX982" s="3">
        <f t="shared" si="600"/>
        <v>670</v>
      </c>
      <c r="AY982">
        <f t="shared" si="601"/>
        <v>156</v>
      </c>
      <c r="AZ982">
        <f t="shared" si="602"/>
        <v>8</v>
      </c>
      <c r="BA982" s="3">
        <f t="shared" si="603"/>
        <v>674</v>
      </c>
    </row>
    <row r="983" spans="1:53" x14ac:dyDescent="0.2">
      <c r="A983">
        <v>2014</v>
      </c>
      <c r="B983" t="s">
        <v>131</v>
      </c>
      <c r="C983" t="s">
        <v>85</v>
      </c>
      <c r="D983">
        <f t="shared" si="536"/>
        <v>15.600000000000001</v>
      </c>
      <c r="E983">
        <f t="shared" si="536"/>
        <v>0.71500000000000008</v>
      </c>
      <c r="F983">
        <f t="shared" ref="F983:J983" si="704">F855*0.65</f>
        <v>4.7450000000000001</v>
      </c>
      <c r="G983">
        <f t="shared" si="704"/>
        <v>4.7450000000000001</v>
      </c>
      <c r="H983">
        <f t="shared" si="704"/>
        <v>4.3550000000000004</v>
      </c>
      <c r="I983">
        <f t="shared" si="704"/>
        <v>0.45499999999999996</v>
      </c>
      <c r="J983">
        <f t="shared" si="704"/>
        <v>0.32500000000000001</v>
      </c>
      <c r="K983">
        <f t="shared" si="480"/>
        <v>30.94</v>
      </c>
      <c r="L983">
        <f t="shared" ref="L983:N983" si="705">L855*0.65</f>
        <v>0</v>
      </c>
      <c r="M983">
        <f t="shared" si="705"/>
        <v>0</v>
      </c>
      <c r="N983">
        <f t="shared" si="705"/>
        <v>0</v>
      </c>
      <c r="O983">
        <f t="shared" si="636"/>
        <v>0</v>
      </c>
      <c r="P983">
        <f t="shared" ref="P983:R983" si="706">P855*0.65</f>
        <v>0</v>
      </c>
      <c r="Q983">
        <f t="shared" si="706"/>
        <v>0</v>
      </c>
      <c r="R983">
        <f t="shared" si="706"/>
        <v>0</v>
      </c>
      <c r="S983">
        <f t="shared" si="638"/>
        <v>0</v>
      </c>
      <c r="T983">
        <f t="shared" ref="T983:Z983" si="707">T855*0.65</f>
        <v>0.19500000000000001</v>
      </c>
      <c r="U983">
        <f t="shared" si="707"/>
        <v>0.19500000000000001</v>
      </c>
      <c r="V983">
        <f t="shared" si="707"/>
        <v>0</v>
      </c>
      <c r="W983">
        <f t="shared" si="707"/>
        <v>0</v>
      </c>
      <c r="X983">
        <f t="shared" si="707"/>
        <v>0</v>
      </c>
      <c r="Y983">
        <f t="shared" si="707"/>
        <v>0</v>
      </c>
      <c r="Z983">
        <f t="shared" si="707"/>
        <v>6.5000000000000002E-2</v>
      </c>
      <c r="AA983">
        <f t="shared" si="640"/>
        <v>0.45500000000000002</v>
      </c>
      <c r="AB983">
        <f t="shared" ref="AB983:AG983" si="708">AB855*0.65</f>
        <v>0</v>
      </c>
      <c r="AC983">
        <f t="shared" si="708"/>
        <v>0</v>
      </c>
      <c r="AD983">
        <f t="shared" si="708"/>
        <v>0</v>
      </c>
      <c r="AE983">
        <f t="shared" si="708"/>
        <v>0</v>
      </c>
      <c r="AF983">
        <f t="shared" si="708"/>
        <v>0</v>
      </c>
      <c r="AG983">
        <f t="shared" si="708"/>
        <v>0</v>
      </c>
      <c r="AH983" s="5">
        <v>4.2662116040955631</v>
      </c>
      <c r="AI983" t="s">
        <v>13</v>
      </c>
      <c r="AJ983" s="5">
        <f t="shared" si="642"/>
        <v>4.2662116040955631</v>
      </c>
      <c r="AK983" t="s">
        <v>13</v>
      </c>
      <c r="AL983">
        <f t="shared" si="542"/>
        <v>0.64338788395904434</v>
      </c>
      <c r="AM983">
        <f t="shared" si="683"/>
        <v>0.35661211604095572</v>
      </c>
      <c r="AN983">
        <v>377</v>
      </c>
      <c r="AO983" t="s">
        <v>13</v>
      </c>
      <c r="AP983">
        <v>586</v>
      </c>
      <c r="AQ983" t="s">
        <v>13</v>
      </c>
      <c r="AR983">
        <f t="shared" si="459"/>
        <v>0.11963170661328855</v>
      </c>
      <c r="AS983">
        <f t="shared" si="533"/>
        <v>0.31395000000000001</v>
      </c>
      <c r="AT983">
        <f t="shared" si="534"/>
        <v>184</v>
      </c>
      <c r="AU983">
        <f t="shared" si="535"/>
        <v>25</v>
      </c>
      <c r="AV983">
        <f t="shared" si="598"/>
        <v>93</v>
      </c>
      <c r="AW983">
        <f t="shared" si="599"/>
        <v>31</v>
      </c>
      <c r="AX983" s="3">
        <f t="shared" si="600"/>
        <v>462</v>
      </c>
      <c r="AY983">
        <f t="shared" si="601"/>
        <v>92</v>
      </c>
      <c r="AZ983">
        <f t="shared" si="602"/>
        <v>31</v>
      </c>
      <c r="BA983" s="3">
        <f t="shared" si="603"/>
        <v>463</v>
      </c>
    </row>
    <row r="984" spans="1:53" x14ac:dyDescent="0.2">
      <c r="A984">
        <v>2015</v>
      </c>
      <c r="B984" t="s">
        <v>131</v>
      </c>
      <c r="C984" t="s">
        <v>85</v>
      </c>
      <c r="D984">
        <f t="shared" si="536"/>
        <v>12.154999999999999</v>
      </c>
      <c r="E984">
        <f t="shared" si="536"/>
        <v>0</v>
      </c>
      <c r="F984">
        <f t="shared" ref="F984:J984" si="709">F856*0.65</f>
        <v>4.7450000000000001</v>
      </c>
      <c r="G984">
        <f t="shared" si="709"/>
        <v>4.875</v>
      </c>
      <c r="H984">
        <f t="shared" si="709"/>
        <v>5.2649999999999997</v>
      </c>
      <c r="I984">
        <f t="shared" si="709"/>
        <v>0.26</v>
      </c>
      <c r="J984">
        <f t="shared" si="709"/>
        <v>0.19500000000000001</v>
      </c>
      <c r="K984">
        <f t="shared" si="480"/>
        <v>27.495000000000001</v>
      </c>
      <c r="L984">
        <f t="shared" ref="L984:N984" si="710">L856*0.65</f>
        <v>0</v>
      </c>
      <c r="M984">
        <f t="shared" si="710"/>
        <v>0</v>
      </c>
      <c r="N984">
        <f t="shared" si="710"/>
        <v>0</v>
      </c>
      <c r="O984">
        <f t="shared" si="636"/>
        <v>0</v>
      </c>
      <c r="P984">
        <f t="shared" ref="P984:R984" si="711">P856*0.65</f>
        <v>0</v>
      </c>
      <c r="Q984">
        <f t="shared" si="711"/>
        <v>0</v>
      </c>
      <c r="R984">
        <f t="shared" si="711"/>
        <v>0</v>
      </c>
      <c r="S984">
        <f t="shared" si="638"/>
        <v>0</v>
      </c>
      <c r="T984">
        <f t="shared" ref="T984:Z984" si="712">T856*0.65</f>
        <v>0.39</v>
      </c>
      <c r="U984">
        <f t="shared" si="712"/>
        <v>0.19500000000000001</v>
      </c>
      <c r="V984">
        <f t="shared" si="712"/>
        <v>0</v>
      </c>
      <c r="W984">
        <f t="shared" si="712"/>
        <v>0</v>
      </c>
      <c r="X984">
        <f t="shared" si="712"/>
        <v>0</v>
      </c>
      <c r="Y984">
        <f t="shared" si="712"/>
        <v>0</v>
      </c>
      <c r="Z984">
        <f t="shared" si="712"/>
        <v>0</v>
      </c>
      <c r="AA984">
        <f t="shared" si="640"/>
        <v>0.58499999999999996</v>
      </c>
      <c r="AB984">
        <f t="shared" ref="AB984:AG984" si="713">AB856*0.65</f>
        <v>0</v>
      </c>
      <c r="AC984">
        <f t="shared" si="713"/>
        <v>0</v>
      </c>
      <c r="AD984">
        <f t="shared" si="713"/>
        <v>0</v>
      </c>
      <c r="AE984">
        <f t="shared" si="713"/>
        <v>0</v>
      </c>
      <c r="AF984">
        <f t="shared" si="713"/>
        <v>0</v>
      </c>
      <c r="AG984">
        <f t="shared" si="713"/>
        <v>0</v>
      </c>
      <c r="AH984" s="5">
        <v>3.7179487179487181</v>
      </c>
      <c r="AI984" t="s">
        <v>13</v>
      </c>
      <c r="AJ984" s="5">
        <f t="shared" si="642"/>
        <v>3.7179487179487181</v>
      </c>
      <c r="AK984" t="s">
        <v>13</v>
      </c>
      <c r="AL984">
        <f t="shared" si="542"/>
        <v>0.68202051282051279</v>
      </c>
      <c r="AM984">
        <f t="shared" si="683"/>
        <v>0.31797948717948721</v>
      </c>
      <c r="AN984">
        <v>532</v>
      </c>
      <c r="AO984" t="s">
        <v>13</v>
      </c>
      <c r="AP984">
        <v>780</v>
      </c>
      <c r="AQ984" t="s">
        <v>13</v>
      </c>
      <c r="AR984">
        <f t="shared" si="459"/>
        <v>0.11692416862884236</v>
      </c>
      <c r="AS984">
        <f t="shared" si="533"/>
        <v>0.28079999999999999</v>
      </c>
      <c r="AT984">
        <f t="shared" si="534"/>
        <v>219</v>
      </c>
      <c r="AU984">
        <f t="shared" si="535"/>
        <v>29</v>
      </c>
      <c r="AV984">
        <f t="shared" si="598"/>
        <v>112</v>
      </c>
      <c r="AW984">
        <f t="shared" si="599"/>
        <v>35</v>
      </c>
      <c r="AX984" s="3">
        <f t="shared" si="600"/>
        <v>633</v>
      </c>
      <c r="AY984">
        <f t="shared" si="601"/>
        <v>110</v>
      </c>
      <c r="AZ984">
        <f t="shared" si="602"/>
        <v>35</v>
      </c>
      <c r="BA984" s="3">
        <f t="shared" si="603"/>
        <v>635</v>
      </c>
    </row>
    <row r="985" spans="1:53" x14ac:dyDescent="0.2">
      <c r="A985">
        <v>2016</v>
      </c>
      <c r="B985" t="s">
        <v>131</v>
      </c>
      <c r="C985" t="s">
        <v>85</v>
      </c>
      <c r="D985">
        <f t="shared" si="536"/>
        <v>18.330000000000002</v>
      </c>
      <c r="E985">
        <f t="shared" si="536"/>
        <v>6.5000000000000002E-2</v>
      </c>
      <c r="F985">
        <f t="shared" ref="F985:J985" si="714">F857*0.65</f>
        <v>2.3400000000000003</v>
      </c>
      <c r="G985">
        <f t="shared" si="714"/>
        <v>11.57</v>
      </c>
      <c r="H985">
        <f t="shared" si="714"/>
        <v>1.3</v>
      </c>
      <c r="I985">
        <f t="shared" si="714"/>
        <v>0.19500000000000001</v>
      </c>
      <c r="J985">
        <f t="shared" si="714"/>
        <v>0</v>
      </c>
      <c r="K985">
        <f t="shared" si="480"/>
        <v>33.800000000000004</v>
      </c>
      <c r="L985">
        <f t="shared" ref="L985:N985" si="715">L857*0.65</f>
        <v>0</v>
      </c>
      <c r="M985">
        <f t="shared" si="715"/>
        <v>0</v>
      </c>
      <c r="N985">
        <f t="shared" si="715"/>
        <v>0</v>
      </c>
      <c r="O985">
        <f t="shared" si="636"/>
        <v>0</v>
      </c>
      <c r="P985">
        <f t="shared" ref="P985:R985" si="716">P857*0.65</f>
        <v>0</v>
      </c>
      <c r="Q985">
        <f t="shared" si="716"/>
        <v>0</v>
      </c>
      <c r="R985">
        <f t="shared" si="716"/>
        <v>0</v>
      </c>
      <c r="S985">
        <f t="shared" si="638"/>
        <v>0</v>
      </c>
      <c r="T985">
        <f t="shared" ref="T985:Z985" si="717">T857*0.65</f>
        <v>0</v>
      </c>
      <c r="U985">
        <f t="shared" si="717"/>
        <v>0</v>
      </c>
      <c r="V985">
        <f t="shared" si="717"/>
        <v>0</v>
      </c>
      <c r="W985">
        <f t="shared" si="717"/>
        <v>0</v>
      </c>
      <c r="X985">
        <f t="shared" si="717"/>
        <v>0</v>
      </c>
      <c r="Y985">
        <f t="shared" si="717"/>
        <v>0</v>
      </c>
      <c r="Z985">
        <f t="shared" si="717"/>
        <v>0</v>
      </c>
      <c r="AA985">
        <f t="shared" si="640"/>
        <v>0</v>
      </c>
      <c r="AB985">
        <f t="shared" ref="AB985:AG985" si="718">AB857*0.65</f>
        <v>0</v>
      </c>
      <c r="AC985">
        <f t="shared" si="718"/>
        <v>0</v>
      </c>
      <c r="AD985">
        <f t="shared" si="718"/>
        <v>0</v>
      </c>
      <c r="AE985">
        <f t="shared" si="718"/>
        <v>0</v>
      </c>
      <c r="AF985">
        <f t="shared" si="718"/>
        <v>0</v>
      </c>
      <c r="AG985">
        <f t="shared" si="718"/>
        <v>0</v>
      </c>
      <c r="AH985" s="5">
        <v>2.619692863595303</v>
      </c>
      <c r="AI985" t="s">
        <v>13</v>
      </c>
      <c r="AJ985" s="5">
        <f t="shared" si="642"/>
        <v>2.619692863595303</v>
      </c>
      <c r="AK985" t="s">
        <v>13</v>
      </c>
      <c r="AL985">
        <f t="shared" si="542"/>
        <v>0.6358030713640469</v>
      </c>
      <c r="AM985">
        <f t="shared" si="683"/>
        <v>0.3641969286359531</v>
      </c>
      <c r="AN985">
        <v>704</v>
      </c>
      <c r="AO985" t="s">
        <v>13</v>
      </c>
      <c r="AP985">
        <v>1107</v>
      </c>
      <c r="AQ985" t="s">
        <v>13</v>
      </c>
      <c r="AR985">
        <f t="shared" si="459"/>
        <v>7.1930668756790009E-2</v>
      </c>
      <c r="AS985">
        <f t="shared" si="533"/>
        <v>0.33800000000000002</v>
      </c>
      <c r="AT985">
        <f t="shared" si="534"/>
        <v>374</v>
      </c>
      <c r="AU985">
        <f t="shared" si="535"/>
        <v>29</v>
      </c>
      <c r="AV985">
        <f t="shared" si="598"/>
        <v>187</v>
      </c>
      <c r="AW985">
        <f t="shared" si="599"/>
        <v>36</v>
      </c>
      <c r="AX985" s="3">
        <f t="shared" si="600"/>
        <v>884</v>
      </c>
      <c r="AY985">
        <f t="shared" si="601"/>
        <v>187</v>
      </c>
      <c r="AZ985">
        <f t="shared" si="602"/>
        <v>36</v>
      </c>
      <c r="BA985" s="3">
        <f t="shared" si="603"/>
        <v>884</v>
      </c>
    </row>
    <row r="986" spans="1:53" x14ac:dyDescent="0.2">
      <c r="A986">
        <v>2017</v>
      </c>
      <c r="B986" t="s">
        <v>131</v>
      </c>
      <c r="C986" t="s">
        <v>85</v>
      </c>
      <c r="D986">
        <f t="shared" si="536"/>
        <v>8.58</v>
      </c>
      <c r="E986">
        <f t="shared" si="536"/>
        <v>0</v>
      </c>
      <c r="F986">
        <f t="shared" ref="F986:J986" si="719">F858*0.65</f>
        <v>3.3149999999999999</v>
      </c>
      <c r="G986">
        <f t="shared" si="719"/>
        <v>5.59</v>
      </c>
      <c r="H986">
        <f t="shared" si="719"/>
        <v>1.3</v>
      </c>
      <c r="I986">
        <f t="shared" si="719"/>
        <v>0.78</v>
      </c>
      <c r="J986">
        <f t="shared" si="719"/>
        <v>1.1700000000000002</v>
      </c>
      <c r="K986">
        <f t="shared" si="480"/>
        <v>20.735000000000003</v>
      </c>
      <c r="L986">
        <f t="shared" ref="L986:N986" si="720">L858*0.65</f>
        <v>0</v>
      </c>
      <c r="M986">
        <f t="shared" si="720"/>
        <v>0</v>
      </c>
      <c r="N986">
        <f t="shared" si="720"/>
        <v>0</v>
      </c>
      <c r="O986">
        <f t="shared" si="636"/>
        <v>0</v>
      </c>
      <c r="P986">
        <f t="shared" ref="P986:R986" si="721">P858*0.65</f>
        <v>0</v>
      </c>
      <c r="Q986">
        <f t="shared" si="721"/>
        <v>0</v>
      </c>
      <c r="R986">
        <f t="shared" si="721"/>
        <v>0</v>
      </c>
      <c r="S986">
        <f t="shared" si="638"/>
        <v>0</v>
      </c>
      <c r="T986">
        <f t="shared" ref="T986:Z986" si="722">T858*0.65</f>
        <v>0</v>
      </c>
      <c r="U986">
        <f t="shared" si="722"/>
        <v>0</v>
      </c>
      <c r="V986">
        <f t="shared" si="722"/>
        <v>0</v>
      </c>
      <c r="W986">
        <f t="shared" si="722"/>
        <v>0</v>
      </c>
      <c r="X986">
        <f t="shared" si="722"/>
        <v>0</v>
      </c>
      <c r="Y986">
        <f t="shared" si="722"/>
        <v>0</v>
      </c>
      <c r="Z986">
        <f t="shared" si="722"/>
        <v>0</v>
      </c>
      <c r="AA986">
        <f t="shared" si="640"/>
        <v>0</v>
      </c>
      <c r="AB986">
        <f t="shared" ref="AB986:AG986" si="723">AB858*0.65</f>
        <v>0</v>
      </c>
      <c r="AC986">
        <f t="shared" si="723"/>
        <v>0</v>
      </c>
      <c r="AD986">
        <f t="shared" si="723"/>
        <v>0</v>
      </c>
      <c r="AE986">
        <f t="shared" si="723"/>
        <v>0</v>
      </c>
      <c r="AF986">
        <f t="shared" si="723"/>
        <v>0</v>
      </c>
      <c r="AG986">
        <f t="shared" si="723"/>
        <v>0</v>
      </c>
      <c r="AH986" s="5">
        <v>3.225806451612903</v>
      </c>
      <c r="AI986" t="s">
        <v>13</v>
      </c>
      <c r="AJ986" s="5">
        <f t="shared" si="642"/>
        <v>3.225806451612903</v>
      </c>
      <c r="AK986" t="s">
        <v>13</v>
      </c>
      <c r="AL986">
        <f t="shared" si="542"/>
        <v>0.76039193548387096</v>
      </c>
      <c r="AM986">
        <f t="shared" si="683"/>
        <v>0.23960806451612907</v>
      </c>
      <c r="AN986">
        <v>825</v>
      </c>
      <c r="AO986" t="s">
        <v>13</v>
      </c>
      <c r="AP986">
        <v>1085</v>
      </c>
      <c r="AQ986" t="s">
        <v>13</v>
      </c>
      <c r="AR986">
        <f t="shared" si="459"/>
        <v>0.13462845910997123</v>
      </c>
      <c r="AS986">
        <f t="shared" si="533"/>
        <v>0.20735000000000003</v>
      </c>
      <c r="AT986">
        <f t="shared" si="534"/>
        <v>225</v>
      </c>
      <c r="AU986">
        <f t="shared" si="535"/>
        <v>35</v>
      </c>
      <c r="AV986">
        <f t="shared" si="598"/>
        <v>112</v>
      </c>
      <c r="AW986">
        <f t="shared" si="599"/>
        <v>40</v>
      </c>
      <c r="AX986" s="3">
        <f t="shared" si="600"/>
        <v>933</v>
      </c>
      <c r="AY986">
        <f t="shared" si="601"/>
        <v>112</v>
      </c>
      <c r="AZ986">
        <f t="shared" si="602"/>
        <v>40</v>
      </c>
      <c r="BA986" s="3">
        <f t="shared" si="603"/>
        <v>933</v>
      </c>
    </row>
    <row r="987" spans="1:53" x14ac:dyDescent="0.2">
      <c r="A987">
        <v>2018</v>
      </c>
      <c r="B987" t="s">
        <v>131</v>
      </c>
      <c r="C987" t="s">
        <v>85</v>
      </c>
      <c r="D987">
        <f t="shared" si="536"/>
        <v>13.325000000000001</v>
      </c>
      <c r="E987">
        <f t="shared" si="536"/>
        <v>0</v>
      </c>
      <c r="F987">
        <f t="shared" ref="F987:J987" si="724">F859*0.65</f>
        <v>4.6150000000000002</v>
      </c>
      <c r="G987">
        <f t="shared" si="724"/>
        <v>13.13</v>
      </c>
      <c r="H987">
        <f t="shared" si="724"/>
        <v>2.08</v>
      </c>
      <c r="I987">
        <f t="shared" si="724"/>
        <v>0.58500000000000008</v>
      </c>
      <c r="J987">
        <f t="shared" si="724"/>
        <v>0</v>
      </c>
      <c r="K987">
        <f t="shared" si="480"/>
        <v>33.734999999999999</v>
      </c>
      <c r="L987">
        <f t="shared" ref="L987:N987" si="725">L859*0.65</f>
        <v>0</v>
      </c>
      <c r="M987">
        <f t="shared" si="725"/>
        <v>0</v>
      </c>
      <c r="N987">
        <f t="shared" si="725"/>
        <v>0</v>
      </c>
      <c r="O987">
        <f t="shared" si="636"/>
        <v>0</v>
      </c>
      <c r="P987">
        <f t="shared" ref="P987:R987" si="726">P859*0.65</f>
        <v>0</v>
      </c>
      <c r="Q987">
        <f t="shared" si="726"/>
        <v>0</v>
      </c>
      <c r="R987">
        <f t="shared" si="726"/>
        <v>0.71500000000000008</v>
      </c>
      <c r="S987">
        <f t="shared" si="638"/>
        <v>0.71500000000000008</v>
      </c>
      <c r="T987">
        <f t="shared" ref="T987:Z987" si="727">T859*0.65</f>
        <v>0.13</v>
      </c>
      <c r="U987">
        <f t="shared" si="727"/>
        <v>0</v>
      </c>
      <c r="V987">
        <f t="shared" si="727"/>
        <v>0</v>
      </c>
      <c r="W987">
        <f t="shared" si="727"/>
        <v>0</v>
      </c>
      <c r="X987">
        <f t="shared" si="727"/>
        <v>0</v>
      </c>
      <c r="Y987">
        <f t="shared" si="727"/>
        <v>0</v>
      </c>
      <c r="Z987">
        <f t="shared" si="727"/>
        <v>0</v>
      </c>
      <c r="AA987">
        <f t="shared" si="640"/>
        <v>0.13</v>
      </c>
      <c r="AB987">
        <f t="shared" ref="AB987:AG987" si="728">AB859*0.65</f>
        <v>0</v>
      </c>
      <c r="AC987">
        <f t="shared" si="728"/>
        <v>0</v>
      </c>
      <c r="AD987">
        <f t="shared" si="728"/>
        <v>0</v>
      </c>
      <c r="AE987">
        <f t="shared" si="728"/>
        <v>0</v>
      </c>
      <c r="AF987">
        <f t="shared" si="728"/>
        <v>0</v>
      </c>
      <c r="AG987">
        <f t="shared" si="728"/>
        <v>0</v>
      </c>
      <c r="AH987" s="5">
        <v>1.7105263157894739</v>
      </c>
      <c r="AI987" t="s">
        <v>13</v>
      </c>
      <c r="AJ987" s="5">
        <f t="shared" si="642"/>
        <v>1.7105263157894739</v>
      </c>
      <c r="AK987" t="s">
        <v>13</v>
      </c>
      <c r="AL987">
        <f t="shared" si="542"/>
        <v>0.63709473684210516</v>
      </c>
      <c r="AM987">
        <f t="shared" si="683"/>
        <v>0.36290526315789479</v>
      </c>
      <c r="AN987">
        <v>484</v>
      </c>
      <c r="AO987" t="s">
        <v>13</v>
      </c>
      <c r="AP987">
        <v>760</v>
      </c>
      <c r="AQ987" t="s">
        <v>13</v>
      </c>
      <c r="AR987">
        <f t="shared" si="459"/>
        <v>4.7134238310708898E-2</v>
      </c>
      <c r="AS987">
        <f t="shared" si="533"/>
        <v>0.34580000000000005</v>
      </c>
      <c r="AT987">
        <f t="shared" si="534"/>
        <v>263</v>
      </c>
      <c r="AU987">
        <f t="shared" si="535"/>
        <v>13</v>
      </c>
      <c r="AV987">
        <f t="shared" si="598"/>
        <v>135</v>
      </c>
      <c r="AW987">
        <f t="shared" si="599"/>
        <v>16</v>
      </c>
      <c r="AX987" s="3">
        <f t="shared" si="600"/>
        <v>609</v>
      </c>
      <c r="AY987">
        <f t="shared" si="601"/>
        <v>131</v>
      </c>
      <c r="AZ987">
        <f t="shared" si="602"/>
        <v>16</v>
      </c>
      <c r="BA987" s="3">
        <f t="shared" si="603"/>
        <v>613</v>
      </c>
    </row>
    <row r="988" spans="1:53" x14ac:dyDescent="0.2">
      <c r="A988">
        <v>2019</v>
      </c>
      <c r="B988" t="s">
        <v>131</v>
      </c>
      <c r="C988" t="s">
        <v>85</v>
      </c>
      <c r="D988">
        <f t="shared" si="536"/>
        <v>13.455</v>
      </c>
      <c r="E988">
        <f t="shared" si="536"/>
        <v>0.39</v>
      </c>
      <c r="F988">
        <f t="shared" ref="F988:J988" si="729">F860*0.65</f>
        <v>0.78</v>
      </c>
      <c r="G988">
        <f t="shared" si="729"/>
        <v>13.455</v>
      </c>
      <c r="H988">
        <f t="shared" si="729"/>
        <v>3.3800000000000003</v>
      </c>
      <c r="I988">
        <f t="shared" si="729"/>
        <v>0.65</v>
      </c>
      <c r="J988">
        <f t="shared" si="729"/>
        <v>0.39</v>
      </c>
      <c r="K988">
        <f t="shared" si="480"/>
        <v>32.5</v>
      </c>
      <c r="L988">
        <f t="shared" ref="L988:N988" si="730">L860*0.65</f>
        <v>0</v>
      </c>
      <c r="M988">
        <f t="shared" si="730"/>
        <v>0</v>
      </c>
      <c r="N988">
        <f t="shared" si="730"/>
        <v>0.52</v>
      </c>
      <c r="O988">
        <f t="shared" si="636"/>
        <v>0.52</v>
      </c>
      <c r="P988">
        <f t="shared" ref="P988:R988" si="731">P860*0.65</f>
        <v>0</v>
      </c>
      <c r="Q988">
        <f t="shared" si="731"/>
        <v>0</v>
      </c>
      <c r="R988">
        <f t="shared" si="731"/>
        <v>1.2349999999999999</v>
      </c>
      <c r="S988">
        <f t="shared" si="638"/>
        <v>1.2349999999999999</v>
      </c>
      <c r="T988">
        <f t="shared" ref="T988:Z988" si="732">T860*0.65</f>
        <v>0.84500000000000008</v>
      </c>
      <c r="U988">
        <f t="shared" si="732"/>
        <v>0.19500000000000001</v>
      </c>
      <c r="V988">
        <f t="shared" si="732"/>
        <v>0</v>
      </c>
      <c r="W988">
        <f t="shared" si="732"/>
        <v>0.19500000000000001</v>
      </c>
      <c r="X988">
        <f t="shared" si="732"/>
        <v>0</v>
      </c>
      <c r="Y988">
        <f t="shared" si="732"/>
        <v>0</v>
      </c>
      <c r="Z988">
        <f t="shared" si="732"/>
        <v>0</v>
      </c>
      <c r="AA988">
        <f t="shared" si="640"/>
        <v>1.2350000000000001</v>
      </c>
      <c r="AB988">
        <f t="shared" ref="AB988:AG988" si="733">AB860*0.65</f>
        <v>0</v>
      </c>
      <c r="AC988">
        <f t="shared" si="733"/>
        <v>0</v>
      </c>
      <c r="AD988">
        <f t="shared" si="733"/>
        <v>0</v>
      </c>
      <c r="AE988">
        <f t="shared" si="733"/>
        <v>0</v>
      </c>
      <c r="AF988">
        <f t="shared" si="733"/>
        <v>0</v>
      </c>
      <c r="AG988">
        <f t="shared" si="733"/>
        <v>0</v>
      </c>
      <c r="AH988" s="5">
        <v>1.1811023622047243</v>
      </c>
      <c r="AI988" t="s">
        <v>13</v>
      </c>
      <c r="AJ988" s="5">
        <f t="shared" si="642"/>
        <v>1.1811023622047243</v>
      </c>
      <c r="AK988" t="s">
        <v>13</v>
      </c>
      <c r="AL988">
        <f t="shared" si="542"/>
        <v>0.63328897637795278</v>
      </c>
      <c r="AM988">
        <f t="shared" si="683"/>
        <v>0.36671102362204727</v>
      </c>
      <c r="AN988">
        <v>322</v>
      </c>
      <c r="AO988" t="s">
        <v>13</v>
      </c>
      <c r="AP988">
        <v>508</v>
      </c>
      <c r="AQ988" t="s">
        <v>13</v>
      </c>
      <c r="AR988">
        <f t="shared" si="459"/>
        <v>3.2207986292281034E-2</v>
      </c>
      <c r="AS988">
        <f t="shared" si="533"/>
        <v>0.35489999999999999</v>
      </c>
      <c r="AT988">
        <f t="shared" si="534"/>
        <v>180</v>
      </c>
      <c r="AU988">
        <f t="shared" si="535"/>
        <v>6</v>
      </c>
      <c r="AV988">
        <f t="shared" si="598"/>
        <v>98</v>
      </c>
      <c r="AW988">
        <f t="shared" si="599"/>
        <v>8</v>
      </c>
      <c r="AX988" s="3">
        <f t="shared" si="600"/>
        <v>402</v>
      </c>
      <c r="AY988">
        <f t="shared" si="601"/>
        <v>90</v>
      </c>
      <c r="AZ988">
        <f t="shared" si="602"/>
        <v>8</v>
      </c>
      <c r="BA988" s="3">
        <f t="shared" si="603"/>
        <v>410</v>
      </c>
    </row>
    <row r="989" spans="1:53" x14ac:dyDescent="0.2">
      <c r="A989">
        <v>2020</v>
      </c>
      <c r="B989" t="s">
        <v>131</v>
      </c>
      <c r="C989" t="s">
        <v>85</v>
      </c>
      <c r="D989">
        <f t="shared" si="536"/>
        <v>19.955000000000002</v>
      </c>
      <c r="E989">
        <f t="shared" si="536"/>
        <v>0.90999999999999992</v>
      </c>
      <c r="F989">
        <f t="shared" ref="F989:J989" si="734">F861*0.65</f>
        <v>3.8350000000000004</v>
      </c>
      <c r="G989">
        <f t="shared" si="734"/>
        <v>7.7350000000000003</v>
      </c>
      <c r="H989">
        <f t="shared" si="734"/>
        <v>0</v>
      </c>
      <c r="I989">
        <f t="shared" si="734"/>
        <v>0.39</v>
      </c>
      <c r="J989">
        <f t="shared" si="734"/>
        <v>0</v>
      </c>
      <c r="K989">
        <f t="shared" si="480"/>
        <v>32.825000000000003</v>
      </c>
      <c r="L989">
        <f t="shared" ref="L989:N989" si="735">L861*0.65</f>
        <v>0</v>
      </c>
      <c r="M989">
        <f t="shared" si="735"/>
        <v>0</v>
      </c>
      <c r="N989">
        <f t="shared" si="735"/>
        <v>0</v>
      </c>
      <c r="O989">
        <f t="shared" si="636"/>
        <v>0</v>
      </c>
      <c r="P989">
        <f t="shared" ref="P989:R989" si="736">P861*0.65</f>
        <v>0</v>
      </c>
      <c r="Q989">
        <f t="shared" si="736"/>
        <v>0</v>
      </c>
      <c r="R989">
        <f t="shared" si="736"/>
        <v>0</v>
      </c>
      <c r="S989">
        <f t="shared" si="638"/>
        <v>0</v>
      </c>
      <c r="T989">
        <f t="shared" ref="T989:Z989" si="737">T861*0.65</f>
        <v>0.13</v>
      </c>
      <c r="U989">
        <f t="shared" si="737"/>
        <v>0</v>
      </c>
      <c r="V989">
        <f t="shared" si="737"/>
        <v>0</v>
      </c>
      <c r="W989">
        <f t="shared" si="737"/>
        <v>0</v>
      </c>
      <c r="X989">
        <f t="shared" si="737"/>
        <v>0</v>
      </c>
      <c r="Y989">
        <f t="shared" si="737"/>
        <v>0</v>
      </c>
      <c r="Z989">
        <f t="shared" si="737"/>
        <v>0</v>
      </c>
      <c r="AA989">
        <f t="shared" si="640"/>
        <v>0.13</v>
      </c>
      <c r="AB989">
        <f t="shared" ref="AB989:AG989" si="738">AB861*0.65</f>
        <v>0</v>
      </c>
      <c r="AC989">
        <f t="shared" si="738"/>
        <v>0</v>
      </c>
      <c r="AD989">
        <f t="shared" si="738"/>
        <v>0</v>
      </c>
      <c r="AE989">
        <f t="shared" si="738"/>
        <v>0</v>
      </c>
      <c r="AF989">
        <f t="shared" si="738"/>
        <v>0</v>
      </c>
      <c r="AG989">
        <f t="shared" si="738"/>
        <v>0</v>
      </c>
      <c r="AH989" s="5">
        <v>5.244122965641953</v>
      </c>
      <c r="AI989" t="s">
        <v>13</v>
      </c>
      <c r="AJ989" s="5">
        <f t="shared" si="642"/>
        <v>5.244122965641953</v>
      </c>
      <c r="AK989" t="s">
        <v>13</v>
      </c>
      <c r="AL989">
        <f t="shared" si="542"/>
        <v>0.61800877034358037</v>
      </c>
      <c r="AM989">
        <f t="shared" si="683"/>
        <v>0.38199122965641957</v>
      </c>
      <c r="AN989">
        <v>342</v>
      </c>
      <c r="AO989" t="s">
        <v>13</v>
      </c>
      <c r="AP989">
        <v>553</v>
      </c>
      <c r="AQ989" t="s">
        <v>13</v>
      </c>
      <c r="AR989">
        <f t="shared" si="459"/>
        <v>0.13728385780895436</v>
      </c>
      <c r="AS989">
        <f t="shared" si="533"/>
        <v>0.32955000000000007</v>
      </c>
      <c r="AT989">
        <f t="shared" si="534"/>
        <v>182</v>
      </c>
      <c r="AU989">
        <f t="shared" si="535"/>
        <v>29</v>
      </c>
      <c r="AV989">
        <f t="shared" si="598"/>
        <v>91</v>
      </c>
      <c r="AW989">
        <f t="shared" si="599"/>
        <v>36</v>
      </c>
      <c r="AX989" s="3">
        <f t="shared" si="600"/>
        <v>426</v>
      </c>
      <c r="AY989">
        <f t="shared" si="601"/>
        <v>91</v>
      </c>
      <c r="AZ989">
        <f t="shared" si="602"/>
        <v>36</v>
      </c>
      <c r="BA989" s="3">
        <f t="shared" si="603"/>
        <v>426</v>
      </c>
    </row>
    <row r="990" spans="1:53" x14ac:dyDescent="0.2">
      <c r="A990">
        <v>2021</v>
      </c>
      <c r="B990" t="s">
        <v>131</v>
      </c>
      <c r="C990" t="s">
        <v>85</v>
      </c>
      <c r="D990">
        <f t="shared" si="536"/>
        <v>19.63</v>
      </c>
      <c r="E990">
        <f t="shared" si="536"/>
        <v>0.26</v>
      </c>
      <c r="F990">
        <f t="shared" ref="F990:J990" si="739">F862*0.65</f>
        <v>3.0550000000000002</v>
      </c>
      <c r="G990">
        <f t="shared" si="739"/>
        <v>10.270000000000001</v>
      </c>
      <c r="H990">
        <f t="shared" si="739"/>
        <v>3.6399999999999997</v>
      </c>
      <c r="I990">
        <f t="shared" si="739"/>
        <v>1.2349999999999999</v>
      </c>
      <c r="J990">
        <f t="shared" si="739"/>
        <v>0.52</v>
      </c>
      <c r="K990">
        <f t="shared" si="480"/>
        <v>38.610000000000007</v>
      </c>
      <c r="L990">
        <f t="shared" ref="L990:N990" si="740">L862*0.65</f>
        <v>0</v>
      </c>
      <c r="M990">
        <f t="shared" si="740"/>
        <v>0</v>
      </c>
      <c r="N990">
        <f t="shared" si="740"/>
        <v>0.71500000000000008</v>
      </c>
      <c r="O990">
        <f t="shared" si="636"/>
        <v>0.71500000000000008</v>
      </c>
      <c r="P990">
        <f t="shared" ref="P990:R990" si="741">P862*0.65</f>
        <v>0</v>
      </c>
      <c r="Q990">
        <f t="shared" si="741"/>
        <v>0</v>
      </c>
      <c r="R990">
        <f t="shared" si="741"/>
        <v>0</v>
      </c>
      <c r="S990">
        <f t="shared" si="638"/>
        <v>0</v>
      </c>
      <c r="T990">
        <f t="shared" ref="T990:Z990" si="742">T862*0.65</f>
        <v>0.19500000000000001</v>
      </c>
      <c r="U990">
        <f t="shared" si="742"/>
        <v>0</v>
      </c>
      <c r="V990">
        <f t="shared" si="742"/>
        <v>0</v>
      </c>
      <c r="W990">
        <f t="shared" si="742"/>
        <v>0</v>
      </c>
      <c r="X990">
        <f t="shared" si="742"/>
        <v>0</v>
      </c>
      <c r="Y990">
        <f t="shared" si="742"/>
        <v>0</v>
      </c>
      <c r="Z990">
        <f t="shared" si="742"/>
        <v>0</v>
      </c>
      <c r="AA990">
        <f t="shared" si="640"/>
        <v>0.19500000000000001</v>
      </c>
      <c r="AB990">
        <f t="shared" ref="AB990:AG990" si="743">AB862*0.65</f>
        <v>0</v>
      </c>
      <c r="AC990">
        <f t="shared" si="743"/>
        <v>0</v>
      </c>
      <c r="AD990">
        <f t="shared" si="743"/>
        <v>0</v>
      </c>
      <c r="AE990">
        <f t="shared" si="743"/>
        <v>0</v>
      </c>
      <c r="AF990">
        <f t="shared" si="743"/>
        <v>0</v>
      </c>
      <c r="AG990">
        <f t="shared" si="743"/>
        <v>0</v>
      </c>
      <c r="AH990" s="5">
        <v>1.0615711252653928</v>
      </c>
      <c r="AI990" t="s">
        <v>13</v>
      </c>
      <c r="AJ990" s="5">
        <f t="shared" si="642"/>
        <v>1.0615711252653928</v>
      </c>
      <c r="AK990" t="s">
        <v>13</v>
      </c>
      <c r="AL990">
        <f t="shared" si="542"/>
        <v>0.59418428874734608</v>
      </c>
      <c r="AM990">
        <f t="shared" si="683"/>
        <v>0.40581571125265398</v>
      </c>
      <c r="AN990">
        <v>280</v>
      </c>
      <c r="AO990" t="s">
        <v>13</v>
      </c>
      <c r="AP990">
        <v>471</v>
      </c>
      <c r="AQ990" t="s">
        <v>13</v>
      </c>
      <c r="AR990">
        <f t="shared" si="459"/>
        <v>2.615894594096867E-2</v>
      </c>
      <c r="AS990">
        <f t="shared" si="533"/>
        <v>0.39520000000000011</v>
      </c>
      <c r="AT990">
        <f t="shared" si="534"/>
        <v>186</v>
      </c>
      <c r="AU990">
        <f t="shared" si="535"/>
        <v>5</v>
      </c>
      <c r="AV990">
        <f t="shared" si="598"/>
        <v>95</v>
      </c>
      <c r="AW990">
        <f t="shared" si="599"/>
        <v>7</v>
      </c>
      <c r="AX990" s="3">
        <f t="shared" si="600"/>
        <v>369</v>
      </c>
      <c r="AY990">
        <f t="shared" si="601"/>
        <v>93</v>
      </c>
      <c r="AZ990">
        <f t="shared" si="602"/>
        <v>7</v>
      </c>
      <c r="BA990" s="3">
        <f t="shared" si="603"/>
        <v>371</v>
      </c>
    </row>
    <row r="991" spans="1:53" x14ac:dyDescent="0.2">
      <c r="A991">
        <v>2022</v>
      </c>
      <c r="B991" t="s">
        <v>131</v>
      </c>
      <c r="C991" t="s">
        <v>85</v>
      </c>
      <c r="D991">
        <f t="shared" si="536"/>
        <v>15.47</v>
      </c>
      <c r="E991">
        <f t="shared" si="536"/>
        <v>0.58500000000000008</v>
      </c>
      <c r="F991">
        <f t="shared" ref="F991:J991" si="744">F863*0.65</f>
        <v>4.6800000000000006</v>
      </c>
      <c r="G991">
        <f t="shared" si="744"/>
        <v>10.855</v>
      </c>
      <c r="H991">
        <f t="shared" si="744"/>
        <v>2.7949999999999999</v>
      </c>
      <c r="I991">
        <f t="shared" si="744"/>
        <v>0.32500000000000001</v>
      </c>
      <c r="J991">
        <f t="shared" si="744"/>
        <v>0</v>
      </c>
      <c r="K991">
        <f t="shared" si="480"/>
        <v>34.71</v>
      </c>
      <c r="L991">
        <f t="shared" ref="L991:N991" si="745">L863*0.65</f>
        <v>0</v>
      </c>
      <c r="M991">
        <f t="shared" si="745"/>
        <v>0</v>
      </c>
      <c r="N991">
        <f t="shared" si="745"/>
        <v>0</v>
      </c>
      <c r="O991">
        <f t="shared" si="636"/>
        <v>0</v>
      </c>
      <c r="P991">
        <f t="shared" ref="P991:R991" si="746">P863*0.65</f>
        <v>0</v>
      </c>
      <c r="Q991">
        <f t="shared" si="746"/>
        <v>0</v>
      </c>
      <c r="R991">
        <f t="shared" si="746"/>
        <v>0.65</v>
      </c>
      <c r="S991">
        <f t="shared" si="638"/>
        <v>0.65</v>
      </c>
      <c r="T991">
        <f t="shared" ref="T991:Z991" si="747">T863*0.65</f>
        <v>0</v>
      </c>
      <c r="U991">
        <f t="shared" si="747"/>
        <v>0</v>
      </c>
      <c r="V991">
        <f t="shared" si="747"/>
        <v>0</v>
      </c>
      <c r="W991">
        <f t="shared" si="747"/>
        <v>0</v>
      </c>
      <c r="X991">
        <f t="shared" si="747"/>
        <v>0</v>
      </c>
      <c r="Y991">
        <f t="shared" si="747"/>
        <v>0</v>
      </c>
      <c r="Z991">
        <f t="shared" si="747"/>
        <v>0</v>
      </c>
      <c r="AA991">
        <f t="shared" si="640"/>
        <v>0</v>
      </c>
      <c r="AB991">
        <f t="shared" ref="AB991:AG991" si="748">AB863*0.65</f>
        <v>0</v>
      </c>
      <c r="AC991">
        <f t="shared" si="748"/>
        <v>0</v>
      </c>
      <c r="AD991">
        <f t="shared" si="748"/>
        <v>0</v>
      </c>
      <c r="AE991">
        <f t="shared" si="748"/>
        <v>0</v>
      </c>
      <c r="AF991">
        <f t="shared" si="748"/>
        <v>0</v>
      </c>
      <c r="AG991">
        <f t="shared" si="748"/>
        <v>0</v>
      </c>
      <c r="AH991" s="5">
        <v>0.73637702503681879</v>
      </c>
      <c r="AI991" t="s">
        <v>13</v>
      </c>
      <c r="AJ991" s="5">
        <f t="shared" si="642"/>
        <v>0.73637702503681879</v>
      </c>
      <c r="AK991" t="s">
        <v>13</v>
      </c>
      <c r="AL991">
        <f t="shared" si="542"/>
        <v>0.6390362297496317</v>
      </c>
      <c r="AM991">
        <f t="shared" si="683"/>
        <v>0.3609637702503683</v>
      </c>
      <c r="AN991">
        <v>434</v>
      </c>
      <c r="AO991" t="s">
        <v>13</v>
      </c>
      <c r="AP991">
        <v>679</v>
      </c>
      <c r="AQ991" t="s">
        <v>13</v>
      </c>
      <c r="AR991">
        <f t="shared" si="459"/>
        <v>2.0400302903697504E-2</v>
      </c>
      <c r="AS991">
        <f t="shared" si="533"/>
        <v>0.35359999999999997</v>
      </c>
      <c r="AT991">
        <f t="shared" si="534"/>
        <v>240</v>
      </c>
      <c r="AU991">
        <f t="shared" si="535"/>
        <v>5</v>
      </c>
      <c r="AV991">
        <f t="shared" si="598"/>
        <v>122</v>
      </c>
      <c r="AW991">
        <f t="shared" si="599"/>
        <v>6</v>
      </c>
      <c r="AX991" s="3">
        <f t="shared" si="600"/>
        <v>551</v>
      </c>
      <c r="AY991">
        <f t="shared" si="601"/>
        <v>120</v>
      </c>
      <c r="AZ991">
        <f t="shared" si="602"/>
        <v>6</v>
      </c>
      <c r="BA991" s="3">
        <f t="shared" si="603"/>
        <v>553</v>
      </c>
    </row>
    <row r="992" spans="1:53" x14ac:dyDescent="0.2">
      <c r="A992">
        <v>2023</v>
      </c>
      <c r="B992" t="s">
        <v>131</v>
      </c>
      <c r="C992" t="s">
        <v>85</v>
      </c>
      <c r="D992" t="s">
        <v>13</v>
      </c>
      <c r="E992" t="s">
        <v>13</v>
      </c>
      <c r="F992" t="s">
        <v>13</v>
      </c>
      <c r="G992" t="s">
        <v>13</v>
      </c>
      <c r="H992" t="s">
        <v>13</v>
      </c>
      <c r="I992" t="s">
        <v>13</v>
      </c>
      <c r="J992" t="s">
        <v>13</v>
      </c>
      <c r="K992" t="s">
        <v>13</v>
      </c>
      <c r="L992" t="s">
        <v>13</v>
      </c>
      <c r="M992" t="s">
        <v>13</v>
      </c>
      <c r="N992" t="s">
        <v>13</v>
      </c>
      <c r="O992" t="s">
        <v>13</v>
      </c>
      <c r="P992" t="s">
        <v>13</v>
      </c>
      <c r="Q992" t="s">
        <v>13</v>
      </c>
      <c r="R992" t="s">
        <v>13</v>
      </c>
      <c r="S992" t="s">
        <v>13</v>
      </c>
      <c r="T992" t="s">
        <v>13</v>
      </c>
      <c r="U992" t="s">
        <v>13</v>
      </c>
      <c r="V992" t="s">
        <v>13</v>
      </c>
      <c r="W992" t="s">
        <v>13</v>
      </c>
      <c r="X992" t="s">
        <v>13</v>
      </c>
      <c r="Y992" t="s">
        <v>13</v>
      </c>
      <c r="Z992" t="s">
        <v>13</v>
      </c>
      <c r="AA992" t="s">
        <v>13</v>
      </c>
      <c r="AB992" t="s">
        <v>13</v>
      </c>
      <c r="AC992" t="s">
        <v>13</v>
      </c>
      <c r="AD992" t="s">
        <v>13</v>
      </c>
      <c r="AE992" t="s">
        <v>13</v>
      </c>
      <c r="AF992" t="s">
        <v>13</v>
      </c>
      <c r="AG992" t="s">
        <v>13</v>
      </c>
      <c r="AH992" t="s">
        <v>13</v>
      </c>
      <c r="AI992" t="s">
        <v>13</v>
      </c>
      <c r="AJ992" t="s">
        <v>13</v>
      </c>
      <c r="AK992" t="s">
        <v>13</v>
      </c>
      <c r="AL992" t="s">
        <v>13</v>
      </c>
      <c r="AM992" t="s">
        <v>13</v>
      </c>
      <c r="AN992">
        <v>540</v>
      </c>
      <c r="AO992" t="s">
        <v>13</v>
      </c>
      <c r="AP992" t="s">
        <v>13</v>
      </c>
      <c r="AQ992" t="s">
        <v>13</v>
      </c>
      <c r="AR992" t="s">
        <v>13</v>
      </c>
      <c r="AS992" t="s">
        <v>13</v>
      </c>
      <c r="AT992" t="s">
        <v>13</v>
      </c>
      <c r="AU992" t="s">
        <v>13</v>
      </c>
      <c r="AV992" t="s">
        <v>13</v>
      </c>
      <c r="AW992" t="s">
        <v>13</v>
      </c>
      <c r="AX992" t="s">
        <v>13</v>
      </c>
      <c r="AY992" t="s">
        <v>13</v>
      </c>
      <c r="AZ992" t="s">
        <v>13</v>
      </c>
      <c r="BA992" t="s">
        <v>13</v>
      </c>
    </row>
    <row r="993" spans="1:53" x14ac:dyDescent="0.2">
      <c r="A993">
        <v>1981</v>
      </c>
      <c r="B993" t="s">
        <v>90</v>
      </c>
      <c r="C993" t="s">
        <v>85</v>
      </c>
      <c r="D993">
        <v>13.6</v>
      </c>
      <c r="E993">
        <v>0</v>
      </c>
      <c r="F993">
        <v>0</v>
      </c>
      <c r="G993">
        <v>16.600000000000001</v>
      </c>
      <c r="H993">
        <v>0.2</v>
      </c>
      <c r="I993">
        <v>12.2</v>
      </c>
      <c r="J993">
        <v>0</v>
      </c>
      <c r="K993">
        <f t="shared" si="480"/>
        <v>42.6</v>
      </c>
      <c r="L993" s="1">
        <v>1.7</v>
      </c>
      <c r="M993" s="1">
        <v>1.8</v>
      </c>
      <c r="N993" s="1">
        <v>0</v>
      </c>
      <c r="O993">
        <f t="shared" si="636"/>
        <v>3.5</v>
      </c>
      <c r="P993" s="1">
        <v>0</v>
      </c>
      <c r="Q993" s="1">
        <v>0.8</v>
      </c>
      <c r="R993" s="1">
        <v>0</v>
      </c>
      <c r="S993">
        <f t="shared" si="638"/>
        <v>0.8</v>
      </c>
      <c r="T993">
        <v>0.3</v>
      </c>
      <c r="U993">
        <v>0</v>
      </c>
      <c r="V993">
        <v>1.7</v>
      </c>
      <c r="W993">
        <v>0</v>
      </c>
      <c r="X993">
        <v>0</v>
      </c>
      <c r="Y993">
        <v>0</v>
      </c>
      <c r="Z993">
        <v>3.2</v>
      </c>
      <c r="AA993">
        <f t="shared" si="640"/>
        <v>5.2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20.2</v>
      </c>
      <c r="AI993">
        <v>0.4</v>
      </c>
      <c r="AJ993" s="5">
        <f t="shared" si="642"/>
        <v>20.599999999999998</v>
      </c>
      <c r="AK993">
        <v>0</v>
      </c>
      <c r="AL993">
        <v>0.27300000000000002</v>
      </c>
      <c r="AM993">
        <f t="shared" si="683"/>
        <v>0.72699999999999998</v>
      </c>
      <c r="AN993">
        <v>7577</v>
      </c>
      <c r="AO993" t="s">
        <v>13</v>
      </c>
      <c r="AP993" s="3">
        <f t="shared" ref="AP993:AP1034" si="749">AN993/(1-AM993)</f>
        <v>27754.578754578753</v>
      </c>
      <c r="AQ993" t="s">
        <v>13</v>
      </c>
      <c r="AR993">
        <f t="shared" si="459"/>
        <v>0.28335625859697383</v>
      </c>
      <c r="AS993">
        <f t="shared" ref="AS993:AS1034" si="750">SUM(K993,O993,S993,AA993)/100</f>
        <v>0.52100000000000002</v>
      </c>
      <c r="AT993">
        <f t="shared" ref="AT993:AT1034" si="751">ROUND(AS993*AP993,0)</f>
        <v>14460</v>
      </c>
      <c r="AU993">
        <f t="shared" ref="AU993:AU1034" si="752">ROUND((AJ993/100)*AP993,0)</f>
        <v>5717</v>
      </c>
      <c r="AV993">
        <f t="shared" si="598"/>
        <v>8548</v>
      </c>
      <c r="AW993">
        <f t="shared" si="599"/>
        <v>8259</v>
      </c>
      <c r="AX993" s="3">
        <f t="shared" si="600"/>
        <v>10947.578754578753</v>
      </c>
      <c r="AY993">
        <f t="shared" si="601"/>
        <v>7230</v>
      </c>
      <c r="AZ993">
        <f t="shared" si="602"/>
        <v>8826</v>
      </c>
      <c r="BA993" s="3">
        <f t="shared" si="603"/>
        <v>11698.578754578753</v>
      </c>
    </row>
    <row r="994" spans="1:53" x14ac:dyDescent="0.2">
      <c r="A994">
        <v>1982</v>
      </c>
      <c r="B994" t="s">
        <v>90</v>
      </c>
      <c r="C994" t="s">
        <v>85</v>
      </c>
      <c r="D994">
        <v>13.7</v>
      </c>
      <c r="E994">
        <v>1.4</v>
      </c>
      <c r="F994">
        <v>0</v>
      </c>
      <c r="G994">
        <v>20.5</v>
      </c>
      <c r="H994">
        <v>0</v>
      </c>
      <c r="I994">
        <v>14</v>
      </c>
      <c r="J994">
        <v>0</v>
      </c>
      <c r="K994">
        <f t="shared" si="480"/>
        <v>49.6</v>
      </c>
      <c r="L994" s="1">
        <v>0</v>
      </c>
      <c r="M994" s="1">
        <v>0.8</v>
      </c>
      <c r="N994" s="1">
        <v>1.3</v>
      </c>
      <c r="O994">
        <f t="shared" si="636"/>
        <v>2.1</v>
      </c>
      <c r="P994" s="1">
        <v>0</v>
      </c>
      <c r="Q994" s="1">
        <v>0</v>
      </c>
      <c r="R994" s="1">
        <v>0</v>
      </c>
      <c r="S994">
        <f t="shared" si="638"/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f t="shared" si="640"/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28.2</v>
      </c>
      <c r="AI994">
        <v>0.5</v>
      </c>
      <c r="AJ994" s="5">
        <f t="shared" si="642"/>
        <v>28.7</v>
      </c>
      <c r="AK994">
        <v>0</v>
      </c>
      <c r="AL994">
        <v>0.19500000000000001</v>
      </c>
      <c r="AM994">
        <f t="shared" si="683"/>
        <v>0.80400000000000005</v>
      </c>
      <c r="AN994">
        <v>5606</v>
      </c>
      <c r="AO994" t="s">
        <v>13</v>
      </c>
      <c r="AP994" s="3">
        <f t="shared" si="749"/>
        <v>28602.040816326538</v>
      </c>
      <c r="AQ994" t="s">
        <v>13</v>
      </c>
      <c r="AR994">
        <f t="shared" si="459"/>
        <v>0.35696517412935319</v>
      </c>
      <c r="AS994">
        <f t="shared" si="750"/>
        <v>0.51700000000000002</v>
      </c>
      <c r="AT994">
        <f t="shared" si="751"/>
        <v>14787</v>
      </c>
      <c r="AU994">
        <f t="shared" si="752"/>
        <v>8209</v>
      </c>
      <c r="AV994">
        <f t="shared" si="598"/>
        <v>7694</v>
      </c>
      <c r="AW994">
        <f t="shared" si="599"/>
        <v>12424</v>
      </c>
      <c r="AX994" s="3">
        <f t="shared" si="600"/>
        <v>8484.0408163265383</v>
      </c>
      <c r="AY994">
        <f t="shared" si="601"/>
        <v>7394</v>
      </c>
      <c r="AZ994">
        <f t="shared" si="602"/>
        <v>12602</v>
      </c>
      <c r="BA994" s="3">
        <f t="shared" si="603"/>
        <v>8606.0408163265383</v>
      </c>
    </row>
    <row r="995" spans="1:53" x14ac:dyDescent="0.2">
      <c r="A995">
        <v>1983</v>
      </c>
      <c r="B995" t="s">
        <v>90</v>
      </c>
      <c r="C995" t="s">
        <v>85</v>
      </c>
      <c r="D995">
        <v>44.1</v>
      </c>
      <c r="E995">
        <v>0</v>
      </c>
      <c r="F995">
        <v>0</v>
      </c>
      <c r="G995">
        <v>14.2</v>
      </c>
      <c r="H995">
        <v>0</v>
      </c>
      <c r="I995">
        <v>4.9000000000000004</v>
      </c>
      <c r="J995">
        <v>0</v>
      </c>
      <c r="K995">
        <f t="shared" si="480"/>
        <v>63.199999999999996</v>
      </c>
      <c r="L995" s="1">
        <v>0</v>
      </c>
      <c r="M995" s="1">
        <v>0.5</v>
      </c>
      <c r="N995" s="1">
        <v>0</v>
      </c>
      <c r="O995">
        <f t="shared" si="636"/>
        <v>0.5</v>
      </c>
      <c r="P995" s="1">
        <v>0</v>
      </c>
      <c r="Q995" s="1">
        <v>1.6</v>
      </c>
      <c r="R995" s="1">
        <v>0</v>
      </c>
      <c r="S995">
        <f t="shared" si="638"/>
        <v>1.6</v>
      </c>
      <c r="T995">
        <v>0.6</v>
      </c>
      <c r="U995">
        <v>0</v>
      </c>
      <c r="V995">
        <v>0</v>
      </c>
      <c r="W995">
        <v>0</v>
      </c>
      <c r="X995">
        <v>0</v>
      </c>
      <c r="Y995">
        <v>1</v>
      </c>
      <c r="Z995">
        <v>0</v>
      </c>
      <c r="AA995">
        <f t="shared" si="640"/>
        <v>1.6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13</v>
      </c>
      <c r="AI995">
        <v>0.2</v>
      </c>
      <c r="AJ995" s="5">
        <f t="shared" si="642"/>
        <v>13.2</v>
      </c>
      <c r="AK995">
        <v>0</v>
      </c>
      <c r="AL995">
        <v>0.19899999999999998</v>
      </c>
      <c r="AM995">
        <f t="shared" si="683"/>
        <v>0.80100000000000005</v>
      </c>
      <c r="AN995">
        <v>5482</v>
      </c>
      <c r="AO995" t="s">
        <v>13</v>
      </c>
      <c r="AP995" s="3">
        <f t="shared" si="749"/>
        <v>27547.738693467341</v>
      </c>
      <c r="AQ995" t="s">
        <v>13</v>
      </c>
      <c r="AR995">
        <f t="shared" si="459"/>
        <v>0.16479400749063669</v>
      </c>
      <c r="AS995">
        <f t="shared" si="750"/>
        <v>0.66899999999999993</v>
      </c>
      <c r="AT995">
        <f t="shared" si="751"/>
        <v>18429</v>
      </c>
      <c r="AU995">
        <f t="shared" si="752"/>
        <v>3636</v>
      </c>
      <c r="AV995">
        <f t="shared" si="598"/>
        <v>9724</v>
      </c>
      <c r="AW995">
        <f t="shared" si="599"/>
        <v>7107</v>
      </c>
      <c r="AX995" s="3">
        <f t="shared" si="600"/>
        <v>10716.738693467341</v>
      </c>
      <c r="AY995">
        <f t="shared" si="601"/>
        <v>9215</v>
      </c>
      <c r="AZ995">
        <f t="shared" si="602"/>
        <v>7310</v>
      </c>
      <c r="BA995" s="3">
        <f t="shared" si="603"/>
        <v>11022.738693467341</v>
      </c>
    </row>
    <row r="996" spans="1:53" x14ac:dyDescent="0.2">
      <c r="A996">
        <v>1984</v>
      </c>
      <c r="B996" t="s">
        <v>90</v>
      </c>
      <c r="C996" t="s">
        <v>85</v>
      </c>
      <c r="D996">
        <v>17.5</v>
      </c>
      <c r="E996">
        <v>0.7</v>
      </c>
      <c r="F996">
        <v>0</v>
      </c>
      <c r="G996">
        <v>25.4</v>
      </c>
      <c r="H996">
        <v>2.6</v>
      </c>
      <c r="I996">
        <v>8.6</v>
      </c>
      <c r="J996">
        <v>0</v>
      </c>
      <c r="K996">
        <f t="shared" si="480"/>
        <v>54.8</v>
      </c>
      <c r="L996" s="1">
        <v>0</v>
      </c>
      <c r="M996" s="1">
        <v>0</v>
      </c>
      <c r="N996" s="1">
        <v>0</v>
      </c>
      <c r="O996">
        <f t="shared" si="636"/>
        <v>0</v>
      </c>
      <c r="P996" s="1">
        <v>0</v>
      </c>
      <c r="Q996" s="1">
        <v>0</v>
      </c>
      <c r="R996" s="1">
        <v>0</v>
      </c>
      <c r="S996">
        <f t="shared" si="638"/>
        <v>0</v>
      </c>
      <c r="T996">
        <v>2.9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f t="shared" si="640"/>
        <v>2.9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3.1</v>
      </c>
      <c r="AI996">
        <v>0.6</v>
      </c>
      <c r="AJ996" s="5">
        <f t="shared" si="642"/>
        <v>3.7</v>
      </c>
      <c r="AK996">
        <v>0</v>
      </c>
      <c r="AL996">
        <v>0.38500000000000001</v>
      </c>
      <c r="AM996">
        <f t="shared" si="683"/>
        <v>0.6140000000000001</v>
      </c>
      <c r="AN996">
        <v>21058</v>
      </c>
      <c r="AO996" t="s">
        <v>13</v>
      </c>
      <c r="AP996" s="3">
        <f t="shared" si="749"/>
        <v>54554.404145077737</v>
      </c>
      <c r="AQ996" t="s">
        <v>13</v>
      </c>
      <c r="AR996">
        <f t="shared" ref="AR996:AR1059" si="753">(AJ996/100)/AM996</f>
        <v>6.026058631921824E-2</v>
      </c>
      <c r="AS996">
        <f t="shared" si="750"/>
        <v>0.57699999999999996</v>
      </c>
      <c r="AT996">
        <f t="shared" si="751"/>
        <v>31478</v>
      </c>
      <c r="AU996">
        <f t="shared" si="752"/>
        <v>2019</v>
      </c>
      <c r="AV996">
        <f t="shared" si="598"/>
        <v>16530</v>
      </c>
      <c r="AW996">
        <f t="shared" si="599"/>
        <v>3327</v>
      </c>
      <c r="AX996" s="3">
        <f t="shared" si="600"/>
        <v>34697.404145077737</v>
      </c>
      <c r="AY996">
        <f t="shared" si="601"/>
        <v>15739</v>
      </c>
      <c r="AZ996">
        <f t="shared" si="602"/>
        <v>3396</v>
      </c>
      <c r="BA996" s="3">
        <f t="shared" si="603"/>
        <v>35419.404145077737</v>
      </c>
    </row>
    <row r="997" spans="1:53" x14ac:dyDescent="0.2">
      <c r="A997">
        <v>1985</v>
      </c>
      <c r="B997" t="s">
        <v>90</v>
      </c>
      <c r="C997" t="s">
        <v>85</v>
      </c>
      <c r="D997">
        <v>22.4</v>
      </c>
      <c r="E997">
        <v>0</v>
      </c>
      <c r="F997">
        <v>0</v>
      </c>
      <c r="G997">
        <v>30.5</v>
      </c>
      <c r="H997">
        <v>0</v>
      </c>
      <c r="I997">
        <v>2.2999999999999998</v>
      </c>
      <c r="J997">
        <v>0</v>
      </c>
      <c r="K997">
        <f t="shared" si="480"/>
        <v>55.199999999999996</v>
      </c>
      <c r="L997" s="1">
        <v>0</v>
      </c>
      <c r="M997" s="1">
        <v>0</v>
      </c>
      <c r="N997" s="1">
        <v>0</v>
      </c>
      <c r="O997">
        <f t="shared" si="636"/>
        <v>0</v>
      </c>
      <c r="P997" s="1">
        <v>0</v>
      </c>
      <c r="Q997" s="1">
        <v>1.4</v>
      </c>
      <c r="R997" s="1">
        <v>0</v>
      </c>
      <c r="S997">
        <f t="shared" si="638"/>
        <v>1.4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1.7</v>
      </c>
      <c r="AA997">
        <f t="shared" si="640"/>
        <v>1.7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14.7</v>
      </c>
      <c r="AI997">
        <v>1.4</v>
      </c>
      <c r="AJ997" s="5">
        <f t="shared" si="642"/>
        <v>16.099999999999998</v>
      </c>
      <c r="AK997">
        <v>0</v>
      </c>
      <c r="AL997">
        <v>0.25800000000000001</v>
      </c>
      <c r="AM997">
        <f t="shared" si="683"/>
        <v>0.74399999999999988</v>
      </c>
      <c r="AN997">
        <v>9537</v>
      </c>
      <c r="AO997" t="s">
        <v>13</v>
      </c>
      <c r="AP997" s="3">
        <f t="shared" si="749"/>
        <v>37253.906249999985</v>
      </c>
      <c r="AQ997" t="s">
        <v>13</v>
      </c>
      <c r="AR997">
        <f t="shared" si="753"/>
        <v>0.21639784946236559</v>
      </c>
      <c r="AS997">
        <f t="shared" si="750"/>
        <v>0.58299999999999996</v>
      </c>
      <c r="AT997">
        <f t="shared" si="751"/>
        <v>21719</v>
      </c>
      <c r="AU997">
        <f t="shared" si="752"/>
        <v>5998</v>
      </c>
      <c r="AV997">
        <f t="shared" si="598"/>
        <v>11437</v>
      </c>
      <c r="AW997">
        <f t="shared" si="599"/>
        <v>9968</v>
      </c>
      <c r="AX997" s="3">
        <f t="shared" si="600"/>
        <v>15848.906249999985</v>
      </c>
      <c r="AY997">
        <f t="shared" si="601"/>
        <v>10860</v>
      </c>
      <c r="AZ997">
        <f t="shared" si="602"/>
        <v>10191</v>
      </c>
      <c r="BA997" s="3">
        <f t="shared" si="603"/>
        <v>16202.906249999985</v>
      </c>
    </row>
    <row r="998" spans="1:53" x14ac:dyDescent="0.2">
      <c r="A998">
        <v>1986</v>
      </c>
      <c r="B998" t="s">
        <v>90</v>
      </c>
      <c r="C998" t="s">
        <v>85</v>
      </c>
      <c r="D998">
        <v>25.1</v>
      </c>
      <c r="E998">
        <v>0</v>
      </c>
      <c r="F998">
        <v>1.2</v>
      </c>
      <c r="G998">
        <v>11.4</v>
      </c>
      <c r="H998">
        <v>0</v>
      </c>
      <c r="I998">
        <v>6.8</v>
      </c>
      <c r="J998">
        <v>0</v>
      </c>
      <c r="K998">
        <f t="shared" si="480"/>
        <v>44.5</v>
      </c>
      <c r="L998" s="1">
        <v>1.6</v>
      </c>
      <c r="M998" s="1">
        <v>0</v>
      </c>
      <c r="N998" s="1">
        <v>0</v>
      </c>
      <c r="O998">
        <f t="shared" si="636"/>
        <v>1.6</v>
      </c>
      <c r="P998" s="1">
        <v>0</v>
      </c>
      <c r="Q998" s="1">
        <v>0.9</v>
      </c>
      <c r="R998" s="1">
        <v>0</v>
      </c>
      <c r="S998">
        <f t="shared" si="638"/>
        <v>0.9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0.1</v>
      </c>
      <c r="AA998">
        <f t="shared" si="640"/>
        <v>0.1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18</v>
      </c>
      <c r="AI998">
        <v>0.8</v>
      </c>
      <c r="AJ998" s="5">
        <f t="shared" si="642"/>
        <v>18.8</v>
      </c>
      <c r="AK998">
        <v>0</v>
      </c>
      <c r="AL998">
        <v>0.34</v>
      </c>
      <c r="AM998">
        <f t="shared" si="683"/>
        <v>0.65900000000000003</v>
      </c>
      <c r="AN998">
        <v>13808</v>
      </c>
      <c r="AO998" t="s">
        <v>13</v>
      </c>
      <c r="AP998" s="3">
        <f t="shared" si="749"/>
        <v>40492.668621700883</v>
      </c>
      <c r="AQ998" t="s">
        <v>13</v>
      </c>
      <c r="AR998">
        <f t="shared" si="753"/>
        <v>0.28528072837632773</v>
      </c>
      <c r="AS998">
        <f t="shared" si="750"/>
        <v>0.47100000000000003</v>
      </c>
      <c r="AT998">
        <f t="shared" si="751"/>
        <v>19072</v>
      </c>
      <c r="AU998">
        <f t="shared" si="752"/>
        <v>7613</v>
      </c>
      <c r="AV998">
        <f t="shared" si="598"/>
        <v>10062</v>
      </c>
      <c r="AW998">
        <f t="shared" si="599"/>
        <v>10815</v>
      </c>
      <c r="AX998" s="3">
        <f t="shared" si="600"/>
        <v>19615.668621700883</v>
      </c>
      <c r="AY998">
        <f t="shared" si="601"/>
        <v>9536</v>
      </c>
      <c r="AZ998">
        <f t="shared" si="602"/>
        <v>11002</v>
      </c>
      <c r="BA998" s="3">
        <f t="shared" si="603"/>
        <v>19954.668621700883</v>
      </c>
    </row>
    <row r="999" spans="1:53" x14ac:dyDescent="0.2">
      <c r="A999">
        <v>1987</v>
      </c>
      <c r="B999" t="s">
        <v>90</v>
      </c>
      <c r="C999" t="s">
        <v>85</v>
      </c>
      <c r="D999">
        <v>26.5</v>
      </c>
      <c r="E999">
        <v>1.7</v>
      </c>
      <c r="F999">
        <v>0.1</v>
      </c>
      <c r="G999">
        <v>12.8</v>
      </c>
      <c r="H999">
        <v>0.9</v>
      </c>
      <c r="I999">
        <v>1.5</v>
      </c>
      <c r="J999">
        <v>0</v>
      </c>
      <c r="K999">
        <f t="shared" si="480"/>
        <v>43.5</v>
      </c>
      <c r="L999" s="1">
        <v>1.3</v>
      </c>
      <c r="M999" s="1">
        <v>0.5</v>
      </c>
      <c r="N999" s="1">
        <v>0</v>
      </c>
      <c r="O999">
        <f t="shared" si="636"/>
        <v>1.8</v>
      </c>
      <c r="P999" s="1">
        <v>0</v>
      </c>
      <c r="Q999" s="1">
        <v>0</v>
      </c>
      <c r="R999" s="1">
        <v>0</v>
      </c>
      <c r="S999">
        <f t="shared" si="638"/>
        <v>0</v>
      </c>
      <c r="T999">
        <v>0.4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0.7</v>
      </c>
      <c r="AA999">
        <f t="shared" si="640"/>
        <v>1.1000000000000001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20.399999999999999</v>
      </c>
      <c r="AI999">
        <v>0.4</v>
      </c>
      <c r="AJ999" s="5">
        <f t="shared" si="642"/>
        <v>20.799999999999997</v>
      </c>
      <c r="AK999">
        <v>0</v>
      </c>
      <c r="AL999">
        <v>0.32899999999999996</v>
      </c>
      <c r="AM999">
        <f t="shared" si="683"/>
        <v>0.67200000000000004</v>
      </c>
      <c r="AN999">
        <v>19013</v>
      </c>
      <c r="AO999" t="s">
        <v>13</v>
      </c>
      <c r="AP999" s="3">
        <f t="shared" si="749"/>
        <v>57966.463414634156</v>
      </c>
      <c r="AQ999" t="s">
        <v>13</v>
      </c>
      <c r="AR999">
        <f t="shared" si="753"/>
        <v>0.30952380952380942</v>
      </c>
      <c r="AS999">
        <f t="shared" si="750"/>
        <v>0.46399999999999997</v>
      </c>
      <c r="AT999">
        <f t="shared" si="751"/>
        <v>26896</v>
      </c>
      <c r="AU999">
        <f t="shared" si="752"/>
        <v>12057</v>
      </c>
      <c r="AV999">
        <f t="shared" si="598"/>
        <v>14289</v>
      </c>
      <c r="AW999">
        <f t="shared" si="599"/>
        <v>16949</v>
      </c>
      <c r="AX999" s="3">
        <f t="shared" si="600"/>
        <v>26728.463414634156</v>
      </c>
      <c r="AY999">
        <f t="shared" si="601"/>
        <v>13448</v>
      </c>
      <c r="AZ999">
        <f t="shared" si="602"/>
        <v>17276</v>
      </c>
      <c r="BA999" s="3">
        <f t="shared" si="603"/>
        <v>27242.463414634156</v>
      </c>
    </row>
    <row r="1000" spans="1:53" x14ac:dyDescent="0.2">
      <c r="A1000">
        <v>1988</v>
      </c>
      <c r="B1000" t="s">
        <v>90</v>
      </c>
      <c r="C1000" t="s">
        <v>85</v>
      </c>
      <c r="D1000">
        <v>21.6</v>
      </c>
      <c r="E1000">
        <v>1.6</v>
      </c>
      <c r="F1000">
        <v>1.5</v>
      </c>
      <c r="G1000">
        <v>8.5</v>
      </c>
      <c r="H1000">
        <v>0.9</v>
      </c>
      <c r="I1000">
        <v>5.4</v>
      </c>
      <c r="J1000">
        <v>0</v>
      </c>
      <c r="K1000">
        <f t="shared" si="480"/>
        <v>39.5</v>
      </c>
      <c r="L1000" s="1">
        <v>1.9</v>
      </c>
      <c r="M1000" s="1">
        <v>0.4</v>
      </c>
      <c r="N1000" s="1">
        <v>0</v>
      </c>
      <c r="O1000">
        <f t="shared" si="636"/>
        <v>2.2999999999999998</v>
      </c>
      <c r="P1000" s="1">
        <v>0</v>
      </c>
      <c r="Q1000" s="1">
        <v>0</v>
      </c>
      <c r="R1000" s="1">
        <v>1</v>
      </c>
      <c r="S1000">
        <f t="shared" si="638"/>
        <v>1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3.3</v>
      </c>
      <c r="AA1000">
        <f t="shared" si="640"/>
        <v>3.3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13.4</v>
      </c>
      <c r="AI1000">
        <v>2.7</v>
      </c>
      <c r="AJ1000" s="5">
        <f t="shared" si="642"/>
        <v>16.100000000000001</v>
      </c>
      <c r="AK1000">
        <v>0</v>
      </c>
      <c r="AL1000">
        <v>0.37799999999999995</v>
      </c>
      <c r="AM1000">
        <f t="shared" si="683"/>
        <v>0.622</v>
      </c>
      <c r="AN1000">
        <v>28158</v>
      </c>
      <c r="AO1000" t="s">
        <v>13</v>
      </c>
      <c r="AP1000" s="3">
        <f t="shared" si="749"/>
        <v>74492.063492063491</v>
      </c>
      <c r="AQ1000" t="s">
        <v>13</v>
      </c>
      <c r="AR1000">
        <f t="shared" si="753"/>
        <v>0.25884244372990356</v>
      </c>
      <c r="AS1000">
        <f t="shared" si="750"/>
        <v>0.46099999999999997</v>
      </c>
      <c r="AT1000">
        <f t="shared" si="751"/>
        <v>34341</v>
      </c>
      <c r="AU1000">
        <f t="shared" si="752"/>
        <v>11993</v>
      </c>
      <c r="AV1000">
        <f t="shared" si="598"/>
        <v>19629</v>
      </c>
      <c r="AW1000">
        <f t="shared" si="599"/>
        <v>16387</v>
      </c>
      <c r="AX1000" s="3">
        <f t="shared" si="600"/>
        <v>38476.063492063491</v>
      </c>
      <c r="AY1000">
        <f t="shared" si="601"/>
        <v>17170</v>
      </c>
      <c r="AZ1000">
        <f t="shared" si="602"/>
        <v>17122</v>
      </c>
      <c r="BA1000" s="3">
        <f t="shared" si="603"/>
        <v>40200.063492063491</v>
      </c>
    </row>
    <row r="1001" spans="1:53" x14ac:dyDescent="0.2">
      <c r="A1001">
        <v>1989</v>
      </c>
      <c r="B1001" t="s">
        <v>90</v>
      </c>
      <c r="C1001" t="s">
        <v>85</v>
      </c>
      <c r="D1001">
        <v>11.7</v>
      </c>
      <c r="E1001">
        <v>0.3</v>
      </c>
      <c r="F1001">
        <v>0.2</v>
      </c>
      <c r="G1001">
        <v>11.7</v>
      </c>
      <c r="H1001">
        <v>0.2</v>
      </c>
      <c r="I1001">
        <v>10.5</v>
      </c>
      <c r="J1001">
        <v>0</v>
      </c>
      <c r="K1001">
        <f t="shared" si="480"/>
        <v>34.599999999999994</v>
      </c>
      <c r="L1001" s="1">
        <v>0.6</v>
      </c>
      <c r="M1001" s="1">
        <v>0.3</v>
      </c>
      <c r="N1001" s="1">
        <v>0</v>
      </c>
      <c r="O1001">
        <f t="shared" si="636"/>
        <v>0.89999999999999991</v>
      </c>
      <c r="P1001" s="1">
        <v>0</v>
      </c>
      <c r="Q1001" s="1">
        <v>0</v>
      </c>
      <c r="R1001" s="1">
        <v>0</v>
      </c>
      <c r="S1001">
        <f t="shared" si="638"/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2</v>
      </c>
      <c r="AA1001">
        <f t="shared" si="640"/>
        <v>2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30.9</v>
      </c>
      <c r="AI1001">
        <v>2.2999999999999998</v>
      </c>
      <c r="AJ1001" s="5">
        <f t="shared" si="642"/>
        <v>33.199999999999996</v>
      </c>
      <c r="AK1001">
        <v>0</v>
      </c>
      <c r="AL1001">
        <v>0.29199999999999998</v>
      </c>
      <c r="AM1001">
        <f t="shared" si="683"/>
        <v>0.70700000000000007</v>
      </c>
      <c r="AN1001">
        <v>25677</v>
      </c>
      <c r="AO1001" t="s">
        <v>13</v>
      </c>
      <c r="AP1001" s="3">
        <f t="shared" si="749"/>
        <v>87634.812286689441</v>
      </c>
      <c r="AQ1001" t="s">
        <v>13</v>
      </c>
      <c r="AR1001">
        <f t="shared" si="753"/>
        <v>0.46958981612446948</v>
      </c>
      <c r="AS1001">
        <f t="shared" si="750"/>
        <v>0.37499999999999994</v>
      </c>
      <c r="AT1001">
        <f t="shared" si="751"/>
        <v>32863</v>
      </c>
      <c r="AU1001">
        <f t="shared" si="752"/>
        <v>29095</v>
      </c>
      <c r="AV1001">
        <f t="shared" si="598"/>
        <v>17702</v>
      </c>
      <c r="AW1001">
        <f t="shared" si="599"/>
        <v>37149</v>
      </c>
      <c r="AX1001" s="3">
        <f t="shared" si="600"/>
        <v>32783.812286689441</v>
      </c>
      <c r="AY1001">
        <f t="shared" si="601"/>
        <v>16432</v>
      </c>
      <c r="AZ1001">
        <f t="shared" si="602"/>
        <v>37823</v>
      </c>
      <c r="BA1001" s="3">
        <f t="shared" si="603"/>
        <v>33379.812286689441</v>
      </c>
    </row>
    <row r="1002" spans="1:53" x14ac:dyDescent="0.2">
      <c r="A1002">
        <v>1990</v>
      </c>
      <c r="B1002" t="s">
        <v>90</v>
      </c>
      <c r="C1002" t="s">
        <v>85</v>
      </c>
      <c r="D1002">
        <v>15.1</v>
      </c>
      <c r="E1002">
        <v>0.5</v>
      </c>
      <c r="F1002">
        <v>0.3</v>
      </c>
      <c r="G1002">
        <v>6.3</v>
      </c>
      <c r="H1002">
        <v>2.6</v>
      </c>
      <c r="I1002">
        <v>7.1</v>
      </c>
      <c r="J1002">
        <v>0</v>
      </c>
      <c r="K1002">
        <f t="shared" ref="K1002:K1065" si="754">SUM(D1002:J1002)</f>
        <v>31.9</v>
      </c>
      <c r="L1002" s="1">
        <v>0.3</v>
      </c>
      <c r="M1002" s="1">
        <v>0.2</v>
      </c>
      <c r="N1002" s="1">
        <v>0</v>
      </c>
      <c r="O1002">
        <f t="shared" si="636"/>
        <v>0.5</v>
      </c>
      <c r="P1002" s="1">
        <v>0</v>
      </c>
      <c r="Q1002" s="1">
        <v>0</v>
      </c>
      <c r="R1002" s="1">
        <v>0</v>
      </c>
      <c r="S1002">
        <f t="shared" si="638"/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f t="shared" si="640"/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34.799999999999997</v>
      </c>
      <c r="AI1002">
        <v>3.4</v>
      </c>
      <c r="AJ1002" s="5">
        <f t="shared" si="642"/>
        <v>38.199999999999996</v>
      </c>
      <c r="AK1002">
        <v>0</v>
      </c>
      <c r="AL1002">
        <v>0.29299999999999998</v>
      </c>
      <c r="AM1002">
        <f t="shared" si="683"/>
        <v>0.70599999999999996</v>
      </c>
      <c r="AN1002">
        <v>16995</v>
      </c>
      <c r="AO1002" t="s">
        <v>13</v>
      </c>
      <c r="AP1002" s="3">
        <f t="shared" si="749"/>
        <v>57806.122448979586</v>
      </c>
      <c r="AQ1002" t="s">
        <v>13</v>
      </c>
      <c r="AR1002">
        <f t="shared" si="753"/>
        <v>0.54107648725212465</v>
      </c>
      <c r="AS1002">
        <f t="shared" si="750"/>
        <v>0.32400000000000001</v>
      </c>
      <c r="AT1002">
        <f t="shared" si="751"/>
        <v>18729</v>
      </c>
      <c r="AU1002">
        <f t="shared" si="752"/>
        <v>22082</v>
      </c>
      <c r="AV1002">
        <f t="shared" si="598"/>
        <v>9509</v>
      </c>
      <c r="AW1002">
        <f t="shared" si="599"/>
        <v>27292</v>
      </c>
      <c r="AX1002" s="3">
        <f t="shared" si="600"/>
        <v>21005.122448979586</v>
      </c>
      <c r="AY1002">
        <f t="shared" si="601"/>
        <v>9365</v>
      </c>
      <c r="AZ1002">
        <f t="shared" si="602"/>
        <v>27373</v>
      </c>
      <c r="BA1002" s="3">
        <f t="shared" si="603"/>
        <v>21068.122448979586</v>
      </c>
    </row>
    <row r="1003" spans="1:53" x14ac:dyDescent="0.2">
      <c r="A1003">
        <v>1991</v>
      </c>
      <c r="B1003" t="s">
        <v>90</v>
      </c>
      <c r="C1003" t="s">
        <v>85</v>
      </c>
      <c r="D1003">
        <v>24.6</v>
      </c>
      <c r="E1003">
        <v>0.3</v>
      </c>
      <c r="F1003">
        <v>0.8</v>
      </c>
      <c r="G1003">
        <v>10.3</v>
      </c>
      <c r="H1003">
        <v>1.3</v>
      </c>
      <c r="I1003">
        <v>6.2</v>
      </c>
      <c r="J1003">
        <v>0</v>
      </c>
      <c r="K1003">
        <f t="shared" si="754"/>
        <v>43.5</v>
      </c>
      <c r="L1003" s="1">
        <v>0</v>
      </c>
      <c r="M1003" s="1">
        <v>0</v>
      </c>
      <c r="N1003" s="1">
        <v>0</v>
      </c>
      <c r="O1003">
        <f t="shared" si="636"/>
        <v>0</v>
      </c>
      <c r="P1003" s="1">
        <v>0</v>
      </c>
      <c r="Q1003" s="1">
        <v>0</v>
      </c>
      <c r="R1003" s="1">
        <v>0</v>
      </c>
      <c r="S1003">
        <f t="shared" si="638"/>
        <v>0</v>
      </c>
      <c r="T1003">
        <v>0</v>
      </c>
      <c r="U1003">
        <v>0.3</v>
      </c>
      <c r="V1003">
        <v>0</v>
      </c>
      <c r="W1003">
        <v>0</v>
      </c>
      <c r="X1003">
        <v>0</v>
      </c>
      <c r="Y1003">
        <v>0</v>
      </c>
      <c r="Z1003">
        <v>0.5</v>
      </c>
      <c r="AA1003">
        <f t="shared" si="640"/>
        <v>0.8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24.7</v>
      </c>
      <c r="AI1003">
        <v>6.2</v>
      </c>
      <c r="AJ1003" s="5">
        <f t="shared" si="642"/>
        <v>30.9</v>
      </c>
      <c r="AK1003">
        <v>0</v>
      </c>
      <c r="AL1003">
        <v>0.249</v>
      </c>
      <c r="AM1003">
        <f t="shared" si="683"/>
        <v>0.75199999999999989</v>
      </c>
      <c r="AN1003">
        <v>14392</v>
      </c>
      <c r="AO1003" t="s">
        <v>13</v>
      </c>
      <c r="AP1003" s="3">
        <f t="shared" si="749"/>
        <v>58032.258064516107</v>
      </c>
      <c r="AQ1003" t="s">
        <v>13</v>
      </c>
      <c r="AR1003">
        <f t="shared" si="753"/>
        <v>0.41090425531914898</v>
      </c>
      <c r="AS1003">
        <f t="shared" si="750"/>
        <v>0.44299999999999995</v>
      </c>
      <c r="AT1003">
        <f t="shared" si="751"/>
        <v>25708</v>
      </c>
      <c r="AU1003">
        <f t="shared" si="752"/>
        <v>17932</v>
      </c>
      <c r="AV1003">
        <f t="shared" si="598"/>
        <v>13086</v>
      </c>
      <c r="AW1003">
        <f t="shared" si="599"/>
        <v>24934</v>
      </c>
      <c r="AX1003" s="3">
        <f t="shared" si="600"/>
        <v>20012.258064516107</v>
      </c>
      <c r="AY1003">
        <f t="shared" si="601"/>
        <v>12854</v>
      </c>
      <c r="AZ1003">
        <f t="shared" si="602"/>
        <v>25063</v>
      </c>
      <c r="BA1003" s="3">
        <f t="shared" si="603"/>
        <v>20115.258064516107</v>
      </c>
    </row>
    <row r="1004" spans="1:53" x14ac:dyDescent="0.2">
      <c r="A1004">
        <v>1992</v>
      </c>
      <c r="B1004" t="s">
        <v>90</v>
      </c>
      <c r="C1004" t="s">
        <v>85</v>
      </c>
      <c r="D1004">
        <v>15.1</v>
      </c>
      <c r="E1004">
        <v>6.1</v>
      </c>
      <c r="F1004">
        <v>2.5</v>
      </c>
      <c r="G1004">
        <v>11.2</v>
      </c>
      <c r="H1004">
        <v>1.9</v>
      </c>
      <c r="I1004">
        <v>16.3</v>
      </c>
      <c r="J1004">
        <v>0</v>
      </c>
      <c r="K1004">
        <f t="shared" si="754"/>
        <v>53.099999999999994</v>
      </c>
      <c r="L1004" s="1">
        <v>0</v>
      </c>
      <c r="M1004" s="1">
        <v>0.2</v>
      </c>
      <c r="N1004" s="1">
        <v>0</v>
      </c>
      <c r="O1004">
        <f t="shared" si="636"/>
        <v>0.2</v>
      </c>
      <c r="P1004" s="1">
        <v>0</v>
      </c>
      <c r="Q1004" s="1">
        <v>0</v>
      </c>
      <c r="R1004" s="1">
        <v>0</v>
      </c>
      <c r="S1004">
        <f t="shared" si="638"/>
        <v>0</v>
      </c>
      <c r="T1004">
        <v>0</v>
      </c>
      <c r="U1004">
        <v>0.3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f t="shared" si="640"/>
        <v>0.3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18.399999999999999</v>
      </c>
      <c r="AI1004">
        <v>3.9</v>
      </c>
      <c r="AJ1004" s="5">
        <f t="shared" si="642"/>
        <v>22.299999999999997</v>
      </c>
      <c r="AK1004">
        <v>0</v>
      </c>
      <c r="AL1004">
        <v>0.24299999999999999</v>
      </c>
      <c r="AM1004">
        <f t="shared" si="683"/>
        <v>0.75900000000000001</v>
      </c>
      <c r="AN1004">
        <v>16592</v>
      </c>
      <c r="AO1004" t="s">
        <v>13</v>
      </c>
      <c r="AP1004" s="3">
        <f t="shared" si="749"/>
        <v>68846.47302904565</v>
      </c>
      <c r="AQ1004" t="s">
        <v>13</v>
      </c>
      <c r="AR1004">
        <f t="shared" si="753"/>
        <v>0.29380764163372858</v>
      </c>
      <c r="AS1004">
        <f t="shared" si="750"/>
        <v>0.53599999999999992</v>
      </c>
      <c r="AT1004">
        <f t="shared" si="751"/>
        <v>36902</v>
      </c>
      <c r="AU1004">
        <f t="shared" si="752"/>
        <v>15353</v>
      </c>
      <c r="AV1004">
        <f t="shared" si="598"/>
        <v>18623</v>
      </c>
      <c r="AW1004">
        <f t="shared" si="599"/>
        <v>24138</v>
      </c>
      <c r="AX1004" s="3">
        <f t="shared" si="600"/>
        <v>26085.47302904565</v>
      </c>
      <c r="AY1004">
        <f t="shared" si="601"/>
        <v>18451</v>
      </c>
      <c r="AZ1004">
        <f t="shared" si="602"/>
        <v>24221</v>
      </c>
      <c r="BA1004" s="3">
        <f t="shared" si="603"/>
        <v>26174.47302904565</v>
      </c>
    </row>
    <row r="1005" spans="1:53" x14ac:dyDescent="0.2">
      <c r="A1005">
        <v>1993</v>
      </c>
      <c r="B1005" t="s">
        <v>90</v>
      </c>
      <c r="C1005" t="s">
        <v>85</v>
      </c>
      <c r="D1005">
        <v>20.5</v>
      </c>
      <c r="E1005">
        <v>2.2000000000000002</v>
      </c>
      <c r="F1005">
        <v>0.7</v>
      </c>
      <c r="G1005">
        <v>12.7</v>
      </c>
      <c r="H1005">
        <v>1.4</v>
      </c>
      <c r="I1005">
        <v>13.2</v>
      </c>
      <c r="J1005">
        <v>0</v>
      </c>
      <c r="K1005">
        <f t="shared" si="754"/>
        <v>50.699999999999989</v>
      </c>
      <c r="L1005" s="1">
        <v>0.3</v>
      </c>
      <c r="M1005" s="1">
        <v>0</v>
      </c>
      <c r="N1005" s="1">
        <v>0</v>
      </c>
      <c r="O1005">
        <f t="shared" si="636"/>
        <v>0.3</v>
      </c>
      <c r="P1005" s="1">
        <v>0</v>
      </c>
      <c r="Q1005" s="1">
        <v>0</v>
      </c>
      <c r="R1005" s="1">
        <v>0</v>
      </c>
      <c r="S1005">
        <f t="shared" si="638"/>
        <v>0</v>
      </c>
      <c r="T1005">
        <v>0.5</v>
      </c>
      <c r="U1005">
        <v>1.9</v>
      </c>
      <c r="V1005">
        <v>0</v>
      </c>
      <c r="W1005">
        <v>0</v>
      </c>
      <c r="X1005">
        <v>0</v>
      </c>
      <c r="Y1005">
        <v>0</v>
      </c>
      <c r="Z1005">
        <v>1</v>
      </c>
      <c r="AA1005">
        <f t="shared" si="640"/>
        <v>3.4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21.1</v>
      </c>
      <c r="AI1005">
        <v>4.9000000000000004</v>
      </c>
      <c r="AJ1005" s="5">
        <f t="shared" si="642"/>
        <v>26</v>
      </c>
      <c r="AK1005">
        <v>0</v>
      </c>
      <c r="AL1005">
        <v>0.19600000000000001</v>
      </c>
      <c r="AM1005">
        <f t="shared" si="683"/>
        <v>0.80400000000000016</v>
      </c>
      <c r="AN1005">
        <v>13349</v>
      </c>
      <c r="AO1005" t="s">
        <v>13</v>
      </c>
      <c r="AP1005" s="3">
        <f t="shared" si="749"/>
        <v>68107.142857142913</v>
      </c>
      <c r="AQ1005" t="s">
        <v>13</v>
      </c>
      <c r="AR1005">
        <f t="shared" si="753"/>
        <v>0.3233830845771144</v>
      </c>
      <c r="AS1005">
        <f t="shared" si="750"/>
        <v>0.54399999999999982</v>
      </c>
      <c r="AT1005">
        <f t="shared" si="751"/>
        <v>37050</v>
      </c>
      <c r="AU1005">
        <f t="shared" si="752"/>
        <v>17708</v>
      </c>
      <c r="AV1005">
        <f t="shared" si="598"/>
        <v>19785</v>
      </c>
      <c r="AW1005">
        <f t="shared" si="599"/>
        <v>27552</v>
      </c>
      <c r="AX1005" s="3">
        <f t="shared" si="600"/>
        <v>20770.142857142913</v>
      </c>
      <c r="AY1005">
        <f t="shared" si="601"/>
        <v>18525</v>
      </c>
      <c r="AZ1005">
        <f t="shared" si="602"/>
        <v>28270</v>
      </c>
      <c r="BA1005" s="3">
        <f t="shared" si="603"/>
        <v>21312.142857142913</v>
      </c>
    </row>
    <row r="1006" spans="1:53" x14ac:dyDescent="0.2">
      <c r="A1006">
        <v>1994</v>
      </c>
      <c r="B1006" t="s">
        <v>90</v>
      </c>
      <c r="C1006" t="s">
        <v>85</v>
      </c>
      <c r="D1006">
        <v>22.5</v>
      </c>
      <c r="E1006">
        <v>1.2</v>
      </c>
      <c r="F1006">
        <v>0.4</v>
      </c>
      <c r="G1006">
        <v>21.2</v>
      </c>
      <c r="H1006">
        <v>1.4</v>
      </c>
      <c r="I1006">
        <v>4</v>
      </c>
      <c r="J1006">
        <v>0.5</v>
      </c>
      <c r="K1006">
        <f t="shared" si="754"/>
        <v>51.199999999999996</v>
      </c>
      <c r="L1006" s="1">
        <v>0.2</v>
      </c>
      <c r="M1006" s="1">
        <v>0.3</v>
      </c>
      <c r="N1006" s="1">
        <v>0</v>
      </c>
      <c r="O1006">
        <f t="shared" si="636"/>
        <v>0.5</v>
      </c>
      <c r="P1006" s="1">
        <v>0</v>
      </c>
      <c r="Q1006" s="1">
        <v>0</v>
      </c>
      <c r="R1006" s="1">
        <v>0.7</v>
      </c>
      <c r="S1006">
        <f t="shared" si="638"/>
        <v>0.7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f t="shared" si="640"/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19</v>
      </c>
      <c r="AI1006">
        <v>5.6</v>
      </c>
      <c r="AJ1006" s="5">
        <f t="shared" si="642"/>
        <v>24.6</v>
      </c>
      <c r="AK1006">
        <v>0</v>
      </c>
      <c r="AL1006">
        <v>0.23</v>
      </c>
      <c r="AM1006">
        <f t="shared" si="683"/>
        <v>0.77</v>
      </c>
      <c r="AN1006">
        <v>14320</v>
      </c>
      <c r="AO1006" t="s">
        <v>13</v>
      </c>
      <c r="AP1006" s="3">
        <f t="shared" si="749"/>
        <v>62260.869565217399</v>
      </c>
      <c r="AQ1006" t="s">
        <v>13</v>
      </c>
      <c r="AR1006">
        <f t="shared" si="753"/>
        <v>0.31948051948051953</v>
      </c>
      <c r="AS1006">
        <f t="shared" si="750"/>
        <v>0.52400000000000002</v>
      </c>
      <c r="AT1006">
        <f t="shared" si="751"/>
        <v>32625</v>
      </c>
      <c r="AU1006">
        <f t="shared" si="752"/>
        <v>15316</v>
      </c>
      <c r="AV1006">
        <f t="shared" si="598"/>
        <v>16686</v>
      </c>
      <c r="AW1006">
        <f t="shared" si="599"/>
        <v>23553</v>
      </c>
      <c r="AX1006" s="3">
        <f t="shared" si="600"/>
        <v>22021.869565217399</v>
      </c>
      <c r="AY1006">
        <f t="shared" si="601"/>
        <v>16312</v>
      </c>
      <c r="AZ1006">
        <f t="shared" si="602"/>
        <v>23747</v>
      </c>
      <c r="BA1006" s="3">
        <f t="shared" si="603"/>
        <v>22201.869565217399</v>
      </c>
    </row>
    <row r="1007" spans="1:53" x14ac:dyDescent="0.2">
      <c r="A1007">
        <v>1995</v>
      </c>
      <c r="B1007" t="s">
        <v>90</v>
      </c>
      <c r="C1007" t="s">
        <v>85</v>
      </c>
      <c r="D1007">
        <v>21.4</v>
      </c>
      <c r="E1007">
        <v>0</v>
      </c>
      <c r="F1007">
        <v>1.7</v>
      </c>
      <c r="G1007">
        <v>6.4</v>
      </c>
      <c r="H1007">
        <v>3.8</v>
      </c>
      <c r="I1007">
        <v>0.8</v>
      </c>
      <c r="J1007">
        <v>0</v>
      </c>
      <c r="K1007">
        <f t="shared" si="754"/>
        <v>34.099999999999994</v>
      </c>
      <c r="L1007" s="1">
        <v>0</v>
      </c>
      <c r="M1007" s="1">
        <v>0.2</v>
      </c>
      <c r="N1007" s="1">
        <v>0</v>
      </c>
      <c r="O1007">
        <f t="shared" si="636"/>
        <v>0.2</v>
      </c>
      <c r="P1007" s="1">
        <v>0</v>
      </c>
      <c r="Q1007" s="1">
        <v>0</v>
      </c>
      <c r="R1007" s="1">
        <v>0.6</v>
      </c>
      <c r="S1007">
        <f t="shared" si="638"/>
        <v>0.6</v>
      </c>
      <c r="T1007">
        <v>0.7</v>
      </c>
      <c r="U1007">
        <v>0</v>
      </c>
      <c r="V1007">
        <v>0</v>
      </c>
      <c r="W1007">
        <v>0</v>
      </c>
      <c r="X1007">
        <v>0</v>
      </c>
      <c r="Y1007">
        <v>0.2</v>
      </c>
      <c r="Z1007">
        <v>0</v>
      </c>
      <c r="AA1007">
        <f t="shared" si="640"/>
        <v>0.89999999999999991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26.6</v>
      </c>
      <c r="AI1007">
        <v>10.9</v>
      </c>
      <c r="AJ1007" s="5">
        <f t="shared" si="642"/>
        <v>37.5</v>
      </c>
      <c r="AK1007">
        <v>0</v>
      </c>
      <c r="AL1007">
        <v>0.26800000000000002</v>
      </c>
      <c r="AM1007">
        <f t="shared" si="683"/>
        <v>0.7330000000000001</v>
      </c>
      <c r="AN1007">
        <v>12727</v>
      </c>
      <c r="AO1007" t="s">
        <v>13</v>
      </c>
      <c r="AP1007" s="3">
        <f t="shared" si="749"/>
        <v>47666.666666666686</v>
      </c>
      <c r="AQ1007" t="s">
        <v>13</v>
      </c>
      <c r="AR1007">
        <f t="shared" si="753"/>
        <v>0.51159618008185537</v>
      </c>
      <c r="AS1007">
        <f t="shared" si="750"/>
        <v>0.35799999999999998</v>
      </c>
      <c r="AT1007">
        <f t="shared" si="751"/>
        <v>17065</v>
      </c>
      <c r="AU1007">
        <f t="shared" si="752"/>
        <v>17875</v>
      </c>
      <c r="AV1007">
        <f t="shared" si="598"/>
        <v>8938</v>
      </c>
      <c r="AW1007">
        <f t="shared" si="599"/>
        <v>22622</v>
      </c>
      <c r="AX1007" s="3">
        <f t="shared" si="600"/>
        <v>16106.666666666686</v>
      </c>
      <c r="AY1007">
        <f t="shared" si="601"/>
        <v>8532</v>
      </c>
      <c r="AZ1007">
        <f t="shared" si="602"/>
        <v>22859</v>
      </c>
      <c r="BA1007" s="3">
        <f t="shared" si="603"/>
        <v>16275.666666666686</v>
      </c>
    </row>
    <row r="1008" spans="1:53" x14ac:dyDescent="0.2">
      <c r="A1008">
        <v>1996</v>
      </c>
      <c r="B1008" t="s">
        <v>90</v>
      </c>
      <c r="C1008" t="s">
        <v>85</v>
      </c>
      <c r="D1008">
        <v>21.7</v>
      </c>
      <c r="E1008">
        <v>0</v>
      </c>
      <c r="F1008">
        <v>2.7</v>
      </c>
      <c r="G1008">
        <v>0.8</v>
      </c>
      <c r="H1008">
        <v>0</v>
      </c>
      <c r="I1008">
        <v>0.4</v>
      </c>
      <c r="J1008">
        <v>0</v>
      </c>
      <c r="K1008">
        <f t="shared" si="754"/>
        <v>25.599999999999998</v>
      </c>
      <c r="L1008" s="1">
        <v>0.3</v>
      </c>
      <c r="M1008" s="1">
        <v>0</v>
      </c>
      <c r="N1008" s="1">
        <v>0</v>
      </c>
      <c r="O1008">
        <f t="shared" si="636"/>
        <v>0.3</v>
      </c>
      <c r="P1008" s="1">
        <v>0</v>
      </c>
      <c r="Q1008" s="1">
        <v>0</v>
      </c>
      <c r="R1008" s="1">
        <v>0</v>
      </c>
      <c r="S1008">
        <f t="shared" si="638"/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f t="shared" si="640"/>
        <v>0</v>
      </c>
      <c r="AB1008">
        <v>0</v>
      </c>
      <c r="AC1008">
        <v>0</v>
      </c>
      <c r="AD1008">
        <v>0</v>
      </c>
      <c r="AE1008">
        <v>0</v>
      </c>
      <c r="AF1008">
        <v>0.1</v>
      </c>
      <c r="AG1008">
        <v>0</v>
      </c>
      <c r="AH1008">
        <v>12.4</v>
      </c>
      <c r="AI1008">
        <v>16.2</v>
      </c>
      <c r="AJ1008" s="5">
        <f t="shared" si="642"/>
        <v>28.7</v>
      </c>
      <c r="AK1008">
        <v>0</v>
      </c>
      <c r="AL1008">
        <v>0.45500000000000002</v>
      </c>
      <c r="AM1008">
        <f t="shared" si="683"/>
        <v>0.54600000000000004</v>
      </c>
      <c r="AN1008">
        <v>20227</v>
      </c>
      <c r="AO1008" t="s">
        <v>13</v>
      </c>
      <c r="AP1008" s="3">
        <f t="shared" si="749"/>
        <v>44552.863436123349</v>
      </c>
      <c r="AQ1008" t="s">
        <v>13</v>
      </c>
      <c r="AR1008">
        <f t="shared" si="753"/>
        <v>0.52564102564102555</v>
      </c>
      <c r="AS1008">
        <f t="shared" si="750"/>
        <v>0.25900000000000001</v>
      </c>
      <c r="AT1008">
        <f t="shared" si="751"/>
        <v>11539</v>
      </c>
      <c r="AU1008">
        <f t="shared" si="752"/>
        <v>12787</v>
      </c>
      <c r="AV1008">
        <f t="shared" si="598"/>
        <v>5836</v>
      </c>
      <c r="AW1008">
        <f t="shared" si="599"/>
        <v>14996</v>
      </c>
      <c r="AX1008" s="3">
        <f t="shared" si="600"/>
        <v>23720.863436123349</v>
      </c>
      <c r="AY1008">
        <f t="shared" si="601"/>
        <v>5770</v>
      </c>
      <c r="AZ1008">
        <f t="shared" si="602"/>
        <v>15021</v>
      </c>
      <c r="BA1008" s="3">
        <f t="shared" si="603"/>
        <v>23761.863436123349</v>
      </c>
    </row>
    <row r="1009" spans="1:53" x14ac:dyDescent="0.2">
      <c r="A1009">
        <v>1997</v>
      </c>
      <c r="B1009" t="s">
        <v>90</v>
      </c>
      <c r="C1009" t="s">
        <v>85</v>
      </c>
      <c r="D1009">
        <v>37.799999999999997</v>
      </c>
      <c r="E1009">
        <v>0.6</v>
      </c>
      <c r="F1009">
        <v>0</v>
      </c>
      <c r="G1009">
        <v>7.8</v>
      </c>
      <c r="H1009">
        <v>0</v>
      </c>
      <c r="I1009">
        <v>0.3</v>
      </c>
      <c r="J1009">
        <v>0</v>
      </c>
      <c r="K1009">
        <f t="shared" si="754"/>
        <v>46.499999999999993</v>
      </c>
      <c r="L1009" s="1">
        <v>0.3</v>
      </c>
      <c r="M1009" s="1">
        <v>0</v>
      </c>
      <c r="N1009" s="1">
        <v>0</v>
      </c>
      <c r="O1009">
        <f t="shared" si="636"/>
        <v>0.3</v>
      </c>
      <c r="P1009" s="1">
        <v>0</v>
      </c>
      <c r="Q1009" s="1">
        <v>0</v>
      </c>
      <c r="R1009" s="1">
        <v>0</v>
      </c>
      <c r="S1009">
        <f t="shared" si="638"/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f t="shared" si="640"/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16.600000000000001</v>
      </c>
      <c r="AI1009">
        <v>4.5999999999999996</v>
      </c>
      <c r="AJ1009" s="5">
        <f t="shared" si="642"/>
        <v>21.200000000000003</v>
      </c>
      <c r="AK1009">
        <v>0</v>
      </c>
      <c r="AL1009">
        <v>0.32</v>
      </c>
      <c r="AM1009">
        <f t="shared" si="683"/>
        <v>0.68</v>
      </c>
      <c r="AN1009">
        <v>18168</v>
      </c>
      <c r="AO1009" t="s">
        <v>13</v>
      </c>
      <c r="AP1009" s="3">
        <f t="shared" si="749"/>
        <v>56775.000000000007</v>
      </c>
      <c r="AQ1009" t="s">
        <v>13</v>
      </c>
      <c r="AR1009">
        <f t="shared" si="753"/>
        <v>0.31176470588235294</v>
      </c>
      <c r="AS1009">
        <f t="shared" si="750"/>
        <v>0.46799999999999992</v>
      </c>
      <c r="AT1009">
        <f t="shared" si="751"/>
        <v>26571</v>
      </c>
      <c r="AU1009">
        <f t="shared" si="752"/>
        <v>12036</v>
      </c>
      <c r="AV1009">
        <f t="shared" si="598"/>
        <v>13371</v>
      </c>
      <c r="AW1009">
        <f t="shared" si="599"/>
        <v>17296</v>
      </c>
      <c r="AX1009" s="3">
        <f t="shared" si="600"/>
        <v>26108.000000000007</v>
      </c>
      <c r="AY1009">
        <f t="shared" si="601"/>
        <v>13285</v>
      </c>
      <c r="AZ1009">
        <f t="shared" si="602"/>
        <v>17330</v>
      </c>
      <c r="BA1009" s="3">
        <f t="shared" si="603"/>
        <v>26160.000000000007</v>
      </c>
    </row>
    <row r="1010" spans="1:53" x14ac:dyDescent="0.2">
      <c r="A1010">
        <v>1998</v>
      </c>
      <c r="B1010" t="s">
        <v>90</v>
      </c>
      <c r="C1010" t="s">
        <v>85</v>
      </c>
      <c r="D1010">
        <v>25.1</v>
      </c>
      <c r="E1010">
        <v>0</v>
      </c>
      <c r="F1010">
        <v>3.4</v>
      </c>
      <c r="G1010">
        <v>18.899999999999999</v>
      </c>
      <c r="H1010">
        <v>0</v>
      </c>
      <c r="I1010">
        <v>0</v>
      </c>
      <c r="J1010">
        <v>0</v>
      </c>
      <c r="K1010">
        <f t="shared" si="754"/>
        <v>47.4</v>
      </c>
      <c r="L1010" s="1">
        <v>0</v>
      </c>
      <c r="M1010" s="1">
        <v>0</v>
      </c>
      <c r="N1010" s="1">
        <v>0</v>
      </c>
      <c r="O1010">
        <f t="shared" si="636"/>
        <v>0</v>
      </c>
      <c r="P1010" s="1">
        <v>0</v>
      </c>
      <c r="Q1010" s="1">
        <v>0</v>
      </c>
      <c r="R1010" s="1">
        <v>0</v>
      </c>
      <c r="S1010">
        <f t="shared" si="638"/>
        <v>0</v>
      </c>
      <c r="T1010">
        <v>0</v>
      </c>
      <c r="U1010">
        <v>0.8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f t="shared" si="640"/>
        <v>0.8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11.1</v>
      </c>
      <c r="AI1010">
        <v>7.4</v>
      </c>
      <c r="AJ1010" s="5">
        <f t="shared" si="642"/>
        <v>18.5</v>
      </c>
      <c r="AK1010">
        <v>0</v>
      </c>
      <c r="AL1010">
        <v>0.33399999999999996</v>
      </c>
      <c r="AM1010">
        <f t="shared" si="683"/>
        <v>0.66700000000000004</v>
      </c>
      <c r="AN1010">
        <v>12529</v>
      </c>
      <c r="AO1010" t="s">
        <v>13</v>
      </c>
      <c r="AP1010" s="3">
        <f t="shared" si="749"/>
        <v>37624.62462462463</v>
      </c>
      <c r="AQ1010" t="s">
        <v>13</v>
      </c>
      <c r="AR1010">
        <f t="shared" si="753"/>
        <v>0.27736131934032981</v>
      </c>
      <c r="AS1010">
        <f t="shared" si="750"/>
        <v>0.48199999999999998</v>
      </c>
      <c r="AT1010">
        <f t="shared" si="751"/>
        <v>18135</v>
      </c>
      <c r="AU1010">
        <f t="shared" si="752"/>
        <v>6961</v>
      </c>
      <c r="AV1010">
        <f t="shared" si="598"/>
        <v>9218</v>
      </c>
      <c r="AW1010">
        <f t="shared" si="599"/>
        <v>10146</v>
      </c>
      <c r="AX1010" s="3">
        <f t="shared" si="600"/>
        <v>18260.62462462463</v>
      </c>
      <c r="AY1010">
        <f t="shared" si="601"/>
        <v>9068</v>
      </c>
      <c r="AZ1010">
        <f t="shared" si="602"/>
        <v>10199</v>
      </c>
      <c r="BA1010" s="3">
        <f t="shared" si="603"/>
        <v>18357.62462462463</v>
      </c>
    </row>
    <row r="1011" spans="1:53" x14ac:dyDescent="0.2">
      <c r="A1011">
        <v>1999</v>
      </c>
      <c r="B1011" t="s">
        <v>90</v>
      </c>
      <c r="C1011" t="s">
        <v>85</v>
      </c>
      <c r="D1011">
        <v>10.9</v>
      </c>
      <c r="E1011">
        <v>0</v>
      </c>
      <c r="F1011">
        <v>2.7</v>
      </c>
      <c r="G1011">
        <v>2.7</v>
      </c>
      <c r="H1011">
        <v>0</v>
      </c>
      <c r="I1011">
        <v>0</v>
      </c>
      <c r="J1011">
        <v>0</v>
      </c>
      <c r="K1011">
        <f t="shared" si="754"/>
        <v>16.3</v>
      </c>
      <c r="L1011" s="1">
        <v>0</v>
      </c>
      <c r="M1011" s="1">
        <v>0</v>
      </c>
      <c r="N1011" s="1">
        <v>0</v>
      </c>
      <c r="O1011">
        <f t="shared" si="636"/>
        <v>0</v>
      </c>
      <c r="P1011" s="1">
        <v>0</v>
      </c>
      <c r="Q1011" s="1">
        <v>0</v>
      </c>
      <c r="R1011" s="1">
        <v>0</v>
      </c>
      <c r="S1011">
        <f t="shared" si="638"/>
        <v>0</v>
      </c>
      <c r="T1011">
        <v>0</v>
      </c>
      <c r="U1011">
        <v>0.3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f t="shared" si="640"/>
        <v>0.3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12.9</v>
      </c>
      <c r="AI1011">
        <v>0.8</v>
      </c>
      <c r="AJ1011" s="5">
        <f t="shared" si="642"/>
        <v>13.700000000000001</v>
      </c>
      <c r="AK1011">
        <v>0</v>
      </c>
      <c r="AL1011">
        <v>0.69700000000000006</v>
      </c>
      <c r="AM1011">
        <f t="shared" si="683"/>
        <v>0.30299999999999999</v>
      </c>
      <c r="AN1011">
        <v>10363</v>
      </c>
      <c r="AO1011" t="s">
        <v>13</v>
      </c>
      <c r="AP1011" s="3">
        <f t="shared" si="749"/>
        <v>14868.005738880916</v>
      </c>
      <c r="AQ1011" t="s">
        <v>13</v>
      </c>
      <c r="AR1011">
        <f t="shared" si="753"/>
        <v>0.45214521452145218</v>
      </c>
      <c r="AS1011">
        <f t="shared" si="750"/>
        <v>0.16600000000000001</v>
      </c>
      <c r="AT1011">
        <f t="shared" si="751"/>
        <v>2468</v>
      </c>
      <c r="AU1011">
        <f t="shared" si="752"/>
        <v>2037</v>
      </c>
      <c r="AV1011">
        <f t="shared" si="598"/>
        <v>1256</v>
      </c>
      <c r="AW1011">
        <f t="shared" si="599"/>
        <v>2236</v>
      </c>
      <c r="AX1011" s="3">
        <f t="shared" si="600"/>
        <v>11376.005738880916</v>
      </c>
      <c r="AY1011">
        <f t="shared" si="601"/>
        <v>1234</v>
      </c>
      <c r="AZ1011">
        <f t="shared" si="602"/>
        <v>2240</v>
      </c>
      <c r="BA1011" s="3">
        <f t="shared" si="603"/>
        <v>11394.005738880916</v>
      </c>
    </row>
    <row r="1012" spans="1:53" x14ac:dyDescent="0.2">
      <c r="A1012">
        <v>2000</v>
      </c>
      <c r="B1012" t="s">
        <v>90</v>
      </c>
      <c r="C1012" t="s">
        <v>85</v>
      </c>
      <c r="D1012">
        <v>19.600000000000001</v>
      </c>
      <c r="E1012">
        <v>0</v>
      </c>
      <c r="F1012">
        <v>5</v>
      </c>
      <c r="G1012">
        <v>9.8000000000000007</v>
      </c>
      <c r="H1012">
        <v>0</v>
      </c>
      <c r="I1012">
        <v>0</v>
      </c>
      <c r="J1012">
        <v>0</v>
      </c>
      <c r="K1012">
        <f t="shared" si="754"/>
        <v>34.400000000000006</v>
      </c>
      <c r="L1012" s="1">
        <v>0</v>
      </c>
      <c r="M1012" s="1">
        <v>0</v>
      </c>
      <c r="N1012" s="1">
        <v>0</v>
      </c>
      <c r="O1012">
        <f t="shared" si="636"/>
        <v>0</v>
      </c>
      <c r="P1012" s="1">
        <v>0</v>
      </c>
      <c r="Q1012" s="1">
        <v>0</v>
      </c>
      <c r="R1012" s="1">
        <v>0</v>
      </c>
      <c r="S1012">
        <f t="shared" si="638"/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f t="shared" si="640"/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19</v>
      </c>
      <c r="AI1012">
        <v>7.1</v>
      </c>
      <c r="AJ1012" s="5">
        <f t="shared" si="642"/>
        <v>26.1</v>
      </c>
      <c r="AK1012">
        <v>0</v>
      </c>
      <c r="AL1012">
        <v>0.39500000000000002</v>
      </c>
      <c r="AM1012">
        <f t="shared" si="683"/>
        <v>0.60499999999999998</v>
      </c>
      <c r="AN1012">
        <v>9385</v>
      </c>
      <c r="AO1012" t="s">
        <v>13</v>
      </c>
      <c r="AP1012" s="3">
        <f t="shared" si="749"/>
        <v>23759.493670886073</v>
      </c>
      <c r="AQ1012" t="s">
        <v>13</v>
      </c>
      <c r="AR1012">
        <f t="shared" si="753"/>
        <v>0.43140495867768597</v>
      </c>
      <c r="AS1012">
        <f t="shared" si="750"/>
        <v>0.34400000000000008</v>
      </c>
      <c r="AT1012">
        <f t="shared" si="751"/>
        <v>8173</v>
      </c>
      <c r="AU1012">
        <f t="shared" si="752"/>
        <v>6201</v>
      </c>
      <c r="AV1012">
        <f t="shared" si="598"/>
        <v>4087</v>
      </c>
      <c r="AW1012">
        <f t="shared" si="599"/>
        <v>7827</v>
      </c>
      <c r="AX1012" s="3">
        <f t="shared" si="600"/>
        <v>11845.493670886073</v>
      </c>
      <c r="AY1012">
        <f t="shared" si="601"/>
        <v>4087</v>
      </c>
      <c r="AZ1012">
        <f t="shared" si="602"/>
        <v>7827</v>
      </c>
      <c r="BA1012" s="3">
        <f t="shared" si="603"/>
        <v>11845.493670886073</v>
      </c>
    </row>
    <row r="1013" spans="1:53" x14ac:dyDescent="0.2">
      <c r="A1013">
        <v>2001</v>
      </c>
      <c r="B1013" t="s">
        <v>90</v>
      </c>
      <c r="C1013" t="s">
        <v>85</v>
      </c>
      <c r="D1013">
        <v>11.4</v>
      </c>
      <c r="E1013">
        <v>0</v>
      </c>
      <c r="F1013">
        <v>3.6</v>
      </c>
      <c r="G1013">
        <v>2.2999999999999998</v>
      </c>
      <c r="H1013">
        <v>0</v>
      </c>
      <c r="I1013">
        <v>0</v>
      </c>
      <c r="J1013">
        <v>0</v>
      </c>
      <c r="K1013">
        <f t="shared" si="754"/>
        <v>17.3</v>
      </c>
      <c r="L1013" s="1">
        <v>0</v>
      </c>
      <c r="M1013" s="1">
        <v>0</v>
      </c>
      <c r="N1013" s="1">
        <v>0</v>
      </c>
      <c r="O1013">
        <f t="shared" si="636"/>
        <v>0</v>
      </c>
      <c r="P1013" s="1">
        <v>0</v>
      </c>
      <c r="Q1013" s="1">
        <v>0</v>
      </c>
      <c r="R1013" s="1">
        <v>0</v>
      </c>
      <c r="S1013">
        <f t="shared" si="638"/>
        <v>0</v>
      </c>
      <c r="T1013">
        <v>0.5</v>
      </c>
      <c r="U1013">
        <v>0.3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f t="shared" si="640"/>
        <v>0.8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27</v>
      </c>
      <c r="AI1013">
        <v>14</v>
      </c>
      <c r="AJ1013" s="5">
        <f t="shared" si="642"/>
        <v>41</v>
      </c>
      <c r="AK1013">
        <v>0</v>
      </c>
      <c r="AL1013">
        <v>0.40899999999999997</v>
      </c>
      <c r="AM1013">
        <f t="shared" si="683"/>
        <v>0.59099999999999997</v>
      </c>
      <c r="AN1013">
        <v>9492</v>
      </c>
      <c r="AO1013" t="s">
        <v>13</v>
      </c>
      <c r="AP1013" s="3">
        <f t="shared" si="749"/>
        <v>23207.823960880192</v>
      </c>
      <c r="AQ1013" t="s">
        <v>13</v>
      </c>
      <c r="AR1013">
        <f t="shared" si="753"/>
        <v>0.69373942470389172</v>
      </c>
      <c r="AS1013">
        <f t="shared" si="750"/>
        <v>0.18100000000000002</v>
      </c>
      <c r="AT1013">
        <f t="shared" si="751"/>
        <v>4201</v>
      </c>
      <c r="AU1013">
        <f t="shared" si="752"/>
        <v>9515</v>
      </c>
      <c r="AV1013">
        <f t="shared" si="598"/>
        <v>2193</v>
      </c>
      <c r="AW1013">
        <f t="shared" si="599"/>
        <v>10520</v>
      </c>
      <c r="AX1013" s="3">
        <f t="shared" si="600"/>
        <v>10494.823960880192</v>
      </c>
      <c r="AY1013">
        <f t="shared" si="601"/>
        <v>2100</v>
      </c>
      <c r="AZ1013">
        <f t="shared" si="602"/>
        <v>10567</v>
      </c>
      <c r="BA1013" s="3">
        <f t="shared" si="603"/>
        <v>10540.823960880192</v>
      </c>
    </row>
    <row r="1014" spans="1:53" x14ac:dyDescent="0.2">
      <c r="A1014">
        <v>2002</v>
      </c>
      <c r="B1014" t="s">
        <v>90</v>
      </c>
      <c r="C1014" t="s">
        <v>85</v>
      </c>
      <c r="D1014">
        <v>22.2</v>
      </c>
      <c r="E1014">
        <v>0</v>
      </c>
      <c r="F1014">
        <v>2.6</v>
      </c>
      <c r="G1014">
        <v>4.0999999999999996</v>
      </c>
      <c r="H1014">
        <v>2.5</v>
      </c>
      <c r="I1014">
        <v>0</v>
      </c>
      <c r="J1014">
        <v>0</v>
      </c>
      <c r="K1014">
        <f t="shared" si="754"/>
        <v>31.4</v>
      </c>
      <c r="L1014" s="1">
        <v>0</v>
      </c>
      <c r="M1014" s="1">
        <v>0</v>
      </c>
      <c r="N1014" s="1">
        <v>0</v>
      </c>
      <c r="O1014">
        <f t="shared" si="636"/>
        <v>0</v>
      </c>
      <c r="P1014" s="1">
        <v>0</v>
      </c>
      <c r="Q1014" s="1">
        <v>0</v>
      </c>
      <c r="R1014" s="1">
        <v>0.2</v>
      </c>
      <c r="S1014">
        <f t="shared" si="638"/>
        <v>0.2</v>
      </c>
      <c r="T1014">
        <v>0</v>
      </c>
      <c r="U1014">
        <v>0.2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f t="shared" si="640"/>
        <v>0.2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3.5</v>
      </c>
      <c r="AI1014">
        <v>10.4</v>
      </c>
      <c r="AJ1014" s="5">
        <f t="shared" si="642"/>
        <v>13.9</v>
      </c>
      <c r="AK1014">
        <v>11.1</v>
      </c>
      <c r="AL1014">
        <v>0.433</v>
      </c>
      <c r="AM1014">
        <f t="shared" si="683"/>
        <v>0.45700000000000002</v>
      </c>
      <c r="AN1014">
        <v>11841</v>
      </c>
      <c r="AO1014" t="s">
        <v>13</v>
      </c>
      <c r="AP1014" s="3">
        <f t="shared" si="749"/>
        <v>21806.629834254145</v>
      </c>
      <c r="AQ1014" t="s">
        <v>13</v>
      </c>
      <c r="AR1014">
        <f t="shared" si="753"/>
        <v>0.30415754923413568</v>
      </c>
      <c r="AS1014">
        <f t="shared" si="750"/>
        <v>0.31799999999999995</v>
      </c>
      <c r="AT1014">
        <f t="shared" si="751"/>
        <v>6935</v>
      </c>
      <c r="AU1014">
        <f t="shared" si="752"/>
        <v>3031</v>
      </c>
      <c r="AV1014">
        <f t="shared" si="598"/>
        <v>3511</v>
      </c>
      <c r="AW1014">
        <f t="shared" si="599"/>
        <v>3729</v>
      </c>
      <c r="AX1014" s="3">
        <f t="shared" si="600"/>
        <v>14566.629834254145</v>
      </c>
      <c r="AY1014">
        <f t="shared" si="601"/>
        <v>3467</v>
      </c>
      <c r="AZ1014">
        <f t="shared" si="602"/>
        <v>3738</v>
      </c>
      <c r="BA1014" s="3">
        <f t="shared" si="603"/>
        <v>14601.629834254145</v>
      </c>
    </row>
    <row r="1015" spans="1:53" x14ac:dyDescent="0.2">
      <c r="A1015">
        <v>2003</v>
      </c>
      <c r="B1015" t="s">
        <v>90</v>
      </c>
      <c r="C1015" t="s">
        <v>85</v>
      </c>
      <c r="D1015">
        <v>14.4</v>
      </c>
      <c r="E1015">
        <v>0</v>
      </c>
      <c r="F1015">
        <v>2.7</v>
      </c>
      <c r="G1015">
        <v>7.5</v>
      </c>
      <c r="H1015">
        <v>3.8</v>
      </c>
      <c r="I1015">
        <v>0</v>
      </c>
      <c r="J1015">
        <v>0.2</v>
      </c>
      <c r="K1015">
        <f t="shared" si="754"/>
        <v>28.6</v>
      </c>
      <c r="L1015" s="1">
        <v>0</v>
      </c>
      <c r="M1015" s="1">
        <v>0</v>
      </c>
      <c r="N1015" s="1">
        <v>0</v>
      </c>
      <c r="O1015">
        <f t="shared" si="636"/>
        <v>0</v>
      </c>
      <c r="P1015" s="1">
        <v>0</v>
      </c>
      <c r="Q1015" s="1">
        <v>0</v>
      </c>
      <c r="R1015" s="1">
        <v>0</v>
      </c>
      <c r="S1015">
        <f t="shared" si="638"/>
        <v>0</v>
      </c>
      <c r="T1015">
        <v>0</v>
      </c>
      <c r="U1015">
        <v>0.5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f t="shared" si="640"/>
        <v>0.5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3.7</v>
      </c>
      <c r="AI1015">
        <v>3.2</v>
      </c>
      <c r="AJ1015" s="5">
        <f t="shared" si="642"/>
        <v>6.9</v>
      </c>
      <c r="AK1015">
        <v>0.2</v>
      </c>
      <c r="AL1015">
        <v>0.63800000000000001</v>
      </c>
      <c r="AM1015">
        <f t="shared" si="683"/>
        <v>0.36</v>
      </c>
      <c r="AN1015">
        <v>19871</v>
      </c>
      <c r="AO1015" t="s">
        <v>13</v>
      </c>
      <c r="AP1015" s="3">
        <f t="shared" si="749"/>
        <v>31048.4375</v>
      </c>
      <c r="AQ1015" t="s">
        <v>13</v>
      </c>
      <c r="AR1015">
        <f t="shared" si="753"/>
        <v>0.19166666666666668</v>
      </c>
      <c r="AS1015">
        <f t="shared" si="750"/>
        <v>0.29100000000000004</v>
      </c>
      <c r="AT1015">
        <f t="shared" si="751"/>
        <v>9035</v>
      </c>
      <c r="AU1015">
        <f t="shared" si="752"/>
        <v>2142</v>
      </c>
      <c r="AV1015">
        <f t="shared" si="598"/>
        <v>4595</v>
      </c>
      <c r="AW1015">
        <f t="shared" si="599"/>
        <v>2574</v>
      </c>
      <c r="AX1015" s="3">
        <f t="shared" si="600"/>
        <v>23879.4375</v>
      </c>
      <c r="AY1015">
        <f t="shared" si="601"/>
        <v>4518</v>
      </c>
      <c r="AZ1015">
        <f t="shared" si="602"/>
        <v>2582</v>
      </c>
      <c r="BA1015" s="3">
        <f t="shared" si="603"/>
        <v>23948.4375</v>
      </c>
    </row>
    <row r="1016" spans="1:53" x14ac:dyDescent="0.2">
      <c r="A1016">
        <v>2004</v>
      </c>
      <c r="B1016" t="s">
        <v>90</v>
      </c>
      <c r="C1016" t="s">
        <v>85</v>
      </c>
      <c r="D1016">
        <v>13.7</v>
      </c>
      <c r="E1016">
        <v>0.7</v>
      </c>
      <c r="F1016">
        <v>2.5</v>
      </c>
      <c r="G1016">
        <v>6.1</v>
      </c>
      <c r="H1016">
        <v>6.8</v>
      </c>
      <c r="I1016">
        <v>2</v>
      </c>
      <c r="J1016">
        <v>0</v>
      </c>
      <c r="K1016">
        <f t="shared" si="754"/>
        <v>31.8</v>
      </c>
      <c r="L1016" s="1">
        <v>0</v>
      </c>
      <c r="M1016" s="1">
        <v>0</v>
      </c>
      <c r="N1016" s="1">
        <v>0</v>
      </c>
      <c r="O1016">
        <f t="shared" si="636"/>
        <v>0</v>
      </c>
      <c r="P1016" s="1">
        <v>0</v>
      </c>
      <c r="Q1016" s="1">
        <v>0</v>
      </c>
      <c r="R1016" s="1">
        <v>0</v>
      </c>
      <c r="S1016">
        <f t="shared" si="638"/>
        <v>0</v>
      </c>
      <c r="T1016">
        <v>0.2</v>
      </c>
      <c r="U1016">
        <v>0.2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f t="shared" si="640"/>
        <v>0.4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6</v>
      </c>
      <c r="AI1016">
        <v>9.5</v>
      </c>
      <c r="AJ1016" s="5">
        <f t="shared" si="642"/>
        <v>15.5</v>
      </c>
      <c r="AK1016">
        <v>0.1</v>
      </c>
      <c r="AL1016">
        <v>0.52300000000000002</v>
      </c>
      <c r="AM1016">
        <f t="shared" si="683"/>
        <v>0.47699999999999998</v>
      </c>
      <c r="AN1016">
        <v>31773</v>
      </c>
      <c r="AO1016" t="s">
        <v>13</v>
      </c>
      <c r="AP1016" s="3">
        <f t="shared" si="749"/>
        <v>60751.434034416823</v>
      </c>
      <c r="AQ1016" t="s">
        <v>13</v>
      </c>
      <c r="AR1016">
        <f t="shared" si="753"/>
        <v>0.3249475890985325</v>
      </c>
      <c r="AS1016">
        <f t="shared" si="750"/>
        <v>0.32200000000000001</v>
      </c>
      <c r="AT1016">
        <f t="shared" si="751"/>
        <v>19562</v>
      </c>
      <c r="AU1016">
        <f t="shared" si="752"/>
        <v>9416</v>
      </c>
      <c r="AV1016">
        <f t="shared" si="598"/>
        <v>9902</v>
      </c>
      <c r="AW1016">
        <f t="shared" si="599"/>
        <v>11624</v>
      </c>
      <c r="AX1016" s="3">
        <f t="shared" si="600"/>
        <v>39225.434034416823</v>
      </c>
      <c r="AY1016">
        <f t="shared" si="601"/>
        <v>9781</v>
      </c>
      <c r="AZ1016">
        <f t="shared" si="602"/>
        <v>11652</v>
      </c>
      <c r="BA1016" s="3">
        <f t="shared" si="603"/>
        <v>39318.434034416823</v>
      </c>
    </row>
    <row r="1017" spans="1:53" x14ac:dyDescent="0.2">
      <c r="A1017">
        <v>2005</v>
      </c>
      <c r="B1017" t="s">
        <v>90</v>
      </c>
      <c r="C1017" t="s">
        <v>85</v>
      </c>
      <c r="D1017">
        <v>14.5</v>
      </c>
      <c r="E1017">
        <v>0</v>
      </c>
      <c r="F1017">
        <v>2.7</v>
      </c>
      <c r="G1017">
        <v>5.8</v>
      </c>
      <c r="H1017">
        <v>2</v>
      </c>
      <c r="I1017">
        <v>2.8</v>
      </c>
      <c r="J1017">
        <v>0</v>
      </c>
      <c r="K1017">
        <f t="shared" si="754"/>
        <v>27.8</v>
      </c>
      <c r="L1017" s="1">
        <v>0</v>
      </c>
      <c r="M1017" s="1">
        <v>0</v>
      </c>
      <c r="N1017" s="1">
        <v>0</v>
      </c>
      <c r="O1017">
        <f t="shared" si="636"/>
        <v>0</v>
      </c>
      <c r="P1017" s="1">
        <v>0</v>
      </c>
      <c r="Q1017" s="1">
        <v>0</v>
      </c>
      <c r="R1017" s="1">
        <v>0.3</v>
      </c>
      <c r="S1017">
        <f t="shared" si="638"/>
        <v>0.3</v>
      </c>
      <c r="T1017">
        <v>0</v>
      </c>
      <c r="U1017">
        <v>0.3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f t="shared" si="640"/>
        <v>0.3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7.8</v>
      </c>
      <c r="AI1017">
        <v>0.5</v>
      </c>
      <c r="AJ1017" s="5">
        <f t="shared" si="642"/>
        <v>8.3000000000000007</v>
      </c>
      <c r="AK1017">
        <v>0.1</v>
      </c>
      <c r="AL1017">
        <v>0.63200000000000001</v>
      </c>
      <c r="AM1017">
        <f t="shared" si="683"/>
        <v>0.36700000000000005</v>
      </c>
      <c r="AN1017">
        <v>19695</v>
      </c>
      <c r="AO1017" t="s">
        <v>13</v>
      </c>
      <c r="AP1017" s="3">
        <f t="shared" si="749"/>
        <v>31113.744075829385</v>
      </c>
      <c r="AQ1017" t="s">
        <v>13</v>
      </c>
      <c r="AR1017">
        <f t="shared" si="753"/>
        <v>0.22615803814713895</v>
      </c>
      <c r="AS1017">
        <f t="shared" si="750"/>
        <v>0.28400000000000003</v>
      </c>
      <c r="AT1017">
        <f t="shared" si="751"/>
        <v>8836</v>
      </c>
      <c r="AU1017">
        <f t="shared" si="752"/>
        <v>2582</v>
      </c>
      <c r="AV1017">
        <f t="shared" si="598"/>
        <v>4511</v>
      </c>
      <c r="AW1017">
        <f t="shared" si="599"/>
        <v>3083</v>
      </c>
      <c r="AX1017" s="3">
        <f t="shared" si="600"/>
        <v>23519.744075829385</v>
      </c>
      <c r="AY1017">
        <f t="shared" si="601"/>
        <v>4418</v>
      </c>
      <c r="AZ1017">
        <f t="shared" si="602"/>
        <v>3094</v>
      </c>
      <c r="BA1017" s="3">
        <f t="shared" si="603"/>
        <v>23601.744075829385</v>
      </c>
    </row>
    <row r="1018" spans="1:53" x14ac:dyDescent="0.2">
      <c r="A1018">
        <v>2006</v>
      </c>
      <c r="B1018" t="s">
        <v>90</v>
      </c>
      <c r="C1018" t="s">
        <v>85</v>
      </c>
      <c r="D1018">
        <v>19.100000000000001</v>
      </c>
      <c r="E1018">
        <v>0.2</v>
      </c>
      <c r="F1018">
        <v>3.3</v>
      </c>
      <c r="G1018">
        <v>10.8</v>
      </c>
      <c r="H1018">
        <v>2.2999999999999998</v>
      </c>
      <c r="I1018">
        <v>3</v>
      </c>
      <c r="J1018">
        <v>0.5</v>
      </c>
      <c r="K1018">
        <f t="shared" si="754"/>
        <v>39.200000000000003</v>
      </c>
      <c r="L1018" s="1">
        <v>0</v>
      </c>
      <c r="M1018" s="1">
        <v>0</v>
      </c>
      <c r="N1018" s="1">
        <v>0</v>
      </c>
      <c r="O1018">
        <f t="shared" si="636"/>
        <v>0</v>
      </c>
      <c r="P1018" s="1">
        <v>0</v>
      </c>
      <c r="Q1018" s="1">
        <v>0</v>
      </c>
      <c r="R1018" s="1">
        <v>0</v>
      </c>
      <c r="S1018">
        <f t="shared" si="638"/>
        <v>0</v>
      </c>
      <c r="T1018">
        <v>0.4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f t="shared" si="640"/>
        <v>0.4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9.1999999999999993</v>
      </c>
      <c r="AI1018">
        <v>3.7</v>
      </c>
      <c r="AJ1018" s="5">
        <f t="shared" si="642"/>
        <v>12.899999999999999</v>
      </c>
      <c r="AK1018">
        <v>1</v>
      </c>
      <c r="AL1018">
        <v>0.46500000000000002</v>
      </c>
      <c r="AM1018">
        <f t="shared" si="683"/>
        <v>0.52500000000000002</v>
      </c>
      <c r="AN1018">
        <v>17428</v>
      </c>
      <c r="AO1018" t="s">
        <v>13</v>
      </c>
      <c r="AP1018" s="3">
        <f t="shared" si="749"/>
        <v>36690.526315789473</v>
      </c>
      <c r="AQ1018" t="s">
        <v>13</v>
      </c>
      <c r="AR1018">
        <f t="shared" si="753"/>
        <v>0.24571428571428566</v>
      </c>
      <c r="AS1018">
        <f t="shared" si="750"/>
        <v>0.39600000000000002</v>
      </c>
      <c r="AT1018">
        <f t="shared" si="751"/>
        <v>14529</v>
      </c>
      <c r="AU1018">
        <f t="shared" si="752"/>
        <v>4733</v>
      </c>
      <c r="AV1018">
        <f t="shared" si="598"/>
        <v>7338</v>
      </c>
      <c r="AW1018">
        <f t="shared" si="599"/>
        <v>6269</v>
      </c>
      <c r="AX1018" s="3">
        <f t="shared" si="600"/>
        <v>23083.526315789473</v>
      </c>
      <c r="AY1018">
        <f t="shared" si="601"/>
        <v>7265</v>
      </c>
      <c r="AZ1018">
        <f t="shared" si="602"/>
        <v>6284</v>
      </c>
      <c r="BA1018" s="3">
        <f t="shared" si="603"/>
        <v>23141.526315789473</v>
      </c>
    </row>
    <row r="1019" spans="1:53" x14ac:dyDescent="0.2">
      <c r="A1019">
        <v>2007</v>
      </c>
      <c r="B1019" t="s">
        <v>90</v>
      </c>
      <c r="C1019" t="s">
        <v>85</v>
      </c>
      <c r="D1019">
        <v>29.8</v>
      </c>
      <c r="E1019">
        <v>0</v>
      </c>
      <c r="F1019">
        <v>7</v>
      </c>
      <c r="G1019">
        <v>9.6999999999999993</v>
      </c>
      <c r="H1019">
        <v>13.9</v>
      </c>
      <c r="I1019">
        <v>0</v>
      </c>
      <c r="J1019">
        <v>0</v>
      </c>
      <c r="K1019">
        <f t="shared" si="754"/>
        <v>60.4</v>
      </c>
      <c r="L1019" s="1">
        <v>0</v>
      </c>
      <c r="M1019" s="1">
        <v>0</v>
      </c>
      <c r="N1019" s="1">
        <v>0</v>
      </c>
      <c r="O1019">
        <f t="shared" si="636"/>
        <v>0</v>
      </c>
      <c r="P1019" s="1">
        <v>0</v>
      </c>
      <c r="Q1019" s="1">
        <v>0</v>
      </c>
      <c r="R1019" s="1">
        <v>0</v>
      </c>
      <c r="S1019">
        <f t="shared" si="638"/>
        <v>0</v>
      </c>
      <c r="T1019">
        <v>2.2999999999999998</v>
      </c>
      <c r="U1019">
        <v>0.1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f t="shared" si="640"/>
        <v>2.4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5.9</v>
      </c>
      <c r="AI1019">
        <v>3.3</v>
      </c>
      <c r="AJ1019" s="5">
        <f t="shared" si="642"/>
        <v>9.1999999999999993</v>
      </c>
      <c r="AK1019">
        <v>0</v>
      </c>
      <c r="AL1019">
        <v>0.28000000000000003</v>
      </c>
      <c r="AM1019">
        <f t="shared" si="683"/>
        <v>0.72</v>
      </c>
      <c r="AN1019">
        <v>13117</v>
      </c>
      <c r="AO1019" t="s">
        <v>13</v>
      </c>
      <c r="AP1019" s="3">
        <f t="shared" si="749"/>
        <v>46846.428571428565</v>
      </c>
      <c r="AQ1019" t="s">
        <v>13</v>
      </c>
      <c r="AR1019">
        <f t="shared" si="753"/>
        <v>0.12777777777777777</v>
      </c>
      <c r="AS1019">
        <f t="shared" si="750"/>
        <v>0.628</v>
      </c>
      <c r="AT1019">
        <f t="shared" si="751"/>
        <v>29420</v>
      </c>
      <c r="AU1019">
        <f t="shared" si="752"/>
        <v>4310</v>
      </c>
      <c r="AV1019">
        <f t="shared" si="598"/>
        <v>15272</v>
      </c>
      <c r="AW1019">
        <f t="shared" si="599"/>
        <v>7809</v>
      </c>
      <c r="AX1019" s="3">
        <f t="shared" si="600"/>
        <v>23765.428571428565</v>
      </c>
      <c r="AY1019">
        <f t="shared" si="601"/>
        <v>14710</v>
      </c>
      <c r="AZ1019">
        <f t="shared" si="602"/>
        <v>7948</v>
      </c>
      <c r="BA1019" s="3">
        <f t="shared" si="603"/>
        <v>24188.428571428565</v>
      </c>
    </row>
    <row r="1020" spans="1:53" x14ac:dyDescent="0.2">
      <c r="A1020">
        <v>2008</v>
      </c>
      <c r="B1020" t="s">
        <v>90</v>
      </c>
      <c r="C1020" t="s">
        <v>85</v>
      </c>
      <c r="D1020">
        <v>17.100000000000001</v>
      </c>
      <c r="E1020">
        <v>0</v>
      </c>
      <c r="F1020">
        <v>2.6</v>
      </c>
      <c r="G1020">
        <v>8</v>
      </c>
      <c r="H1020">
        <v>5.0999999999999996</v>
      </c>
      <c r="I1020">
        <v>0.8</v>
      </c>
      <c r="J1020">
        <v>1.1000000000000001</v>
      </c>
      <c r="K1020">
        <f t="shared" si="754"/>
        <v>34.700000000000003</v>
      </c>
      <c r="L1020" s="1">
        <v>0</v>
      </c>
      <c r="M1020" s="1">
        <v>0</v>
      </c>
      <c r="N1020" s="1">
        <v>0</v>
      </c>
      <c r="O1020">
        <f t="shared" si="636"/>
        <v>0</v>
      </c>
      <c r="P1020" s="1">
        <v>0</v>
      </c>
      <c r="Q1020" s="1">
        <v>0</v>
      </c>
      <c r="R1020" s="1">
        <v>0</v>
      </c>
      <c r="S1020">
        <f t="shared" si="638"/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f t="shared" si="640"/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9</v>
      </c>
      <c r="AI1020">
        <v>1.4</v>
      </c>
      <c r="AJ1020" s="5">
        <f t="shared" si="642"/>
        <v>10.4</v>
      </c>
      <c r="AK1020">
        <v>0</v>
      </c>
      <c r="AL1020">
        <v>0.55000000000000004</v>
      </c>
      <c r="AM1020">
        <f t="shared" si="683"/>
        <v>0.45100000000000001</v>
      </c>
      <c r="AN1020">
        <v>15391</v>
      </c>
      <c r="AO1020" t="s">
        <v>13</v>
      </c>
      <c r="AP1020" s="3">
        <f t="shared" si="749"/>
        <v>28034.608378870678</v>
      </c>
      <c r="AQ1020" t="s">
        <v>13</v>
      </c>
      <c r="AR1020">
        <f t="shared" si="753"/>
        <v>0.23059866962305989</v>
      </c>
      <c r="AS1020">
        <f t="shared" si="750"/>
        <v>0.34700000000000003</v>
      </c>
      <c r="AT1020">
        <f t="shared" si="751"/>
        <v>9728</v>
      </c>
      <c r="AU1020">
        <f t="shared" si="752"/>
        <v>2916</v>
      </c>
      <c r="AV1020">
        <f t="shared" si="598"/>
        <v>4864</v>
      </c>
      <c r="AW1020">
        <f t="shared" si="599"/>
        <v>3691</v>
      </c>
      <c r="AX1020" s="3">
        <f t="shared" si="600"/>
        <v>19479.608378870678</v>
      </c>
      <c r="AY1020">
        <f t="shared" si="601"/>
        <v>4864</v>
      </c>
      <c r="AZ1020">
        <f t="shared" si="602"/>
        <v>3691</v>
      </c>
      <c r="BA1020" s="3">
        <f t="shared" si="603"/>
        <v>19479.608378870678</v>
      </c>
    </row>
    <row r="1021" spans="1:53" x14ac:dyDescent="0.2">
      <c r="A1021">
        <v>2009</v>
      </c>
      <c r="B1021" t="s">
        <v>90</v>
      </c>
      <c r="C1021" t="s">
        <v>85</v>
      </c>
      <c r="D1021">
        <v>26.9</v>
      </c>
      <c r="E1021">
        <v>1.5</v>
      </c>
      <c r="F1021">
        <v>6</v>
      </c>
      <c r="G1021">
        <v>9.6</v>
      </c>
      <c r="H1021">
        <v>3.9</v>
      </c>
      <c r="I1021">
        <v>0.1</v>
      </c>
      <c r="J1021">
        <v>1.2</v>
      </c>
      <c r="K1021">
        <f t="shared" si="754"/>
        <v>49.2</v>
      </c>
      <c r="L1021" s="1">
        <v>0</v>
      </c>
      <c r="M1021" s="1">
        <v>0</v>
      </c>
      <c r="N1021" s="1">
        <v>0</v>
      </c>
      <c r="O1021">
        <f t="shared" si="636"/>
        <v>0</v>
      </c>
      <c r="P1021" s="1">
        <v>0</v>
      </c>
      <c r="Q1021" s="1">
        <v>0</v>
      </c>
      <c r="R1021" s="1">
        <v>0</v>
      </c>
      <c r="S1021">
        <f t="shared" si="638"/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f t="shared" si="640"/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12.3</v>
      </c>
      <c r="AI1021">
        <v>3.5</v>
      </c>
      <c r="AJ1021" s="5">
        <f t="shared" si="642"/>
        <v>15.8</v>
      </c>
      <c r="AK1021">
        <v>0.3</v>
      </c>
      <c r="AL1021">
        <v>0.34700000000000003</v>
      </c>
      <c r="AM1021">
        <f t="shared" si="683"/>
        <v>0.65</v>
      </c>
      <c r="AN1021">
        <v>9290</v>
      </c>
      <c r="AO1021" t="s">
        <v>13</v>
      </c>
      <c r="AP1021" s="3">
        <f t="shared" si="749"/>
        <v>26542.857142857145</v>
      </c>
      <c r="AQ1021" t="s">
        <v>13</v>
      </c>
      <c r="AR1021">
        <f t="shared" si="753"/>
        <v>0.24307692307692308</v>
      </c>
      <c r="AS1021">
        <f t="shared" si="750"/>
        <v>0.49200000000000005</v>
      </c>
      <c r="AT1021">
        <f t="shared" si="751"/>
        <v>13059</v>
      </c>
      <c r="AU1021">
        <f t="shared" si="752"/>
        <v>4194</v>
      </c>
      <c r="AV1021">
        <f t="shared" si="598"/>
        <v>6530</v>
      </c>
      <c r="AW1021">
        <f t="shared" si="599"/>
        <v>6225</v>
      </c>
      <c r="AX1021" s="3">
        <f t="shared" si="600"/>
        <v>13787.857142857145</v>
      </c>
      <c r="AY1021">
        <f t="shared" si="601"/>
        <v>6530</v>
      </c>
      <c r="AZ1021">
        <f t="shared" si="602"/>
        <v>6225</v>
      </c>
      <c r="BA1021" s="3">
        <f t="shared" si="603"/>
        <v>13787.857142857145</v>
      </c>
    </row>
    <row r="1022" spans="1:53" x14ac:dyDescent="0.2">
      <c r="A1022">
        <v>2010</v>
      </c>
      <c r="B1022" t="s">
        <v>90</v>
      </c>
      <c r="C1022" t="s">
        <v>85</v>
      </c>
      <c r="D1022">
        <v>20.9</v>
      </c>
      <c r="E1022">
        <v>0</v>
      </c>
      <c r="F1022">
        <v>5.2</v>
      </c>
      <c r="G1022">
        <v>4.5</v>
      </c>
      <c r="H1022">
        <v>4.7</v>
      </c>
      <c r="I1022">
        <v>0</v>
      </c>
      <c r="J1022">
        <v>0.5</v>
      </c>
      <c r="K1022">
        <f t="shared" si="754"/>
        <v>35.799999999999997</v>
      </c>
      <c r="L1022" s="1">
        <v>0</v>
      </c>
      <c r="M1022" s="1">
        <v>0</v>
      </c>
      <c r="N1022" s="1">
        <v>0</v>
      </c>
      <c r="O1022">
        <f t="shared" si="636"/>
        <v>0</v>
      </c>
      <c r="P1022" s="1">
        <v>0</v>
      </c>
      <c r="Q1022" s="1">
        <v>0</v>
      </c>
      <c r="R1022" s="1">
        <v>0.1</v>
      </c>
      <c r="S1022">
        <f t="shared" si="638"/>
        <v>0.1</v>
      </c>
      <c r="T1022">
        <v>0.2</v>
      </c>
      <c r="U1022">
        <v>0.3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f t="shared" si="640"/>
        <v>0.5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12.1</v>
      </c>
      <c r="AI1022">
        <v>5.7</v>
      </c>
      <c r="AJ1022" s="5">
        <f t="shared" si="642"/>
        <v>17.8</v>
      </c>
      <c r="AK1022">
        <v>0</v>
      </c>
      <c r="AL1022">
        <v>0.45799999999999996</v>
      </c>
      <c r="AM1022">
        <f t="shared" si="683"/>
        <v>0.54200000000000004</v>
      </c>
      <c r="AN1022">
        <v>18158</v>
      </c>
      <c r="AO1022" t="s">
        <v>13</v>
      </c>
      <c r="AP1022" s="3">
        <f t="shared" si="749"/>
        <v>39646.288209606988</v>
      </c>
      <c r="AQ1022" t="s">
        <v>13</v>
      </c>
      <c r="AR1022">
        <f t="shared" si="753"/>
        <v>0.32841328413284132</v>
      </c>
      <c r="AS1022">
        <f t="shared" si="750"/>
        <v>0.36399999999999999</v>
      </c>
      <c r="AT1022">
        <f t="shared" si="751"/>
        <v>14431</v>
      </c>
      <c r="AU1022">
        <f t="shared" si="752"/>
        <v>7057</v>
      </c>
      <c r="AV1022">
        <f t="shared" si="598"/>
        <v>7335</v>
      </c>
      <c r="AW1022">
        <f t="shared" si="599"/>
        <v>9043</v>
      </c>
      <c r="AX1022" s="3">
        <f t="shared" si="600"/>
        <v>23268.288209606988</v>
      </c>
      <c r="AY1022">
        <f t="shared" si="601"/>
        <v>7216</v>
      </c>
      <c r="AZ1022">
        <f t="shared" si="602"/>
        <v>9076</v>
      </c>
      <c r="BA1022" s="3">
        <f t="shared" si="603"/>
        <v>23354.288209606988</v>
      </c>
    </row>
    <row r="1023" spans="1:53" x14ac:dyDescent="0.2">
      <c r="A1023">
        <v>2011</v>
      </c>
      <c r="B1023" t="s">
        <v>90</v>
      </c>
      <c r="C1023" t="s">
        <v>85</v>
      </c>
      <c r="D1023">
        <v>22.5</v>
      </c>
      <c r="E1023">
        <v>0.2</v>
      </c>
      <c r="F1023">
        <v>5.9</v>
      </c>
      <c r="G1023">
        <v>5.7</v>
      </c>
      <c r="H1023">
        <v>4.9000000000000004</v>
      </c>
      <c r="I1023">
        <v>0.1</v>
      </c>
      <c r="J1023">
        <v>0.2</v>
      </c>
      <c r="K1023">
        <f t="shared" si="754"/>
        <v>39.500000000000007</v>
      </c>
      <c r="L1023" s="1">
        <v>0</v>
      </c>
      <c r="M1023" s="1">
        <v>0</v>
      </c>
      <c r="N1023" s="1">
        <v>0.1</v>
      </c>
      <c r="O1023">
        <f t="shared" si="636"/>
        <v>0.1</v>
      </c>
      <c r="P1023" s="1">
        <v>0</v>
      </c>
      <c r="Q1023" s="1">
        <v>0</v>
      </c>
      <c r="R1023" s="1">
        <v>0</v>
      </c>
      <c r="S1023">
        <f t="shared" si="638"/>
        <v>0</v>
      </c>
      <c r="T1023">
        <v>0.3</v>
      </c>
      <c r="U1023">
        <v>0.1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f t="shared" si="640"/>
        <v>0.4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14.3</v>
      </c>
      <c r="AI1023">
        <v>5.8</v>
      </c>
      <c r="AJ1023" s="5">
        <f t="shared" si="642"/>
        <v>20.100000000000001</v>
      </c>
      <c r="AK1023">
        <v>0</v>
      </c>
      <c r="AL1023">
        <v>0.4</v>
      </c>
      <c r="AM1023">
        <f t="shared" si="683"/>
        <v>0.6010000000000002</v>
      </c>
      <c r="AN1023">
        <v>22870</v>
      </c>
      <c r="AO1023" t="s">
        <v>13</v>
      </c>
      <c r="AP1023" s="3">
        <f t="shared" si="749"/>
        <v>57318.295739348403</v>
      </c>
      <c r="AQ1023" t="s">
        <v>13</v>
      </c>
      <c r="AR1023">
        <f t="shared" si="753"/>
        <v>0.3344425956738768</v>
      </c>
      <c r="AS1023">
        <f t="shared" si="750"/>
        <v>0.40000000000000008</v>
      </c>
      <c r="AT1023">
        <f t="shared" si="751"/>
        <v>22927</v>
      </c>
      <c r="AU1023">
        <f t="shared" si="752"/>
        <v>11521</v>
      </c>
      <c r="AV1023">
        <f t="shared" si="598"/>
        <v>11607</v>
      </c>
      <c r="AW1023">
        <f t="shared" si="599"/>
        <v>15313</v>
      </c>
      <c r="AX1023" s="3">
        <f t="shared" si="600"/>
        <v>30398.295739348403</v>
      </c>
      <c r="AY1023">
        <f t="shared" si="601"/>
        <v>11464</v>
      </c>
      <c r="AZ1023">
        <f t="shared" si="602"/>
        <v>15361</v>
      </c>
      <c r="BA1023" s="3">
        <f t="shared" si="603"/>
        <v>30493.295739348403</v>
      </c>
    </row>
    <row r="1024" spans="1:53" x14ac:dyDescent="0.2">
      <c r="A1024">
        <v>2012</v>
      </c>
      <c r="B1024" t="s">
        <v>90</v>
      </c>
      <c r="C1024" t="s">
        <v>85</v>
      </c>
      <c r="D1024">
        <v>35.799999999999997</v>
      </c>
      <c r="E1024">
        <v>0.2</v>
      </c>
      <c r="F1024">
        <v>6.5</v>
      </c>
      <c r="G1024">
        <v>8.1999999999999993</v>
      </c>
      <c r="H1024">
        <v>7.6</v>
      </c>
      <c r="I1024">
        <v>0.9</v>
      </c>
      <c r="J1024">
        <v>0.7</v>
      </c>
      <c r="K1024">
        <f t="shared" si="754"/>
        <v>59.900000000000006</v>
      </c>
      <c r="L1024" s="1">
        <v>0</v>
      </c>
      <c r="M1024" s="1">
        <v>0</v>
      </c>
      <c r="N1024" s="1">
        <v>0</v>
      </c>
      <c r="O1024">
        <f t="shared" si="636"/>
        <v>0</v>
      </c>
      <c r="P1024" s="1">
        <v>0</v>
      </c>
      <c r="Q1024" s="1">
        <v>0</v>
      </c>
      <c r="R1024" s="1">
        <v>0.2</v>
      </c>
      <c r="S1024">
        <f t="shared" si="638"/>
        <v>0.2</v>
      </c>
      <c r="T1024">
        <v>0.7</v>
      </c>
      <c r="U1024">
        <v>0.1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f t="shared" si="640"/>
        <v>0.79999999999999993</v>
      </c>
      <c r="AB1024">
        <v>0.4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8.6999999999999993</v>
      </c>
      <c r="AI1024">
        <v>6.3</v>
      </c>
      <c r="AJ1024" s="5">
        <f t="shared" si="642"/>
        <v>15.399999999999999</v>
      </c>
      <c r="AK1024">
        <v>0.4</v>
      </c>
      <c r="AL1024">
        <v>0.23499999999999999</v>
      </c>
      <c r="AM1024">
        <f t="shared" si="683"/>
        <v>0.76300000000000001</v>
      </c>
      <c r="AN1024">
        <v>14032</v>
      </c>
      <c r="AO1024" t="s">
        <v>13</v>
      </c>
      <c r="AP1024" s="3">
        <f t="shared" si="749"/>
        <v>59206.751054852321</v>
      </c>
      <c r="AQ1024" t="s">
        <v>13</v>
      </c>
      <c r="AR1024">
        <f t="shared" si="753"/>
        <v>0.20183486238532108</v>
      </c>
      <c r="AS1024">
        <f t="shared" si="750"/>
        <v>0.6090000000000001</v>
      </c>
      <c r="AT1024">
        <f t="shared" si="751"/>
        <v>36057</v>
      </c>
      <c r="AU1024">
        <f t="shared" si="752"/>
        <v>9118</v>
      </c>
      <c r="AV1024">
        <f t="shared" si="598"/>
        <v>18324</v>
      </c>
      <c r="AW1024">
        <f t="shared" si="599"/>
        <v>16103</v>
      </c>
      <c r="AX1024" s="3">
        <f t="shared" si="600"/>
        <v>24779.751054852321</v>
      </c>
      <c r="AY1024">
        <f t="shared" si="601"/>
        <v>18028</v>
      </c>
      <c r="AZ1024">
        <f t="shared" si="602"/>
        <v>16219</v>
      </c>
      <c r="BA1024" s="3">
        <f t="shared" si="603"/>
        <v>24959.751054852321</v>
      </c>
    </row>
    <row r="1025" spans="1:53" x14ac:dyDescent="0.2">
      <c r="A1025">
        <v>2013</v>
      </c>
      <c r="B1025" t="s">
        <v>90</v>
      </c>
      <c r="C1025" t="s">
        <v>85</v>
      </c>
      <c r="D1025">
        <v>17.8</v>
      </c>
      <c r="E1025">
        <v>0.8</v>
      </c>
      <c r="F1025">
        <v>11.8</v>
      </c>
      <c r="G1025">
        <v>7.9</v>
      </c>
      <c r="H1025">
        <v>16.2</v>
      </c>
      <c r="I1025">
        <v>0.4</v>
      </c>
      <c r="J1025">
        <v>0.9</v>
      </c>
      <c r="K1025">
        <f t="shared" si="754"/>
        <v>55.8</v>
      </c>
      <c r="L1025" s="1">
        <v>0</v>
      </c>
      <c r="M1025" s="1">
        <v>0</v>
      </c>
      <c r="N1025" s="1">
        <v>0.5</v>
      </c>
      <c r="O1025">
        <f t="shared" si="636"/>
        <v>0.5</v>
      </c>
      <c r="P1025" s="1">
        <v>0</v>
      </c>
      <c r="Q1025" s="1">
        <v>0</v>
      </c>
      <c r="R1025" s="1">
        <v>0</v>
      </c>
      <c r="S1025">
        <f t="shared" si="638"/>
        <v>0</v>
      </c>
      <c r="T1025">
        <v>0.8</v>
      </c>
      <c r="U1025">
        <v>0.2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f t="shared" si="640"/>
        <v>1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6.7</v>
      </c>
      <c r="AI1025">
        <v>7.2</v>
      </c>
      <c r="AJ1025" s="5">
        <f t="shared" si="642"/>
        <v>13.9</v>
      </c>
      <c r="AK1025">
        <v>0</v>
      </c>
      <c r="AL1025">
        <v>0.28899999999999998</v>
      </c>
      <c r="AM1025">
        <f t="shared" si="683"/>
        <v>0.71200000000000008</v>
      </c>
      <c r="AN1025">
        <v>12503</v>
      </c>
      <c r="AO1025" t="s">
        <v>13</v>
      </c>
      <c r="AP1025" s="3">
        <f t="shared" si="749"/>
        <v>43413.194444444453</v>
      </c>
      <c r="AQ1025" t="s">
        <v>13</v>
      </c>
      <c r="AR1025">
        <f t="shared" si="753"/>
        <v>0.1952247191011236</v>
      </c>
      <c r="AS1025">
        <f t="shared" si="750"/>
        <v>0.57299999999999995</v>
      </c>
      <c r="AT1025">
        <f t="shared" si="751"/>
        <v>24876</v>
      </c>
      <c r="AU1025">
        <f t="shared" si="752"/>
        <v>6034</v>
      </c>
      <c r="AV1025">
        <f t="shared" si="598"/>
        <v>12763</v>
      </c>
      <c r="AW1025">
        <f t="shared" si="599"/>
        <v>9977</v>
      </c>
      <c r="AX1025" s="3">
        <f t="shared" si="600"/>
        <v>20673.194444444453</v>
      </c>
      <c r="AY1025">
        <f t="shared" si="601"/>
        <v>12438</v>
      </c>
      <c r="AZ1025">
        <f t="shared" si="602"/>
        <v>10083</v>
      </c>
      <c r="BA1025" s="3">
        <f t="shared" si="603"/>
        <v>20892.194444444453</v>
      </c>
    </row>
    <row r="1026" spans="1:53" x14ac:dyDescent="0.2">
      <c r="A1026">
        <v>2014</v>
      </c>
      <c r="B1026" t="s">
        <v>90</v>
      </c>
      <c r="C1026" t="s">
        <v>85</v>
      </c>
      <c r="D1026">
        <v>24</v>
      </c>
      <c r="E1026">
        <v>1.1000000000000001</v>
      </c>
      <c r="F1026">
        <v>7.3</v>
      </c>
      <c r="G1026">
        <v>7.3</v>
      </c>
      <c r="H1026">
        <v>6.7</v>
      </c>
      <c r="I1026">
        <v>0.7</v>
      </c>
      <c r="J1026">
        <v>0.5</v>
      </c>
      <c r="K1026">
        <f t="shared" si="754"/>
        <v>47.6</v>
      </c>
      <c r="L1026" s="1">
        <v>0</v>
      </c>
      <c r="M1026" s="1">
        <v>0</v>
      </c>
      <c r="N1026" s="1">
        <v>0</v>
      </c>
      <c r="O1026">
        <f t="shared" si="636"/>
        <v>0</v>
      </c>
      <c r="P1026" s="1">
        <v>0</v>
      </c>
      <c r="Q1026" s="1">
        <v>0</v>
      </c>
      <c r="R1026" s="1">
        <v>0</v>
      </c>
      <c r="S1026">
        <f t="shared" si="638"/>
        <v>0</v>
      </c>
      <c r="T1026">
        <v>0.3</v>
      </c>
      <c r="U1026">
        <v>0.3</v>
      </c>
      <c r="V1026">
        <v>0</v>
      </c>
      <c r="W1026">
        <v>0</v>
      </c>
      <c r="X1026">
        <v>0</v>
      </c>
      <c r="Y1026">
        <v>0</v>
      </c>
      <c r="Z1026">
        <v>0.1</v>
      </c>
      <c r="AA1026">
        <f t="shared" si="640"/>
        <v>0.7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13.6</v>
      </c>
      <c r="AI1026">
        <v>2.2999999999999998</v>
      </c>
      <c r="AJ1026" s="5">
        <f t="shared" si="642"/>
        <v>15.899999999999999</v>
      </c>
      <c r="AK1026">
        <v>0</v>
      </c>
      <c r="AL1026">
        <v>0.35700000000000004</v>
      </c>
      <c r="AM1026">
        <f t="shared" si="683"/>
        <v>0.64200000000000002</v>
      </c>
      <c r="AN1026">
        <v>11893</v>
      </c>
      <c r="AO1026" t="s">
        <v>13</v>
      </c>
      <c r="AP1026" s="3">
        <f t="shared" si="749"/>
        <v>33220.670391061452</v>
      </c>
      <c r="AQ1026" t="s">
        <v>13</v>
      </c>
      <c r="AR1026">
        <f t="shared" si="753"/>
        <v>0.2476635514018691</v>
      </c>
      <c r="AS1026">
        <f t="shared" si="750"/>
        <v>0.48300000000000004</v>
      </c>
      <c r="AT1026">
        <f t="shared" si="751"/>
        <v>16046</v>
      </c>
      <c r="AU1026">
        <f t="shared" si="752"/>
        <v>5282</v>
      </c>
      <c r="AV1026">
        <f t="shared" si="598"/>
        <v>8139</v>
      </c>
      <c r="AW1026">
        <f t="shared" si="599"/>
        <v>7714</v>
      </c>
      <c r="AX1026" s="3">
        <f t="shared" si="600"/>
        <v>17367.670391061452</v>
      </c>
      <c r="AY1026">
        <f t="shared" si="601"/>
        <v>8023</v>
      </c>
      <c r="AZ1026">
        <f t="shared" si="602"/>
        <v>7749</v>
      </c>
      <c r="BA1026" s="3">
        <f t="shared" si="603"/>
        <v>17448.670391061452</v>
      </c>
    </row>
    <row r="1027" spans="1:53" x14ac:dyDescent="0.2">
      <c r="A1027">
        <v>2015</v>
      </c>
      <c r="B1027" t="s">
        <v>90</v>
      </c>
      <c r="C1027" t="s">
        <v>85</v>
      </c>
      <c r="D1027">
        <v>18.7</v>
      </c>
      <c r="E1027">
        <v>0</v>
      </c>
      <c r="F1027">
        <v>7.3</v>
      </c>
      <c r="G1027">
        <v>7.5</v>
      </c>
      <c r="H1027">
        <v>8.1</v>
      </c>
      <c r="I1027">
        <v>0.4</v>
      </c>
      <c r="J1027">
        <v>0.3</v>
      </c>
      <c r="K1027">
        <f t="shared" si="754"/>
        <v>42.3</v>
      </c>
      <c r="L1027" s="1">
        <v>0</v>
      </c>
      <c r="M1027" s="1">
        <v>0</v>
      </c>
      <c r="N1027" s="1">
        <v>0</v>
      </c>
      <c r="O1027">
        <f t="shared" si="636"/>
        <v>0</v>
      </c>
      <c r="P1027" s="1">
        <v>0</v>
      </c>
      <c r="Q1027" s="1">
        <v>0</v>
      </c>
      <c r="R1027" s="1">
        <v>0</v>
      </c>
      <c r="S1027">
        <f t="shared" si="638"/>
        <v>0</v>
      </c>
      <c r="T1027">
        <v>0.6</v>
      </c>
      <c r="U1027">
        <v>0.3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f t="shared" si="640"/>
        <v>0.89999999999999991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17.5</v>
      </c>
      <c r="AI1027">
        <v>5.8</v>
      </c>
      <c r="AJ1027" s="5">
        <f t="shared" si="642"/>
        <v>23.3</v>
      </c>
      <c r="AK1027">
        <v>0.7</v>
      </c>
      <c r="AL1027">
        <v>0.32700000000000001</v>
      </c>
      <c r="AM1027">
        <f t="shared" si="683"/>
        <v>0.66500000000000004</v>
      </c>
      <c r="AN1027">
        <v>17304</v>
      </c>
      <c r="AO1027" t="s">
        <v>13</v>
      </c>
      <c r="AP1027" s="3">
        <f t="shared" si="749"/>
        <v>51653.731343283587</v>
      </c>
      <c r="AQ1027" t="s">
        <v>13</v>
      </c>
      <c r="AR1027">
        <f t="shared" si="753"/>
        <v>0.35037593984962406</v>
      </c>
      <c r="AS1027">
        <f t="shared" si="750"/>
        <v>0.43199999999999994</v>
      </c>
      <c r="AT1027">
        <f t="shared" si="751"/>
        <v>22314</v>
      </c>
      <c r="AU1027">
        <f t="shared" si="752"/>
        <v>12035</v>
      </c>
      <c r="AV1027">
        <f t="shared" ref="AV1027:AV1090" si="755">ROUND((((K1027*0.5)+O1027+S1027+AA1027)/100)*AP1027,0)</f>
        <v>11390</v>
      </c>
      <c r="AW1027">
        <f t="shared" ref="AW1027:AW1090" si="756">ROUND((AU1027/(AP1027-AT1027))*(AP1027-AV1027),0)</f>
        <v>16516</v>
      </c>
      <c r="AX1027" s="3">
        <f t="shared" ref="AX1027:AX1090" si="757">AP1027-AV1027-AW1027</f>
        <v>23747.731343283587</v>
      </c>
      <c r="AY1027">
        <f t="shared" ref="AY1027:AY1090" si="758">ROUND((0.5*AS1027)*AP1027,0)</f>
        <v>11157</v>
      </c>
      <c r="AZ1027">
        <f t="shared" ref="AZ1027:AZ1090" si="759">ROUND((AU1027/(AP1027-AT1027))*(AP1027-AY1027),0)</f>
        <v>16612</v>
      </c>
      <c r="BA1027" s="3">
        <f t="shared" ref="BA1027:BA1090" si="760">AP1027-AZ1027-AY1027</f>
        <v>23884.731343283587</v>
      </c>
    </row>
    <row r="1028" spans="1:53" x14ac:dyDescent="0.2">
      <c r="A1028">
        <v>2016</v>
      </c>
      <c r="B1028" t="s">
        <v>90</v>
      </c>
      <c r="C1028" t="s">
        <v>85</v>
      </c>
      <c r="D1028">
        <v>28.2</v>
      </c>
      <c r="E1028">
        <v>0.1</v>
      </c>
      <c r="F1028">
        <v>3.6</v>
      </c>
      <c r="G1028">
        <v>17.8</v>
      </c>
      <c r="H1028">
        <v>2</v>
      </c>
      <c r="I1028">
        <v>0.3</v>
      </c>
      <c r="J1028">
        <v>0</v>
      </c>
      <c r="K1028">
        <f t="shared" si="754"/>
        <v>52</v>
      </c>
      <c r="L1028" s="1">
        <v>0</v>
      </c>
      <c r="M1028" s="1">
        <v>0</v>
      </c>
      <c r="N1028" s="1">
        <v>0</v>
      </c>
      <c r="O1028">
        <f t="shared" si="636"/>
        <v>0</v>
      </c>
      <c r="P1028" s="1">
        <v>0</v>
      </c>
      <c r="Q1028" s="1">
        <v>0</v>
      </c>
      <c r="R1028" s="1">
        <v>0</v>
      </c>
      <c r="S1028">
        <f t="shared" si="638"/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f t="shared" si="640"/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5.8</v>
      </c>
      <c r="AI1028">
        <v>6.7</v>
      </c>
      <c r="AJ1028" s="5">
        <f t="shared" si="642"/>
        <v>12.5</v>
      </c>
      <c r="AK1028">
        <v>0</v>
      </c>
      <c r="AL1028">
        <v>0.35600000000000004</v>
      </c>
      <c r="AM1028">
        <f t="shared" si="683"/>
        <v>0.64500000000000002</v>
      </c>
      <c r="AN1028">
        <v>11248</v>
      </c>
      <c r="AO1028" t="s">
        <v>13</v>
      </c>
      <c r="AP1028" s="3">
        <f t="shared" si="749"/>
        <v>31684.507042253521</v>
      </c>
      <c r="AQ1028" t="s">
        <v>13</v>
      </c>
      <c r="AR1028">
        <f t="shared" si="753"/>
        <v>0.19379844961240308</v>
      </c>
      <c r="AS1028">
        <f t="shared" si="750"/>
        <v>0.52</v>
      </c>
      <c r="AT1028">
        <f t="shared" si="751"/>
        <v>16476</v>
      </c>
      <c r="AU1028">
        <f t="shared" si="752"/>
        <v>3961</v>
      </c>
      <c r="AV1028">
        <f t="shared" si="755"/>
        <v>8238</v>
      </c>
      <c r="AW1028">
        <f t="shared" si="756"/>
        <v>6107</v>
      </c>
      <c r="AX1028" s="3">
        <f t="shared" si="757"/>
        <v>17339.507042253521</v>
      </c>
      <c r="AY1028">
        <f t="shared" si="758"/>
        <v>8238</v>
      </c>
      <c r="AZ1028">
        <f t="shared" si="759"/>
        <v>6107</v>
      </c>
      <c r="BA1028" s="3">
        <f t="shared" si="760"/>
        <v>17339.507042253521</v>
      </c>
    </row>
    <row r="1029" spans="1:53" x14ac:dyDescent="0.2">
      <c r="A1029">
        <v>2017</v>
      </c>
      <c r="B1029" t="s">
        <v>90</v>
      </c>
      <c r="C1029" t="s">
        <v>85</v>
      </c>
      <c r="D1029">
        <v>13.2</v>
      </c>
      <c r="E1029">
        <v>0</v>
      </c>
      <c r="F1029">
        <v>5.0999999999999996</v>
      </c>
      <c r="G1029">
        <v>8.6</v>
      </c>
      <c r="H1029">
        <v>2</v>
      </c>
      <c r="I1029">
        <v>1.2</v>
      </c>
      <c r="J1029">
        <v>1.8</v>
      </c>
      <c r="K1029">
        <f t="shared" si="754"/>
        <v>31.9</v>
      </c>
      <c r="L1029" s="1">
        <v>0</v>
      </c>
      <c r="M1029" s="1">
        <v>0</v>
      </c>
      <c r="N1029" s="1">
        <v>0</v>
      </c>
      <c r="O1029">
        <f t="shared" si="636"/>
        <v>0</v>
      </c>
      <c r="P1029" s="1">
        <v>0</v>
      </c>
      <c r="Q1029" s="1">
        <v>0</v>
      </c>
      <c r="R1029" s="1">
        <v>0</v>
      </c>
      <c r="S1029">
        <f t="shared" si="638"/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f t="shared" si="640"/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9.8000000000000007</v>
      </c>
      <c r="AI1029">
        <v>6.9</v>
      </c>
      <c r="AJ1029" s="5">
        <f t="shared" si="642"/>
        <v>16.700000000000003</v>
      </c>
      <c r="AK1029">
        <v>0</v>
      </c>
      <c r="AL1029">
        <v>0.51300000000000001</v>
      </c>
      <c r="AM1029">
        <f t="shared" si="683"/>
        <v>0.48599999999999999</v>
      </c>
      <c r="AN1029">
        <v>17145</v>
      </c>
      <c r="AO1029" t="s">
        <v>13</v>
      </c>
      <c r="AP1029" s="3">
        <f t="shared" si="749"/>
        <v>33356.031128404669</v>
      </c>
      <c r="AQ1029" t="s">
        <v>13</v>
      </c>
      <c r="AR1029">
        <f t="shared" si="753"/>
        <v>0.34362139917695483</v>
      </c>
      <c r="AS1029">
        <f t="shared" si="750"/>
        <v>0.31900000000000001</v>
      </c>
      <c r="AT1029">
        <f t="shared" si="751"/>
        <v>10641</v>
      </c>
      <c r="AU1029">
        <f t="shared" si="752"/>
        <v>5570</v>
      </c>
      <c r="AV1029">
        <f t="shared" si="755"/>
        <v>5320</v>
      </c>
      <c r="AW1029">
        <f t="shared" si="756"/>
        <v>6875</v>
      </c>
      <c r="AX1029" s="3">
        <f t="shared" si="757"/>
        <v>21161.031128404669</v>
      </c>
      <c r="AY1029">
        <f t="shared" si="758"/>
        <v>5320</v>
      </c>
      <c r="AZ1029">
        <f t="shared" si="759"/>
        <v>6875</v>
      </c>
      <c r="BA1029" s="3">
        <f t="shared" si="760"/>
        <v>21161.031128404669</v>
      </c>
    </row>
    <row r="1030" spans="1:53" x14ac:dyDescent="0.2">
      <c r="A1030">
        <v>2018</v>
      </c>
      <c r="B1030" t="s">
        <v>90</v>
      </c>
      <c r="C1030" t="s">
        <v>85</v>
      </c>
      <c r="D1030">
        <v>20.5</v>
      </c>
      <c r="E1030">
        <v>0</v>
      </c>
      <c r="F1030">
        <v>7.1</v>
      </c>
      <c r="G1030">
        <v>20.2</v>
      </c>
      <c r="H1030">
        <v>3.2</v>
      </c>
      <c r="I1030">
        <v>0.9</v>
      </c>
      <c r="J1030">
        <v>0</v>
      </c>
      <c r="K1030">
        <f t="shared" si="754"/>
        <v>51.9</v>
      </c>
      <c r="L1030" s="1">
        <v>0</v>
      </c>
      <c r="M1030" s="1">
        <v>0</v>
      </c>
      <c r="N1030" s="1">
        <v>0</v>
      </c>
      <c r="O1030">
        <f t="shared" si="636"/>
        <v>0</v>
      </c>
      <c r="P1030" s="1">
        <v>0</v>
      </c>
      <c r="Q1030" s="1">
        <v>0</v>
      </c>
      <c r="R1030" s="1">
        <v>1.1000000000000001</v>
      </c>
      <c r="S1030">
        <f t="shared" si="638"/>
        <v>1.1000000000000001</v>
      </c>
      <c r="T1030">
        <v>0.2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f t="shared" si="640"/>
        <v>0.2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4.5</v>
      </c>
      <c r="AI1030">
        <v>5.3</v>
      </c>
      <c r="AJ1030" s="5">
        <f t="shared" si="642"/>
        <v>9.8000000000000007</v>
      </c>
      <c r="AK1030">
        <v>0</v>
      </c>
      <c r="AL1030">
        <v>0.37</v>
      </c>
      <c r="AM1030">
        <f t="shared" si="683"/>
        <v>0.63000000000000012</v>
      </c>
      <c r="AN1030">
        <v>20730</v>
      </c>
      <c r="AO1030" t="s">
        <v>13</v>
      </c>
      <c r="AP1030" s="3">
        <f t="shared" si="749"/>
        <v>56027.027027027041</v>
      </c>
      <c r="AQ1030" t="s">
        <v>13</v>
      </c>
      <c r="AR1030">
        <f t="shared" si="753"/>
        <v>0.15555555555555553</v>
      </c>
      <c r="AS1030">
        <f t="shared" si="750"/>
        <v>0.53200000000000003</v>
      </c>
      <c r="AT1030">
        <f t="shared" si="751"/>
        <v>29806</v>
      </c>
      <c r="AU1030">
        <f t="shared" si="752"/>
        <v>5491</v>
      </c>
      <c r="AV1030">
        <f t="shared" si="755"/>
        <v>15267</v>
      </c>
      <c r="AW1030">
        <f t="shared" si="756"/>
        <v>8536</v>
      </c>
      <c r="AX1030" s="3">
        <f t="shared" si="757"/>
        <v>32224.027027027041</v>
      </c>
      <c r="AY1030">
        <f t="shared" si="758"/>
        <v>14903</v>
      </c>
      <c r="AZ1030">
        <f t="shared" si="759"/>
        <v>8612</v>
      </c>
      <c r="BA1030" s="3">
        <f t="shared" si="760"/>
        <v>32512.027027027041</v>
      </c>
    </row>
    <row r="1031" spans="1:53" x14ac:dyDescent="0.2">
      <c r="A1031">
        <v>2019</v>
      </c>
      <c r="B1031" t="s">
        <v>90</v>
      </c>
      <c r="C1031" t="s">
        <v>85</v>
      </c>
      <c r="D1031">
        <v>20.7</v>
      </c>
      <c r="E1031">
        <v>0.6</v>
      </c>
      <c r="F1031">
        <v>1.2</v>
      </c>
      <c r="G1031">
        <v>20.7</v>
      </c>
      <c r="H1031">
        <v>5.2</v>
      </c>
      <c r="I1031">
        <v>1</v>
      </c>
      <c r="J1031">
        <v>0.6</v>
      </c>
      <c r="K1031">
        <f t="shared" si="754"/>
        <v>50.000000000000007</v>
      </c>
      <c r="L1031" s="1">
        <v>0</v>
      </c>
      <c r="M1031" s="1">
        <v>0</v>
      </c>
      <c r="N1031" s="1">
        <v>0.8</v>
      </c>
      <c r="O1031">
        <f t="shared" si="636"/>
        <v>0.8</v>
      </c>
      <c r="P1031" s="1">
        <v>0</v>
      </c>
      <c r="Q1031" s="1">
        <v>0</v>
      </c>
      <c r="R1031" s="1">
        <v>1.9</v>
      </c>
      <c r="S1031">
        <f t="shared" si="638"/>
        <v>1.9</v>
      </c>
      <c r="T1031">
        <v>1.3</v>
      </c>
      <c r="U1031">
        <v>0.3</v>
      </c>
      <c r="V1031">
        <v>0</v>
      </c>
      <c r="W1031">
        <v>0.3</v>
      </c>
      <c r="X1031">
        <v>0</v>
      </c>
      <c r="Y1031">
        <v>0</v>
      </c>
      <c r="Z1031">
        <v>0</v>
      </c>
      <c r="AA1031">
        <f t="shared" si="640"/>
        <v>1.9000000000000001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5.6</v>
      </c>
      <c r="AI1031">
        <v>2.9</v>
      </c>
      <c r="AJ1031" s="5">
        <f t="shared" si="642"/>
        <v>8.5</v>
      </c>
      <c r="AK1031">
        <v>0</v>
      </c>
      <c r="AL1031">
        <v>0.36899999999999999</v>
      </c>
      <c r="AM1031">
        <f t="shared" si="683"/>
        <v>0.63100000000000012</v>
      </c>
      <c r="AN1031">
        <v>14890</v>
      </c>
      <c r="AO1031" t="s">
        <v>13</v>
      </c>
      <c r="AP1031" s="3">
        <f t="shared" si="749"/>
        <v>40352.30352303524</v>
      </c>
      <c r="AQ1031" t="s">
        <v>13</v>
      </c>
      <c r="AR1031">
        <f t="shared" si="753"/>
        <v>0.13470681458003167</v>
      </c>
      <c r="AS1031">
        <f t="shared" si="750"/>
        <v>0.54600000000000004</v>
      </c>
      <c r="AT1031">
        <f t="shared" si="751"/>
        <v>22032</v>
      </c>
      <c r="AU1031">
        <f t="shared" si="752"/>
        <v>3430</v>
      </c>
      <c r="AV1031">
        <f t="shared" si="755"/>
        <v>11944</v>
      </c>
      <c r="AW1031">
        <f t="shared" si="756"/>
        <v>5319</v>
      </c>
      <c r="AX1031" s="3">
        <f t="shared" si="757"/>
        <v>23089.30352303524</v>
      </c>
      <c r="AY1031">
        <f t="shared" si="758"/>
        <v>11016</v>
      </c>
      <c r="AZ1031">
        <f t="shared" si="759"/>
        <v>5492</v>
      </c>
      <c r="BA1031" s="3">
        <f t="shared" si="760"/>
        <v>23844.30352303524</v>
      </c>
    </row>
    <row r="1032" spans="1:53" x14ac:dyDescent="0.2">
      <c r="A1032">
        <v>2020</v>
      </c>
      <c r="B1032" t="s">
        <v>90</v>
      </c>
      <c r="C1032" t="s">
        <v>85</v>
      </c>
      <c r="D1032">
        <v>30.7</v>
      </c>
      <c r="E1032">
        <v>1.4</v>
      </c>
      <c r="F1032">
        <v>5.9</v>
      </c>
      <c r="G1032">
        <v>11.9</v>
      </c>
      <c r="H1032">
        <v>0</v>
      </c>
      <c r="I1032">
        <v>0.6</v>
      </c>
      <c r="J1032">
        <v>0</v>
      </c>
      <c r="K1032">
        <f t="shared" si="754"/>
        <v>50.5</v>
      </c>
      <c r="L1032" s="1">
        <v>0</v>
      </c>
      <c r="M1032" s="1">
        <v>0</v>
      </c>
      <c r="N1032" s="1">
        <v>0</v>
      </c>
      <c r="O1032">
        <f t="shared" si="636"/>
        <v>0</v>
      </c>
      <c r="P1032" s="1">
        <v>0</v>
      </c>
      <c r="Q1032" s="1">
        <v>0</v>
      </c>
      <c r="R1032" s="1">
        <v>0</v>
      </c>
      <c r="S1032">
        <f t="shared" si="638"/>
        <v>0</v>
      </c>
      <c r="T1032">
        <v>0.2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f t="shared" si="640"/>
        <v>0.2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6.2</v>
      </c>
      <c r="AI1032">
        <v>2.2000000000000002</v>
      </c>
      <c r="AJ1032" s="5">
        <f t="shared" si="642"/>
        <v>8.4</v>
      </c>
      <c r="AK1032">
        <v>0</v>
      </c>
      <c r="AL1032">
        <v>0.41</v>
      </c>
      <c r="AM1032">
        <f t="shared" si="683"/>
        <v>0.59099999999999997</v>
      </c>
      <c r="AN1032">
        <v>20879</v>
      </c>
      <c r="AO1032" t="s">
        <v>13</v>
      </c>
      <c r="AP1032" s="3">
        <f t="shared" si="749"/>
        <v>51048.899755501217</v>
      </c>
      <c r="AQ1032" t="s">
        <v>13</v>
      </c>
      <c r="AR1032">
        <f t="shared" si="753"/>
        <v>0.14213197969543148</v>
      </c>
      <c r="AS1032">
        <f t="shared" si="750"/>
        <v>0.50700000000000001</v>
      </c>
      <c r="AT1032">
        <f t="shared" si="751"/>
        <v>25882</v>
      </c>
      <c r="AU1032">
        <f t="shared" si="752"/>
        <v>4288</v>
      </c>
      <c r="AV1032">
        <f t="shared" si="755"/>
        <v>12992</v>
      </c>
      <c r="AW1032">
        <f t="shared" si="756"/>
        <v>6484</v>
      </c>
      <c r="AX1032" s="3">
        <f t="shared" si="757"/>
        <v>31572.899755501217</v>
      </c>
      <c r="AY1032">
        <f t="shared" si="758"/>
        <v>12941</v>
      </c>
      <c r="AZ1032">
        <f t="shared" si="759"/>
        <v>6493</v>
      </c>
      <c r="BA1032" s="3">
        <f t="shared" si="760"/>
        <v>31614.899755501217</v>
      </c>
    </row>
    <row r="1033" spans="1:53" x14ac:dyDescent="0.2">
      <c r="A1033">
        <v>2021</v>
      </c>
      <c r="B1033" t="s">
        <v>90</v>
      </c>
      <c r="C1033" t="s">
        <v>85</v>
      </c>
      <c r="D1033">
        <v>30.2</v>
      </c>
      <c r="E1033">
        <v>0.4</v>
      </c>
      <c r="F1033">
        <v>4.7</v>
      </c>
      <c r="G1033">
        <v>15.8</v>
      </c>
      <c r="H1033">
        <v>5.6</v>
      </c>
      <c r="I1033">
        <v>1.9</v>
      </c>
      <c r="J1033">
        <v>0.8</v>
      </c>
      <c r="K1033">
        <f t="shared" si="754"/>
        <v>59.399999999999991</v>
      </c>
      <c r="L1033" s="1">
        <v>0</v>
      </c>
      <c r="M1033" s="1">
        <v>0</v>
      </c>
      <c r="N1033" s="1">
        <v>1.1000000000000001</v>
      </c>
      <c r="O1033">
        <f t="shared" si="636"/>
        <v>1.1000000000000001</v>
      </c>
      <c r="P1033" s="1">
        <v>0</v>
      </c>
      <c r="Q1033" s="1">
        <v>0</v>
      </c>
      <c r="R1033" s="1">
        <v>0</v>
      </c>
      <c r="S1033">
        <f t="shared" si="638"/>
        <v>0</v>
      </c>
      <c r="T1033">
        <v>0.3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f t="shared" si="640"/>
        <v>0.3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5.2</v>
      </c>
      <c r="AI1033">
        <v>1.9</v>
      </c>
      <c r="AJ1033" s="5">
        <f t="shared" si="642"/>
        <v>7.1</v>
      </c>
      <c r="AK1033">
        <v>0</v>
      </c>
      <c r="AL1033">
        <v>0.32100000000000001</v>
      </c>
      <c r="AM1033">
        <f t="shared" si="683"/>
        <v>0.67900000000000005</v>
      </c>
      <c r="AN1033">
        <v>13207</v>
      </c>
      <c r="AO1033" t="s">
        <v>13</v>
      </c>
      <c r="AP1033" s="3">
        <f t="shared" si="749"/>
        <v>41143.302180685365</v>
      </c>
      <c r="AQ1033" t="s">
        <v>13</v>
      </c>
      <c r="AR1033">
        <f t="shared" si="753"/>
        <v>0.10456553755522827</v>
      </c>
      <c r="AS1033">
        <f t="shared" si="750"/>
        <v>0.60799999999999987</v>
      </c>
      <c r="AT1033">
        <f t="shared" si="751"/>
        <v>25015</v>
      </c>
      <c r="AU1033">
        <f t="shared" si="752"/>
        <v>2921</v>
      </c>
      <c r="AV1033">
        <f t="shared" si="755"/>
        <v>12796</v>
      </c>
      <c r="AW1033">
        <f t="shared" si="756"/>
        <v>5134</v>
      </c>
      <c r="AX1033" s="3">
        <f t="shared" si="757"/>
        <v>23213.302180685365</v>
      </c>
      <c r="AY1033">
        <f t="shared" si="758"/>
        <v>12508</v>
      </c>
      <c r="AZ1033">
        <f t="shared" si="759"/>
        <v>5186</v>
      </c>
      <c r="BA1033" s="3">
        <f t="shared" si="760"/>
        <v>23449.302180685365</v>
      </c>
    </row>
    <row r="1034" spans="1:53" x14ac:dyDescent="0.2">
      <c r="A1034">
        <v>2022</v>
      </c>
      <c r="B1034" t="s">
        <v>90</v>
      </c>
      <c r="C1034" t="s">
        <v>85</v>
      </c>
      <c r="D1034">
        <v>23.8</v>
      </c>
      <c r="E1034">
        <v>0.9</v>
      </c>
      <c r="F1034">
        <v>7.2</v>
      </c>
      <c r="G1034">
        <v>16.7</v>
      </c>
      <c r="H1034">
        <v>4.3</v>
      </c>
      <c r="I1034">
        <v>0.5</v>
      </c>
      <c r="J1034">
        <v>0</v>
      </c>
      <c r="K1034">
        <f t="shared" si="754"/>
        <v>53.399999999999991</v>
      </c>
      <c r="L1034" s="1">
        <v>0</v>
      </c>
      <c r="M1034" s="1">
        <v>0</v>
      </c>
      <c r="N1034" s="1">
        <v>0</v>
      </c>
      <c r="O1034">
        <f t="shared" ref="O1034:O1097" si="761">SUM(L1034:N1034)</f>
        <v>0</v>
      </c>
      <c r="P1034" s="1">
        <v>0</v>
      </c>
      <c r="Q1034" s="1">
        <v>0</v>
      </c>
      <c r="R1034" s="1">
        <v>1</v>
      </c>
      <c r="S1034">
        <f t="shared" ref="S1034:S1097" si="762">SUM(P1034:R1034)</f>
        <v>1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f t="shared" ref="AA1034:AA1097" si="763">SUM(T1034:Z1034)</f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3.8</v>
      </c>
      <c r="AI1034">
        <v>2.8</v>
      </c>
      <c r="AJ1034" s="5">
        <f t="shared" ref="AJ1034:AJ1097" si="764">SUM(AB1034:AI1034)</f>
        <v>6.6</v>
      </c>
      <c r="AK1034">
        <v>0</v>
      </c>
      <c r="AL1034">
        <v>0.39</v>
      </c>
      <c r="AM1034">
        <f t="shared" si="683"/>
        <v>0.61</v>
      </c>
      <c r="AN1034">
        <v>14259</v>
      </c>
      <c r="AO1034" t="s">
        <v>13</v>
      </c>
      <c r="AP1034" s="3">
        <f t="shared" si="749"/>
        <v>36561.538461538461</v>
      </c>
      <c r="AQ1034" t="s">
        <v>13</v>
      </c>
      <c r="AR1034">
        <f t="shared" si="753"/>
        <v>0.10819672131147541</v>
      </c>
      <c r="AS1034">
        <f t="shared" si="750"/>
        <v>0.54399999999999993</v>
      </c>
      <c r="AT1034">
        <f t="shared" si="751"/>
        <v>19889</v>
      </c>
      <c r="AU1034">
        <f t="shared" si="752"/>
        <v>2413</v>
      </c>
      <c r="AV1034">
        <f t="shared" si="755"/>
        <v>10128</v>
      </c>
      <c r="AW1034">
        <f t="shared" si="756"/>
        <v>3826</v>
      </c>
      <c r="AX1034" s="3">
        <f t="shared" si="757"/>
        <v>22607.538461538461</v>
      </c>
      <c r="AY1034">
        <f t="shared" si="758"/>
        <v>9945</v>
      </c>
      <c r="AZ1034">
        <f t="shared" si="759"/>
        <v>3852</v>
      </c>
      <c r="BA1034" s="3">
        <f t="shared" si="760"/>
        <v>22764.538461538461</v>
      </c>
    </row>
    <row r="1035" spans="1:53" x14ac:dyDescent="0.2">
      <c r="A1035">
        <v>2023</v>
      </c>
      <c r="B1035" t="s">
        <v>90</v>
      </c>
      <c r="C1035" t="s">
        <v>85</v>
      </c>
      <c r="D1035" t="s">
        <v>13</v>
      </c>
      <c r="E1035" t="s">
        <v>13</v>
      </c>
      <c r="F1035" t="s">
        <v>13</v>
      </c>
      <c r="G1035" t="s">
        <v>13</v>
      </c>
      <c r="H1035" t="s">
        <v>13</v>
      </c>
      <c r="I1035" t="s">
        <v>13</v>
      </c>
      <c r="J1035" t="s">
        <v>13</v>
      </c>
      <c r="K1035" t="s">
        <v>13</v>
      </c>
      <c r="L1035" t="s">
        <v>13</v>
      </c>
      <c r="M1035" t="s">
        <v>13</v>
      </c>
      <c r="N1035" t="s">
        <v>13</v>
      </c>
      <c r="O1035" t="s">
        <v>13</v>
      </c>
      <c r="P1035" t="s">
        <v>13</v>
      </c>
      <c r="Q1035" t="s">
        <v>13</v>
      </c>
      <c r="R1035" t="s">
        <v>13</v>
      </c>
      <c r="S1035" t="s">
        <v>13</v>
      </c>
      <c r="T1035" t="s">
        <v>13</v>
      </c>
      <c r="U1035" t="s">
        <v>13</v>
      </c>
      <c r="V1035" t="s">
        <v>13</v>
      </c>
      <c r="W1035" t="s">
        <v>13</v>
      </c>
      <c r="X1035" t="s">
        <v>13</v>
      </c>
      <c r="Y1035" t="s">
        <v>13</v>
      </c>
      <c r="Z1035" t="s">
        <v>13</v>
      </c>
      <c r="AA1035" t="s">
        <v>13</v>
      </c>
      <c r="AB1035" t="s">
        <v>13</v>
      </c>
      <c r="AC1035" t="s">
        <v>13</v>
      </c>
      <c r="AD1035" t="s">
        <v>13</v>
      </c>
      <c r="AE1035" t="s">
        <v>13</v>
      </c>
      <c r="AF1035" t="s">
        <v>13</v>
      </c>
      <c r="AG1035" t="s">
        <v>13</v>
      </c>
      <c r="AH1035" t="s">
        <v>13</v>
      </c>
      <c r="AI1035" t="s">
        <v>13</v>
      </c>
      <c r="AJ1035" t="s">
        <v>13</v>
      </c>
      <c r="AK1035" t="s">
        <v>13</v>
      </c>
      <c r="AL1035" t="s">
        <v>13</v>
      </c>
      <c r="AM1035" t="s">
        <v>13</v>
      </c>
      <c r="AN1035">
        <v>10943</v>
      </c>
      <c r="AO1035" t="s">
        <v>13</v>
      </c>
      <c r="AP1035" t="s">
        <v>13</v>
      </c>
      <c r="AQ1035" t="s">
        <v>13</v>
      </c>
      <c r="AR1035" t="s">
        <v>13</v>
      </c>
      <c r="AS1035" t="s">
        <v>13</v>
      </c>
      <c r="AT1035" t="s">
        <v>13</v>
      </c>
      <c r="AU1035" t="s">
        <v>13</v>
      </c>
      <c r="AV1035" t="s">
        <v>13</v>
      </c>
      <c r="AW1035" t="s">
        <v>13</v>
      </c>
      <c r="AX1035" t="s">
        <v>13</v>
      </c>
      <c r="AY1035" t="s">
        <v>13</v>
      </c>
      <c r="AZ1035" t="s">
        <v>13</v>
      </c>
      <c r="BA1035" t="s">
        <v>13</v>
      </c>
    </row>
    <row r="1036" spans="1:53" x14ac:dyDescent="0.2">
      <c r="A1036">
        <v>1981</v>
      </c>
      <c r="B1036" t="s">
        <v>91</v>
      </c>
      <c r="C1036" t="s">
        <v>85</v>
      </c>
      <c r="D1036">
        <f t="shared" ref="D1036:J1036" si="765">D993*0.65</f>
        <v>8.84</v>
      </c>
      <c r="E1036">
        <f t="shared" si="765"/>
        <v>0</v>
      </c>
      <c r="F1036">
        <f t="shared" si="765"/>
        <v>0</v>
      </c>
      <c r="G1036">
        <f t="shared" si="765"/>
        <v>10.790000000000001</v>
      </c>
      <c r="H1036">
        <f t="shared" si="765"/>
        <v>0.13</v>
      </c>
      <c r="I1036">
        <f t="shared" si="765"/>
        <v>7.93</v>
      </c>
      <c r="J1036">
        <f t="shared" si="765"/>
        <v>0</v>
      </c>
      <c r="K1036">
        <f t="shared" si="754"/>
        <v>27.69</v>
      </c>
      <c r="L1036">
        <f>L993*0.65</f>
        <v>1.105</v>
      </c>
      <c r="M1036">
        <f>M993*0.65</f>
        <v>1.1700000000000002</v>
      </c>
      <c r="N1036">
        <f>N993*0.65</f>
        <v>0</v>
      </c>
      <c r="O1036">
        <f t="shared" si="761"/>
        <v>2.2750000000000004</v>
      </c>
      <c r="P1036">
        <f>P993*0.65</f>
        <v>0</v>
      </c>
      <c r="Q1036">
        <f>Q993*0.65</f>
        <v>0.52</v>
      </c>
      <c r="R1036">
        <f>R993*0.65</f>
        <v>0</v>
      </c>
      <c r="S1036">
        <f t="shared" si="762"/>
        <v>0.52</v>
      </c>
      <c r="T1036">
        <f t="shared" ref="T1036:Z1036" si="766">T993*0.65</f>
        <v>0.19500000000000001</v>
      </c>
      <c r="U1036">
        <f t="shared" si="766"/>
        <v>0</v>
      </c>
      <c r="V1036">
        <f t="shared" si="766"/>
        <v>1.105</v>
      </c>
      <c r="W1036">
        <f t="shared" si="766"/>
        <v>0</v>
      </c>
      <c r="X1036">
        <f t="shared" si="766"/>
        <v>0</v>
      </c>
      <c r="Y1036">
        <f t="shared" si="766"/>
        <v>0</v>
      </c>
      <c r="Z1036">
        <f t="shared" si="766"/>
        <v>2.08</v>
      </c>
      <c r="AA1036">
        <f t="shared" si="763"/>
        <v>3.38</v>
      </c>
      <c r="AB1036">
        <f t="shared" ref="AB1036:AG1036" si="767">AB993*0.65</f>
        <v>0</v>
      </c>
      <c r="AC1036">
        <f t="shared" si="767"/>
        <v>0</v>
      </c>
      <c r="AD1036">
        <f t="shared" si="767"/>
        <v>0</v>
      </c>
      <c r="AE1036">
        <f t="shared" si="767"/>
        <v>0</v>
      </c>
      <c r="AF1036">
        <f t="shared" si="767"/>
        <v>0</v>
      </c>
      <c r="AG1036">
        <f t="shared" si="767"/>
        <v>0</v>
      </c>
      <c r="AH1036" s="5">
        <v>5.3911900065746217</v>
      </c>
      <c r="AI1036" t="s">
        <v>13</v>
      </c>
      <c r="AJ1036" s="5">
        <f t="shared" si="764"/>
        <v>5.3911900065746217</v>
      </c>
      <c r="AK1036" t="s">
        <v>13</v>
      </c>
      <c r="AL1036">
        <f>1-AM1036</f>
        <v>0.60743809993425368</v>
      </c>
      <c r="AM1036">
        <f t="shared" si="683"/>
        <v>0.39256190006574626</v>
      </c>
      <c r="AN1036">
        <v>924</v>
      </c>
      <c r="AO1036" t="s">
        <v>13</v>
      </c>
      <c r="AP1036" s="3">
        <v>1521</v>
      </c>
      <c r="AQ1036" t="s">
        <v>13</v>
      </c>
      <c r="AR1036">
        <f t="shared" si="753"/>
        <v>0.13733350092486574</v>
      </c>
      <c r="AS1036">
        <f t="shared" ref="AS1036:AS1077" si="768">SUM(K1036,O1036,S1036,AA1036)/100</f>
        <v>0.33865000000000001</v>
      </c>
      <c r="AT1036">
        <f t="shared" ref="AT1036:AT1077" si="769">ROUND(AS1036*AP1036,0)</f>
        <v>515</v>
      </c>
      <c r="AU1036">
        <f t="shared" ref="AU1036:AU1077" si="770">ROUND((AJ1036/100)*AP1036,0)</f>
        <v>82</v>
      </c>
      <c r="AV1036">
        <f t="shared" si="755"/>
        <v>305</v>
      </c>
      <c r="AW1036">
        <f t="shared" si="756"/>
        <v>99</v>
      </c>
      <c r="AX1036" s="3">
        <f t="shared" si="757"/>
        <v>1117</v>
      </c>
      <c r="AY1036">
        <f t="shared" si="758"/>
        <v>258</v>
      </c>
      <c r="AZ1036">
        <f t="shared" si="759"/>
        <v>103</v>
      </c>
      <c r="BA1036" s="3">
        <f t="shared" si="760"/>
        <v>1160</v>
      </c>
    </row>
    <row r="1037" spans="1:53" x14ac:dyDescent="0.2">
      <c r="A1037">
        <v>1982</v>
      </c>
      <c r="B1037" t="s">
        <v>91</v>
      </c>
      <c r="C1037" t="s">
        <v>85</v>
      </c>
      <c r="D1037">
        <f t="shared" ref="D1037:E1077" si="771">D994*0.65</f>
        <v>8.9049999999999994</v>
      </c>
      <c r="E1037">
        <f t="shared" si="771"/>
        <v>0.90999999999999992</v>
      </c>
      <c r="F1037">
        <f t="shared" ref="F1037:J1037" si="772">F994*0.65</f>
        <v>0</v>
      </c>
      <c r="G1037">
        <f t="shared" si="772"/>
        <v>13.325000000000001</v>
      </c>
      <c r="H1037">
        <f t="shared" si="772"/>
        <v>0</v>
      </c>
      <c r="I1037">
        <f t="shared" si="772"/>
        <v>9.1</v>
      </c>
      <c r="J1037">
        <f t="shared" si="772"/>
        <v>0</v>
      </c>
      <c r="K1037">
        <f t="shared" si="754"/>
        <v>32.24</v>
      </c>
      <c r="L1037">
        <f t="shared" ref="L1037:N1037" si="773">L994*0.65</f>
        <v>0</v>
      </c>
      <c r="M1037">
        <f t="shared" si="773"/>
        <v>0.52</v>
      </c>
      <c r="N1037">
        <f t="shared" si="773"/>
        <v>0.84500000000000008</v>
      </c>
      <c r="O1037">
        <f t="shared" si="761"/>
        <v>1.3650000000000002</v>
      </c>
      <c r="P1037">
        <f t="shared" ref="P1037:Q1077" si="774">P994*0.65</f>
        <v>0</v>
      </c>
      <c r="Q1037">
        <f t="shared" si="774"/>
        <v>0</v>
      </c>
      <c r="R1037">
        <f t="shared" ref="R1037" si="775">R994*0.65</f>
        <v>0</v>
      </c>
      <c r="S1037">
        <f t="shared" si="762"/>
        <v>0</v>
      </c>
      <c r="T1037">
        <f t="shared" ref="T1037:Z1037" si="776">T994*0.65</f>
        <v>0</v>
      </c>
      <c r="U1037">
        <f t="shared" si="776"/>
        <v>0</v>
      </c>
      <c r="V1037">
        <f t="shared" si="776"/>
        <v>0</v>
      </c>
      <c r="W1037">
        <f t="shared" si="776"/>
        <v>0</v>
      </c>
      <c r="X1037">
        <f t="shared" si="776"/>
        <v>0</v>
      </c>
      <c r="Y1037">
        <f t="shared" si="776"/>
        <v>0</v>
      </c>
      <c r="Z1037">
        <f t="shared" si="776"/>
        <v>0</v>
      </c>
      <c r="AA1037">
        <f t="shared" si="763"/>
        <v>0</v>
      </c>
      <c r="AB1037">
        <f t="shared" ref="AB1037:AG1037" si="777">AB994*0.65</f>
        <v>0</v>
      </c>
      <c r="AC1037">
        <f t="shared" si="777"/>
        <v>0</v>
      </c>
      <c r="AD1037">
        <f t="shared" si="777"/>
        <v>0</v>
      </c>
      <c r="AE1037">
        <f t="shared" si="777"/>
        <v>0</v>
      </c>
      <c r="AF1037">
        <f t="shared" si="777"/>
        <v>0</v>
      </c>
      <c r="AG1037">
        <f t="shared" si="777"/>
        <v>0</v>
      </c>
      <c r="AH1037" s="5">
        <v>5.8531746031746028</v>
      </c>
      <c r="AI1037" t="s">
        <v>13</v>
      </c>
      <c r="AJ1037" s="5">
        <f t="shared" si="764"/>
        <v>5.8531746031746028</v>
      </c>
      <c r="AK1037" t="s">
        <v>13</v>
      </c>
      <c r="AL1037">
        <f t="shared" ref="AL1037:AL1077" si="778">1-AM1037</f>
        <v>0.60541825396825399</v>
      </c>
      <c r="AM1037">
        <f t="shared" si="683"/>
        <v>0.39458174603174606</v>
      </c>
      <c r="AN1037">
        <v>610</v>
      </c>
      <c r="AO1037" t="s">
        <v>13</v>
      </c>
      <c r="AP1037" s="3">
        <v>1008</v>
      </c>
      <c r="AQ1037" t="s">
        <v>13</v>
      </c>
      <c r="AR1037">
        <f t="shared" si="753"/>
        <v>0.14833870704965874</v>
      </c>
      <c r="AS1037">
        <f t="shared" si="768"/>
        <v>0.33605000000000002</v>
      </c>
      <c r="AT1037">
        <f t="shared" si="769"/>
        <v>339</v>
      </c>
      <c r="AU1037">
        <f t="shared" si="770"/>
        <v>59</v>
      </c>
      <c r="AV1037">
        <f t="shared" si="755"/>
        <v>176</v>
      </c>
      <c r="AW1037">
        <f t="shared" si="756"/>
        <v>73</v>
      </c>
      <c r="AX1037" s="3">
        <f t="shared" si="757"/>
        <v>759</v>
      </c>
      <c r="AY1037">
        <f t="shared" si="758"/>
        <v>169</v>
      </c>
      <c r="AZ1037">
        <f t="shared" si="759"/>
        <v>74</v>
      </c>
      <c r="BA1037" s="3">
        <f t="shared" si="760"/>
        <v>765</v>
      </c>
    </row>
    <row r="1038" spans="1:53" x14ac:dyDescent="0.2">
      <c r="A1038">
        <v>1983</v>
      </c>
      <c r="B1038" t="s">
        <v>91</v>
      </c>
      <c r="C1038" t="s">
        <v>85</v>
      </c>
      <c r="D1038">
        <f t="shared" si="771"/>
        <v>28.665000000000003</v>
      </c>
      <c r="E1038">
        <f t="shared" si="771"/>
        <v>0</v>
      </c>
      <c r="F1038">
        <f t="shared" ref="F1038:J1038" si="779">F995*0.65</f>
        <v>0</v>
      </c>
      <c r="G1038">
        <f t="shared" si="779"/>
        <v>9.23</v>
      </c>
      <c r="H1038">
        <f t="shared" si="779"/>
        <v>0</v>
      </c>
      <c r="I1038">
        <f t="shared" si="779"/>
        <v>3.1850000000000005</v>
      </c>
      <c r="J1038">
        <f t="shared" si="779"/>
        <v>0</v>
      </c>
      <c r="K1038">
        <f t="shared" si="754"/>
        <v>41.080000000000005</v>
      </c>
      <c r="L1038">
        <f t="shared" ref="L1038:N1038" si="780">L995*0.65</f>
        <v>0</v>
      </c>
      <c r="M1038">
        <f t="shared" si="780"/>
        <v>0.32500000000000001</v>
      </c>
      <c r="N1038">
        <f t="shared" si="780"/>
        <v>0</v>
      </c>
      <c r="O1038">
        <f t="shared" si="761"/>
        <v>0.32500000000000001</v>
      </c>
      <c r="P1038">
        <f t="shared" si="774"/>
        <v>0</v>
      </c>
      <c r="Q1038">
        <f t="shared" si="774"/>
        <v>1.04</v>
      </c>
      <c r="R1038">
        <f t="shared" ref="R1038" si="781">R995*0.65</f>
        <v>0</v>
      </c>
      <c r="S1038">
        <f t="shared" si="762"/>
        <v>1.04</v>
      </c>
      <c r="T1038">
        <f t="shared" ref="T1038:Z1038" si="782">T995*0.65</f>
        <v>0.39</v>
      </c>
      <c r="U1038">
        <f t="shared" si="782"/>
        <v>0</v>
      </c>
      <c r="V1038">
        <f t="shared" si="782"/>
        <v>0</v>
      </c>
      <c r="W1038">
        <f t="shared" si="782"/>
        <v>0</v>
      </c>
      <c r="X1038">
        <f t="shared" si="782"/>
        <v>0</v>
      </c>
      <c r="Y1038">
        <f t="shared" si="782"/>
        <v>0.65</v>
      </c>
      <c r="Z1038">
        <f t="shared" si="782"/>
        <v>0</v>
      </c>
      <c r="AA1038">
        <f t="shared" si="763"/>
        <v>1.04</v>
      </c>
      <c r="AB1038">
        <f t="shared" ref="AB1038:AG1038" si="783">AB995*0.65</f>
        <v>0</v>
      </c>
      <c r="AC1038">
        <f t="shared" si="783"/>
        <v>0</v>
      </c>
      <c r="AD1038">
        <f t="shared" si="783"/>
        <v>0</v>
      </c>
      <c r="AE1038">
        <f t="shared" si="783"/>
        <v>0</v>
      </c>
      <c r="AF1038">
        <f t="shared" si="783"/>
        <v>0</v>
      </c>
      <c r="AG1038">
        <f t="shared" si="783"/>
        <v>0</v>
      </c>
      <c r="AH1038" s="5">
        <v>3.3244680851063828</v>
      </c>
      <c r="AI1038" t="s">
        <v>13</v>
      </c>
      <c r="AJ1038" s="5">
        <f t="shared" si="764"/>
        <v>3.3244680851063828</v>
      </c>
      <c r="AK1038" t="s">
        <v>13</v>
      </c>
      <c r="AL1038">
        <f t="shared" si="778"/>
        <v>0.53190531914893613</v>
      </c>
      <c r="AM1038">
        <f t="shared" si="683"/>
        <v>0.46809468085106387</v>
      </c>
      <c r="AN1038">
        <v>800</v>
      </c>
      <c r="AO1038" t="s">
        <v>13</v>
      </c>
      <c r="AP1038" s="3">
        <v>1504</v>
      </c>
      <c r="AQ1038" t="s">
        <v>13</v>
      </c>
      <c r="AR1038">
        <f t="shared" si="753"/>
        <v>7.1021274564838435E-2</v>
      </c>
      <c r="AS1038">
        <f t="shared" si="768"/>
        <v>0.43485000000000007</v>
      </c>
      <c r="AT1038">
        <f t="shared" si="769"/>
        <v>654</v>
      </c>
      <c r="AU1038">
        <f t="shared" si="770"/>
        <v>50</v>
      </c>
      <c r="AV1038">
        <f t="shared" si="755"/>
        <v>345</v>
      </c>
      <c r="AW1038">
        <f t="shared" si="756"/>
        <v>68</v>
      </c>
      <c r="AX1038" s="3">
        <f t="shared" si="757"/>
        <v>1091</v>
      </c>
      <c r="AY1038">
        <f t="shared" si="758"/>
        <v>327</v>
      </c>
      <c r="AZ1038">
        <f t="shared" si="759"/>
        <v>69</v>
      </c>
      <c r="BA1038" s="3">
        <f t="shared" si="760"/>
        <v>1108</v>
      </c>
    </row>
    <row r="1039" spans="1:53" x14ac:dyDescent="0.2">
      <c r="A1039">
        <v>1984</v>
      </c>
      <c r="B1039" t="s">
        <v>91</v>
      </c>
      <c r="C1039" t="s">
        <v>85</v>
      </c>
      <c r="D1039">
        <f t="shared" si="771"/>
        <v>11.375</v>
      </c>
      <c r="E1039">
        <f t="shared" si="771"/>
        <v>0.45499999999999996</v>
      </c>
      <c r="F1039">
        <f t="shared" ref="F1039:J1039" si="784">F996*0.65</f>
        <v>0</v>
      </c>
      <c r="G1039">
        <f t="shared" si="784"/>
        <v>16.509999999999998</v>
      </c>
      <c r="H1039">
        <f t="shared" si="784"/>
        <v>1.6900000000000002</v>
      </c>
      <c r="I1039">
        <f t="shared" si="784"/>
        <v>5.59</v>
      </c>
      <c r="J1039">
        <f t="shared" si="784"/>
        <v>0</v>
      </c>
      <c r="K1039">
        <f t="shared" si="754"/>
        <v>35.619999999999997</v>
      </c>
      <c r="L1039">
        <f t="shared" ref="L1039:N1039" si="785">L996*0.65</f>
        <v>0</v>
      </c>
      <c r="M1039">
        <f t="shared" si="785"/>
        <v>0</v>
      </c>
      <c r="N1039">
        <f t="shared" si="785"/>
        <v>0</v>
      </c>
      <c r="O1039">
        <f t="shared" si="761"/>
        <v>0</v>
      </c>
      <c r="P1039">
        <f t="shared" si="774"/>
        <v>0</v>
      </c>
      <c r="Q1039">
        <f t="shared" si="774"/>
        <v>0</v>
      </c>
      <c r="R1039">
        <f t="shared" ref="R1039" si="786">R996*0.65</f>
        <v>0</v>
      </c>
      <c r="S1039">
        <f t="shared" si="762"/>
        <v>0</v>
      </c>
      <c r="T1039">
        <f t="shared" ref="T1039:Z1039" si="787">T996*0.65</f>
        <v>1.885</v>
      </c>
      <c r="U1039">
        <f t="shared" si="787"/>
        <v>0</v>
      </c>
      <c r="V1039">
        <f t="shared" si="787"/>
        <v>0</v>
      </c>
      <c r="W1039">
        <f t="shared" si="787"/>
        <v>0</v>
      </c>
      <c r="X1039">
        <f t="shared" si="787"/>
        <v>0</v>
      </c>
      <c r="Y1039">
        <f t="shared" si="787"/>
        <v>0</v>
      </c>
      <c r="Z1039">
        <f t="shared" si="787"/>
        <v>0</v>
      </c>
      <c r="AA1039">
        <f t="shared" si="763"/>
        <v>1.885</v>
      </c>
      <c r="AB1039">
        <f t="shared" ref="AB1039:AG1039" si="788">AB996*0.65</f>
        <v>0</v>
      </c>
      <c r="AC1039">
        <f t="shared" si="788"/>
        <v>0</v>
      </c>
      <c r="AD1039">
        <f t="shared" si="788"/>
        <v>0</v>
      </c>
      <c r="AE1039">
        <f t="shared" si="788"/>
        <v>0</v>
      </c>
      <c r="AF1039">
        <f t="shared" si="788"/>
        <v>0</v>
      </c>
      <c r="AG1039">
        <f t="shared" si="788"/>
        <v>0</v>
      </c>
      <c r="AH1039" s="5">
        <v>0.11061946902654868</v>
      </c>
      <c r="AI1039" t="s">
        <v>13</v>
      </c>
      <c r="AJ1039" s="5">
        <f t="shared" si="764"/>
        <v>0.11061946902654868</v>
      </c>
      <c r="AK1039" t="s">
        <v>13</v>
      </c>
      <c r="AL1039">
        <f t="shared" si="778"/>
        <v>0.6238438053097346</v>
      </c>
      <c r="AM1039">
        <f t="shared" si="683"/>
        <v>0.3761561946902654</v>
      </c>
      <c r="AN1039">
        <v>1128</v>
      </c>
      <c r="AO1039" t="s">
        <v>13</v>
      </c>
      <c r="AP1039" s="3">
        <v>1808</v>
      </c>
      <c r="AQ1039" t="s">
        <v>13</v>
      </c>
      <c r="AR1039">
        <f t="shared" si="753"/>
        <v>2.940785519101579E-3</v>
      </c>
      <c r="AS1039">
        <f t="shared" si="768"/>
        <v>0.37504999999999994</v>
      </c>
      <c r="AT1039">
        <f t="shared" si="769"/>
        <v>678</v>
      </c>
      <c r="AU1039">
        <f t="shared" si="770"/>
        <v>2</v>
      </c>
      <c r="AV1039">
        <f t="shared" si="755"/>
        <v>356</v>
      </c>
      <c r="AW1039">
        <f t="shared" si="756"/>
        <v>3</v>
      </c>
      <c r="AX1039" s="3">
        <f t="shared" si="757"/>
        <v>1449</v>
      </c>
      <c r="AY1039">
        <f t="shared" si="758"/>
        <v>339</v>
      </c>
      <c r="AZ1039">
        <f t="shared" si="759"/>
        <v>3</v>
      </c>
      <c r="BA1039" s="3">
        <f t="shared" si="760"/>
        <v>1466</v>
      </c>
    </row>
    <row r="1040" spans="1:53" x14ac:dyDescent="0.2">
      <c r="A1040">
        <v>1985</v>
      </c>
      <c r="B1040" t="s">
        <v>91</v>
      </c>
      <c r="C1040" t="s">
        <v>85</v>
      </c>
      <c r="D1040">
        <f t="shared" si="771"/>
        <v>14.559999999999999</v>
      </c>
      <c r="E1040">
        <f t="shared" si="771"/>
        <v>0</v>
      </c>
      <c r="F1040">
        <f t="shared" ref="F1040:J1040" si="789">F997*0.65</f>
        <v>0</v>
      </c>
      <c r="G1040">
        <f t="shared" si="789"/>
        <v>19.824999999999999</v>
      </c>
      <c r="H1040">
        <f t="shared" si="789"/>
        <v>0</v>
      </c>
      <c r="I1040">
        <f t="shared" si="789"/>
        <v>1.4949999999999999</v>
      </c>
      <c r="J1040">
        <f t="shared" si="789"/>
        <v>0</v>
      </c>
      <c r="K1040">
        <f t="shared" si="754"/>
        <v>35.879999999999995</v>
      </c>
      <c r="L1040">
        <f t="shared" ref="L1040:N1040" si="790">L997*0.65</f>
        <v>0</v>
      </c>
      <c r="M1040">
        <f t="shared" si="790"/>
        <v>0</v>
      </c>
      <c r="N1040">
        <f t="shared" si="790"/>
        <v>0</v>
      </c>
      <c r="O1040">
        <f t="shared" si="761"/>
        <v>0</v>
      </c>
      <c r="P1040">
        <f t="shared" si="774"/>
        <v>0</v>
      </c>
      <c r="Q1040">
        <f t="shared" si="774"/>
        <v>0.90999999999999992</v>
      </c>
      <c r="R1040">
        <f t="shared" ref="R1040" si="791">R997*0.65</f>
        <v>0</v>
      </c>
      <c r="S1040">
        <f t="shared" si="762"/>
        <v>0.90999999999999992</v>
      </c>
      <c r="T1040">
        <f t="shared" ref="T1040:Z1040" si="792">T997*0.65</f>
        <v>0</v>
      </c>
      <c r="U1040">
        <f t="shared" si="792"/>
        <v>0</v>
      </c>
      <c r="V1040">
        <f t="shared" si="792"/>
        <v>0</v>
      </c>
      <c r="W1040">
        <f t="shared" si="792"/>
        <v>0</v>
      </c>
      <c r="X1040">
        <f t="shared" si="792"/>
        <v>0</v>
      </c>
      <c r="Y1040">
        <f t="shared" si="792"/>
        <v>0</v>
      </c>
      <c r="Z1040">
        <f t="shared" si="792"/>
        <v>1.105</v>
      </c>
      <c r="AA1040">
        <f t="shared" si="763"/>
        <v>1.105</v>
      </c>
      <c r="AB1040">
        <f t="shared" ref="AB1040:AG1040" si="793">AB997*0.65</f>
        <v>0</v>
      </c>
      <c r="AC1040">
        <f t="shared" si="793"/>
        <v>0</v>
      </c>
      <c r="AD1040">
        <f t="shared" si="793"/>
        <v>0</v>
      </c>
      <c r="AE1040">
        <f t="shared" si="793"/>
        <v>0</v>
      </c>
      <c r="AF1040">
        <f t="shared" si="793"/>
        <v>0</v>
      </c>
      <c r="AG1040">
        <f t="shared" si="793"/>
        <v>0</v>
      </c>
      <c r="AH1040" s="5">
        <v>0.10718113612004287</v>
      </c>
      <c r="AI1040" t="s">
        <v>13</v>
      </c>
      <c r="AJ1040" s="5">
        <f t="shared" si="764"/>
        <v>0.10718113612004287</v>
      </c>
      <c r="AK1040" t="s">
        <v>13</v>
      </c>
      <c r="AL1040">
        <f t="shared" si="778"/>
        <v>0.61997818863879961</v>
      </c>
      <c r="AM1040">
        <f t="shared" si="683"/>
        <v>0.38002181136120039</v>
      </c>
      <c r="AN1040">
        <v>1157</v>
      </c>
      <c r="AO1040" t="s">
        <v>13</v>
      </c>
      <c r="AP1040" s="3">
        <v>1866</v>
      </c>
      <c r="AQ1040" t="s">
        <v>13</v>
      </c>
      <c r="AR1040">
        <f t="shared" si="753"/>
        <v>2.8203943277921519E-3</v>
      </c>
      <c r="AS1040">
        <f t="shared" si="768"/>
        <v>0.3789499999999999</v>
      </c>
      <c r="AT1040">
        <f t="shared" si="769"/>
        <v>707</v>
      </c>
      <c r="AU1040">
        <f t="shared" si="770"/>
        <v>2</v>
      </c>
      <c r="AV1040">
        <f t="shared" si="755"/>
        <v>372</v>
      </c>
      <c r="AW1040">
        <f t="shared" si="756"/>
        <v>3</v>
      </c>
      <c r="AX1040" s="3">
        <f t="shared" si="757"/>
        <v>1491</v>
      </c>
      <c r="AY1040">
        <f t="shared" si="758"/>
        <v>354</v>
      </c>
      <c r="AZ1040">
        <f t="shared" si="759"/>
        <v>3</v>
      </c>
      <c r="BA1040" s="3">
        <f t="shared" si="760"/>
        <v>1509</v>
      </c>
    </row>
    <row r="1041" spans="1:53" x14ac:dyDescent="0.2">
      <c r="A1041">
        <v>1986</v>
      </c>
      <c r="B1041" t="s">
        <v>91</v>
      </c>
      <c r="C1041" t="s">
        <v>85</v>
      </c>
      <c r="D1041">
        <f t="shared" si="771"/>
        <v>16.315000000000001</v>
      </c>
      <c r="E1041">
        <f t="shared" si="771"/>
        <v>0</v>
      </c>
      <c r="F1041">
        <f t="shared" ref="F1041:J1041" si="794">F998*0.65</f>
        <v>0.78</v>
      </c>
      <c r="G1041">
        <f t="shared" si="794"/>
        <v>7.41</v>
      </c>
      <c r="H1041">
        <f t="shared" si="794"/>
        <v>0</v>
      </c>
      <c r="I1041">
        <f t="shared" si="794"/>
        <v>4.42</v>
      </c>
      <c r="J1041">
        <f t="shared" si="794"/>
        <v>0</v>
      </c>
      <c r="K1041">
        <f t="shared" si="754"/>
        <v>28.925000000000004</v>
      </c>
      <c r="L1041">
        <f t="shared" ref="L1041:N1041" si="795">L998*0.65</f>
        <v>1.04</v>
      </c>
      <c r="M1041">
        <f t="shared" si="795"/>
        <v>0</v>
      </c>
      <c r="N1041">
        <f t="shared" si="795"/>
        <v>0</v>
      </c>
      <c r="O1041">
        <f t="shared" si="761"/>
        <v>1.04</v>
      </c>
      <c r="P1041">
        <f t="shared" si="774"/>
        <v>0</v>
      </c>
      <c r="Q1041">
        <f t="shared" si="774"/>
        <v>0.58500000000000008</v>
      </c>
      <c r="R1041">
        <f t="shared" ref="R1041" si="796">R998*0.65</f>
        <v>0</v>
      </c>
      <c r="S1041">
        <f t="shared" si="762"/>
        <v>0.58500000000000008</v>
      </c>
      <c r="T1041">
        <f t="shared" ref="T1041:Z1041" si="797">T998*0.65</f>
        <v>0</v>
      </c>
      <c r="U1041">
        <f t="shared" si="797"/>
        <v>0</v>
      </c>
      <c r="V1041">
        <f t="shared" si="797"/>
        <v>0</v>
      </c>
      <c r="W1041">
        <f t="shared" si="797"/>
        <v>0</v>
      </c>
      <c r="X1041">
        <f t="shared" si="797"/>
        <v>0</v>
      </c>
      <c r="Y1041">
        <f t="shared" si="797"/>
        <v>0</v>
      </c>
      <c r="Z1041">
        <f t="shared" si="797"/>
        <v>6.5000000000000002E-2</v>
      </c>
      <c r="AA1041">
        <f t="shared" si="763"/>
        <v>6.5000000000000002E-2</v>
      </c>
      <c r="AB1041">
        <f t="shared" ref="AB1041:AG1041" si="798">AB998*0.65</f>
        <v>0</v>
      </c>
      <c r="AC1041">
        <f t="shared" si="798"/>
        <v>0</v>
      </c>
      <c r="AD1041">
        <f t="shared" si="798"/>
        <v>0</v>
      </c>
      <c r="AE1041">
        <f t="shared" si="798"/>
        <v>0</v>
      </c>
      <c r="AF1041">
        <f t="shared" si="798"/>
        <v>0</v>
      </c>
      <c r="AG1041">
        <f t="shared" si="798"/>
        <v>0</v>
      </c>
      <c r="AH1041" s="5">
        <v>1.1778115501519757</v>
      </c>
      <c r="AI1041" t="s">
        <v>13</v>
      </c>
      <c r="AJ1041" s="5">
        <f t="shared" si="764"/>
        <v>1.1778115501519757</v>
      </c>
      <c r="AK1041" t="s">
        <v>13</v>
      </c>
      <c r="AL1041">
        <f t="shared" si="778"/>
        <v>0.68207188449848011</v>
      </c>
      <c r="AM1041">
        <f t="shared" si="683"/>
        <v>0.31792811550151984</v>
      </c>
      <c r="AN1041">
        <v>1795</v>
      </c>
      <c r="AO1041" t="s">
        <v>13</v>
      </c>
      <c r="AP1041" s="3">
        <v>2632</v>
      </c>
      <c r="AQ1041" t="s">
        <v>13</v>
      </c>
      <c r="AR1041">
        <f t="shared" si="753"/>
        <v>3.7046473486436443E-2</v>
      </c>
      <c r="AS1041">
        <f t="shared" si="768"/>
        <v>0.30615000000000003</v>
      </c>
      <c r="AT1041">
        <f t="shared" si="769"/>
        <v>806</v>
      </c>
      <c r="AU1041">
        <f t="shared" si="770"/>
        <v>31</v>
      </c>
      <c r="AV1041">
        <f t="shared" si="755"/>
        <v>425</v>
      </c>
      <c r="AW1041">
        <f t="shared" si="756"/>
        <v>37</v>
      </c>
      <c r="AX1041" s="3">
        <f t="shared" si="757"/>
        <v>2170</v>
      </c>
      <c r="AY1041">
        <f t="shared" si="758"/>
        <v>403</v>
      </c>
      <c r="AZ1041">
        <f t="shared" si="759"/>
        <v>38</v>
      </c>
      <c r="BA1041" s="3">
        <f t="shared" si="760"/>
        <v>2191</v>
      </c>
    </row>
    <row r="1042" spans="1:53" x14ac:dyDescent="0.2">
      <c r="A1042">
        <v>1987</v>
      </c>
      <c r="B1042" t="s">
        <v>91</v>
      </c>
      <c r="C1042" t="s">
        <v>85</v>
      </c>
      <c r="D1042">
        <f t="shared" si="771"/>
        <v>17.225000000000001</v>
      </c>
      <c r="E1042">
        <f t="shared" si="771"/>
        <v>1.105</v>
      </c>
      <c r="F1042">
        <f t="shared" ref="F1042:J1042" si="799">F999*0.65</f>
        <v>6.5000000000000002E-2</v>
      </c>
      <c r="G1042">
        <f t="shared" si="799"/>
        <v>8.32</v>
      </c>
      <c r="H1042">
        <f t="shared" si="799"/>
        <v>0.58500000000000008</v>
      </c>
      <c r="I1042">
        <f t="shared" si="799"/>
        <v>0.97500000000000009</v>
      </c>
      <c r="J1042">
        <f t="shared" si="799"/>
        <v>0</v>
      </c>
      <c r="K1042">
        <f t="shared" si="754"/>
        <v>28.275000000000006</v>
      </c>
      <c r="L1042">
        <f t="shared" ref="L1042:N1042" si="800">L999*0.65</f>
        <v>0.84500000000000008</v>
      </c>
      <c r="M1042">
        <f t="shared" si="800"/>
        <v>0.32500000000000001</v>
      </c>
      <c r="N1042">
        <f t="shared" si="800"/>
        <v>0</v>
      </c>
      <c r="O1042">
        <f t="shared" si="761"/>
        <v>1.1700000000000002</v>
      </c>
      <c r="P1042">
        <f t="shared" si="774"/>
        <v>0</v>
      </c>
      <c r="Q1042">
        <f t="shared" si="774"/>
        <v>0</v>
      </c>
      <c r="R1042">
        <f t="shared" ref="R1042" si="801">R999*0.65</f>
        <v>0</v>
      </c>
      <c r="S1042">
        <f t="shared" si="762"/>
        <v>0</v>
      </c>
      <c r="T1042">
        <f t="shared" ref="T1042:Z1042" si="802">T999*0.65</f>
        <v>0.26</v>
      </c>
      <c r="U1042">
        <f t="shared" si="802"/>
        <v>0</v>
      </c>
      <c r="V1042">
        <f t="shared" si="802"/>
        <v>0</v>
      </c>
      <c r="W1042">
        <f t="shared" si="802"/>
        <v>0</v>
      </c>
      <c r="X1042">
        <f t="shared" si="802"/>
        <v>0</v>
      </c>
      <c r="Y1042">
        <f t="shared" si="802"/>
        <v>0</v>
      </c>
      <c r="Z1042">
        <f t="shared" si="802"/>
        <v>0.45499999999999996</v>
      </c>
      <c r="AA1042">
        <f t="shared" si="763"/>
        <v>0.71499999999999997</v>
      </c>
      <c r="AB1042">
        <f t="shared" ref="AB1042:AG1042" si="803">AB999*0.65</f>
        <v>0</v>
      </c>
      <c r="AC1042">
        <f t="shared" si="803"/>
        <v>0</v>
      </c>
      <c r="AD1042">
        <f t="shared" si="803"/>
        <v>0</v>
      </c>
      <c r="AE1042">
        <f t="shared" si="803"/>
        <v>0</v>
      </c>
      <c r="AF1042">
        <f t="shared" si="803"/>
        <v>0</v>
      </c>
      <c r="AG1042">
        <f t="shared" si="803"/>
        <v>0</v>
      </c>
      <c r="AH1042" s="5">
        <v>14.892227302416721</v>
      </c>
      <c r="AI1042" t="s">
        <v>13</v>
      </c>
      <c r="AJ1042" s="5">
        <f t="shared" si="764"/>
        <v>14.892227302416721</v>
      </c>
      <c r="AK1042" t="s">
        <v>13</v>
      </c>
      <c r="AL1042">
        <f t="shared" si="778"/>
        <v>0.54947772697583286</v>
      </c>
      <c r="AM1042">
        <f t="shared" ref="AM1042:AM1105" si="804">SUM(AB1042:AI1042,T1042:Z1042,P1042:R1042,L1042:N1042,D1042:J1042)/100</f>
        <v>0.4505222730241672</v>
      </c>
      <c r="AN1042">
        <v>841</v>
      </c>
      <c r="AO1042" t="s">
        <v>13</v>
      </c>
      <c r="AP1042" s="3">
        <v>1531</v>
      </c>
      <c r="AQ1042" t="s">
        <v>13</v>
      </c>
      <c r="AR1042">
        <f t="shared" si="753"/>
        <v>0.33055474044493832</v>
      </c>
      <c r="AS1042">
        <f t="shared" si="768"/>
        <v>0.30160000000000009</v>
      </c>
      <c r="AT1042">
        <f t="shared" si="769"/>
        <v>462</v>
      </c>
      <c r="AU1042">
        <f t="shared" si="770"/>
        <v>228</v>
      </c>
      <c r="AV1042">
        <f t="shared" si="755"/>
        <v>245</v>
      </c>
      <c r="AW1042">
        <f t="shared" si="756"/>
        <v>274</v>
      </c>
      <c r="AX1042" s="3">
        <f t="shared" si="757"/>
        <v>1012</v>
      </c>
      <c r="AY1042">
        <f t="shared" si="758"/>
        <v>231</v>
      </c>
      <c r="AZ1042">
        <f t="shared" si="759"/>
        <v>277</v>
      </c>
      <c r="BA1042" s="3">
        <f t="shared" si="760"/>
        <v>1023</v>
      </c>
    </row>
    <row r="1043" spans="1:53" x14ac:dyDescent="0.2">
      <c r="A1043">
        <v>1988</v>
      </c>
      <c r="B1043" t="s">
        <v>91</v>
      </c>
      <c r="C1043" t="s">
        <v>85</v>
      </c>
      <c r="D1043">
        <f t="shared" si="771"/>
        <v>14.040000000000001</v>
      </c>
      <c r="E1043">
        <f t="shared" si="771"/>
        <v>1.04</v>
      </c>
      <c r="F1043">
        <f t="shared" ref="F1043:J1043" si="805">F1000*0.65</f>
        <v>0.97500000000000009</v>
      </c>
      <c r="G1043">
        <f t="shared" si="805"/>
        <v>5.5250000000000004</v>
      </c>
      <c r="H1043">
        <f t="shared" si="805"/>
        <v>0.58500000000000008</v>
      </c>
      <c r="I1043">
        <f t="shared" si="805"/>
        <v>3.5100000000000002</v>
      </c>
      <c r="J1043">
        <f t="shared" si="805"/>
        <v>0</v>
      </c>
      <c r="K1043">
        <f t="shared" si="754"/>
        <v>25.675000000000008</v>
      </c>
      <c r="L1043">
        <f t="shared" ref="L1043:N1043" si="806">L1000*0.65</f>
        <v>1.2349999999999999</v>
      </c>
      <c r="M1043">
        <f t="shared" si="806"/>
        <v>0.26</v>
      </c>
      <c r="N1043">
        <f t="shared" si="806"/>
        <v>0</v>
      </c>
      <c r="O1043">
        <f t="shared" si="761"/>
        <v>1.4949999999999999</v>
      </c>
      <c r="P1043">
        <f t="shared" si="774"/>
        <v>0</v>
      </c>
      <c r="Q1043">
        <f t="shared" si="774"/>
        <v>0</v>
      </c>
      <c r="R1043">
        <f t="shared" ref="R1043" si="807">R1000*0.65</f>
        <v>0.65</v>
      </c>
      <c r="S1043">
        <f t="shared" si="762"/>
        <v>0.65</v>
      </c>
      <c r="T1043">
        <f t="shared" ref="T1043:Z1043" si="808">T1000*0.65</f>
        <v>0</v>
      </c>
      <c r="U1043">
        <f t="shared" si="808"/>
        <v>0</v>
      </c>
      <c r="V1043">
        <f t="shared" si="808"/>
        <v>0</v>
      </c>
      <c r="W1043">
        <f t="shared" si="808"/>
        <v>0</v>
      </c>
      <c r="X1043">
        <f t="shared" si="808"/>
        <v>0</v>
      </c>
      <c r="Y1043">
        <f t="shared" si="808"/>
        <v>0</v>
      </c>
      <c r="Z1043">
        <f t="shared" si="808"/>
        <v>2.145</v>
      </c>
      <c r="AA1043">
        <f t="shared" si="763"/>
        <v>2.145</v>
      </c>
      <c r="AB1043">
        <f t="shared" ref="AB1043:AG1043" si="809">AB1000*0.65</f>
        <v>0</v>
      </c>
      <c r="AC1043">
        <f t="shared" si="809"/>
        <v>0</v>
      </c>
      <c r="AD1043">
        <f t="shared" si="809"/>
        <v>0</v>
      </c>
      <c r="AE1043">
        <f t="shared" si="809"/>
        <v>0</v>
      </c>
      <c r="AF1043">
        <f t="shared" si="809"/>
        <v>0</v>
      </c>
      <c r="AG1043">
        <f t="shared" si="809"/>
        <v>0</v>
      </c>
      <c r="AH1043" s="5">
        <v>2.226588081204977</v>
      </c>
      <c r="AI1043" t="s">
        <v>13</v>
      </c>
      <c r="AJ1043" s="5">
        <f t="shared" si="764"/>
        <v>2.226588081204977</v>
      </c>
      <c r="AK1043" t="s">
        <v>13</v>
      </c>
      <c r="AL1043">
        <f t="shared" si="778"/>
        <v>0.67808411918795031</v>
      </c>
      <c r="AM1043">
        <f t="shared" si="804"/>
        <v>0.32191588081204975</v>
      </c>
      <c r="AN1043">
        <v>3106</v>
      </c>
      <c r="AO1043" t="s">
        <v>13</v>
      </c>
      <c r="AP1043" s="3">
        <v>4581</v>
      </c>
      <c r="AQ1043" t="s">
        <v>13</v>
      </c>
      <c r="AR1043">
        <f t="shared" si="753"/>
        <v>6.9166767280579369E-2</v>
      </c>
      <c r="AS1043">
        <f t="shared" si="768"/>
        <v>0.29965000000000008</v>
      </c>
      <c r="AT1043">
        <f t="shared" si="769"/>
        <v>1373</v>
      </c>
      <c r="AU1043">
        <f t="shared" si="770"/>
        <v>102</v>
      </c>
      <c r="AV1043">
        <f t="shared" si="755"/>
        <v>785</v>
      </c>
      <c r="AW1043">
        <f t="shared" si="756"/>
        <v>121</v>
      </c>
      <c r="AX1043" s="3">
        <f t="shared" si="757"/>
        <v>3675</v>
      </c>
      <c r="AY1043">
        <f t="shared" si="758"/>
        <v>686</v>
      </c>
      <c r="AZ1043">
        <f t="shared" si="759"/>
        <v>124</v>
      </c>
      <c r="BA1043" s="3">
        <f t="shared" si="760"/>
        <v>3771</v>
      </c>
    </row>
    <row r="1044" spans="1:53" x14ac:dyDescent="0.2">
      <c r="A1044">
        <v>1989</v>
      </c>
      <c r="B1044" t="s">
        <v>91</v>
      </c>
      <c r="C1044" t="s">
        <v>85</v>
      </c>
      <c r="D1044">
        <f t="shared" si="771"/>
        <v>7.6049999999999995</v>
      </c>
      <c r="E1044">
        <f t="shared" si="771"/>
        <v>0.19500000000000001</v>
      </c>
      <c r="F1044">
        <f t="shared" ref="F1044:J1044" si="810">F1001*0.65</f>
        <v>0.13</v>
      </c>
      <c r="G1044">
        <f t="shared" si="810"/>
        <v>7.6049999999999995</v>
      </c>
      <c r="H1044">
        <f t="shared" si="810"/>
        <v>0.13</v>
      </c>
      <c r="I1044">
        <f t="shared" si="810"/>
        <v>6.8250000000000002</v>
      </c>
      <c r="J1044">
        <f t="shared" si="810"/>
        <v>0</v>
      </c>
      <c r="K1044">
        <f t="shared" si="754"/>
        <v>22.490000000000002</v>
      </c>
      <c r="L1044">
        <f t="shared" ref="L1044:N1044" si="811">L1001*0.65</f>
        <v>0.39</v>
      </c>
      <c r="M1044">
        <f t="shared" si="811"/>
        <v>0.19500000000000001</v>
      </c>
      <c r="N1044">
        <f t="shared" si="811"/>
        <v>0</v>
      </c>
      <c r="O1044">
        <f t="shared" si="761"/>
        <v>0.58499999999999996</v>
      </c>
      <c r="P1044">
        <f t="shared" si="774"/>
        <v>0</v>
      </c>
      <c r="Q1044">
        <f t="shared" si="774"/>
        <v>0</v>
      </c>
      <c r="R1044">
        <f t="shared" ref="R1044" si="812">R1001*0.65</f>
        <v>0</v>
      </c>
      <c r="S1044">
        <f t="shared" si="762"/>
        <v>0</v>
      </c>
      <c r="T1044">
        <f t="shared" ref="T1044:Z1044" si="813">T1001*0.65</f>
        <v>0</v>
      </c>
      <c r="U1044">
        <f t="shared" si="813"/>
        <v>0</v>
      </c>
      <c r="V1044">
        <f t="shared" si="813"/>
        <v>0</v>
      </c>
      <c r="W1044">
        <f t="shared" si="813"/>
        <v>0</v>
      </c>
      <c r="X1044">
        <f t="shared" si="813"/>
        <v>0</v>
      </c>
      <c r="Y1044">
        <f t="shared" si="813"/>
        <v>0</v>
      </c>
      <c r="Z1044">
        <f t="shared" si="813"/>
        <v>1.3</v>
      </c>
      <c r="AA1044">
        <f t="shared" si="763"/>
        <v>1.3</v>
      </c>
      <c r="AB1044">
        <f t="shared" ref="AB1044:AG1044" si="814">AB1001*0.65</f>
        <v>0</v>
      </c>
      <c r="AC1044">
        <f t="shared" si="814"/>
        <v>0</v>
      </c>
      <c r="AD1044">
        <f t="shared" si="814"/>
        <v>0</v>
      </c>
      <c r="AE1044">
        <f t="shared" si="814"/>
        <v>0</v>
      </c>
      <c r="AF1044">
        <f t="shared" si="814"/>
        <v>0</v>
      </c>
      <c r="AG1044">
        <f t="shared" si="814"/>
        <v>0</v>
      </c>
      <c r="AH1044" s="5">
        <v>10.18987341772152</v>
      </c>
      <c r="AI1044" t="s">
        <v>13</v>
      </c>
      <c r="AJ1044" s="5">
        <f t="shared" si="764"/>
        <v>10.18987341772152</v>
      </c>
      <c r="AK1044" t="s">
        <v>13</v>
      </c>
      <c r="AL1044">
        <f t="shared" si="778"/>
        <v>0.6543512658227848</v>
      </c>
      <c r="AM1044">
        <f t="shared" si="804"/>
        <v>0.3456487341772152</v>
      </c>
      <c r="AN1044">
        <v>2068</v>
      </c>
      <c r="AO1044" t="s">
        <v>13</v>
      </c>
      <c r="AP1044" s="3">
        <v>3160</v>
      </c>
      <c r="AQ1044" t="s">
        <v>13</v>
      </c>
      <c r="AR1044">
        <f t="shared" si="753"/>
        <v>0.29480430304417493</v>
      </c>
      <c r="AS1044">
        <f t="shared" si="768"/>
        <v>0.24375000000000002</v>
      </c>
      <c r="AT1044">
        <f t="shared" si="769"/>
        <v>770</v>
      </c>
      <c r="AU1044">
        <f t="shared" si="770"/>
        <v>322</v>
      </c>
      <c r="AV1044">
        <f t="shared" si="755"/>
        <v>415</v>
      </c>
      <c r="AW1044">
        <f t="shared" si="756"/>
        <v>370</v>
      </c>
      <c r="AX1044" s="3">
        <f t="shared" si="757"/>
        <v>2375</v>
      </c>
      <c r="AY1044">
        <f t="shared" si="758"/>
        <v>385</v>
      </c>
      <c r="AZ1044">
        <f t="shared" si="759"/>
        <v>374</v>
      </c>
      <c r="BA1044" s="3">
        <f t="shared" si="760"/>
        <v>2401</v>
      </c>
    </row>
    <row r="1045" spans="1:53" x14ac:dyDescent="0.2">
      <c r="A1045">
        <v>1990</v>
      </c>
      <c r="B1045" t="s">
        <v>91</v>
      </c>
      <c r="C1045" t="s">
        <v>85</v>
      </c>
      <c r="D1045">
        <f t="shared" si="771"/>
        <v>9.8149999999999995</v>
      </c>
      <c r="E1045">
        <f t="shared" si="771"/>
        <v>0.32500000000000001</v>
      </c>
      <c r="F1045">
        <f t="shared" ref="F1045:J1045" si="815">F1002*0.65</f>
        <v>0.19500000000000001</v>
      </c>
      <c r="G1045">
        <f t="shared" si="815"/>
        <v>4.0949999999999998</v>
      </c>
      <c r="H1045">
        <f t="shared" si="815"/>
        <v>1.6900000000000002</v>
      </c>
      <c r="I1045">
        <f t="shared" si="815"/>
        <v>4.6150000000000002</v>
      </c>
      <c r="J1045">
        <f t="shared" si="815"/>
        <v>0</v>
      </c>
      <c r="K1045">
        <f t="shared" si="754"/>
        <v>20.734999999999999</v>
      </c>
      <c r="L1045">
        <f t="shared" ref="L1045:N1045" si="816">L1002*0.65</f>
        <v>0.19500000000000001</v>
      </c>
      <c r="M1045">
        <f t="shared" si="816"/>
        <v>0.13</v>
      </c>
      <c r="N1045">
        <f t="shared" si="816"/>
        <v>0</v>
      </c>
      <c r="O1045">
        <f t="shared" si="761"/>
        <v>0.32500000000000001</v>
      </c>
      <c r="P1045">
        <f t="shared" si="774"/>
        <v>0</v>
      </c>
      <c r="Q1045">
        <f t="shared" si="774"/>
        <v>0</v>
      </c>
      <c r="R1045">
        <f t="shared" ref="R1045" si="817">R1002*0.65</f>
        <v>0</v>
      </c>
      <c r="S1045">
        <f t="shared" si="762"/>
        <v>0</v>
      </c>
      <c r="T1045">
        <f t="shared" ref="T1045:Z1045" si="818">T1002*0.65</f>
        <v>0</v>
      </c>
      <c r="U1045">
        <f t="shared" si="818"/>
        <v>0</v>
      </c>
      <c r="V1045">
        <f t="shared" si="818"/>
        <v>0</v>
      </c>
      <c r="W1045">
        <f t="shared" si="818"/>
        <v>0</v>
      </c>
      <c r="X1045">
        <f t="shared" si="818"/>
        <v>0</v>
      </c>
      <c r="Y1045">
        <f t="shared" si="818"/>
        <v>0</v>
      </c>
      <c r="Z1045">
        <f t="shared" si="818"/>
        <v>0</v>
      </c>
      <c r="AA1045">
        <f t="shared" si="763"/>
        <v>0</v>
      </c>
      <c r="AB1045">
        <f t="shared" ref="AB1045:AG1045" si="819">AB1002*0.65</f>
        <v>0</v>
      </c>
      <c r="AC1045">
        <f t="shared" si="819"/>
        <v>0</v>
      </c>
      <c r="AD1045">
        <f t="shared" si="819"/>
        <v>0</v>
      </c>
      <c r="AE1045">
        <f t="shared" si="819"/>
        <v>0</v>
      </c>
      <c r="AF1045">
        <f t="shared" si="819"/>
        <v>0</v>
      </c>
      <c r="AG1045">
        <f t="shared" si="819"/>
        <v>0</v>
      </c>
      <c r="AH1045" s="5">
        <v>3.0038759689922481</v>
      </c>
      <c r="AI1045" t="s">
        <v>13</v>
      </c>
      <c r="AJ1045" s="5">
        <f t="shared" si="764"/>
        <v>3.0038759689922481</v>
      </c>
      <c r="AK1045" t="s">
        <v>13</v>
      </c>
      <c r="AL1045">
        <f t="shared" si="778"/>
        <v>0.75936124031007757</v>
      </c>
      <c r="AM1045">
        <f t="shared" si="804"/>
        <v>0.24063875968992249</v>
      </c>
      <c r="AN1045">
        <v>1567</v>
      </c>
      <c r="AO1045" t="s">
        <v>13</v>
      </c>
      <c r="AP1045" s="3">
        <v>2064</v>
      </c>
      <c r="AQ1045" t="s">
        <v>13</v>
      </c>
      <c r="AR1045">
        <f t="shared" si="753"/>
        <v>0.1248292657784192</v>
      </c>
      <c r="AS1045">
        <f t="shared" si="768"/>
        <v>0.21059999999999998</v>
      </c>
      <c r="AT1045">
        <f t="shared" si="769"/>
        <v>435</v>
      </c>
      <c r="AU1045">
        <f t="shared" si="770"/>
        <v>62</v>
      </c>
      <c r="AV1045">
        <f t="shared" si="755"/>
        <v>221</v>
      </c>
      <c r="AW1045">
        <f t="shared" si="756"/>
        <v>70</v>
      </c>
      <c r="AX1045" s="3">
        <f t="shared" si="757"/>
        <v>1773</v>
      </c>
      <c r="AY1045">
        <f t="shared" si="758"/>
        <v>217</v>
      </c>
      <c r="AZ1045">
        <f t="shared" si="759"/>
        <v>70</v>
      </c>
      <c r="BA1045" s="3">
        <f t="shared" si="760"/>
        <v>1777</v>
      </c>
    </row>
    <row r="1046" spans="1:53" x14ac:dyDescent="0.2">
      <c r="A1046">
        <v>1991</v>
      </c>
      <c r="B1046" t="s">
        <v>91</v>
      </c>
      <c r="C1046" t="s">
        <v>85</v>
      </c>
      <c r="D1046">
        <f t="shared" si="771"/>
        <v>15.990000000000002</v>
      </c>
      <c r="E1046">
        <f t="shared" si="771"/>
        <v>0.19500000000000001</v>
      </c>
      <c r="F1046">
        <f t="shared" ref="F1046:J1046" si="820">F1003*0.65</f>
        <v>0.52</v>
      </c>
      <c r="G1046">
        <f t="shared" si="820"/>
        <v>6.6950000000000003</v>
      </c>
      <c r="H1046">
        <f t="shared" si="820"/>
        <v>0.84500000000000008</v>
      </c>
      <c r="I1046">
        <f t="shared" si="820"/>
        <v>4.03</v>
      </c>
      <c r="J1046">
        <f t="shared" si="820"/>
        <v>0</v>
      </c>
      <c r="K1046">
        <f t="shared" si="754"/>
        <v>28.275000000000002</v>
      </c>
      <c r="L1046">
        <f t="shared" ref="L1046:N1046" si="821">L1003*0.65</f>
        <v>0</v>
      </c>
      <c r="M1046">
        <f t="shared" si="821"/>
        <v>0</v>
      </c>
      <c r="N1046">
        <f t="shared" si="821"/>
        <v>0</v>
      </c>
      <c r="O1046">
        <f t="shared" si="761"/>
        <v>0</v>
      </c>
      <c r="P1046">
        <f t="shared" si="774"/>
        <v>0</v>
      </c>
      <c r="Q1046">
        <f t="shared" si="774"/>
        <v>0</v>
      </c>
      <c r="R1046">
        <f t="shared" ref="R1046" si="822">R1003*0.65</f>
        <v>0</v>
      </c>
      <c r="S1046">
        <f t="shared" si="762"/>
        <v>0</v>
      </c>
      <c r="T1046">
        <f t="shared" ref="T1046:Z1046" si="823">T1003*0.65</f>
        <v>0</v>
      </c>
      <c r="U1046">
        <f t="shared" si="823"/>
        <v>0.19500000000000001</v>
      </c>
      <c r="V1046">
        <f t="shared" si="823"/>
        <v>0</v>
      </c>
      <c r="W1046">
        <f t="shared" si="823"/>
        <v>0</v>
      </c>
      <c r="X1046">
        <f t="shared" si="823"/>
        <v>0</v>
      </c>
      <c r="Y1046">
        <f t="shared" si="823"/>
        <v>0</v>
      </c>
      <c r="Z1046">
        <f t="shared" si="823"/>
        <v>0.32500000000000001</v>
      </c>
      <c r="AA1046">
        <f t="shared" si="763"/>
        <v>0.52</v>
      </c>
      <c r="AB1046">
        <f t="shared" ref="AB1046:AG1046" si="824">AB1003*0.65</f>
        <v>0</v>
      </c>
      <c r="AC1046">
        <f t="shared" si="824"/>
        <v>0</v>
      </c>
      <c r="AD1046">
        <f t="shared" si="824"/>
        <v>0</v>
      </c>
      <c r="AE1046">
        <f t="shared" si="824"/>
        <v>0</v>
      </c>
      <c r="AF1046">
        <f t="shared" si="824"/>
        <v>0</v>
      </c>
      <c r="AG1046">
        <f t="shared" si="824"/>
        <v>0</v>
      </c>
      <c r="AH1046" s="5">
        <v>9.5648015303682445</v>
      </c>
      <c r="AI1046" t="s">
        <v>13</v>
      </c>
      <c r="AJ1046" s="5">
        <f t="shared" si="764"/>
        <v>9.5648015303682445</v>
      </c>
      <c r="AK1046" t="s">
        <v>13</v>
      </c>
      <c r="AL1046">
        <f t="shared" si="778"/>
        <v>0.61640198469631757</v>
      </c>
      <c r="AM1046">
        <f t="shared" si="804"/>
        <v>0.38359801530368243</v>
      </c>
      <c r="AN1046">
        <v>1289</v>
      </c>
      <c r="AO1046" t="s">
        <v>13</v>
      </c>
      <c r="AP1046" s="3">
        <v>2091</v>
      </c>
      <c r="AQ1046" t="s">
        <v>13</v>
      </c>
      <c r="AR1046">
        <f t="shared" si="753"/>
        <v>0.24934439566367655</v>
      </c>
      <c r="AS1046">
        <f t="shared" si="768"/>
        <v>0.28795000000000004</v>
      </c>
      <c r="AT1046">
        <f t="shared" si="769"/>
        <v>602</v>
      </c>
      <c r="AU1046">
        <f t="shared" si="770"/>
        <v>200</v>
      </c>
      <c r="AV1046">
        <f t="shared" si="755"/>
        <v>306</v>
      </c>
      <c r="AW1046">
        <f t="shared" si="756"/>
        <v>240</v>
      </c>
      <c r="AX1046" s="3">
        <f t="shared" si="757"/>
        <v>1545</v>
      </c>
      <c r="AY1046">
        <f t="shared" si="758"/>
        <v>301</v>
      </c>
      <c r="AZ1046">
        <f t="shared" si="759"/>
        <v>240</v>
      </c>
      <c r="BA1046" s="3">
        <f t="shared" si="760"/>
        <v>1550</v>
      </c>
    </row>
    <row r="1047" spans="1:53" x14ac:dyDescent="0.2">
      <c r="A1047">
        <v>1992</v>
      </c>
      <c r="B1047" t="s">
        <v>91</v>
      </c>
      <c r="C1047" t="s">
        <v>85</v>
      </c>
      <c r="D1047">
        <f t="shared" si="771"/>
        <v>9.8149999999999995</v>
      </c>
      <c r="E1047">
        <f t="shared" si="771"/>
        <v>3.9649999999999999</v>
      </c>
      <c r="F1047">
        <f t="shared" ref="F1047:J1047" si="825">F1004*0.65</f>
        <v>1.625</v>
      </c>
      <c r="G1047">
        <f t="shared" si="825"/>
        <v>7.2799999999999994</v>
      </c>
      <c r="H1047">
        <f t="shared" si="825"/>
        <v>1.2349999999999999</v>
      </c>
      <c r="I1047">
        <f t="shared" si="825"/>
        <v>10.595000000000001</v>
      </c>
      <c r="J1047">
        <f t="shared" si="825"/>
        <v>0</v>
      </c>
      <c r="K1047">
        <f t="shared" si="754"/>
        <v>34.515000000000001</v>
      </c>
      <c r="L1047">
        <f t="shared" ref="L1047:N1047" si="826">L1004*0.65</f>
        <v>0</v>
      </c>
      <c r="M1047">
        <f t="shared" si="826"/>
        <v>0.13</v>
      </c>
      <c r="N1047">
        <f t="shared" si="826"/>
        <v>0</v>
      </c>
      <c r="O1047">
        <f t="shared" si="761"/>
        <v>0.13</v>
      </c>
      <c r="P1047">
        <f t="shared" si="774"/>
        <v>0</v>
      </c>
      <c r="Q1047">
        <f t="shared" si="774"/>
        <v>0</v>
      </c>
      <c r="R1047">
        <f t="shared" ref="R1047" si="827">R1004*0.65</f>
        <v>0</v>
      </c>
      <c r="S1047">
        <f t="shared" si="762"/>
        <v>0</v>
      </c>
      <c r="T1047">
        <f t="shared" ref="T1047:Z1047" si="828">T1004*0.65</f>
        <v>0</v>
      </c>
      <c r="U1047">
        <f t="shared" si="828"/>
        <v>0.19500000000000001</v>
      </c>
      <c r="V1047">
        <f t="shared" si="828"/>
        <v>0</v>
      </c>
      <c r="W1047">
        <f t="shared" si="828"/>
        <v>0</v>
      </c>
      <c r="X1047">
        <f t="shared" si="828"/>
        <v>0</v>
      </c>
      <c r="Y1047">
        <f t="shared" si="828"/>
        <v>0</v>
      </c>
      <c r="Z1047">
        <f t="shared" si="828"/>
        <v>0</v>
      </c>
      <c r="AA1047">
        <f t="shared" si="763"/>
        <v>0.19500000000000001</v>
      </c>
      <c r="AB1047">
        <f t="shared" ref="AB1047:AG1047" si="829">AB1004*0.65</f>
        <v>0</v>
      </c>
      <c r="AC1047">
        <f t="shared" si="829"/>
        <v>0</v>
      </c>
      <c r="AD1047">
        <f t="shared" si="829"/>
        <v>0</v>
      </c>
      <c r="AE1047">
        <f t="shared" si="829"/>
        <v>0</v>
      </c>
      <c r="AF1047">
        <f t="shared" si="829"/>
        <v>0</v>
      </c>
      <c r="AG1047">
        <f t="shared" si="829"/>
        <v>0</v>
      </c>
      <c r="AH1047" s="5">
        <v>1.3375571981696586</v>
      </c>
      <c r="AI1047" t="s">
        <v>13</v>
      </c>
      <c r="AJ1047" s="5">
        <f t="shared" si="764"/>
        <v>1.3375571981696586</v>
      </c>
      <c r="AK1047" t="s">
        <v>13</v>
      </c>
      <c r="AL1047">
        <f t="shared" si="778"/>
        <v>0.63822442801830337</v>
      </c>
      <c r="AM1047">
        <f t="shared" si="804"/>
        <v>0.36177557198169658</v>
      </c>
      <c r="AN1047">
        <v>1813</v>
      </c>
      <c r="AO1047" t="s">
        <v>13</v>
      </c>
      <c r="AP1047" s="3">
        <v>2841</v>
      </c>
      <c r="AQ1047" t="s">
        <v>13</v>
      </c>
      <c r="AR1047">
        <f t="shared" si="753"/>
        <v>3.6972015297852392E-2</v>
      </c>
      <c r="AS1047">
        <f t="shared" si="768"/>
        <v>0.34840000000000004</v>
      </c>
      <c r="AT1047">
        <f t="shared" si="769"/>
        <v>990</v>
      </c>
      <c r="AU1047">
        <f t="shared" si="770"/>
        <v>38</v>
      </c>
      <c r="AV1047">
        <f t="shared" si="755"/>
        <v>500</v>
      </c>
      <c r="AW1047">
        <f t="shared" si="756"/>
        <v>48</v>
      </c>
      <c r="AX1047" s="3">
        <f t="shared" si="757"/>
        <v>2293</v>
      </c>
      <c r="AY1047">
        <f t="shared" si="758"/>
        <v>495</v>
      </c>
      <c r="AZ1047">
        <f t="shared" si="759"/>
        <v>48</v>
      </c>
      <c r="BA1047" s="3">
        <f t="shared" si="760"/>
        <v>2298</v>
      </c>
    </row>
    <row r="1048" spans="1:53" x14ac:dyDescent="0.2">
      <c r="A1048">
        <v>1993</v>
      </c>
      <c r="B1048" t="s">
        <v>91</v>
      </c>
      <c r="C1048" t="s">
        <v>85</v>
      </c>
      <c r="D1048">
        <f t="shared" si="771"/>
        <v>13.325000000000001</v>
      </c>
      <c r="E1048">
        <f t="shared" si="771"/>
        <v>1.4300000000000002</v>
      </c>
      <c r="F1048">
        <f t="shared" ref="F1048:J1048" si="830">F1005*0.65</f>
        <v>0.45499999999999996</v>
      </c>
      <c r="G1048">
        <f t="shared" si="830"/>
        <v>8.254999999999999</v>
      </c>
      <c r="H1048">
        <f t="shared" si="830"/>
        <v>0.90999999999999992</v>
      </c>
      <c r="I1048">
        <f t="shared" si="830"/>
        <v>8.58</v>
      </c>
      <c r="J1048">
        <f t="shared" si="830"/>
        <v>0</v>
      </c>
      <c r="K1048">
        <f t="shared" si="754"/>
        <v>32.954999999999998</v>
      </c>
      <c r="L1048">
        <f t="shared" ref="L1048:N1048" si="831">L1005*0.65</f>
        <v>0.19500000000000001</v>
      </c>
      <c r="M1048">
        <f t="shared" si="831"/>
        <v>0</v>
      </c>
      <c r="N1048">
        <f t="shared" si="831"/>
        <v>0</v>
      </c>
      <c r="O1048">
        <f t="shared" si="761"/>
        <v>0.19500000000000001</v>
      </c>
      <c r="P1048">
        <f t="shared" si="774"/>
        <v>0</v>
      </c>
      <c r="Q1048">
        <f t="shared" si="774"/>
        <v>0</v>
      </c>
      <c r="R1048">
        <f t="shared" ref="R1048" si="832">R1005*0.65</f>
        <v>0</v>
      </c>
      <c r="S1048">
        <f t="shared" si="762"/>
        <v>0</v>
      </c>
      <c r="T1048">
        <f t="shared" ref="T1048:Z1048" si="833">T1005*0.65</f>
        <v>0.32500000000000001</v>
      </c>
      <c r="U1048">
        <f t="shared" si="833"/>
        <v>1.2349999999999999</v>
      </c>
      <c r="V1048">
        <f t="shared" si="833"/>
        <v>0</v>
      </c>
      <c r="W1048">
        <f t="shared" si="833"/>
        <v>0</v>
      </c>
      <c r="X1048">
        <f t="shared" si="833"/>
        <v>0</v>
      </c>
      <c r="Y1048">
        <f t="shared" si="833"/>
        <v>0</v>
      </c>
      <c r="Z1048">
        <f t="shared" si="833"/>
        <v>0.65</v>
      </c>
      <c r="AA1048">
        <f t="shared" si="763"/>
        <v>2.21</v>
      </c>
      <c r="AB1048">
        <f t="shared" ref="AB1048:AG1048" si="834">AB1005*0.65</f>
        <v>0</v>
      </c>
      <c r="AC1048">
        <f t="shared" si="834"/>
        <v>0</v>
      </c>
      <c r="AD1048">
        <f t="shared" si="834"/>
        <v>0</v>
      </c>
      <c r="AE1048">
        <f t="shared" si="834"/>
        <v>0</v>
      </c>
      <c r="AF1048">
        <f t="shared" si="834"/>
        <v>0</v>
      </c>
      <c r="AG1048">
        <f t="shared" si="834"/>
        <v>0</v>
      </c>
      <c r="AH1048" s="5">
        <v>6.7005545286506472</v>
      </c>
      <c r="AI1048" t="s">
        <v>13</v>
      </c>
      <c r="AJ1048" s="5">
        <f t="shared" si="764"/>
        <v>6.7005545286506472</v>
      </c>
      <c r="AK1048" t="s">
        <v>13</v>
      </c>
      <c r="AL1048">
        <f t="shared" si="778"/>
        <v>0.5793944547134936</v>
      </c>
      <c r="AM1048">
        <f t="shared" si="804"/>
        <v>0.4206055452865064</v>
      </c>
      <c r="AN1048">
        <v>1254</v>
      </c>
      <c r="AO1048" t="s">
        <v>13</v>
      </c>
      <c r="AP1048" s="3">
        <v>2164</v>
      </c>
      <c r="AQ1048" t="s">
        <v>13</v>
      </c>
      <c r="AR1048">
        <f t="shared" si="753"/>
        <v>0.15930732734601466</v>
      </c>
      <c r="AS1048">
        <f t="shared" si="768"/>
        <v>0.35359999999999997</v>
      </c>
      <c r="AT1048">
        <f t="shared" si="769"/>
        <v>765</v>
      </c>
      <c r="AU1048">
        <f t="shared" si="770"/>
        <v>145</v>
      </c>
      <c r="AV1048">
        <f t="shared" si="755"/>
        <v>409</v>
      </c>
      <c r="AW1048">
        <f t="shared" si="756"/>
        <v>182</v>
      </c>
      <c r="AX1048" s="3">
        <f t="shared" si="757"/>
        <v>1573</v>
      </c>
      <c r="AY1048">
        <f t="shared" si="758"/>
        <v>383</v>
      </c>
      <c r="AZ1048">
        <f t="shared" si="759"/>
        <v>185</v>
      </c>
      <c r="BA1048" s="3">
        <f t="shared" si="760"/>
        <v>1596</v>
      </c>
    </row>
    <row r="1049" spans="1:53" x14ac:dyDescent="0.2">
      <c r="A1049">
        <v>1994</v>
      </c>
      <c r="B1049" t="s">
        <v>91</v>
      </c>
      <c r="C1049" t="s">
        <v>85</v>
      </c>
      <c r="D1049">
        <f t="shared" si="771"/>
        <v>14.625</v>
      </c>
      <c r="E1049">
        <f t="shared" si="771"/>
        <v>0.78</v>
      </c>
      <c r="F1049">
        <f t="shared" ref="F1049:J1049" si="835">F1006*0.65</f>
        <v>0.26</v>
      </c>
      <c r="G1049">
        <f t="shared" si="835"/>
        <v>13.78</v>
      </c>
      <c r="H1049">
        <f t="shared" si="835"/>
        <v>0.90999999999999992</v>
      </c>
      <c r="I1049">
        <f t="shared" si="835"/>
        <v>2.6</v>
      </c>
      <c r="J1049">
        <f t="shared" si="835"/>
        <v>0.32500000000000001</v>
      </c>
      <c r="K1049">
        <f t="shared" si="754"/>
        <v>33.28</v>
      </c>
      <c r="L1049">
        <f t="shared" ref="L1049:N1049" si="836">L1006*0.65</f>
        <v>0.13</v>
      </c>
      <c r="M1049">
        <f t="shared" si="836"/>
        <v>0.19500000000000001</v>
      </c>
      <c r="N1049">
        <f t="shared" si="836"/>
        <v>0</v>
      </c>
      <c r="O1049">
        <f t="shared" si="761"/>
        <v>0.32500000000000001</v>
      </c>
      <c r="P1049">
        <f t="shared" si="774"/>
        <v>0</v>
      </c>
      <c r="Q1049">
        <f t="shared" si="774"/>
        <v>0</v>
      </c>
      <c r="R1049">
        <f t="shared" ref="R1049" si="837">R1006*0.65</f>
        <v>0.45499999999999996</v>
      </c>
      <c r="S1049">
        <f t="shared" si="762"/>
        <v>0.45499999999999996</v>
      </c>
      <c r="T1049">
        <f t="shared" ref="T1049:Z1049" si="838">T1006*0.65</f>
        <v>0</v>
      </c>
      <c r="U1049">
        <f t="shared" si="838"/>
        <v>0</v>
      </c>
      <c r="V1049">
        <f t="shared" si="838"/>
        <v>0</v>
      </c>
      <c r="W1049">
        <f t="shared" si="838"/>
        <v>0</v>
      </c>
      <c r="X1049">
        <f t="shared" si="838"/>
        <v>0</v>
      </c>
      <c r="Y1049">
        <f t="shared" si="838"/>
        <v>0</v>
      </c>
      <c r="Z1049">
        <f t="shared" si="838"/>
        <v>0</v>
      </c>
      <c r="AA1049">
        <f t="shared" si="763"/>
        <v>0</v>
      </c>
      <c r="AB1049">
        <f t="shared" ref="AB1049:AG1049" si="839">AB1006*0.65</f>
        <v>0</v>
      </c>
      <c r="AC1049">
        <f t="shared" si="839"/>
        <v>0</v>
      </c>
      <c r="AD1049">
        <f t="shared" si="839"/>
        <v>0</v>
      </c>
      <c r="AE1049">
        <f t="shared" si="839"/>
        <v>0</v>
      </c>
      <c r="AF1049">
        <f t="shared" si="839"/>
        <v>0</v>
      </c>
      <c r="AG1049">
        <f t="shared" si="839"/>
        <v>0</v>
      </c>
      <c r="AH1049" s="5">
        <v>3.3883192153366029</v>
      </c>
      <c r="AI1049" t="s">
        <v>13</v>
      </c>
      <c r="AJ1049" s="5">
        <f t="shared" si="764"/>
        <v>3.3883192153366029</v>
      </c>
      <c r="AK1049" t="s">
        <v>13</v>
      </c>
      <c r="AL1049">
        <f t="shared" si="778"/>
        <v>0.62551680784663399</v>
      </c>
      <c r="AM1049">
        <f t="shared" si="804"/>
        <v>0.37448319215336601</v>
      </c>
      <c r="AN1049">
        <v>1403</v>
      </c>
      <c r="AO1049" t="s">
        <v>13</v>
      </c>
      <c r="AP1049" s="3">
        <v>2243</v>
      </c>
      <c r="AQ1049" t="s">
        <v>13</v>
      </c>
      <c r="AR1049">
        <f t="shared" si="753"/>
        <v>9.0479874299644103E-2</v>
      </c>
      <c r="AS1049">
        <f t="shared" si="768"/>
        <v>0.34060000000000001</v>
      </c>
      <c r="AT1049">
        <f t="shared" si="769"/>
        <v>764</v>
      </c>
      <c r="AU1049">
        <f t="shared" si="770"/>
        <v>76</v>
      </c>
      <c r="AV1049">
        <f t="shared" si="755"/>
        <v>391</v>
      </c>
      <c r="AW1049">
        <f t="shared" si="756"/>
        <v>95</v>
      </c>
      <c r="AX1049" s="3">
        <f t="shared" si="757"/>
        <v>1757</v>
      </c>
      <c r="AY1049">
        <f t="shared" si="758"/>
        <v>382</v>
      </c>
      <c r="AZ1049">
        <f t="shared" si="759"/>
        <v>96</v>
      </c>
      <c r="BA1049" s="3">
        <f t="shared" si="760"/>
        <v>1765</v>
      </c>
    </row>
    <row r="1050" spans="1:53" x14ac:dyDescent="0.2">
      <c r="A1050">
        <v>1995</v>
      </c>
      <c r="B1050" t="s">
        <v>91</v>
      </c>
      <c r="C1050" t="s">
        <v>85</v>
      </c>
      <c r="D1050">
        <f t="shared" si="771"/>
        <v>13.91</v>
      </c>
      <c r="E1050">
        <f t="shared" si="771"/>
        <v>0</v>
      </c>
      <c r="F1050">
        <f t="shared" ref="F1050:J1050" si="840">F1007*0.65</f>
        <v>1.105</v>
      </c>
      <c r="G1050">
        <f t="shared" si="840"/>
        <v>4.16</v>
      </c>
      <c r="H1050">
        <f t="shared" si="840"/>
        <v>2.4699999999999998</v>
      </c>
      <c r="I1050">
        <f t="shared" si="840"/>
        <v>0.52</v>
      </c>
      <c r="J1050">
        <f t="shared" si="840"/>
        <v>0</v>
      </c>
      <c r="K1050">
        <f t="shared" si="754"/>
        <v>22.164999999999999</v>
      </c>
      <c r="L1050">
        <f t="shared" ref="L1050:N1050" si="841">L1007*0.65</f>
        <v>0</v>
      </c>
      <c r="M1050">
        <f t="shared" si="841"/>
        <v>0.13</v>
      </c>
      <c r="N1050">
        <f t="shared" si="841"/>
        <v>0</v>
      </c>
      <c r="O1050">
        <f t="shared" si="761"/>
        <v>0.13</v>
      </c>
      <c r="P1050">
        <f t="shared" si="774"/>
        <v>0</v>
      </c>
      <c r="Q1050">
        <f t="shared" si="774"/>
        <v>0</v>
      </c>
      <c r="R1050">
        <f t="shared" ref="R1050" si="842">R1007*0.65</f>
        <v>0.39</v>
      </c>
      <c r="S1050">
        <f t="shared" si="762"/>
        <v>0.39</v>
      </c>
      <c r="T1050">
        <f t="shared" ref="T1050:Z1050" si="843">T1007*0.65</f>
        <v>0.45499999999999996</v>
      </c>
      <c r="U1050">
        <f t="shared" si="843"/>
        <v>0</v>
      </c>
      <c r="V1050">
        <f t="shared" si="843"/>
        <v>0</v>
      </c>
      <c r="W1050">
        <f t="shared" si="843"/>
        <v>0</v>
      </c>
      <c r="X1050">
        <f t="shared" si="843"/>
        <v>0</v>
      </c>
      <c r="Y1050">
        <f t="shared" si="843"/>
        <v>0.13</v>
      </c>
      <c r="Z1050">
        <f t="shared" si="843"/>
        <v>0</v>
      </c>
      <c r="AA1050">
        <f t="shared" si="763"/>
        <v>0.58499999999999996</v>
      </c>
      <c r="AB1050">
        <f t="shared" ref="AB1050:AG1050" si="844">AB1007*0.65</f>
        <v>0</v>
      </c>
      <c r="AC1050">
        <f t="shared" si="844"/>
        <v>0</v>
      </c>
      <c r="AD1050">
        <f t="shared" si="844"/>
        <v>0</v>
      </c>
      <c r="AE1050">
        <f t="shared" si="844"/>
        <v>0</v>
      </c>
      <c r="AF1050">
        <f t="shared" si="844"/>
        <v>0</v>
      </c>
      <c r="AG1050">
        <f t="shared" si="844"/>
        <v>0</v>
      </c>
      <c r="AH1050" s="5">
        <v>3.0604982206405693</v>
      </c>
      <c r="AI1050" t="s">
        <v>13</v>
      </c>
      <c r="AJ1050" s="5">
        <f t="shared" si="764"/>
        <v>3.0604982206405693</v>
      </c>
      <c r="AK1050" t="s">
        <v>13</v>
      </c>
      <c r="AL1050">
        <f t="shared" si="778"/>
        <v>0.73669501779359425</v>
      </c>
      <c r="AM1050">
        <f t="shared" si="804"/>
        <v>0.26330498220640569</v>
      </c>
      <c r="AN1050">
        <v>2070</v>
      </c>
      <c r="AO1050" t="s">
        <v>13</v>
      </c>
      <c r="AP1050" s="3">
        <v>2810</v>
      </c>
      <c r="AQ1050" t="s">
        <v>13</v>
      </c>
      <c r="AR1050">
        <f t="shared" si="753"/>
        <v>0.11623396545688734</v>
      </c>
      <c r="AS1050">
        <f t="shared" si="768"/>
        <v>0.23269999999999999</v>
      </c>
      <c r="AT1050">
        <f t="shared" si="769"/>
        <v>654</v>
      </c>
      <c r="AU1050">
        <f t="shared" si="770"/>
        <v>86</v>
      </c>
      <c r="AV1050">
        <f t="shared" si="755"/>
        <v>342</v>
      </c>
      <c r="AW1050">
        <f t="shared" si="756"/>
        <v>98</v>
      </c>
      <c r="AX1050" s="3">
        <f t="shared" si="757"/>
        <v>2370</v>
      </c>
      <c r="AY1050">
        <f t="shared" si="758"/>
        <v>327</v>
      </c>
      <c r="AZ1050">
        <f t="shared" si="759"/>
        <v>99</v>
      </c>
      <c r="BA1050" s="3">
        <f t="shared" si="760"/>
        <v>2384</v>
      </c>
    </row>
    <row r="1051" spans="1:53" x14ac:dyDescent="0.2">
      <c r="A1051">
        <v>1996</v>
      </c>
      <c r="B1051" t="s">
        <v>91</v>
      </c>
      <c r="C1051" t="s">
        <v>85</v>
      </c>
      <c r="D1051">
        <f t="shared" si="771"/>
        <v>14.105</v>
      </c>
      <c r="E1051">
        <f t="shared" si="771"/>
        <v>0</v>
      </c>
      <c r="F1051">
        <f t="shared" ref="F1051:J1051" si="845">F1008*0.65</f>
        <v>1.7550000000000001</v>
      </c>
      <c r="G1051">
        <f t="shared" si="845"/>
        <v>0.52</v>
      </c>
      <c r="H1051">
        <f t="shared" si="845"/>
        <v>0</v>
      </c>
      <c r="I1051">
        <f t="shared" si="845"/>
        <v>0.26</v>
      </c>
      <c r="J1051">
        <f t="shared" si="845"/>
        <v>0</v>
      </c>
      <c r="K1051">
        <f t="shared" si="754"/>
        <v>16.640000000000004</v>
      </c>
      <c r="L1051">
        <f t="shared" ref="L1051:N1051" si="846">L1008*0.65</f>
        <v>0.19500000000000001</v>
      </c>
      <c r="M1051">
        <f t="shared" si="846"/>
        <v>0</v>
      </c>
      <c r="N1051">
        <f t="shared" si="846"/>
        <v>0</v>
      </c>
      <c r="O1051">
        <f t="shared" si="761"/>
        <v>0.19500000000000001</v>
      </c>
      <c r="P1051">
        <f t="shared" si="774"/>
        <v>0</v>
      </c>
      <c r="Q1051">
        <f t="shared" si="774"/>
        <v>0</v>
      </c>
      <c r="R1051">
        <f t="shared" ref="R1051" si="847">R1008*0.65</f>
        <v>0</v>
      </c>
      <c r="S1051">
        <f t="shared" si="762"/>
        <v>0</v>
      </c>
      <c r="T1051">
        <f t="shared" ref="T1051:Z1051" si="848">T1008*0.65</f>
        <v>0</v>
      </c>
      <c r="U1051">
        <f t="shared" si="848"/>
        <v>0</v>
      </c>
      <c r="V1051">
        <f t="shared" si="848"/>
        <v>0</v>
      </c>
      <c r="W1051">
        <f t="shared" si="848"/>
        <v>0</v>
      </c>
      <c r="X1051">
        <f t="shared" si="848"/>
        <v>0</v>
      </c>
      <c r="Y1051">
        <f t="shared" si="848"/>
        <v>0</v>
      </c>
      <c r="Z1051">
        <f t="shared" si="848"/>
        <v>0</v>
      </c>
      <c r="AA1051">
        <f t="shared" si="763"/>
        <v>0</v>
      </c>
      <c r="AB1051">
        <f t="shared" ref="AB1051:AG1051" si="849">AB1008*0.65</f>
        <v>0</v>
      </c>
      <c r="AC1051">
        <f t="shared" si="849"/>
        <v>0</v>
      </c>
      <c r="AD1051">
        <f t="shared" si="849"/>
        <v>0</v>
      </c>
      <c r="AE1051">
        <f t="shared" si="849"/>
        <v>0</v>
      </c>
      <c r="AF1051">
        <v>0</v>
      </c>
      <c r="AG1051">
        <f t="shared" si="849"/>
        <v>0</v>
      </c>
      <c r="AH1051" s="5">
        <v>4.9596915527514902</v>
      </c>
      <c r="AI1051" t="s">
        <v>13</v>
      </c>
      <c r="AJ1051" s="5">
        <f t="shared" si="764"/>
        <v>4.9596915527514902</v>
      </c>
      <c r="AK1051" t="s">
        <v>13</v>
      </c>
      <c r="AL1051">
        <f t="shared" si="778"/>
        <v>0.78205308447248512</v>
      </c>
      <c r="AM1051">
        <f t="shared" si="804"/>
        <v>0.21794691552751491</v>
      </c>
      <c r="AN1051">
        <v>4462</v>
      </c>
      <c r="AO1051" t="s">
        <v>13</v>
      </c>
      <c r="AP1051" s="3">
        <v>5706</v>
      </c>
      <c r="AQ1051" t="s">
        <v>13</v>
      </c>
      <c r="AR1051">
        <f t="shared" si="753"/>
        <v>0.22756420024330878</v>
      </c>
      <c r="AS1051">
        <f t="shared" si="768"/>
        <v>0.16835000000000006</v>
      </c>
      <c r="AT1051">
        <f t="shared" si="769"/>
        <v>961</v>
      </c>
      <c r="AU1051">
        <f t="shared" si="770"/>
        <v>283</v>
      </c>
      <c r="AV1051">
        <f t="shared" si="755"/>
        <v>486</v>
      </c>
      <c r="AW1051">
        <f t="shared" si="756"/>
        <v>311</v>
      </c>
      <c r="AX1051" s="3">
        <f t="shared" si="757"/>
        <v>4909</v>
      </c>
      <c r="AY1051">
        <f t="shared" si="758"/>
        <v>480</v>
      </c>
      <c r="AZ1051">
        <f t="shared" si="759"/>
        <v>312</v>
      </c>
      <c r="BA1051" s="3">
        <f t="shared" si="760"/>
        <v>4914</v>
      </c>
    </row>
    <row r="1052" spans="1:53" x14ac:dyDescent="0.2">
      <c r="A1052">
        <v>1997</v>
      </c>
      <c r="B1052" t="s">
        <v>91</v>
      </c>
      <c r="C1052" t="s">
        <v>85</v>
      </c>
      <c r="D1052">
        <f t="shared" si="771"/>
        <v>24.57</v>
      </c>
      <c r="E1052">
        <f t="shared" si="771"/>
        <v>0.39</v>
      </c>
      <c r="F1052">
        <f t="shared" ref="F1052:J1052" si="850">F1009*0.65</f>
        <v>0</v>
      </c>
      <c r="G1052">
        <f t="shared" si="850"/>
        <v>5.07</v>
      </c>
      <c r="H1052">
        <f t="shared" si="850"/>
        <v>0</v>
      </c>
      <c r="I1052">
        <f t="shared" si="850"/>
        <v>0.19500000000000001</v>
      </c>
      <c r="J1052">
        <f t="shared" si="850"/>
        <v>0</v>
      </c>
      <c r="K1052">
        <f t="shared" si="754"/>
        <v>30.225000000000001</v>
      </c>
      <c r="L1052">
        <f t="shared" ref="L1052:N1052" si="851">L1009*0.65</f>
        <v>0.19500000000000001</v>
      </c>
      <c r="M1052">
        <f t="shared" si="851"/>
        <v>0</v>
      </c>
      <c r="N1052">
        <f t="shared" si="851"/>
        <v>0</v>
      </c>
      <c r="O1052">
        <f t="shared" si="761"/>
        <v>0.19500000000000001</v>
      </c>
      <c r="P1052">
        <f t="shared" si="774"/>
        <v>0</v>
      </c>
      <c r="Q1052">
        <f t="shared" si="774"/>
        <v>0</v>
      </c>
      <c r="R1052">
        <f t="shared" ref="R1052" si="852">R1009*0.65</f>
        <v>0</v>
      </c>
      <c r="S1052">
        <f t="shared" si="762"/>
        <v>0</v>
      </c>
      <c r="T1052">
        <f t="shared" ref="T1052:Z1052" si="853">T1009*0.65</f>
        <v>0</v>
      </c>
      <c r="U1052">
        <f t="shared" si="853"/>
        <v>0</v>
      </c>
      <c r="V1052">
        <f t="shared" si="853"/>
        <v>0</v>
      </c>
      <c r="W1052">
        <f t="shared" si="853"/>
        <v>0</v>
      </c>
      <c r="X1052">
        <f t="shared" si="853"/>
        <v>0</v>
      </c>
      <c r="Y1052">
        <f t="shared" si="853"/>
        <v>0</v>
      </c>
      <c r="Z1052">
        <f t="shared" si="853"/>
        <v>0</v>
      </c>
      <c r="AA1052">
        <f t="shared" si="763"/>
        <v>0</v>
      </c>
      <c r="AB1052">
        <f t="shared" ref="AB1052:AG1052" si="854">AB1009*0.65</f>
        <v>0</v>
      </c>
      <c r="AC1052">
        <f t="shared" si="854"/>
        <v>0</v>
      </c>
      <c r="AD1052">
        <f t="shared" si="854"/>
        <v>0</v>
      </c>
      <c r="AE1052">
        <f t="shared" si="854"/>
        <v>0</v>
      </c>
      <c r="AF1052">
        <f t="shared" si="854"/>
        <v>0</v>
      </c>
      <c r="AG1052">
        <f t="shared" si="854"/>
        <v>0</v>
      </c>
      <c r="AH1052" s="5">
        <v>5.5156564205688019</v>
      </c>
      <c r="AI1052" t="s">
        <v>13</v>
      </c>
      <c r="AJ1052" s="5">
        <f t="shared" si="764"/>
        <v>5.5156564205688019</v>
      </c>
      <c r="AK1052" t="s">
        <v>13</v>
      </c>
      <c r="AL1052">
        <f t="shared" si="778"/>
        <v>0.64064343579431193</v>
      </c>
      <c r="AM1052">
        <f t="shared" si="804"/>
        <v>0.35935656420568807</v>
      </c>
      <c r="AN1052">
        <v>4460</v>
      </c>
      <c r="AO1052" t="s">
        <v>13</v>
      </c>
      <c r="AP1052" s="3">
        <v>6962</v>
      </c>
      <c r="AQ1052" t="s">
        <v>13</v>
      </c>
      <c r="AR1052">
        <f t="shared" si="753"/>
        <v>0.153487009003452</v>
      </c>
      <c r="AS1052">
        <f t="shared" si="768"/>
        <v>0.30420000000000003</v>
      </c>
      <c r="AT1052">
        <f t="shared" si="769"/>
        <v>2118</v>
      </c>
      <c r="AU1052">
        <f t="shared" si="770"/>
        <v>384</v>
      </c>
      <c r="AV1052">
        <f t="shared" si="755"/>
        <v>1066</v>
      </c>
      <c r="AW1052">
        <f t="shared" si="756"/>
        <v>467</v>
      </c>
      <c r="AX1052" s="3">
        <f t="shared" si="757"/>
        <v>5429</v>
      </c>
      <c r="AY1052">
        <f t="shared" si="758"/>
        <v>1059</v>
      </c>
      <c r="AZ1052">
        <f t="shared" si="759"/>
        <v>468</v>
      </c>
      <c r="BA1052" s="3">
        <f t="shared" si="760"/>
        <v>5435</v>
      </c>
    </row>
    <row r="1053" spans="1:53" x14ac:dyDescent="0.2">
      <c r="A1053">
        <v>1998</v>
      </c>
      <c r="B1053" t="s">
        <v>91</v>
      </c>
      <c r="C1053" t="s">
        <v>85</v>
      </c>
      <c r="D1053">
        <f t="shared" si="771"/>
        <v>16.315000000000001</v>
      </c>
      <c r="E1053">
        <f t="shared" si="771"/>
        <v>0</v>
      </c>
      <c r="F1053">
        <f t="shared" ref="F1053:J1053" si="855">F1010*0.65</f>
        <v>2.21</v>
      </c>
      <c r="G1053">
        <f t="shared" si="855"/>
        <v>12.285</v>
      </c>
      <c r="H1053">
        <f t="shared" si="855"/>
        <v>0</v>
      </c>
      <c r="I1053">
        <f t="shared" si="855"/>
        <v>0</v>
      </c>
      <c r="J1053">
        <f t="shared" si="855"/>
        <v>0</v>
      </c>
      <c r="K1053">
        <f t="shared" si="754"/>
        <v>30.810000000000002</v>
      </c>
      <c r="L1053">
        <f t="shared" ref="L1053:N1053" si="856">L1010*0.65</f>
        <v>0</v>
      </c>
      <c r="M1053">
        <f t="shared" si="856"/>
        <v>0</v>
      </c>
      <c r="N1053">
        <f t="shared" si="856"/>
        <v>0</v>
      </c>
      <c r="O1053">
        <f t="shared" si="761"/>
        <v>0</v>
      </c>
      <c r="P1053">
        <f t="shared" si="774"/>
        <v>0</v>
      </c>
      <c r="Q1053">
        <f t="shared" si="774"/>
        <v>0</v>
      </c>
      <c r="R1053">
        <f t="shared" ref="R1053" si="857">R1010*0.65</f>
        <v>0</v>
      </c>
      <c r="S1053">
        <f t="shared" si="762"/>
        <v>0</v>
      </c>
      <c r="T1053">
        <f t="shared" ref="T1053:Z1053" si="858">T1010*0.65</f>
        <v>0</v>
      </c>
      <c r="U1053">
        <f t="shared" si="858"/>
        <v>0.52</v>
      </c>
      <c r="V1053">
        <f t="shared" si="858"/>
        <v>0</v>
      </c>
      <c r="W1053">
        <f t="shared" si="858"/>
        <v>0</v>
      </c>
      <c r="X1053">
        <f t="shared" si="858"/>
        <v>0</v>
      </c>
      <c r="Y1053">
        <f t="shared" si="858"/>
        <v>0</v>
      </c>
      <c r="Z1053">
        <f t="shared" si="858"/>
        <v>0</v>
      </c>
      <c r="AA1053">
        <f t="shared" si="763"/>
        <v>0.52</v>
      </c>
      <c r="AB1053">
        <f t="shared" ref="AB1053:AG1053" si="859">AB1010*0.65</f>
        <v>0</v>
      </c>
      <c r="AC1053">
        <f t="shared" si="859"/>
        <v>0</v>
      </c>
      <c r="AD1053">
        <f t="shared" si="859"/>
        <v>0</v>
      </c>
      <c r="AE1053">
        <f t="shared" si="859"/>
        <v>0</v>
      </c>
      <c r="AF1053">
        <f t="shared" si="859"/>
        <v>0</v>
      </c>
      <c r="AG1053">
        <f t="shared" si="859"/>
        <v>0</v>
      </c>
      <c r="AH1053" s="5">
        <v>7.4596257369905148</v>
      </c>
      <c r="AI1053" t="s">
        <v>13</v>
      </c>
      <c r="AJ1053" s="5">
        <f t="shared" si="764"/>
        <v>7.4596257369905148</v>
      </c>
      <c r="AK1053" t="s">
        <v>13</v>
      </c>
      <c r="AL1053">
        <f t="shared" si="778"/>
        <v>0.61210374263009482</v>
      </c>
      <c r="AM1053">
        <f t="shared" si="804"/>
        <v>0.38789625736990518</v>
      </c>
      <c r="AN1053">
        <v>2388</v>
      </c>
      <c r="AO1053" t="s">
        <v>13</v>
      </c>
      <c r="AP1053" s="3">
        <v>3901</v>
      </c>
      <c r="AQ1053" t="s">
        <v>13</v>
      </c>
      <c r="AR1053">
        <f t="shared" si="753"/>
        <v>0.19230981468008532</v>
      </c>
      <c r="AS1053">
        <f t="shared" si="768"/>
        <v>0.31330000000000002</v>
      </c>
      <c r="AT1053">
        <f t="shared" si="769"/>
        <v>1222</v>
      </c>
      <c r="AU1053">
        <f t="shared" si="770"/>
        <v>291</v>
      </c>
      <c r="AV1053">
        <f t="shared" si="755"/>
        <v>621</v>
      </c>
      <c r="AW1053">
        <f t="shared" si="756"/>
        <v>356</v>
      </c>
      <c r="AX1053" s="3">
        <f t="shared" si="757"/>
        <v>2924</v>
      </c>
      <c r="AY1053">
        <f t="shared" si="758"/>
        <v>611</v>
      </c>
      <c r="AZ1053">
        <f t="shared" si="759"/>
        <v>357</v>
      </c>
      <c r="BA1053" s="3">
        <f t="shared" si="760"/>
        <v>2933</v>
      </c>
    </row>
    <row r="1054" spans="1:53" x14ac:dyDescent="0.2">
      <c r="A1054">
        <v>1999</v>
      </c>
      <c r="B1054" t="s">
        <v>91</v>
      </c>
      <c r="C1054" t="s">
        <v>85</v>
      </c>
      <c r="D1054">
        <f t="shared" si="771"/>
        <v>7.0850000000000009</v>
      </c>
      <c r="E1054">
        <f t="shared" si="771"/>
        <v>0</v>
      </c>
      <c r="F1054">
        <f t="shared" ref="F1054:J1054" si="860">F1011*0.65</f>
        <v>1.7550000000000001</v>
      </c>
      <c r="G1054">
        <f t="shared" si="860"/>
        <v>1.7550000000000001</v>
      </c>
      <c r="H1054">
        <f t="shared" si="860"/>
        <v>0</v>
      </c>
      <c r="I1054">
        <f t="shared" si="860"/>
        <v>0</v>
      </c>
      <c r="J1054">
        <f t="shared" si="860"/>
        <v>0</v>
      </c>
      <c r="K1054">
        <f t="shared" si="754"/>
        <v>10.595000000000002</v>
      </c>
      <c r="L1054">
        <f t="shared" ref="L1054:N1054" si="861">L1011*0.65</f>
        <v>0</v>
      </c>
      <c r="M1054">
        <f t="shared" si="861"/>
        <v>0</v>
      </c>
      <c r="N1054">
        <f t="shared" si="861"/>
        <v>0</v>
      </c>
      <c r="O1054">
        <f t="shared" si="761"/>
        <v>0</v>
      </c>
      <c r="P1054">
        <f t="shared" si="774"/>
        <v>0</v>
      </c>
      <c r="Q1054">
        <f t="shared" si="774"/>
        <v>0</v>
      </c>
      <c r="R1054">
        <f t="shared" ref="R1054" si="862">R1011*0.65</f>
        <v>0</v>
      </c>
      <c r="S1054">
        <f t="shared" si="762"/>
        <v>0</v>
      </c>
      <c r="T1054">
        <f t="shared" ref="T1054:Z1054" si="863">T1011*0.65</f>
        <v>0</v>
      </c>
      <c r="U1054">
        <f t="shared" si="863"/>
        <v>0.19500000000000001</v>
      </c>
      <c r="V1054">
        <f t="shared" si="863"/>
        <v>0</v>
      </c>
      <c r="W1054">
        <f t="shared" si="863"/>
        <v>0</v>
      </c>
      <c r="X1054">
        <f t="shared" si="863"/>
        <v>0</v>
      </c>
      <c r="Y1054">
        <f t="shared" si="863"/>
        <v>0</v>
      </c>
      <c r="Z1054">
        <f t="shared" si="863"/>
        <v>0</v>
      </c>
      <c r="AA1054">
        <f t="shared" si="763"/>
        <v>0.19500000000000001</v>
      </c>
      <c r="AB1054">
        <f t="shared" ref="AB1054:AG1054" si="864">AB1011*0.65</f>
        <v>0</v>
      </c>
      <c r="AC1054">
        <f t="shared" si="864"/>
        <v>0</v>
      </c>
      <c r="AD1054">
        <f t="shared" si="864"/>
        <v>0</v>
      </c>
      <c r="AE1054">
        <f t="shared" si="864"/>
        <v>0</v>
      </c>
      <c r="AF1054">
        <f t="shared" si="864"/>
        <v>0</v>
      </c>
      <c r="AG1054">
        <f t="shared" si="864"/>
        <v>0</v>
      </c>
      <c r="AH1054" s="5">
        <v>15.296147211040829</v>
      </c>
      <c r="AI1054" t="s">
        <v>13</v>
      </c>
      <c r="AJ1054" s="5">
        <f t="shared" si="764"/>
        <v>15.296147211040829</v>
      </c>
      <c r="AK1054" t="s">
        <v>13</v>
      </c>
      <c r="AL1054">
        <f t="shared" si="778"/>
        <v>0.73913852788959167</v>
      </c>
      <c r="AM1054">
        <f t="shared" si="804"/>
        <v>0.26086147211040828</v>
      </c>
      <c r="AN1054">
        <v>1285</v>
      </c>
      <c r="AO1054" t="s">
        <v>13</v>
      </c>
      <c r="AP1054" s="3">
        <v>1739</v>
      </c>
      <c r="AQ1054" t="s">
        <v>13</v>
      </c>
      <c r="AR1054">
        <f t="shared" si="753"/>
        <v>0.58637050106681954</v>
      </c>
      <c r="AS1054">
        <f t="shared" si="768"/>
        <v>0.10790000000000002</v>
      </c>
      <c r="AT1054">
        <f t="shared" si="769"/>
        <v>188</v>
      </c>
      <c r="AU1054">
        <f t="shared" si="770"/>
        <v>266</v>
      </c>
      <c r="AV1054">
        <f t="shared" si="755"/>
        <v>96</v>
      </c>
      <c r="AW1054">
        <f t="shared" si="756"/>
        <v>282</v>
      </c>
      <c r="AX1054" s="3">
        <f t="shared" si="757"/>
        <v>1361</v>
      </c>
      <c r="AY1054">
        <f t="shared" si="758"/>
        <v>94</v>
      </c>
      <c r="AZ1054">
        <f t="shared" si="759"/>
        <v>282</v>
      </c>
      <c r="BA1054" s="3">
        <f t="shared" si="760"/>
        <v>1363</v>
      </c>
    </row>
    <row r="1055" spans="1:53" x14ac:dyDescent="0.2">
      <c r="A1055">
        <v>2000</v>
      </c>
      <c r="B1055" t="s">
        <v>91</v>
      </c>
      <c r="C1055" t="s">
        <v>85</v>
      </c>
      <c r="D1055">
        <f t="shared" si="771"/>
        <v>12.740000000000002</v>
      </c>
      <c r="E1055">
        <f t="shared" si="771"/>
        <v>0</v>
      </c>
      <c r="F1055">
        <f t="shared" ref="F1055:J1055" si="865">F1012*0.65</f>
        <v>3.25</v>
      </c>
      <c r="G1055">
        <f t="shared" si="865"/>
        <v>6.370000000000001</v>
      </c>
      <c r="H1055">
        <f t="shared" si="865"/>
        <v>0</v>
      </c>
      <c r="I1055">
        <f t="shared" si="865"/>
        <v>0</v>
      </c>
      <c r="J1055">
        <f t="shared" si="865"/>
        <v>0</v>
      </c>
      <c r="K1055">
        <f t="shared" si="754"/>
        <v>22.360000000000003</v>
      </c>
      <c r="L1055">
        <f t="shared" ref="L1055:N1055" si="866">L1012*0.65</f>
        <v>0</v>
      </c>
      <c r="M1055">
        <f t="shared" si="866"/>
        <v>0</v>
      </c>
      <c r="N1055">
        <f t="shared" si="866"/>
        <v>0</v>
      </c>
      <c r="O1055">
        <f t="shared" si="761"/>
        <v>0</v>
      </c>
      <c r="P1055">
        <f t="shared" si="774"/>
        <v>0</v>
      </c>
      <c r="Q1055">
        <f t="shared" si="774"/>
        <v>0</v>
      </c>
      <c r="R1055">
        <f t="shared" ref="R1055" si="867">R1012*0.65</f>
        <v>0</v>
      </c>
      <c r="S1055">
        <f t="shared" si="762"/>
        <v>0</v>
      </c>
      <c r="T1055">
        <f t="shared" ref="T1055:Z1055" si="868">T1012*0.65</f>
        <v>0</v>
      </c>
      <c r="U1055">
        <f t="shared" si="868"/>
        <v>0</v>
      </c>
      <c r="V1055">
        <f t="shared" si="868"/>
        <v>0</v>
      </c>
      <c r="W1055">
        <f t="shared" si="868"/>
        <v>0</v>
      </c>
      <c r="X1055">
        <f t="shared" si="868"/>
        <v>0</v>
      </c>
      <c r="Y1055">
        <f t="shared" si="868"/>
        <v>0</v>
      </c>
      <c r="Z1055">
        <f t="shared" si="868"/>
        <v>0</v>
      </c>
      <c r="AA1055">
        <f t="shared" si="763"/>
        <v>0</v>
      </c>
      <c r="AB1055">
        <f t="shared" ref="AB1055:AG1055" si="869">AB1012*0.65</f>
        <v>0</v>
      </c>
      <c r="AC1055">
        <f t="shared" si="869"/>
        <v>0</v>
      </c>
      <c r="AD1055">
        <f t="shared" si="869"/>
        <v>0</v>
      </c>
      <c r="AE1055">
        <f t="shared" si="869"/>
        <v>0</v>
      </c>
      <c r="AF1055">
        <f t="shared" si="869"/>
        <v>0</v>
      </c>
      <c r="AG1055">
        <f t="shared" si="869"/>
        <v>0</v>
      </c>
      <c r="AH1055" s="5">
        <v>6.4076346284935246</v>
      </c>
      <c r="AI1055" t="s">
        <v>13</v>
      </c>
      <c r="AJ1055" s="5">
        <f t="shared" si="764"/>
        <v>6.4076346284935246</v>
      </c>
      <c r="AK1055" t="s">
        <v>13</v>
      </c>
      <c r="AL1055">
        <f t="shared" si="778"/>
        <v>0.71232365371506479</v>
      </c>
      <c r="AM1055">
        <f t="shared" si="804"/>
        <v>0.28767634628493527</v>
      </c>
      <c r="AN1055">
        <v>3135</v>
      </c>
      <c r="AO1055" t="s">
        <v>13</v>
      </c>
      <c r="AP1055" s="3">
        <v>4401</v>
      </c>
      <c r="AQ1055" t="s">
        <v>13</v>
      </c>
      <c r="AR1055">
        <f t="shared" si="753"/>
        <v>0.22273762550317378</v>
      </c>
      <c r="AS1055">
        <f t="shared" si="768"/>
        <v>0.22360000000000002</v>
      </c>
      <c r="AT1055">
        <f t="shared" si="769"/>
        <v>984</v>
      </c>
      <c r="AU1055">
        <f t="shared" si="770"/>
        <v>282</v>
      </c>
      <c r="AV1055">
        <f t="shared" si="755"/>
        <v>492</v>
      </c>
      <c r="AW1055">
        <f t="shared" si="756"/>
        <v>323</v>
      </c>
      <c r="AX1055" s="3">
        <f t="shared" si="757"/>
        <v>3586</v>
      </c>
      <c r="AY1055">
        <f t="shared" si="758"/>
        <v>492</v>
      </c>
      <c r="AZ1055">
        <f t="shared" si="759"/>
        <v>323</v>
      </c>
      <c r="BA1055" s="3">
        <f t="shared" si="760"/>
        <v>3586</v>
      </c>
    </row>
    <row r="1056" spans="1:53" x14ac:dyDescent="0.2">
      <c r="A1056">
        <v>2001</v>
      </c>
      <c r="B1056" t="s">
        <v>91</v>
      </c>
      <c r="C1056" t="s">
        <v>85</v>
      </c>
      <c r="D1056">
        <f t="shared" si="771"/>
        <v>7.41</v>
      </c>
      <c r="E1056">
        <f t="shared" si="771"/>
        <v>0</v>
      </c>
      <c r="F1056">
        <f t="shared" ref="F1056:J1056" si="870">F1013*0.65</f>
        <v>2.3400000000000003</v>
      </c>
      <c r="G1056">
        <f t="shared" si="870"/>
        <v>1.4949999999999999</v>
      </c>
      <c r="H1056">
        <f t="shared" si="870"/>
        <v>0</v>
      </c>
      <c r="I1056">
        <f t="shared" si="870"/>
        <v>0</v>
      </c>
      <c r="J1056">
        <f t="shared" si="870"/>
        <v>0</v>
      </c>
      <c r="K1056">
        <f t="shared" si="754"/>
        <v>11.244999999999999</v>
      </c>
      <c r="L1056">
        <f t="shared" ref="L1056:N1056" si="871">L1013*0.65</f>
        <v>0</v>
      </c>
      <c r="M1056">
        <f t="shared" si="871"/>
        <v>0</v>
      </c>
      <c r="N1056">
        <f t="shared" si="871"/>
        <v>0</v>
      </c>
      <c r="O1056">
        <f t="shared" si="761"/>
        <v>0</v>
      </c>
      <c r="P1056">
        <f t="shared" si="774"/>
        <v>0</v>
      </c>
      <c r="Q1056">
        <f t="shared" si="774"/>
        <v>0</v>
      </c>
      <c r="R1056">
        <f t="shared" ref="R1056" si="872">R1013*0.65</f>
        <v>0</v>
      </c>
      <c r="S1056">
        <f t="shared" si="762"/>
        <v>0</v>
      </c>
      <c r="T1056">
        <f t="shared" ref="T1056:Z1056" si="873">T1013*0.65</f>
        <v>0.32500000000000001</v>
      </c>
      <c r="U1056">
        <f t="shared" si="873"/>
        <v>0.19500000000000001</v>
      </c>
      <c r="V1056">
        <f t="shared" si="873"/>
        <v>0</v>
      </c>
      <c r="W1056">
        <f t="shared" si="873"/>
        <v>0</v>
      </c>
      <c r="X1056">
        <f t="shared" si="873"/>
        <v>0</v>
      </c>
      <c r="Y1056">
        <f t="shared" si="873"/>
        <v>0</v>
      </c>
      <c r="Z1056">
        <f t="shared" si="873"/>
        <v>0</v>
      </c>
      <c r="AA1056">
        <f t="shared" si="763"/>
        <v>0.52</v>
      </c>
      <c r="AB1056">
        <f t="shared" ref="AB1056:AG1056" si="874">AB1013*0.65</f>
        <v>0</v>
      </c>
      <c r="AC1056">
        <f t="shared" si="874"/>
        <v>0</v>
      </c>
      <c r="AD1056">
        <f t="shared" si="874"/>
        <v>0</v>
      </c>
      <c r="AE1056">
        <f t="shared" si="874"/>
        <v>0</v>
      </c>
      <c r="AF1056">
        <f t="shared" si="874"/>
        <v>0</v>
      </c>
      <c r="AG1056">
        <f t="shared" si="874"/>
        <v>0</v>
      </c>
      <c r="AH1056" s="5">
        <v>12.3640222870788</v>
      </c>
      <c r="AI1056" t="s">
        <v>13</v>
      </c>
      <c r="AJ1056" s="5">
        <f t="shared" si="764"/>
        <v>12.3640222870788</v>
      </c>
      <c r="AK1056" t="s">
        <v>13</v>
      </c>
      <c r="AL1056">
        <f t="shared" si="778"/>
        <v>0.75870977712921195</v>
      </c>
      <c r="AM1056">
        <f t="shared" si="804"/>
        <v>0.241290222870788</v>
      </c>
      <c r="AN1056">
        <v>2860</v>
      </c>
      <c r="AO1056" t="s">
        <v>13</v>
      </c>
      <c r="AP1056" s="3">
        <v>3769</v>
      </c>
      <c r="AQ1056" t="s">
        <v>13</v>
      </c>
      <c r="AR1056">
        <f t="shared" si="753"/>
        <v>0.51241290011571627</v>
      </c>
      <c r="AS1056">
        <f t="shared" si="768"/>
        <v>0.11764999999999999</v>
      </c>
      <c r="AT1056">
        <f t="shared" si="769"/>
        <v>443</v>
      </c>
      <c r="AU1056">
        <f t="shared" si="770"/>
        <v>466</v>
      </c>
      <c r="AV1056">
        <f t="shared" si="755"/>
        <v>232</v>
      </c>
      <c r="AW1056">
        <f t="shared" si="756"/>
        <v>496</v>
      </c>
      <c r="AX1056" s="3">
        <f t="shared" si="757"/>
        <v>3041</v>
      </c>
      <c r="AY1056">
        <f t="shared" si="758"/>
        <v>222</v>
      </c>
      <c r="AZ1056">
        <f t="shared" si="759"/>
        <v>497</v>
      </c>
      <c r="BA1056" s="3">
        <f t="shared" si="760"/>
        <v>3050</v>
      </c>
    </row>
    <row r="1057" spans="1:53" x14ac:dyDescent="0.2">
      <c r="A1057">
        <v>2002</v>
      </c>
      <c r="B1057" t="s">
        <v>91</v>
      </c>
      <c r="C1057" t="s">
        <v>85</v>
      </c>
      <c r="D1057">
        <f t="shared" si="771"/>
        <v>14.43</v>
      </c>
      <c r="E1057">
        <f t="shared" si="771"/>
        <v>0</v>
      </c>
      <c r="F1057">
        <f t="shared" ref="F1057:J1057" si="875">F1014*0.65</f>
        <v>1.6900000000000002</v>
      </c>
      <c r="G1057">
        <f t="shared" si="875"/>
        <v>2.665</v>
      </c>
      <c r="H1057">
        <f t="shared" si="875"/>
        <v>1.625</v>
      </c>
      <c r="I1057">
        <f t="shared" si="875"/>
        <v>0</v>
      </c>
      <c r="J1057">
        <f t="shared" si="875"/>
        <v>0</v>
      </c>
      <c r="K1057">
        <f t="shared" si="754"/>
        <v>20.41</v>
      </c>
      <c r="L1057">
        <f t="shared" ref="L1057:N1057" si="876">L1014*0.65</f>
        <v>0</v>
      </c>
      <c r="M1057">
        <f t="shared" si="876"/>
        <v>0</v>
      </c>
      <c r="N1057">
        <f t="shared" si="876"/>
        <v>0</v>
      </c>
      <c r="O1057">
        <f t="shared" si="761"/>
        <v>0</v>
      </c>
      <c r="P1057">
        <f t="shared" si="774"/>
        <v>0</v>
      </c>
      <c r="Q1057">
        <f t="shared" si="774"/>
        <v>0</v>
      </c>
      <c r="R1057">
        <f t="shared" ref="R1057" si="877">R1014*0.65</f>
        <v>0.13</v>
      </c>
      <c r="S1057">
        <f t="shared" si="762"/>
        <v>0.13</v>
      </c>
      <c r="T1057">
        <f t="shared" ref="T1057:Z1057" si="878">T1014*0.65</f>
        <v>0</v>
      </c>
      <c r="U1057">
        <f t="shared" si="878"/>
        <v>0.13</v>
      </c>
      <c r="V1057">
        <f t="shared" si="878"/>
        <v>0</v>
      </c>
      <c r="W1057">
        <f t="shared" si="878"/>
        <v>0</v>
      </c>
      <c r="X1057">
        <f t="shared" si="878"/>
        <v>0</v>
      </c>
      <c r="Y1057">
        <f t="shared" si="878"/>
        <v>0</v>
      </c>
      <c r="Z1057">
        <f t="shared" si="878"/>
        <v>0</v>
      </c>
      <c r="AA1057">
        <f t="shared" si="763"/>
        <v>0.13</v>
      </c>
      <c r="AB1057">
        <f t="shared" ref="AB1057:AG1057" si="879">AB1014*0.65</f>
        <v>0</v>
      </c>
      <c r="AC1057">
        <f t="shared" si="879"/>
        <v>0</v>
      </c>
      <c r="AD1057">
        <f t="shared" si="879"/>
        <v>0</v>
      </c>
      <c r="AE1057">
        <f t="shared" si="879"/>
        <v>0</v>
      </c>
      <c r="AF1057">
        <f t="shared" si="879"/>
        <v>0</v>
      </c>
      <c r="AG1057">
        <f t="shared" si="879"/>
        <v>0</v>
      </c>
      <c r="AH1057" s="5">
        <v>15.265104808877927</v>
      </c>
      <c r="AI1057" t="s">
        <v>13</v>
      </c>
      <c r="AJ1057" s="5">
        <f t="shared" si="764"/>
        <v>15.265104808877927</v>
      </c>
      <c r="AK1057" t="s">
        <v>13</v>
      </c>
      <c r="AL1057">
        <f t="shared" si="778"/>
        <v>0.64064895191122062</v>
      </c>
      <c r="AM1057">
        <f t="shared" si="804"/>
        <v>0.35935104808877932</v>
      </c>
      <c r="AN1057">
        <v>2598</v>
      </c>
      <c r="AO1057" t="s">
        <v>13</v>
      </c>
      <c r="AP1057" s="3">
        <v>4055</v>
      </c>
      <c r="AQ1057" t="s">
        <v>13</v>
      </c>
      <c r="AR1057">
        <f t="shared" si="753"/>
        <v>0.42479644598411226</v>
      </c>
      <c r="AS1057">
        <f t="shared" si="768"/>
        <v>0.20669999999999999</v>
      </c>
      <c r="AT1057">
        <f t="shared" si="769"/>
        <v>838</v>
      </c>
      <c r="AU1057">
        <f t="shared" si="770"/>
        <v>619</v>
      </c>
      <c r="AV1057">
        <f t="shared" si="755"/>
        <v>424</v>
      </c>
      <c r="AW1057">
        <f t="shared" si="756"/>
        <v>699</v>
      </c>
      <c r="AX1057" s="3">
        <f t="shared" si="757"/>
        <v>2932</v>
      </c>
      <c r="AY1057">
        <f t="shared" si="758"/>
        <v>419</v>
      </c>
      <c r="AZ1057">
        <f t="shared" si="759"/>
        <v>700</v>
      </c>
      <c r="BA1057" s="3">
        <f t="shared" si="760"/>
        <v>2936</v>
      </c>
    </row>
    <row r="1058" spans="1:53" x14ac:dyDescent="0.2">
      <c r="A1058">
        <v>2003</v>
      </c>
      <c r="B1058" t="s">
        <v>91</v>
      </c>
      <c r="C1058" t="s">
        <v>85</v>
      </c>
      <c r="D1058">
        <f t="shared" si="771"/>
        <v>9.3600000000000012</v>
      </c>
      <c r="E1058">
        <f t="shared" si="771"/>
        <v>0</v>
      </c>
      <c r="F1058">
        <f t="shared" ref="F1058:J1058" si="880">F1015*0.65</f>
        <v>1.7550000000000001</v>
      </c>
      <c r="G1058">
        <f t="shared" si="880"/>
        <v>4.875</v>
      </c>
      <c r="H1058">
        <f t="shared" si="880"/>
        <v>2.4699999999999998</v>
      </c>
      <c r="I1058">
        <f t="shared" si="880"/>
        <v>0</v>
      </c>
      <c r="J1058">
        <f t="shared" si="880"/>
        <v>0.13</v>
      </c>
      <c r="K1058">
        <f t="shared" si="754"/>
        <v>18.59</v>
      </c>
      <c r="L1058">
        <f t="shared" ref="L1058:N1058" si="881">L1015*0.65</f>
        <v>0</v>
      </c>
      <c r="M1058">
        <f t="shared" si="881"/>
        <v>0</v>
      </c>
      <c r="N1058">
        <f t="shared" si="881"/>
        <v>0</v>
      </c>
      <c r="O1058">
        <f t="shared" si="761"/>
        <v>0</v>
      </c>
      <c r="P1058">
        <f t="shared" si="774"/>
        <v>0</v>
      </c>
      <c r="Q1058">
        <f t="shared" si="774"/>
        <v>0</v>
      </c>
      <c r="R1058">
        <f t="shared" ref="R1058" si="882">R1015*0.65</f>
        <v>0</v>
      </c>
      <c r="S1058">
        <f t="shared" si="762"/>
        <v>0</v>
      </c>
      <c r="T1058">
        <f t="shared" ref="T1058:Z1058" si="883">T1015*0.65</f>
        <v>0</v>
      </c>
      <c r="U1058">
        <f t="shared" si="883"/>
        <v>0.32500000000000001</v>
      </c>
      <c r="V1058">
        <f t="shared" si="883"/>
        <v>0</v>
      </c>
      <c r="W1058">
        <f t="shared" si="883"/>
        <v>0</v>
      </c>
      <c r="X1058">
        <f t="shared" si="883"/>
        <v>0</v>
      </c>
      <c r="Y1058">
        <f t="shared" si="883"/>
        <v>0</v>
      </c>
      <c r="Z1058">
        <f t="shared" si="883"/>
        <v>0</v>
      </c>
      <c r="AA1058">
        <f t="shared" si="763"/>
        <v>0.32500000000000001</v>
      </c>
      <c r="AB1058">
        <f t="shared" ref="AB1058:AG1058" si="884">AB1015*0.65</f>
        <v>0</v>
      </c>
      <c r="AC1058">
        <f t="shared" si="884"/>
        <v>0</v>
      </c>
      <c r="AD1058">
        <f t="shared" si="884"/>
        <v>0</v>
      </c>
      <c r="AE1058">
        <f t="shared" si="884"/>
        <v>0</v>
      </c>
      <c r="AF1058">
        <f t="shared" si="884"/>
        <v>0</v>
      </c>
      <c r="AG1058">
        <f t="shared" si="884"/>
        <v>0</v>
      </c>
      <c r="AH1058" s="5">
        <v>7.6715497301464914</v>
      </c>
      <c r="AI1058" t="s">
        <v>13</v>
      </c>
      <c r="AJ1058" s="5">
        <f t="shared" si="764"/>
        <v>7.6715497301464914</v>
      </c>
      <c r="AK1058" t="s">
        <v>13</v>
      </c>
      <c r="AL1058">
        <f t="shared" si="778"/>
        <v>0.73413450269853509</v>
      </c>
      <c r="AM1058">
        <f t="shared" si="804"/>
        <v>0.26586549730146491</v>
      </c>
      <c r="AN1058">
        <v>1904</v>
      </c>
      <c r="AO1058" t="s">
        <v>13</v>
      </c>
      <c r="AP1058" s="3">
        <v>2594</v>
      </c>
      <c r="AQ1058" t="s">
        <v>13</v>
      </c>
      <c r="AR1058">
        <f t="shared" si="753"/>
        <v>0.28855003029775317</v>
      </c>
      <c r="AS1058">
        <f t="shared" si="768"/>
        <v>0.18914999999999998</v>
      </c>
      <c r="AT1058">
        <f t="shared" si="769"/>
        <v>491</v>
      </c>
      <c r="AU1058">
        <f t="shared" si="770"/>
        <v>199</v>
      </c>
      <c r="AV1058">
        <f t="shared" si="755"/>
        <v>250</v>
      </c>
      <c r="AW1058">
        <f t="shared" si="756"/>
        <v>222</v>
      </c>
      <c r="AX1058" s="3">
        <f t="shared" si="757"/>
        <v>2122</v>
      </c>
      <c r="AY1058">
        <f t="shared" si="758"/>
        <v>245</v>
      </c>
      <c r="AZ1058">
        <f t="shared" si="759"/>
        <v>222</v>
      </c>
      <c r="BA1058" s="3">
        <f t="shared" si="760"/>
        <v>2127</v>
      </c>
    </row>
    <row r="1059" spans="1:53" x14ac:dyDescent="0.2">
      <c r="A1059">
        <v>2004</v>
      </c>
      <c r="B1059" t="s">
        <v>91</v>
      </c>
      <c r="C1059" t="s">
        <v>85</v>
      </c>
      <c r="D1059">
        <f t="shared" si="771"/>
        <v>8.9049999999999994</v>
      </c>
      <c r="E1059">
        <f t="shared" si="771"/>
        <v>0.45499999999999996</v>
      </c>
      <c r="F1059">
        <f t="shared" ref="F1059:J1059" si="885">F1016*0.65</f>
        <v>1.625</v>
      </c>
      <c r="G1059">
        <f t="shared" si="885"/>
        <v>3.9649999999999999</v>
      </c>
      <c r="H1059">
        <f t="shared" si="885"/>
        <v>4.42</v>
      </c>
      <c r="I1059">
        <f t="shared" si="885"/>
        <v>1.3</v>
      </c>
      <c r="J1059">
        <f t="shared" si="885"/>
        <v>0</v>
      </c>
      <c r="K1059">
        <f t="shared" si="754"/>
        <v>20.669999999999998</v>
      </c>
      <c r="L1059">
        <f t="shared" ref="L1059:N1059" si="886">L1016*0.65</f>
        <v>0</v>
      </c>
      <c r="M1059">
        <f t="shared" si="886"/>
        <v>0</v>
      </c>
      <c r="N1059">
        <f t="shared" si="886"/>
        <v>0</v>
      </c>
      <c r="O1059">
        <f t="shared" si="761"/>
        <v>0</v>
      </c>
      <c r="P1059">
        <f t="shared" si="774"/>
        <v>0</v>
      </c>
      <c r="Q1059">
        <f t="shared" si="774"/>
        <v>0</v>
      </c>
      <c r="R1059">
        <f t="shared" ref="R1059" si="887">R1016*0.65</f>
        <v>0</v>
      </c>
      <c r="S1059">
        <f t="shared" si="762"/>
        <v>0</v>
      </c>
      <c r="T1059">
        <f t="shared" ref="T1059:Z1059" si="888">T1016*0.65</f>
        <v>0.13</v>
      </c>
      <c r="U1059">
        <f t="shared" si="888"/>
        <v>0.13</v>
      </c>
      <c r="V1059">
        <f t="shared" si="888"/>
        <v>0</v>
      </c>
      <c r="W1059">
        <f t="shared" si="888"/>
        <v>0</v>
      </c>
      <c r="X1059">
        <f t="shared" si="888"/>
        <v>0</v>
      </c>
      <c r="Y1059">
        <f t="shared" si="888"/>
        <v>0</v>
      </c>
      <c r="Z1059">
        <f t="shared" si="888"/>
        <v>0</v>
      </c>
      <c r="AA1059">
        <f t="shared" si="763"/>
        <v>0.26</v>
      </c>
      <c r="AB1059">
        <f t="shared" ref="AB1059:AG1059" si="889">AB1016*0.65</f>
        <v>0</v>
      </c>
      <c r="AC1059">
        <f t="shared" si="889"/>
        <v>0</v>
      </c>
      <c r="AD1059">
        <f t="shared" si="889"/>
        <v>0</v>
      </c>
      <c r="AE1059">
        <f t="shared" si="889"/>
        <v>0</v>
      </c>
      <c r="AF1059">
        <f t="shared" si="889"/>
        <v>0</v>
      </c>
      <c r="AG1059">
        <f t="shared" si="889"/>
        <v>0</v>
      </c>
      <c r="AH1059" s="5">
        <v>4.3910399050585971</v>
      </c>
      <c r="AI1059" t="s">
        <v>13</v>
      </c>
      <c r="AJ1059" s="5">
        <f t="shared" si="764"/>
        <v>4.3910399050585971</v>
      </c>
      <c r="AK1059" t="s">
        <v>13</v>
      </c>
      <c r="AL1059">
        <f t="shared" si="778"/>
        <v>0.74678960094941393</v>
      </c>
      <c r="AM1059">
        <f t="shared" si="804"/>
        <v>0.25321039905058601</v>
      </c>
      <c r="AN1059">
        <v>5034</v>
      </c>
      <c r="AO1059" t="s">
        <v>13</v>
      </c>
      <c r="AP1059" s="3">
        <v>6741</v>
      </c>
      <c r="AQ1059" t="s">
        <v>13</v>
      </c>
      <c r="AR1059">
        <f t="shared" si="753"/>
        <v>0.17341467497080801</v>
      </c>
      <c r="AS1059">
        <f t="shared" si="768"/>
        <v>0.20929999999999999</v>
      </c>
      <c r="AT1059">
        <f t="shared" si="769"/>
        <v>1411</v>
      </c>
      <c r="AU1059">
        <f t="shared" si="770"/>
        <v>296</v>
      </c>
      <c r="AV1059">
        <f t="shared" si="755"/>
        <v>714</v>
      </c>
      <c r="AW1059">
        <f t="shared" si="756"/>
        <v>335</v>
      </c>
      <c r="AX1059" s="3">
        <f t="shared" si="757"/>
        <v>5692</v>
      </c>
      <c r="AY1059">
        <f t="shared" si="758"/>
        <v>705</v>
      </c>
      <c r="AZ1059">
        <f t="shared" si="759"/>
        <v>335</v>
      </c>
      <c r="BA1059" s="3">
        <f t="shared" si="760"/>
        <v>5701</v>
      </c>
    </row>
    <row r="1060" spans="1:53" x14ac:dyDescent="0.2">
      <c r="A1060">
        <v>2005</v>
      </c>
      <c r="B1060" t="s">
        <v>91</v>
      </c>
      <c r="C1060" t="s">
        <v>85</v>
      </c>
      <c r="D1060">
        <f t="shared" si="771"/>
        <v>9.4250000000000007</v>
      </c>
      <c r="E1060">
        <f t="shared" si="771"/>
        <v>0</v>
      </c>
      <c r="F1060">
        <f t="shared" ref="F1060:J1060" si="890">F1017*0.65</f>
        <v>1.7550000000000001</v>
      </c>
      <c r="G1060">
        <f t="shared" si="890"/>
        <v>3.77</v>
      </c>
      <c r="H1060">
        <f t="shared" si="890"/>
        <v>1.3</v>
      </c>
      <c r="I1060">
        <f t="shared" si="890"/>
        <v>1.8199999999999998</v>
      </c>
      <c r="J1060">
        <f t="shared" si="890"/>
        <v>0</v>
      </c>
      <c r="K1060">
        <f t="shared" si="754"/>
        <v>18.07</v>
      </c>
      <c r="L1060">
        <f t="shared" ref="L1060:N1060" si="891">L1017*0.65</f>
        <v>0</v>
      </c>
      <c r="M1060">
        <f t="shared" si="891"/>
        <v>0</v>
      </c>
      <c r="N1060">
        <f t="shared" si="891"/>
        <v>0</v>
      </c>
      <c r="O1060">
        <f t="shared" si="761"/>
        <v>0</v>
      </c>
      <c r="P1060">
        <f t="shared" si="774"/>
        <v>0</v>
      </c>
      <c r="Q1060">
        <f t="shared" si="774"/>
        <v>0</v>
      </c>
      <c r="R1060">
        <f t="shared" ref="R1060" si="892">R1017*0.65</f>
        <v>0.19500000000000001</v>
      </c>
      <c r="S1060">
        <f t="shared" si="762"/>
        <v>0.19500000000000001</v>
      </c>
      <c r="T1060">
        <f t="shared" ref="T1060:Z1060" si="893">T1017*0.65</f>
        <v>0</v>
      </c>
      <c r="U1060">
        <f t="shared" si="893"/>
        <v>0.19500000000000001</v>
      </c>
      <c r="V1060">
        <f t="shared" si="893"/>
        <v>0</v>
      </c>
      <c r="W1060">
        <f t="shared" si="893"/>
        <v>0</v>
      </c>
      <c r="X1060">
        <f t="shared" si="893"/>
        <v>0</v>
      </c>
      <c r="Y1060">
        <f t="shared" si="893"/>
        <v>0</v>
      </c>
      <c r="Z1060">
        <f t="shared" si="893"/>
        <v>0</v>
      </c>
      <c r="AA1060">
        <f t="shared" si="763"/>
        <v>0.19500000000000001</v>
      </c>
      <c r="AB1060">
        <f t="shared" ref="AB1060:AG1060" si="894">AB1017*0.65</f>
        <v>0</v>
      </c>
      <c r="AC1060">
        <f t="shared" si="894"/>
        <v>0</v>
      </c>
      <c r="AD1060">
        <f t="shared" si="894"/>
        <v>0</v>
      </c>
      <c r="AE1060">
        <f t="shared" si="894"/>
        <v>0</v>
      </c>
      <c r="AF1060">
        <f t="shared" si="894"/>
        <v>0</v>
      </c>
      <c r="AG1060">
        <f t="shared" si="894"/>
        <v>0</v>
      </c>
      <c r="AH1060" s="5">
        <v>16.813621161447248</v>
      </c>
      <c r="AI1060" t="s">
        <v>13</v>
      </c>
      <c r="AJ1060" s="5">
        <f t="shared" si="764"/>
        <v>16.813621161447248</v>
      </c>
      <c r="AK1060" t="s">
        <v>13</v>
      </c>
      <c r="AL1060">
        <f t="shared" si="778"/>
        <v>0.64726378838552756</v>
      </c>
      <c r="AM1060">
        <f t="shared" si="804"/>
        <v>0.35273621161447244</v>
      </c>
      <c r="AN1060">
        <v>2129</v>
      </c>
      <c r="AO1060" t="s">
        <v>13</v>
      </c>
      <c r="AP1060" s="3">
        <v>3289</v>
      </c>
      <c r="AQ1060" t="s">
        <v>13</v>
      </c>
      <c r="AR1060">
        <f t="shared" ref="AR1060:AR1123" si="895">(AJ1060/100)/AM1060</f>
        <v>0.47666274705654293</v>
      </c>
      <c r="AS1060">
        <f t="shared" si="768"/>
        <v>0.18460000000000001</v>
      </c>
      <c r="AT1060">
        <f t="shared" si="769"/>
        <v>607</v>
      </c>
      <c r="AU1060">
        <f t="shared" si="770"/>
        <v>553</v>
      </c>
      <c r="AV1060">
        <f t="shared" si="755"/>
        <v>310</v>
      </c>
      <c r="AW1060">
        <f t="shared" si="756"/>
        <v>614</v>
      </c>
      <c r="AX1060" s="3">
        <f t="shared" si="757"/>
        <v>2365</v>
      </c>
      <c r="AY1060">
        <f t="shared" si="758"/>
        <v>304</v>
      </c>
      <c r="AZ1060">
        <f t="shared" si="759"/>
        <v>615</v>
      </c>
      <c r="BA1060" s="3">
        <f t="shared" si="760"/>
        <v>2370</v>
      </c>
    </row>
    <row r="1061" spans="1:53" x14ac:dyDescent="0.2">
      <c r="A1061">
        <v>2006</v>
      </c>
      <c r="B1061" t="s">
        <v>91</v>
      </c>
      <c r="C1061" t="s">
        <v>85</v>
      </c>
      <c r="D1061">
        <f t="shared" si="771"/>
        <v>12.415000000000001</v>
      </c>
      <c r="E1061">
        <f t="shared" si="771"/>
        <v>0.13</v>
      </c>
      <c r="F1061">
        <f t="shared" ref="F1061:J1061" si="896">F1018*0.65</f>
        <v>2.145</v>
      </c>
      <c r="G1061">
        <f t="shared" si="896"/>
        <v>7.0200000000000005</v>
      </c>
      <c r="H1061">
        <f t="shared" si="896"/>
        <v>1.4949999999999999</v>
      </c>
      <c r="I1061">
        <f t="shared" si="896"/>
        <v>1.9500000000000002</v>
      </c>
      <c r="J1061">
        <f t="shared" si="896"/>
        <v>0.32500000000000001</v>
      </c>
      <c r="K1061">
        <f t="shared" si="754"/>
        <v>25.48</v>
      </c>
      <c r="L1061">
        <f t="shared" ref="L1061:N1061" si="897">L1018*0.65</f>
        <v>0</v>
      </c>
      <c r="M1061">
        <f t="shared" si="897"/>
        <v>0</v>
      </c>
      <c r="N1061">
        <f t="shared" si="897"/>
        <v>0</v>
      </c>
      <c r="O1061">
        <f t="shared" si="761"/>
        <v>0</v>
      </c>
      <c r="P1061">
        <f t="shared" si="774"/>
        <v>0</v>
      </c>
      <c r="Q1061">
        <f t="shared" si="774"/>
        <v>0</v>
      </c>
      <c r="R1061">
        <f t="shared" ref="R1061" si="898">R1018*0.65</f>
        <v>0</v>
      </c>
      <c r="S1061">
        <f t="shared" si="762"/>
        <v>0</v>
      </c>
      <c r="T1061">
        <f t="shared" ref="T1061:Z1061" si="899">T1018*0.65</f>
        <v>0.26</v>
      </c>
      <c r="U1061">
        <f t="shared" si="899"/>
        <v>0</v>
      </c>
      <c r="V1061">
        <f t="shared" si="899"/>
        <v>0</v>
      </c>
      <c r="W1061">
        <f t="shared" si="899"/>
        <v>0</v>
      </c>
      <c r="X1061">
        <f t="shared" si="899"/>
        <v>0</v>
      </c>
      <c r="Y1061">
        <f t="shared" si="899"/>
        <v>0</v>
      </c>
      <c r="Z1061">
        <f t="shared" si="899"/>
        <v>0</v>
      </c>
      <c r="AA1061">
        <f t="shared" si="763"/>
        <v>0.26</v>
      </c>
      <c r="AB1061">
        <f t="shared" ref="AB1061:AG1061" si="900">AB1018*0.65</f>
        <v>0</v>
      </c>
      <c r="AC1061">
        <f t="shared" si="900"/>
        <v>0</v>
      </c>
      <c r="AD1061">
        <f t="shared" si="900"/>
        <v>0</v>
      </c>
      <c r="AE1061">
        <f t="shared" si="900"/>
        <v>0</v>
      </c>
      <c r="AF1061">
        <f t="shared" si="900"/>
        <v>0</v>
      </c>
      <c r="AG1061">
        <f t="shared" si="900"/>
        <v>0</v>
      </c>
      <c r="AH1061" s="5">
        <v>9.9092088197146566</v>
      </c>
      <c r="AI1061" t="s">
        <v>13</v>
      </c>
      <c r="AJ1061" s="5">
        <f t="shared" si="764"/>
        <v>9.9092088197146566</v>
      </c>
      <c r="AK1061" t="s">
        <v>13</v>
      </c>
      <c r="AL1061">
        <f t="shared" si="778"/>
        <v>0.64350791180285349</v>
      </c>
      <c r="AM1061">
        <f t="shared" si="804"/>
        <v>0.35649208819714656</v>
      </c>
      <c r="AN1061">
        <v>2481</v>
      </c>
      <c r="AO1061" t="s">
        <v>13</v>
      </c>
      <c r="AP1061" s="3">
        <v>3855</v>
      </c>
      <c r="AQ1061" t="s">
        <v>13</v>
      </c>
      <c r="AR1061">
        <f t="shared" si="895"/>
        <v>0.2779643405223256</v>
      </c>
      <c r="AS1061">
        <f t="shared" si="768"/>
        <v>0.25740000000000002</v>
      </c>
      <c r="AT1061">
        <f t="shared" si="769"/>
        <v>992</v>
      </c>
      <c r="AU1061">
        <f t="shared" si="770"/>
        <v>382</v>
      </c>
      <c r="AV1061">
        <f t="shared" si="755"/>
        <v>501</v>
      </c>
      <c r="AW1061">
        <f t="shared" si="756"/>
        <v>448</v>
      </c>
      <c r="AX1061" s="3">
        <f t="shared" si="757"/>
        <v>2906</v>
      </c>
      <c r="AY1061">
        <f t="shared" si="758"/>
        <v>496</v>
      </c>
      <c r="AZ1061">
        <f t="shared" si="759"/>
        <v>448</v>
      </c>
      <c r="BA1061" s="3">
        <f t="shared" si="760"/>
        <v>2911</v>
      </c>
    </row>
    <row r="1062" spans="1:53" x14ac:dyDescent="0.2">
      <c r="A1062">
        <v>2007</v>
      </c>
      <c r="B1062" t="s">
        <v>91</v>
      </c>
      <c r="C1062" t="s">
        <v>85</v>
      </c>
      <c r="D1062">
        <f t="shared" si="771"/>
        <v>19.37</v>
      </c>
      <c r="E1062">
        <f t="shared" si="771"/>
        <v>0</v>
      </c>
      <c r="F1062">
        <f t="shared" ref="F1062:J1062" si="901">F1019*0.65</f>
        <v>4.55</v>
      </c>
      <c r="G1062">
        <f t="shared" si="901"/>
        <v>6.3049999999999997</v>
      </c>
      <c r="H1062">
        <f t="shared" si="901"/>
        <v>9.0350000000000001</v>
      </c>
      <c r="I1062">
        <f t="shared" si="901"/>
        <v>0</v>
      </c>
      <c r="J1062">
        <f t="shared" si="901"/>
        <v>0</v>
      </c>
      <c r="K1062">
        <f t="shared" si="754"/>
        <v>39.260000000000005</v>
      </c>
      <c r="L1062">
        <f t="shared" ref="L1062:N1062" si="902">L1019*0.65</f>
        <v>0</v>
      </c>
      <c r="M1062">
        <f t="shared" si="902"/>
        <v>0</v>
      </c>
      <c r="N1062">
        <f t="shared" si="902"/>
        <v>0</v>
      </c>
      <c r="O1062">
        <f t="shared" si="761"/>
        <v>0</v>
      </c>
      <c r="P1062">
        <f t="shared" si="774"/>
        <v>0</v>
      </c>
      <c r="Q1062">
        <f t="shared" si="774"/>
        <v>0</v>
      </c>
      <c r="R1062">
        <f t="shared" ref="R1062" si="903">R1019*0.65</f>
        <v>0</v>
      </c>
      <c r="S1062">
        <f t="shared" si="762"/>
        <v>0</v>
      </c>
      <c r="T1062">
        <f t="shared" ref="T1062:Z1062" si="904">T1019*0.65</f>
        <v>1.4949999999999999</v>
      </c>
      <c r="U1062">
        <f t="shared" si="904"/>
        <v>6.5000000000000002E-2</v>
      </c>
      <c r="V1062">
        <f t="shared" si="904"/>
        <v>0</v>
      </c>
      <c r="W1062">
        <f t="shared" si="904"/>
        <v>0</v>
      </c>
      <c r="X1062">
        <f t="shared" si="904"/>
        <v>0</v>
      </c>
      <c r="Y1062">
        <f t="shared" si="904"/>
        <v>0</v>
      </c>
      <c r="Z1062">
        <f t="shared" si="904"/>
        <v>0</v>
      </c>
      <c r="AA1062">
        <f t="shared" si="763"/>
        <v>1.5599999999999998</v>
      </c>
      <c r="AB1062">
        <f t="shared" ref="AB1062:AG1062" si="905">AB1019*0.65</f>
        <v>0</v>
      </c>
      <c r="AC1062">
        <f t="shared" si="905"/>
        <v>0</v>
      </c>
      <c r="AD1062">
        <f t="shared" si="905"/>
        <v>0</v>
      </c>
      <c r="AE1062">
        <f t="shared" si="905"/>
        <v>0</v>
      </c>
      <c r="AF1062">
        <f t="shared" si="905"/>
        <v>0</v>
      </c>
      <c r="AG1062">
        <f t="shared" si="905"/>
        <v>0</v>
      </c>
      <c r="AH1062" s="5">
        <v>17.076326002587322</v>
      </c>
      <c r="AI1062" t="s">
        <v>13</v>
      </c>
      <c r="AJ1062" s="5">
        <f t="shared" si="764"/>
        <v>17.076326002587322</v>
      </c>
      <c r="AK1062" t="s">
        <v>13</v>
      </c>
      <c r="AL1062">
        <f t="shared" si="778"/>
        <v>0.42103673997412672</v>
      </c>
      <c r="AM1062">
        <f t="shared" si="804"/>
        <v>0.57896326002587328</v>
      </c>
      <c r="AN1062">
        <v>651</v>
      </c>
      <c r="AO1062" t="s">
        <v>13</v>
      </c>
      <c r="AP1062" s="3">
        <v>1546</v>
      </c>
      <c r="AQ1062" t="s">
        <v>13</v>
      </c>
      <c r="AR1062">
        <f t="shared" si="895"/>
        <v>0.2949466258329449</v>
      </c>
      <c r="AS1062">
        <f t="shared" si="768"/>
        <v>0.40820000000000006</v>
      </c>
      <c r="AT1062">
        <f t="shared" si="769"/>
        <v>631</v>
      </c>
      <c r="AU1062">
        <f t="shared" si="770"/>
        <v>264</v>
      </c>
      <c r="AV1062">
        <f t="shared" si="755"/>
        <v>328</v>
      </c>
      <c r="AW1062">
        <f t="shared" si="756"/>
        <v>351</v>
      </c>
      <c r="AX1062" s="3">
        <f t="shared" si="757"/>
        <v>867</v>
      </c>
      <c r="AY1062">
        <f t="shared" si="758"/>
        <v>316</v>
      </c>
      <c r="AZ1062">
        <f t="shared" si="759"/>
        <v>355</v>
      </c>
      <c r="BA1062" s="3">
        <f t="shared" si="760"/>
        <v>875</v>
      </c>
    </row>
    <row r="1063" spans="1:53" x14ac:dyDescent="0.2">
      <c r="A1063">
        <v>2008</v>
      </c>
      <c r="B1063" t="s">
        <v>91</v>
      </c>
      <c r="C1063" t="s">
        <v>85</v>
      </c>
      <c r="D1063">
        <f t="shared" si="771"/>
        <v>11.115000000000002</v>
      </c>
      <c r="E1063">
        <f t="shared" si="771"/>
        <v>0</v>
      </c>
      <c r="F1063">
        <f t="shared" ref="F1063:J1063" si="906">F1020*0.65</f>
        <v>1.6900000000000002</v>
      </c>
      <c r="G1063">
        <f t="shared" si="906"/>
        <v>5.2</v>
      </c>
      <c r="H1063">
        <f t="shared" si="906"/>
        <v>3.3149999999999999</v>
      </c>
      <c r="I1063">
        <f t="shared" si="906"/>
        <v>0.52</v>
      </c>
      <c r="J1063">
        <f t="shared" si="906"/>
        <v>0.71500000000000008</v>
      </c>
      <c r="K1063">
        <f t="shared" si="754"/>
        <v>22.555000000000003</v>
      </c>
      <c r="L1063">
        <f t="shared" ref="L1063:N1063" si="907">L1020*0.65</f>
        <v>0</v>
      </c>
      <c r="M1063">
        <f t="shared" si="907"/>
        <v>0</v>
      </c>
      <c r="N1063">
        <f t="shared" si="907"/>
        <v>0</v>
      </c>
      <c r="O1063">
        <f t="shared" si="761"/>
        <v>0</v>
      </c>
      <c r="P1063">
        <f t="shared" si="774"/>
        <v>0</v>
      </c>
      <c r="Q1063">
        <f t="shared" si="774"/>
        <v>0</v>
      </c>
      <c r="R1063">
        <f t="shared" ref="R1063" si="908">R1020*0.65</f>
        <v>0</v>
      </c>
      <c r="S1063">
        <f t="shared" si="762"/>
        <v>0</v>
      </c>
      <c r="T1063">
        <f t="shared" ref="T1063:Z1063" si="909">T1020*0.65</f>
        <v>0</v>
      </c>
      <c r="U1063">
        <f t="shared" si="909"/>
        <v>0</v>
      </c>
      <c r="V1063">
        <f t="shared" si="909"/>
        <v>0</v>
      </c>
      <c r="W1063">
        <f t="shared" si="909"/>
        <v>0</v>
      </c>
      <c r="X1063">
        <f t="shared" si="909"/>
        <v>0</v>
      </c>
      <c r="Y1063">
        <f t="shared" si="909"/>
        <v>0</v>
      </c>
      <c r="Z1063">
        <f t="shared" si="909"/>
        <v>0</v>
      </c>
      <c r="AA1063">
        <f t="shared" si="763"/>
        <v>0</v>
      </c>
      <c r="AB1063">
        <f t="shared" ref="AB1063:AG1063" si="910">AB1020*0.65</f>
        <v>0</v>
      </c>
      <c r="AC1063">
        <f t="shared" si="910"/>
        <v>0</v>
      </c>
      <c r="AD1063">
        <f t="shared" si="910"/>
        <v>0</v>
      </c>
      <c r="AE1063">
        <f t="shared" si="910"/>
        <v>0</v>
      </c>
      <c r="AF1063">
        <f t="shared" si="910"/>
        <v>0</v>
      </c>
      <c r="AG1063">
        <f t="shared" si="910"/>
        <v>0</v>
      </c>
      <c r="AH1063" s="5">
        <v>0.15540015540015539</v>
      </c>
      <c r="AI1063" t="s">
        <v>13</v>
      </c>
      <c r="AJ1063" s="5">
        <f t="shared" si="764"/>
        <v>0.15540015540015539</v>
      </c>
      <c r="AK1063" t="s">
        <v>13</v>
      </c>
      <c r="AL1063">
        <f t="shared" si="778"/>
        <v>0.77289599844599843</v>
      </c>
      <c r="AM1063">
        <f t="shared" si="804"/>
        <v>0.22710400155400159</v>
      </c>
      <c r="AN1063">
        <v>995</v>
      </c>
      <c r="AO1063" t="s">
        <v>13</v>
      </c>
      <c r="AP1063" s="3">
        <v>1287</v>
      </c>
      <c r="AQ1063" t="s">
        <v>13</v>
      </c>
      <c r="AR1063">
        <f t="shared" si="895"/>
        <v>6.8426868015006685E-3</v>
      </c>
      <c r="AS1063">
        <f t="shared" si="768"/>
        <v>0.22555000000000003</v>
      </c>
      <c r="AT1063">
        <f t="shared" si="769"/>
        <v>290</v>
      </c>
      <c r="AU1063">
        <f t="shared" si="770"/>
        <v>2</v>
      </c>
      <c r="AV1063">
        <f t="shared" si="755"/>
        <v>145</v>
      </c>
      <c r="AW1063">
        <f t="shared" si="756"/>
        <v>2</v>
      </c>
      <c r="AX1063" s="3">
        <f t="shared" si="757"/>
        <v>1140</v>
      </c>
      <c r="AY1063">
        <f t="shared" si="758"/>
        <v>145</v>
      </c>
      <c r="AZ1063">
        <f t="shared" si="759"/>
        <v>2</v>
      </c>
      <c r="BA1063" s="3">
        <f t="shared" si="760"/>
        <v>1140</v>
      </c>
    </row>
    <row r="1064" spans="1:53" x14ac:dyDescent="0.2">
      <c r="A1064">
        <v>2009</v>
      </c>
      <c r="B1064" t="s">
        <v>91</v>
      </c>
      <c r="C1064" t="s">
        <v>85</v>
      </c>
      <c r="D1064">
        <f t="shared" si="771"/>
        <v>17.484999999999999</v>
      </c>
      <c r="E1064">
        <f t="shared" si="771"/>
        <v>0.97500000000000009</v>
      </c>
      <c r="F1064">
        <f t="shared" ref="F1064:J1064" si="911">F1021*0.65</f>
        <v>3.9000000000000004</v>
      </c>
      <c r="G1064">
        <f t="shared" si="911"/>
        <v>6.24</v>
      </c>
      <c r="H1064">
        <f t="shared" si="911"/>
        <v>2.5350000000000001</v>
      </c>
      <c r="I1064">
        <f t="shared" si="911"/>
        <v>6.5000000000000002E-2</v>
      </c>
      <c r="J1064">
        <f t="shared" si="911"/>
        <v>0.78</v>
      </c>
      <c r="K1064">
        <f t="shared" si="754"/>
        <v>31.980000000000004</v>
      </c>
      <c r="L1064">
        <f t="shared" ref="L1064:N1064" si="912">L1021*0.65</f>
        <v>0</v>
      </c>
      <c r="M1064">
        <f t="shared" si="912"/>
        <v>0</v>
      </c>
      <c r="N1064">
        <f t="shared" si="912"/>
        <v>0</v>
      </c>
      <c r="O1064">
        <f t="shared" si="761"/>
        <v>0</v>
      </c>
      <c r="P1064">
        <f t="shared" si="774"/>
        <v>0</v>
      </c>
      <c r="Q1064">
        <f t="shared" si="774"/>
        <v>0</v>
      </c>
      <c r="R1064">
        <f t="shared" ref="R1064" si="913">R1021*0.65</f>
        <v>0</v>
      </c>
      <c r="S1064">
        <f t="shared" si="762"/>
        <v>0</v>
      </c>
      <c r="T1064">
        <f t="shared" ref="T1064:Z1064" si="914">T1021*0.65</f>
        <v>0</v>
      </c>
      <c r="U1064">
        <f t="shared" si="914"/>
        <v>0</v>
      </c>
      <c r="V1064">
        <f t="shared" si="914"/>
        <v>0</v>
      </c>
      <c r="W1064">
        <f t="shared" si="914"/>
        <v>0</v>
      </c>
      <c r="X1064">
        <f t="shared" si="914"/>
        <v>0</v>
      </c>
      <c r="Y1064">
        <f t="shared" si="914"/>
        <v>0</v>
      </c>
      <c r="Z1064">
        <f t="shared" si="914"/>
        <v>0</v>
      </c>
      <c r="AA1064">
        <f t="shared" si="763"/>
        <v>0</v>
      </c>
      <c r="AB1064">
        <f t="shared" ref="AB1064:AG1064" si="915">AB1021*0.65</f>
        <v>0</v>
      </c>
      <c r="AC1064">
        <f t="shared" si="915"/>
        <v>0</v>
      </c>
      <c r="AD1064">
        <f t="shared" si="915"/>
        <v>0</v>
      </c>
      <c r="AE1064">
        <f t="shared" si="915"/>
        <v>0</v>
      </c>
      <c r="AF1064">
        <f t="shared" si="915"/>
        <v>0</v>
      </c>
      <c r="AG1064">
        <f t="shared" si="915"/>
        <v>0</v>
      </c>
      <c r="AH1064" s="5">
        <v>1.0644589000591367</v>
      </c>
      <c r="AI1064" t="s">
        <v>13</v>
      </c>
      <c r="AJ1064" s="5">
        <f t="shared" si="764"/>
        <v>1.0644589000591367</v>
      </c>
      <c r="AK1064" t="s">
        <v>13</v>
      </c>
      <c r="AL1064">
        <f t="shared" si="778"/>
        <v>0.66955541099940863</v>
      </c>
      <c r="AM1064">
        <f t="shared" si="804"/>
        <v>0.33044458900059143</v>
      </c>
      <c r="AN1064">
        <v>1132</v>
      </c>
      <c r="AO1064" t="s">
        <v>13</v>
      </c>
      <c r="AP1064" s="3">
        <v>1691</v>
      </c>
      <c r="AQ1064" t="s">
        <v>13</v>
      </c>
      <c r="AR1064">
        <f t="shared" si="895"/>
        <v>3.2212931774084262E-2</v>
      </c>
      <c r="AS1064">
        <f t="shared" si="768"/>
        <v>0.31980000000000003</v>
      </c>
      <c r="AT1064">
        <f t="shared" si="769"/>
        <v>541</v>
      </c>
      <c r="AU1064">
        <f t="shared" si="770"/>
        <v>18</v>
      </c>
      <c r="AV1064">
        <f t="shared" si="755"/>
        <v>270</v>
      </c>
      <c r="AW1064">
        <f t="shared" si="756"/>
        <v>22</v>
      </c>
      <c r="AX1064" s="3">
        <f t="shared" si="757"/>
        <v>1399</v>
      </c>
      <c r="AY1064">
        <f t="shared" si="758"/>
        <v>270</v>
      </c>
      <c r="AZ1064">
        <f t="shared" si="759"/>
        <v>22</v>
      </c>
      <c r="BA1064" s="3">
        <f t="shared" si="760"/>
        <v>1399</v>
      </c>
    </row>
    <row r="1065" spans="1:53" x14ac:dyDescent="0.2">
      <c r="A1065">
        <v>2010</v>
      </c>
      <c r="B1065" t="s">
        <v>91</v>
      </c>
      <c r="C1065" t="s">
        <v>85</v>
      </c>
      <c r="D1065">
        <f t="shared" si="771"/>
        <v>13.584999999999999</v>
      </c>
      <c r="E1065">
        <f t="shared" si="771"/>
        <v>0</v>
      </c>
      <c r="F1065">
        <f t="shared" ref="F1065:J1065" si="916">F1022*0.65</f>
        <v>3.3800000000000003</v>
      </c>
      <c r="G1065">
        <f t="shared" si="916"/>
        <v>2.9250000000000003</v>
      </c>
      <c r="H1065">
        <f t="shared" si="916"/>
        <v>3.0550000000000002</v>
      </c>
      <c r="I1065">
        <f t="shared" si="916"/>
        <v>0</v>
      </c>
      <c r="J1065">
        <f t="shared" si="916"/>
        <v>0.32500000000000001</v>
      </c>
      <c r="K1065">
        <f t="shared" si="754"/>
        <v>23.27</v>
      </c>
      <c r="L1065">
        <f t="shared" ref="L1065:N1065" si="917">L1022*0.65</f>
        <v>0</v>
      </c>
      <c r="M1065">
        <f t="shared" si="917"/>
        <v>0</v>
      </c>
      <c r="N1065">
        <f t="shared" si="917"/>
        <v>0</v>
      </c>
      <c r="O1065">
        <f t="shared" si="761"/>
        <v>0</v>
      </c>
      <c r="P1065">
        <f t="shared" si="774"/>
        <v>0</v>
      </c>
      <c r="Q1065">
        <f t="shared" si="774"/>
        <v>0</v>
      </c>
      <c r="R1065">
        <f t="shared" ref="R1065" si="918">R1022*0.65</f>
        <v>6.5000000000000002E-2</v>
      </c>
      <c r="S1065">
        <f t="shared" si="762"/>
        <v>6.5000000000000002E-2</v>
      </c>
      <c r="T1065">
        <f t="shared" ref="T1065:Z1065" si="919">T1022*0.65</f>
        <v>0.13</v>
      </c>
      <c r="U1065">
        <f t="shared" si="919"/>
        <v>0.19500000000000001</v>
      </c>
      <c r="V1065">
        <f t="shared" si="919"/>
        <v>0</v>
      </c>
      <c r="W1065">
        <f t="shared" si="919"/>
        <v>0</v>
      </c>
      <c r="X1065">
        <f t="shared" si="919"/>
        <v>0</v>
      </c>
      <c r="Y1065">
        <f t="shared" si="919"/>
        <v>0</v>
      </c>
      <c r="Z1065">
        <f t="shared" si="919"/>
        <v>0</v>
      </c>
      <c r="AA1065">
        <f t="shared" si="763"/>
        <v>0.32500000000000001</v>
      </c>
      <c r="AB1065">
        <f t="shared" ref="AB1065:AG1065" si="920">AB1022*0.65</f>
        <v>0</v>
      </c>
      <c r="AC1065">
        <f t="shared" si="920"/>
        <v>0</v>
      </c>
      <c r="AD1065">
        <f t="shared" si="920"/>
        <v>0</v>
      </c>
      <c r="AE1065">
        <f t="shared" si="920"/>
        <v>0</v>
      </c>
      <c r="AF1065">
        <f t="shared" si="920"/>
        <v>0</v>
      </c>
      <c r="AG1065">
        <f t="shared" si="920"/>
        <v>0</v>
      </c>
      <c r="AH1065" s="5">
        <v>0</v>
      </c>
      <c r="AI1065" t="s">
        <v>13</v>
      </c>
      <c r="AJ1065" s="5">
        <f t="shared" si="764"/>
        <v>0</v>
      </c>
      <c r="AK1065" t="s">
        <v>13</v>
      </c>
      <c r="AL1065">
        <f t="shared" si="778"/>
        <v>0.76339999999999997</v>
      </c>
      <c r="AM1065">
        <f t="shared" si="804"/>
        <v>0.2366</v>
      </c>
      <c r="AN1065">
        <v>3495</v>
      </c>
      <c r="AO1065" t="s">
        <v>13</v>
      </c>
      <c r="AP1065" s="3">
        <v>4578</v>
      </c>
      <c r="AQ1065" t="s">
        <v>13</v>
      </c>
      <c r="AR1065">
        <f t="shared" si="895"/>
        <v>0</v>
      </c>
      <c r="AS1065">
        <f t="shared" si="768"/>
        <v>0.2366</v>
      </c>
      <c r="AT1065">
        <f t="shared" si="769"/>
        <v>1083</v>
      </c>
      <c r="AU1065">
        <f t="shared" si="770"/>
        <v>0</v>
      </c>
      <c r="AV1065">
        <f t="shared" si="755"/>
        <v>551</v>
      </c>
      <c r="AW1065">
        <f t="shared" si="756"/>
        <v>0</v>
      </c>
      <c r="AX1065" s="3">
        <f t="shared" si="757"/>
        <v>4027</v>
      </c>
      <c r="AY1065">
        <f t="shared" si="758"/>
        <v>542</v>
      </c>
      <c r="AZ1065">
        <f t="shared" si="759"/>
        <v>0</v>
      </c>
      <c r="BA1065" s="3">
        <f t="shared" si="760"/>
        <v>4036</v>
      </c>
    </row>
    <row r="1066" spans="1:53" x14ac:dyDescent="0.2">
      <c r="A1066">
        <v>2011</v>
      </c>
      <c r="B1066" t="s">
        <v>91</v>
      </c>
      <c r="C1066" t="s">
        <v>85</v>
      </c>
      <c r="D1066">
        <f t="shared" si="771"/>
        <v>14.625</v>
      </c>
      <c r="E1066">
        <f t="shared" si="771"/>
        <v>0.13</v>
      </c>
      <c r="F1066">
        <f t="shared" ref="F1066:J1066" si="921">F1023*0.65</f>
        <v>3.8350000000000004</v>
      </c>
      <c r="G1066">
        <f t="shared" si="921"/>
        <v>3.7050000000000001</v>
      </c>
      <c r="H1066">
        <f t="shared" si="921"/>
        <v>3.1850000000000005</v>
      </c>
      <c r="I1066">
        <f t="shared" si="921"/>
        <v>6.5000000000000002E-2</v>
      </c>
      <c r="J1066">
        <f t="shared" si="921"/>
        <v>0.13</v>
      </c>
      <c r="K1066">
        <f t="shared" ref="K1066:K1129" si="922">SUM(D1066:J1066)</f>
        <v>25.675000000000004</v>
      </c>
      <c r="L1066">
        <f t="shared" ref="L1066:N1066" si="923">L1023*0.65</f>
        <v>0</v>
      </c>
      <c r="M1066">
        <f t="shared" si="923"/>
        <v>0</v>
      </c>
      <c r="N1066">
        <f t="shared" si="923"/>
        <v>6.5000000000000002E-2</v>
      </c>
      <c r="O1066">
        <f t="shared" si="761"/>
        <v>6.5000000000000002E-2</v>
      </c>
      <c r="P1066">
        <f t="shared" si="774"/>
        <v>0</v>
      </c>
      <c r="Q1066">
        <f t="shared" si="774"/>
        <v>0</v>
      </c>
      <c r="R1066">
        <f t="shared" ref="R1066" si="924">R1023*0.65</f>
        <v>0</v>
      </c>
      <c r="S1066">
        <f t="shared" si="762"/>
        <v>0</v>
      </c>
      <c r="T1066">
        <f t="shared" ref="T1066:Z1066" si="925">T1023*0.65</f>
        <v>0.19500000000000001</v>
      </c>
      <c r="U1066">
        <f t="shared" si="925"/>
        <v>6.5000000000000002E-2</v>
      </c>
      <c r="V1066">
        <f t="shared" si="925"/>
        <v>0</v>
      </c>
      <c r="W1066">
        <f t="shared" si="925"/>
        <v>0</v>
      </c>
      <c r="X1066">
        <f t="shared" si="925"/>
        <v>0</v>
      </c>
      <c r="Y1066">
        <f t="shared" si="925"/>
        <v>0</v>
      </c>
      <c r="Z1066">
        <f t="shared" si="925"/>
        <v>0</v>
      </c>
      <c r="AA1066">
        <f t="shared" si="763"/>
        <v>0.26</v>
      </c>
      <c r="AB1066">
        <f t="shared" ref="AB1066:AG1066" si="926">AB1023*0.65</f>
        <v>0</v>
      </c>
      <c r="AC1066">
        <f t="shared" si="926"/>
        <v>0</v>
      </c>
      <c r="AD1066">
        <f t="shared" si="926"/>
        <v>0</v>
      </c>
      <c r="AE1066">
        <f t="shared" si="926"/>
        <v>0</v>
      </c>
      <c r="AF1066">
        <f t="shared" si="926"/>
        <v>0</v>
      </c>
      <c r="AG1066">
        <f t="shared" si="926"/>
        <v>0</v>
      </c>
      <c r="AH1066" s="5">
        <v>0.28760425654299687</v>
      </c>
      <c r="AI1066" t="s">
        <v>13</v>
      </c>
      <c r="AJ1066" s="5">
        <f t="shared" si="764"/>
        <v>0.28760425654299687</v>
      </c>
      <c r="AK1066" t="s">
        <v>13</v>
      </c>
      <c r="AL1066">
        <f t="shared" si="778"/>
        <v>0.73712395743457004</v>
      </c>
      <c r="AM1066">
        <f t="shared" si="804"/>
        <v>0.26287604256542996</v>
      </c>
      <c r="AN1066">
        <v>2563</v>
      </c>
      <c r="AO1066" t="s">
        <v>13</v>
      </c>
      <c r="AP1066" s="3">
        <v>3477</v>
      </c>
      <c r="AQ1066" t="s">
        <v>13</v>
      </c>
      <c r="AR1066">
        <f t="shared" si="895"/>
        <v>1.0940679635018928E-2</v>
      </c>
      <c r="AS1066">
        <f t="shared" si="768"/>
        <v>0.26000000000000006</v>
      </c>
      <c r="AT1066">
        <f t="shared" si="769"/>
        <v>904</v>
      </c>
      <c r="AU1066">
        <f t="shared" si="770"/>
        <v>10</v>
      </c>
      <c r="AV1066">
        <f t="shared" si="755"/>
        <v>458</v>
      </c>
      <c r="AW1066">
        <f t="shared" si="756"/>
        <v>12</v>
      </c>
      <c r="AX1066" s="3">
        <f t="shared" si="757"/>
        <v>3007</v>
      </c>
      <c r="AY1066">
        <f t="shared" si="758"/>
        <v>452</v>
      </c>
      <c r="AZ1066">
        <f t="shared" si="759"/>
        <v>12</v>
      </c>
      <c r="BA1066" s="3">
        <f t="shared" si="760"/>
        <v>3013</v>
      </c>
    </row>
    <row r="1067" spans="1:53" x14ac:dyDescent="0.2">
      <c r="A1067">
        <v>2012</v>
      </c>
      <c r="B1067" t="s">
        <v>91</v>
      </c>
      <c r="C1067" t="s">
        <v>85</v>
      </c>
      <c r="D1067">
        <f t="shared" si="771"/>
        <v>23.27</v>
      </c>
      <c r="E1067">
        <f t="shared" si="771"/>
        <v>0.13</v>
      </c>
      <c r="F1067">
        <f t="shared" ref="F1067:J1067" si="927">F1024*0.65</f>
        <v>4.2250000000000005</v>
      </c>
      <c r="G1067">
        <f t="shared" si="927"/>
        <v>5.33</v>
      </c>
      <c r="H1067">
        <f t="shared" si="927"/>
        <v>4.9399999999999995</v>
      </c>
      <c r="I1067">
        <f t="shared" si="927"/>
        <v>0.58500000000000008</v>
      </c>
      <c r="J1067">
        <f t="shared" si="927"/>
        <v>0.45499999999999996</v>
      </c>
      <c r="K1067">
        <f t="shared" si="922"/>
        <v>38.934999999999995</v>
      </c>
      <c r="L1067">
        <f t="shared" ref="L1067:N1067" si="928">L1024*0.65</f>
        <v>0</v>
      </c>
      <c r="M1067">
        <f t="shared" si="928"/>
        <v>0</v>
      </c>
      <c r="N1067">
        <f t="shared" si="928"/>
        <v>0</v>
      </c>
      <c r="O1067">
        <f t="shared" si="761"/>
        <v>0</v>
      </c>
      <c r="P1067">
        <f t="shared" si="774"/>
        <v>0</v>
      </c>
      <c r="Q1067">
        <f t="shared" si="774"/>
        <v>0</v>
      </c>
      <c r="R1067">
        <f t="shared" ref="R1067" si="929">R1024*0.65</f>
        <v>0.13</v>
      </c>
      <c r="S1067">
        <f t="shared" si="762"/>
        <v>0.13</v>
      </c>
      <c r="T1067">
        <f t="shared" ref="T1067:Z1067" si="930">T1024*0.65</f>
        <v>0.45499999999999996</v>
      </c>
      <c r="U1067">
        <f t="shared" si="930"/>
        <v>6.5000000000000002E-2</v>
      </c>
      <c r="V1067">
        <f t="shared" si="930"/>
        <v>0</v>
      </c>
      <c r="W1067">
        <f t="shared" si="930"/>
        <v>0</v>
      </c>
      <c r="X1067">
        <f t="shared" si="930"/>
        <v>0</v>
      </c>
      <c r="Y1067">
        <f t="shared" si="930"/>
        <v>0</v>
      </c>
      <c r="Z1067">
        <f t="shared" si="930"/>
        <v>0</v>
      </c>
      <c r="AA1067">
        <f t="shared" si="763"/>
        <v>0.52</v>
      </c>
      <c r="AB1067">
        <f t="shared" ref="AB1067:AG1067" si="931">AB1024*0.65</f>
        <v>0.26</v>
      </c>
      <c r="AC1067">
        <f t="shared" si="931"/>
        <v>0</v>
      </c>
      <c r="AD1067">
        <f t="shared" si="931"/>
        <v>0</v>
      </c>
      <c r="AE1067">
        <f t="shared" si="931"/>
        <v>0</v>
      </c>
      <c r="AF1067">
        <f t="shared" si="931"/>
        <v>0</v>
      </c>
      <c r="AG1067">
        <f t="shared" si="931"/>
        <v>0</v>
      </c>
      <c r="AH1067" s="5">
        <v>14.270778881338211</v>
      </c>
      <c r="AI1067" t="s">
        <v>13</v>
      </c>
      <c r="AJ1067" s="5">
        <f t="shared" si="764"/>
        <v>14.530778881338211</v>
      </c>
      <c r="AK1067" t="s">
        <v>13</v>
      </c>
      <c r="AL1067">
        <f t="shared" si="778"/>
        <v>0.45884221118661794</v>
      </c>
      <c r="AM1067">
        <f t="shared" si="804"/>
        <v>0.54115778881338206</v>
      </c>
      <c r="AN1067">
        <v>878</v>
      </c>
      <c r="AO1067" t="s">
        <v>13</v>
      </c>
      <c r="AP1067" s="3">
        <v>1913</v>
      </c>
      <c r="AQ1067" t="s">
        <v>13</v>
      </c>
      <c r="AR1067">
        <f t="shared" si="895"/>
        <v>0.26851279204906986</v>
      </c>
      <c r="AS1067">
        <f t="shared" si="768"/>
        <v>0.39585000000000004</v>
      </c>
      <c r="AT1067">
        <f t="shared" si="769"/>
        <v>757</v>
      </c>
      <c r="AU1067">
        <f t="shared" si="770"/>
        <v>278</v>
      </c>
      <c r="AV1067">
        <f t="shared" si="755"/>
        <v>385</v>
      </c>
      <c r="AW1067">
        <f t="shared" si="756"/>
        <v>367</v>
      </c>
      <c r="AX1067" s="3">
        <f t="shared" si="757"/>
        <v>1161</v>
      </c>
      <c r="AY1067">
        <f t="shared" si="758"/>
        <v>379</v>
      </c>
      <c r="AZ1067">
        <f t="shared" si="759"/>
        <v>369</v>
      </c>
      <c r="BA1067" s="3">
        <f t="shared" si="760"/>
        <v>1165</v>
      </c>
    </row>
    <row r="1068" spans="1:53" x14ac:dyDescent="0.2">
      <c r="A1068">
        <v>2013</v>
      </c>
      <c r="B1068" t="s">
        <v>91</v>
      </c>
      <c r="C1068" t="s">
        <v>85</v>
      </c>
      <c r="D1068">
        <f t="shared" si="771"/>
        <v>11.57</v>
      </c>
      <c r="E1068">
        <f t="shared" si="771"/>
        <v>0.52</v>
      </c>
      <c r="F1068">
        <f t="shared" ref="F1068:J1068" si="932">F1025*0.65</f>
        <v>7.6700000000000008</v>
      </c>
      <c r="G1068">
        <f t="shared" si="932"/>
        <v>5.1350000000000007</v>
      </c>
      <c r="H1068">
        <f t="shared" si="932"/>
        <v>10.53</v>
      </c>
      <c r="I1068">
        <f t="shared" si="932"/>
        <v>0.26</v>
      </c>
      <c r="J1068">
        <f t="shared" si="932"/>
        <v>0.58500000000000008</v>
      </c>
      <c r="K1068">
        <f t="shared" si="922"/>
        <v>36.270000000000003</v>
      </c>
      <c r="L1068">
        <f t="shared" ref="L1068:N1068" si="933">L1025*0.65</f>
        <v>0</v>
      </c>
      <c r="M1068">
        <f t="shared" si="933"/>
        <v>0</v>
      </c>
      <c r="N1068">
        <f t="shared" si="933"/>
        <v>0.32500000000000001</v>
      </c>
      <c r="O1068">
        <f t="shared" si="761"/>
        <v>0.32500000000000001</v>
      </c>
      <c r="P1068">
        <f t="shared" si="774"/>
        <v>0</v>
      </c>
      <c r="Q1068">
        <f t="shared" si="774"/>
        <v>0</v>
      </c>
      <c r="R1068">
        <f t="shared" ref="R1068" si="934">R1025*0.65</f>
        <v>0</v>
      </c>
      <c r="S1068">
        <f t="shared" si="762"/>
        <v>0</v>
      </c>
      <c r="T1068">
        <f t="shared" ref="T1068:Z1068" si="935">T1025*0.65</f>
        <v>0.52</v>
      </c>
      <c r="U1068">
        <f t="shared" si="935"/>
        <v>0.13</v>
      </c>
      <c r="V1068">
        <f t="shared" si="935"/>
        <v>0</v>
      </c>
      <c r="W1068">
        <f t="shared" si="935"/>
        <v>0</v>
      </c>
      <c r="X1068">
        <f t="shared" si="935"/>
        <v>0</v>
      </c>
      <c r="Y1068">
        <f t="shared" si="935"/>
        <v>0</v>
      </c>
      <c r="Z1068">
        <f t="shared" si="935"/>
        <v>0</v>
      </c>
      <c r="AA1068">
        <f t="shared" si="763"/>
        <v>0.65</v>
      </c>
      <c r="AB1068">
        <f t="shared" ref="AB1068:AG1068" si="936">AB1025*0.65</f>
        <v>0</v>
      </c>
      <c r="AC1068">
        <f t="shared" si="936"/>
        <v>0</v>
      </c>
      <c r="AD1068">
        <f t="shared" si="936"/>
        <v>0</v>
      </c>
      <c r="AE1068">
        <f t="shared" si="936"/>
        <v>0</v>
      </c>
      <c r="AF1068">
        <f t="shared" si="936"/>
        <v>0</v>
      </c>
      <c r="AG1068">
        <f t="shared" si="936"/>
        <v>0</v>
      </c>
      <c r="AH1068" s="5">
        <v>4.2578496669838248</v>
      </c>
      <c r="AI1068" t="s">
        <v>13</v>
      </c>
      <c r="AJ1068" s="5">
        <f t="shared" si="764"/>
        <v>4.2578496669838248</v>
      </c>
      <c r="AK1068" t="s">
        <v>13</v>
      </c>
      <c r="AL1068">
        <f t="shared" si="778"/>
        <v>0.58497150333016168</v>
      </c>
      <c r="AM1068">
        <f t="shared" si="804"/>
        <v>0.41502849666983826</v>
      </c>
      <c r="AN1068">
        <v>2459</v>
      </c>
      <c r="AO1068" t="s">
        <v>13</v>
      </c>
      <c r="AP1068" s="3">
        <v>4204</v>
      </c>
      <c r="AQ1068" t="s">
        <v>13</v>
      </c>
      <c r="AR1068">
        <f t="shared" si="895"/>
        <v>0.10259174252246615</v>
      </c>
      <c r="AS1068">
        <f t="shared" si="768"/>
        <v>0.37245000000000006</v>
      </c>
      <c r="AT1068">
        <f t="shared" si="769"/>
        <v>1566</v>
      </c>
      <c r="AU1068">
        <f t="shared" si="770"/>
        <v>179</v>
      </c>
      <c r="AV1068">
        <f t="shared" si="755"/>
        <v>803</v>
      </c>
      <c r="AW1068">
        <f t="shared" si="756"/>
        <v>231</v>
      </c>
      <c r="AX1068" s="3">
        <f t="shared" si="757"/>
        <v>3170</v>
      </c>
      <c r="AY1068">
        <f t="shared" si="758"/>
        <v>783</v>
      </c>
      <c r="AZ1068">
        <f t="shared" si="759"/>
        <v>232</v>
      </c>
      <c r="BA1068" s="3">
        <f t="shared" si="760"/>
        <v>3189</v>
      </c>
    </row>
    <row r="1069" spans="1:53" x14ac:dyDescent="0.2">
      <c r="A1069">
        <v>2014</v>
      </c>
      <c r="B1069" t="s">
        <v>91</v>
      </c>
      <c r="C1069" t="s">
        <v>85</v>
      </c>
      <c r="D1069">
        <f t="shared" si="771"/>
        <v>15.600000000000001</v>
      </c>
      <c r="E1069">
        <f t="shared" si="771"/>
        <v>0.71500000000000008</v>
      </c>
      <c r="F1069">
        <f t="shared" ref="F1069:J1069" si="937">F1026*0.65</f>
        <v>4.7450000000000001</v>
      </c>
      <c r="G1069">
        <f t="shared" si="937"/>
        <v>4.7450000000000001</v>
      </c>
      <c r="H1069">
        <f t="shared" si="937"/>
        <v>4.3550000000000004</v>
      </c>
      <c r="I1069">
        <f t="shared" si="937"/>
        <v>0.45499999999999996</v>
      </c>
      <c r="J1069">
        <f t="shared" si="937"/>
        <v>0.32500000000000001</v>
      </c>
      <c r="K1069">
        <f t="shared" si="922"/>
        <v>30.94</v>
      </c>
      <c r="L1069">
        <f t="shared" ref="L1069:N1069" si="938">L1026*0.65</f>
        <v>0</v>
      </c>
      <c r="M1069">
        <f t="shared" si="938"/>
        <v>0</v>
      </c>
      <c r="N1069">
        <f t="shared" si="938"/>
        <v>0</v>
      </c>
      <c r="O1069">
        <f t="shared" si="761"/>
        <v>0</v>
      </c>
      <c r="P1069">
        <f t="shared" si="774"/>
        <v>0</v>
      </c>
      <c r="Q1069">
        <f t="shared" si="774"/>
        <v>0</v>
      </c>
      <c r="R1069">
        <f t="shared" ref="R1069" si="939">R1026*0.65</f>
        <v>0</v>
      </c>
      <c r="S1069">
        <f t="shared" si="762"/>
        <v>0</v>
      </c>
      <c r="T1069">
        <f t="shared" ref="T1069:Z1069" si="940">T1026*0.65</f>
        <v>0.19500000000000001</v>
      </c>
      <c r="U1069">
        <f t="shared" si="940"/>
        <v>0.19500000000000001</v>
      </c>
      <c r="V1069">
        <f t="shared" si="940"/>
        <v>0</v>
      </c>
      <c r="W1069">
        <f t="shared" si="940"/>
        <v>0</v>
      </c>
      <c r="X1069">
        <f t="shared" si="940"/>
        <v>0</v>
      </c>
      <c r="Y1069">
        <f t="shared" si="940"/>
        <v>0</v>
      </c>
      <c r="Z1069">
        <f t="shared" si="940"/>
        <v>6.5000000000000002E-2</v>
      </c>
      <c r="AA1069">
        <f t="shared" si="763"/>
        <v>0.45500000000000002</v>
      </c>
      <c r="AB1069">
        <f t="shared" ref="AB1069:AG1069" si="941">AB1026*0.65</f>
        <v>0</v>
      </c>
      <c r="AC1069">
        <f t="shared" si="941"/>
        <v>0</v>
      </c>
      <c r="AD1069">
        <f t="shared" si="941"/>
        <v>0</v>
      </c>
      <c r="AE1069">
        <f t="shared" si="941"/>
        <v>0</v>
      </c>
      <c r="AF1069">
        <f t="shared" si="941"/>
        <v>0</v>
      </c>
      <c r="AG1069">
        <f t="shared" si="941"/>
        <v>0</v>
      </c>
      <c r="AH1069" s="5">
        <v>3.1430934656741107</v>
      </c>
      <c r="AI1069" t="s">
        <v>13</v>
      </c>
      <c r="AJ1069" s="5">
        <f t="shared" si="764"/>
        <v>3.1430934656741107</v>
      </c>
      <c r="AK1069" t="s">
        <v>13</v>
      </c>
      <c r="AL1069">
        <f t="shared" si="778"/>
        <v>0.65461906534325887</v>
      </c>
      <c r="AM1069">
        <f t="shared" si="804"/>
        <v>0.34538093465674113</v>
      </c>
      <c r="AN1069">
        <v>1583</v>
      </c>
      <c r="AO1069" t="s">
        <v>13</v>
      </c>
      <c r="AP1069" s="3">
        <v>2418</v>
      </c>
      <c r="AQ1069" t="s">
        <v>13</v>
      </c>
      <c r="AR1069">
        <f t="shared" si="895"/>
        <v>9.1003675949799967E-2</v>
      </c>
      <c r="AS1069">
        <f t="shared" si="768"/>
        <v>0.31395000000000001</v>
      </c>
      <c r="AT1069">
        <f t="shared" si="769"/>
        <v>759</v>
      </c>
      <c r="AU1069">
        <f t="shared" si="770"/>
        <v>76</v>
      </c>
      <c r="AV1069">
        <f t="shared" si="755"/>
        <v>385</v>
      </c>
      <c r="AW1069">
        <f t="shared" si="756"/>
        <v>93</v>
      </c>
      <c r="AX1069" s="3">
        <f t="shared" si="757"/>
        <v>1940</v>
      </c>
      <c r="AY1069">
        <f t="shared" si="758"/>
        <v>380</v>
      </c>
      <c r="AZ1069">
        <f t="shared" si="759"/>
        <v>93</v>
      </c>
      <c r="BA1069" s="3">
        <f t="shared" si="760"/>
        <v>1945</v>
      </c>
    </row>
    <row r="1070" spans="1:53" x14ac:dyDescent="0.2">
      <c r="A1070">
        <v>2015</v>
      </c>
      <c r="B1070" t="s">
        <v>91</v>
      </c>
      <c r="C1070" t="s">
        <v>85</v>
      </c>
      <c r="D1070">
        <f t="shared" si="771"/>
        <v>12.154999999999999</v>
      </c>
      <c r="E1070">
        <f t="shared" si="771"/>
        <v>0</v>
      </c>
      <c r="F1070">
        <f t="shared" ref="F1070:J1070" si="942">F1027*0.65</f>
        <v>4.7450000000000001</v>
      </c>
      <c r="G1070">
        <f t="shared" si="942"/>
        <v>4.875</v>
      </c>
      <c r="H1070">
        <f t="shared" si="942"/>
        <v>5.2649999999999997</v>
      </c>
      <c r="I1070">
        <f t="shared" si="942"/>
        <v>0.26</v>
      </c>
      <c r="J1070">
        <f t="shared" si="942"/>
        <v>0.19500000000000001</v>
      </c>
      <c r="K1070">
        <f t="shared" si="922"/>
        <v>27.495000000000001</v>
      </c>
      <c r="L1070">
        <f t="shared" ref="L1070:N1070" si="943">L1027*0.65</f>
        <v>0</v>
      </c>
      <c r="M1070">
        <f t="shared" si="943"/>
        <v>0</v>
      </c>
      <c r="N1070">
        <f t="shared" si="943"/>
        <v>0</v>
      </c>
      <c r="O1070">
        <f t="shared" si="761"/>
        <v>0</v>
      </c>
      <c r="P1070">
        <f t="shared" si="774"/>
        <v>0</v>
      </c>
      <c r="Q1070">
        <f t="shared" si="774"/>
        <v>0</v>
      </c>
      <c r="R1070">
        <f t="shared" ref="R1070" si="944">R1027*0.65</f>
        <v>0</v>
      </c>
      <c r="S1070">
        <f t="shared" si="762"/>
        <v>0</v>
      </c>
      <c r="T1070">
        <f t="shared" ref="T1070:Z1070" si="945">T1027*0.65</f>
        <v>0.39</v>
      </c>
      <c r="U1070">
        <f t="shared" si="945"/>
        <v>0.19500000000000001</v>
      </c>
      <c r="V1070">
        <f t="shared" si="945"/>
        <v>0</v>
      </c>
      <c r="W1070">
        <f t="shared" si="945"/>
        <v>0</v>
      </c>
      <c r="X1070">
        <f t="shared" si="945"/>
        <v>0</v>
      </c>
      <c r="Y1070">
        <f t="shared" si="945"/>
        <v>0</v>
      </c>
      <c r="Z1070">
        <f t="shared" si="945"/>
        <v>0</v>
      </c>
      <c r="AA1070">
        <f t="shared" si="763"/>
        <v>0.58499999999999996</v>
      </c>
      <c r="AB1070">
        <f t="shared" ref="AB1070:AG1070" si="946">AB1027*0.65</f>
        <v>0</v>
      </c>
      <c r="AC1070">
        <f t="shared" si="946"/>
        <v>0</v>
      </c>
      <c r="AD1070">
        <f t="shared" si="946"/>
        <v>0</v>
      </c>
      <c r="AE1070">
        <f t="shared" si="946"/>
        <v>0</v>
      </c>
      <c r="AF1070">
        <f t="shared" si="946"/>
        <v>0</v>
      </c>
      <c r="AG1070">
        <f t="shared" si="946"/>
        <v>0</v>
      </c>
      <c r="AH1070" s="5">
        <v>7.8021595262974568</v>
      </c>
      <c r="AI1070" t="s">
        <v>13</v>
      </c>
      <c r="AJ1070" s="5">
        <f t="shared" si="764"/>
        <v>7.8021595262974568</v>
      </c>
      <c r="AK1070" t="s">
        <v>13</v>
      </c>
      <c r="AL1070">
        <f t="shared" si="778"/>
        <v>0.64117840473702548</v>
      </c>
      <c r="AM1070">
        <f t="shared" si="804"/>
        <v>0.35882159526297458</v>
      </c>
      <c r="AN1070">
        <v>1841</v>
      </c>
      <c r="AO1070" t="s">
        <v>13</v>
      </c>
      <c r="AP1070" s="3">
        <v>2871</v>
      </c>
      <c r="AQ1070" t="s">
        <v>13</v>
      </c>
      <c r="AR1070">
        <f t="shared" si="895"/>
        <v>0.21743840474761225</v>
      </c>
      <c r="AS1070">
        <f t="shared" si="768"/>
        <v>0.28079999999999999</v>
      </c>
      <c r="AT1070">
        <f t="shared" si="769"/>
        <v>806</v>
      </c>
      <c r="AU1070">
        <f t="shared" si="770"/>
        <v>224</v>
      </c>
      <c r="AV1070">
        <f t="shared" si="755"/>
        <v>411</v>
      </c>
      <c r="AW1070">
        <f t="shared" si="756"/>
        <v>267</v>
      </c>
      <c r="AX1070" s="3">
        <f t="shared" si="757"/>
        <v>2193</v>
      </c>
      <c r="AY1070">
        <f t="shared" si="758"/>
        <v>403</v>
      </c>
      <c r="AZ1070">
        <f t="shared" si="759"/>
        <v>268</v>
      </c>
      <c r="BA1070" s="3">
        <f t="shared" si="760"/>
        <v>2200</v>
      </c>
    </row>
    <row r="1071" spans="1:53" x14ac:dyDescent="0.2">
      <c r="A1071">
        <v>2016</v>
      </c>
      <c r="B1071" t="s">
        <v>91</v>
      </c>
      <c r="C1071" t="s">
        <v>85</v>
      </c>
      <c r="D1071">
        <f t="shared" si="771"/>
        <v>18.330000000000002</v>
      </c>
      <c r="E1071">
        <f t="shared" si="771"/>
        <v>6.5000000000000002E-2</v>
      </c>
      <c r="F1071">
        <f t="shared" ref="F1071:J1071" si="947">F1028*0.65</f>
        <v>2.3400000000000003</v>
      </c>
      <c r="G1071">
        <f t="shared" si="947"/>
        <v>11.57</v>
      </c>
      <c r="H1071">
        <f t="shared" si="947"/>
        <v>1.3</v>
      </c>
      <c r="I1071">
        <f t="shared" si="947"/>
        <v>0.19500000000000001</v>
      </c>
      <c r="J1071">
        <f t="shared" si="947"/>
        <v>0</v>
      </c>
      <c r="K1071">
        <f t="shared" si="922"/>
        <v>33.800000000000004</v>
      </c>
      <c r="L1071">
        <f t="shared" ref="L1071:N1071" si="948">L1028*0.65</f>
        <v>0</v>
      </c>
      <c r="M1071">
        <f t="shared" si="948"/>
        <v>0</v>
      </c>
      <c r="N1071">
        <f t="shared" si="948"/>
        <v>0</v>
      </c>
      <c r="O1071">
        <f t="shared" si="761"/>
        <v>0</v>
      </c>
      <c r="P1071">
        <f t="shared" si="774"/>
        <v>0</v>
      </c>
      <c r="Q1071">
        <f t="shared" si="774"/>
        <v>0</v>
      </c>
      <c r="R1071">
        <f t="shared" ref="R1071" si="949">R1028*0.65</f>
        <v>0</v>
      </c>
      <c r="S1071">
        <f t="shared" si="762"/>
        <v>0</v>
      </c>
      <c r="T1071">
        <f t="shared" ref="T1071:Z1071" si="950">T1028*0.65</f>
        <v>0</v>
      </c>
      <c r="U1071">
        <f t="shared" si="950"/>
        <v>0</v>
      </c>
      <c r="V1071">
        <f t="shared" si="950"/>
        <v>0</v>
      </c>
      <c r="W1071">
        <f t="shared" si="950"/>
        <v>0</v>
      </c>
      <c r="X1071">
        <f t="shared" si="950"/>
        <v>0</v>
      </c>
      <c r="Y1071">
        <f t="shared" si="950"/>
        <v>0</v>
      </c>
      <c r="Z1071">
        <f t="shared" si="950"/>
        <v>0</v>
      </c>
      <c r="AA1071">
        <f t="shared" si="763"/>
        <v>0</v>
      </c>
      <c r="AB1071">
        <f t="shared" ref="AB1071:AG1071" si="951">AB1028*0.65</f>
        <v>0</v>
      </c>
      <c r="AC1071">
        <f t="shared" si="951"/>
        <v>0</v>
      </c>
      <c r="AD1071">
        <f t="shared" si="951"/>
        <v>0</v>
      </c>
      <c r="AE1071">
        <f t="shared" si="951"/>
        <v>0</v>
      </c>
      <c r="AF1071">
        <f t="shared" si="951"/>
        <v>0</v>
      </c>
      <c r="AG1071">
        <f t="shared" si="951"/>
        <v>0</v>
      </c>
      <c r="AH1071" s="5">
        <v>8.1504702194357357</v>
      </c>
      <c r="AI1071" t="s">
        <v>13</v>
      </c>
      <c r="AJ1071" s="5">
        <f t="shared" si="764"/>
        <v>8.1504702194357357</v>
      </c>
      <c r="AK1071" t="s">
        <v>13</v>
      </c>
      <c r="AL1071">
        <f t="shared" si="778"/>
        <v>0.58049529780564257</v>
      </c>
      <c r="AM1071">
        <f t="shared" si="804"/>
        <v>0.41950470219435737</v>
      </c>
      <c r="AN1071">
        <v>926</v>
      </c>
      <c r="AO1071" t="s">
        <v>13</v>
      </c>
      <c r="AP1071" s="3">
        <v>1595</v>
      </c>
      <c r="AQ1071" t="s">
        <v>13</v>
      </c>
      <c r="AR1071">
        <f t="shared" si="895"/>
        <v>0.19428793471925393</v>
      </c>
      <c r="AS1071">
        <f t="shared" si="768"/>
        <v>0.33800000000000002</v>
      </c>
      <c r="AT1071">
        <f t="shared" si="769"/>
        <v>539</v>
      </c>
      <c r="AU1071">
        <f t="shared" si="770"/>
        <v>130</v>
      </c>
      <c r="AV1071">
        <f t="shared" si="755"/>
        <v>270</v>
      </c>
      <c r="AW1071">
        <f t="shared" si="756"/>
        <v>163</v>
      </c>
      <c r="AX1071" s="3">
        <f t="shared" si="757"/>
        <v>1162</v>
      </c>
      <c r="AY1071">
        <f t="shared" si="758"/>
        <v>270</v>
      </c>
      <c r="AZ1071">
        <f t="shared" si="759"/>
        <v>163</v>
      </c>
      <c r="BA1071" s="3">
        <f t="shared" si="760"/>
        <v>1162</v>
      </c>
    </row>
    <row r="1072" spans="1:53" x14ac:dyDescent="0.2">
      <c r="A1072">
        <v>2017</v>
      </c>
      <c r="B1072" t="s">
        <v>91</v>
      </c>
      <c r="C1072" t="s">
        <v>85</v>
      </c>
      <c r="D1072">
        <f t="shared" si="771"/>
        <v>8.58</v>
      </c>
      <c r="E1072">
        <f t="shared" si="771"/>
        <v>0</v>
      </c>
      <c r="F1072">
        <f t="shared" ref="F1072:J1072" si="952">F1029*0.65</f>
        <v>3.3149999999999999</v>
      </c>
      <c r="G1072">
        <f t="shared" si="952"/>
        <v>5.59</v>
      </c>
      <c r="H1072">
        <f t="shared" si="952"/>
        <v>1.3</v>
      </c>
      <c r="I1072">
        <f t="shared" si="952"/>
        <v>0.78</v>
      </c>
      <c r="J1072">
        <f t="shared" si="952"/>
        <v>1.1700000000000002</v>
      </c>
      <c r="K1072">
        <f t="shared" si="922"/>
        <v>20.735000000000003</v>
      </c>
      <c r="L1072">
        <f t="shared" ref="L1072:N1072" si="953">L1029*0.65</f>
        <v>0</v>
      </c>
      <c r="M1072">
        <f t="shared" si="953"/>
        <v>0</v>
      </c>
      <c r="N1072">
        <f t="shared" si="953"/>
        <v>0</v>
      </c>
      <c r="O1072">
        <f t="shared" si="761"/>
        <v>0</v>
      </c>
      <c r="P1072">
        <f t="shared" si="774"/>
        <v>0</v>
      </c>
      <c r="Q1072">
        <f t="shared" si="774"/>
        <v>0</v>
      </c>
      <c r="R1072">
        <f t="shared" ref="R1072" si="954">R1029*0.65</f>
        <v>0</v>
      </c>
      <c r="S1072">
        <f t="shared" si="762"/>
        <v>0</v>
      </c>
      <c r="T1072">
        <f t="shared" ref="T1072:Z1072" si="955">T1029*0.65</f>
        <v>0</v>
      </c>
      <c r="U1072">
        <f t="shared" si="955"/>
        <v>0</v>
      </c>
      <c r="V1072">
        <f t="shared" si="955"/>
        <v>0</v>
      </c>
      <c r="W1072">
        <f t="shared" si="955"/>
        <v>0</v>
      </c>
      <c r="X1072">
        <f t="shared" si="955"/>
        <v>0</v>
      </c>
      <c r="Y1072">
        <f t="shared" si="955"/>
        <v>0</v>
      </c>
      <c r="Z1072">
        <f t="shared" si="955"/>
        <v>0</v>
      </c>
      <c r="AA1072">
        <f t="shared" si="763"/>
        <v>0</v>
      </c>
      <c r="AB1072">
        <f t="shared" ref="AB1072:AG1072" si="956">AB1029*0.65</f>
        <v>0</v>
      </c>
      <c r="AC1072">
        <f t="shared" si="956"/>
        <v>0</v>
      </c>
      <c r="AD1072">
        <f t="shared" si="956"/>
        <v>0</v>
      </c>
      <c r="AE1072">
        <f t="shared" si="956"/>
        <v>0</v>
      </c>
      <c r="AF1072">
        <f t="shared" si="956"/>
        <v>0</v>
      </c>
      <c r="AG1072">
        <f t="shared" si="956"/>
        <v>0</v>
      </c>
      <c r="AH1072" s="5">
        <v>0.39886039886039887</v>
      </c>
      <c r="AI1072" t="s">
        <v>13</v>
      </c>
      <c r="AJ1072" s="5">
        <f t="shared" si="764"/>
        <v>0.39886039886039887</v>
      </c>
      <c r="AK1072" t="s">
        <v>13</v>
      </c>
      <c r="AL1072">
        <f t="shared" si="778"/>
        <v>0.78866139601139595</v>
      </c>
      <c r="AM1072">
        <f t="shared" si="804"/>
        <v>0.21133860398860402</v>
      </c>
      <c r="AN1072">
        <v>1384</v>
      </c>
      <c r="AO1072" t="s">
        <v>13</v>
      </c>
      <c r="AP1072" s="3">
        <v>1755</v>
      </c>
      <c r="AQ1072" t="s">
        <v>13</v>
      </c>
      <c r="AR1072">
        <f t="shared" si="895"/>
        <v>1.887304975677357E-2</v>
      </c>
      <c r="AS1072">
        <f t="shared" si="768"/>
        <v>0.20735000000000003</v>
      </c>
      <c r="AT1072">
        <f t="shared" si="769"/>
        <v>364</v>
      </c>
      <c r="AU1072">
        <f t="shared" si="770"/>
        <v>7</v>
      </c>
      <c r="AV1072">
        <f t="shared" si="755"/>
        <v>182</v>
      </c>
      <c r="AW1072">
        <f t="shared" si="756"/>
        <v>8</v>
      </c>
      <c r="AX1072" s="3">
        <f t="shared" si="757"/>
        <v>1565</v>
      </c>
      <c r="AY1072">
        <f t="shared" si="758"/>
        <v>182</v>
      </c>
      <c r="AZ1072">
        <f t="shared" si="759"/>
        <v>8</v>
      </c>
      <c r="BA1072" s="3">
        <f t="shared" si="760"/>
        <v>1565</v>
      </c>
    </row>
    <row r="1073" spans="1:53" x14ac:dyDescent="0.2">
      <c r="A1073">
        <v>2018</v>
      </c>
      <c r="B1073" t="s">
        <v>91</v>
      </c>
      <c r="C1073" t="s">
        <v>85</v>
      </c>
      <c r="D1073">
        <f t="shared" si="771"/>
        <v>13.325000000000001</v>
      </c>
      <c r="E1073">
        <f t="shared" si="771"/>
        <v>0</v>
      </c>
      <c r="F1073">
        <f t="shared" ref="F1073:J1073" si="957">F1030*0.65</f>
        <v>4.6150000000000002</v>
      </c>
      <c r="G1073">
        <f t="shared" si="957"/>
        <v>13.13</v>
      </c>
      <c r="H1073">
        <f t="shared" si="957"/>
        <v>2.08</v>
      </c>
      <c r="I1073">
        <f t="shared" si="957"/>
        <v>0.58500000000000008</v>
      </c>
      <c r="J1073">
        <f t="shared" si="957"/>
        <v>0</v>
      </c>
      <c r="K1073">
        <f t="shared" si="922"/>
        <v>33.734999999999999</v>
      </c>
      <c r="L1073">
        <f t="shared" ref="L1073:N1073" si="958">L1030*0.65</f>
        <v>0</v>
      </c>
      <c r="M1073">
        <f t="shared" si="958"/>
        <v>0</v>
      </c>
      <c r="N1073">
        <f t="shared" si="958"/>
        <v>0</v>
      </c>
      <c r="O1073">
        <f t="shared" si="761"/>
        <v>0</v>
      </c>
      <c r="P1073">
        <f t="shared" si="774"/>
        <v>0</v>
      </c>
      <c r="Q1073">
        <f t="shared" si="774"/>
        <v>0</v>
      </c>
      <c r="R1073">
        <f t="shared" ref="R1073" si="959">R1030*0.65</f>
        <v>0.71500000000000008</v>
      </c>
      <c r="S1073">
        <f t="shared" si="762"/>
        <v>0.71500000000000008</v>
      </c>
      <c r="T1073">
        <f t="shared" ref="T1073:Z1073" si="960">T1030*0.65</f>
        <v>0.13</v>
      </c>
      <c r="U1073">
        <f t="shared" si="960"/>
        <v>0</v>
      </c>
      <c r="V1073">
        <f t="shared" si="960"/>
        <v>0</v>
      </c>
      <c r="W1073">
        <f t="shared" si="960"/>
        <v>0</v>
      </c>
      <c r="X1073">
        <f t="shared" si="960"/>
        <v>0</v>
      </c>
      <c r="Y1073">
        <f t="shared" si="960"/>
        <v>0</v>
      </c>
      <c r="Z1073">
        <f t="shared" si="960"/>
        <v>0</v>
      </c>
      <c r="AA1073">
        <f t="shared" si="763"/>
        <v>0.13</v>
      </c>
      <c r="AB1073">
        <f t="shared" ref="AB1073:AG1073" si="961">AB1030*0.65</f>
        <v>0</v>
      </c>
      <c r="AC1073">
        <f t="shared" si="961"/>
        <v>0</v>
      </c>
      <c r="AD1073">
        <f t="shared" si="961"/>
        <v>0</v>
      </c>
      <c r="AE1073">
        <f t="shared" si="961"/>
        <v>0</v>
      </c>
      <c r="AF1073">
        <f t="shared" si="961"/>
        <v>0</v>
      </c>
      <c r="AG1073">
        <f t="shared" si="961"/>
        <v>0</v>
      </c>
      <c r="AH1073" s="5">
        <v>4.1044776119402986</v>
      </c>
      <c r="AI1073" t="s">
        <v>13</v>
      </c>
      <c r="AJ1073" s="5">
        <f t="shared" si="764"/>
        <v>4.1044776119402986</v>
      </c>
      <c r="AK1073" t="s">
        <v>13</v>
      </c>
      <c r="AL1073">
        <f t="shared" si="778"/>
        <v>0.61315522388059696</v>
      </c>
      <c r="AM1073">
        <f t="shared" si="804"/>
        <v>0.38684477611940304</v>
      </c>
      <c r="AN1073">
        <v>493</v>
      </c>
      <c r="AO1073" t="s">
        <v>13</v>
      </c>
      <c r="AP1073" s="3">
        <v>804</v>
      </c>
      <c r="AQ1073" t="s">
        <v>13</v>
      </c>
      <c r="AR1073">
        <f t="shared" si="895"/>
        <v>0.10610140979836873</v>
      </c>
      <c r="AS1073">
        <f t="shared" si="768"/>
        <v>0.34580000000000005</v>
      </c>
      <c r="AT1073">
        <f t="shared" si="769"/>
        <v>278</v>
      </c>
      <c r="AU1073">
        <f t="shared" si="770"/>
        <v>33</v>
      </c>
      <c r="AV1073">
        <f t="shared" si="755"/>
        <v>142</v>
      </c>
      <c r="AW1073">
        <f t="shared" si="756"/>
        <v>42</v>
      </c>
      <c r="AX1073" s="3">
        <f t="shared" si="757"/>
        <v>620</v>
      </c>
      <c r="AY1073">
        <f t="shared" si="758"/>
        <v>139</v>
      </c>
      <c r="AZ1073">
        <f t="shared" si="759"/>
        <v>42</v>
      </c>
      <c r="BA1073" s="3">
        <f t="shared" si="760"/>
        <v>623</v>
      </c>
    </row>
    <row r="1074" spans="1:53" x14ac:dyDescent="0.2">
      <c r="A1074">
        <v>2019</v>
      </c>
      <c r="B1074" t="s">
        <v>91</v>
      </c>
      <c r="C1074" t="s">
        <v>85</v>
      </c>
      <c r="D1074">
        <f t="shared" si="771"/>
        <v>13.455</v>
      </c>
      <c r="E1074">
        <f t="shared" si="771"/>
        <v>0.39</v>
      </c>
      <c r="F1074">
        <f t="shared" ref="F1074:J1074" si="962">F1031*0.65</f>
        <v>0.78</v>
      </c>
      <c r="G1074">
        <f t="shared" si="962"/>
        <v>13.455</v>
      </c>
      <c r="H1074">
        <f t="shared" si="962"/>
        <v>3.3800000000000003</v>
      </c>
      <c r="I1074">
        <f t="shared" si="962"/>
        <v>0.65</v>
      </c>
      <c r="J1074">
        <f t="shared" si="962"/>
        <v>0.39</v>
      </c>
      <c r="K1074">
        <f t="shared" si="922"/>
        <v>32.5</v>
      </c>
      <c r="L1074">
        <f t="shared" ref="L1074:N1074" si="963">L1031*0.65</f>
        <v>0</v>
      </c>
      <c r="M1074">
        <f t="shared" si="963"/>
        <v>0</v>
      </c>
      <c r="N1074">
        <f t="shared" si="963"/>
        <v>0.52</v>
      </c>
      <c r="O1074">
        <f t="shared" si="761"/>
        <v>0.52</v>
      </c>
      <c r="P1074">
        <f t="shared" si="774"/>
        <v>0</v>
      </c>
      <c r="Q1074">
        <f t="shared" si="774"/>
        <v>0</v>
      </c>
      <c r="R1074">
        <f t="shared" ref="R1074" si="964">R1031*0.65</f>
        <v>1.2349999999999999</v>
      </c>
      <c r="S1074">
        <f t="shared" si="762"/>
        <v>1.2349999999999999</v>
      </c>
      <c r="T1074">
        <f t="shared" ref="T1074:Z1074" si="965">T1031*0.65</f>
        <v>0.84500000000000008</v>
      </c>
      <c r="U1074">
        <f t="shared" si="965"/>
        <v>0.19500000000000001</v>
      </c>
      <c r="V1074">
        <f t="shared" si="965"/>
        <v>0</v>
      </c>
      <c r="W1074">
        <f t="shared" si="965"/>
        <v>0.19500000000000001</v>
      </c>
      <c r="X1074">
        <f t="shared" si="965"/>
        <v>0</v>
      </c>
      <c r="Y1074">
        <f t="shared" si="965"/>
        <v>0</v>
      </c>
      <c r="Z1074">
        <f t="shared" si="965"/>
        <v>0</v>
      </c>
      <c r="AA1074">
        <f t="shared" si="763"/>
        <v>1.2350000000000001</v>
      </c>
      <c r="AB1074">
        <f t="shared" ref="AB1074:AG1074" si="966">AB1031*0.65</f>
        <v>0</v>
      </c>
      <c r="AC1074">
        <f t="shared" si="966"/>
        <v>0</v>
      </c>
      <c r="AD1074">
        <f t="shared" si="966"/>
        <v>0</v>
      </c>
      <c r="AE1074">
        <f t="shared" si="966"/>
        <v>0</v>
      </c>
      <c r="AF1074">
        <f t="shared" si="966"/>
        <v>0</v>
      </c>
      <c r="AG1074">
        <f t="shared" si="966"/>
        <v>0</v>
      </c>
      <c r="AH1074" s="5">
        <v>6.5573770491803282E-2</v>
      </c>
      <c r="AI1074" t="s">
        <v>13</v>
      </c>
      <c r="AJ1074" s="5">
        <f t="shared" si="764"/>
        <v>6.5573770491803282E-2</v>
      </c>
      <c r="AK1074" t="s">
        <v>13</v>
      </c>
      <c r="AL1074">
        <f t="shared" si="778"/>
        <v>0.64444426229508189</v>
      </c>
      <c r="AM1074">
        <f t="shared" si="804"/>
        <v>0.35555573770491805</v>
      </c>
      <c r="AN1074">
        <v>983</v>
      </c>
      <c r="AO1074" t="s">
        <v>13</v>
      </c>
      <c r="AP1074" s="3">
        <v>1525</v>
      </c>
      <c r="AQ1074" t="s">
        <v>13</v>
      </c>
      <c r="AR1074">
        <f t="shared" si="895"/>
        <v>1.8442613502759476E-3</v>
      </c>
      <c r="AS1074">
        <f t="shared" si="768"/>
        <v>0.35489999999999999</v>
      </c>
      <c r="AT1074">
        <f t="shared" si="769"/>
        <v>541</v>
      </c>
      <c r="AU1074">
        <f t="shared" si="770"/>
        <v>1</v>
      </c>
      <c r="AV1074">
        <f t="shared" si="755"/>
        <v>293</v>
      </c>
      <c r="AW1074">
        <f t="shared" si="756"/>
        <v>1</v>
      </c>
      <c r="AX1074" s="3">
        <f t="shared" si="757"/>
        <v>1231</v>
      </c>
      <c r="AY1074">
        <f t="shared" si="758"/>
        <v>271</v>
      </c>
      <c r="AZ1074">
        <f t="shared" si="759"/>
        <v>1</v>
      </c>
      <c r="BA1074" s="3">
        <f t="shared" si="760"/>
        <v>1253</v>
      </c>
    </row>
    <row r="1075" spans="1:53" x14ac:dyDescent="0.2">
      <c r="A1075">
        <v>2020</v>
      </c>
      <c r="B1075" t="s">
        <v>91</v>
      </c>
      <c r="C1075" t="s">
        <v>85</v>
      </c>
      <c r="D1075">
        <f t="shared" si="771"/>
        <v>19.955000000000002</v>
      </c>
      <c r="E1075">
        <f t="shared" si="771"/>
        <v>0.90999999999999992</v>
      </c>
      <c r="F1075">
        <f t="shared" ref="F1075:J1075" si="967">F1032*0.65</f>
        <v>3.8350000000000004</v>
      </c>
      <c r="G1075">
        <f t="shared" si="967"/>
        <v>7.7350000000000003</v>
      </c>
      <c r="H1075">
        <f t="shared" si="967"/>
        <v>0</v>
      </c>
      <c r="I1075">
        <f t="shared" si="967"/>
        <v>0.39</v>
      </c>
      <c r="J1075">
        <f t="shared" si="967"/>
        <v>0</v>
      </c>
      <c r="K1075">
        <f t="shared" si="922"/>
        <v>32.825000000000003</v>
      </c>
      <c r="L1075">
        <f t="shared" ref="L1075:N1075" si="968">L1032*0.65</f>
        <v>0</v>
      </c>
      <c r="M1075">
        <f t="shared" si="968"/>
        <v>0</v>
      </c>
      <c r="N1075">
        <f t="shared" si="968"/>
        <v>0</v>
      </c>
      <c r="O1075">
        <f t="shared" si="761"/>
        <v>0</v>
      </c>
      <c r="P1075">
        <f t="shared" si="774"/>
        <v>0</v>
      </c>
      <c r="Q1075">
        <f t="shared" si="774"/>
        <v>0</v>
      </c>
      <c r="R1075">
        <f t="shared" ref="R1075" si="969">R1032*0.65</f>
        <v>0</v>
      </c>
      <c r="S1075">
        <f t="shared" si="762"/>
        <v>0</v>
      </c>
      <c r="T1075">
        <f t="shared" ref="T1075:Z1075" si="970">T1032*0.65</f>
        <v>0.13</v>
      </c>
      <c r="U1075">
        <f t="shared" si="970"/>
        <v>0</v>
      </c>
      <c r="V1075">
        <f t="shared" si="970"/>
        <v>0</v>
      </c>
      <c r="W1075">
        <f t="shared" si="970"/>
        <v>0</v>
      </c>
      <c r="X1075">
        <f t="shared" si="970"/>
        <v>0</v>
      </c>
      <c r="Y1075">
        <f t="shared" si="970"/>
        <v>0</v>
      </c>
      <c r="Z1075">
        <f t="shared" si="970"/>
        <v>0</v>
      </c>
      <c r="AA1075">
        <f t="shared" si="763"/>
        <v>0.13</v>
      </c>
      <c r="AB1075">
        <f t="shared" ref="AB1075:AG1075" si="971">AB1032*0.65</f>
        <v>0</v>
      </c>
      <c r="AC1075">
        <f t="shared" si="971"/>
        <v>0</v>
      </c>
      <c r="AD1075">
        <f t="shared" si="971"/>
        <v>0</v>
      </c>
      <c r="AE1075">
        <f t="shared" si="971"/>
        <v>0</v>
      </c>
      <c r="AF1075">
        <f t="shared" si="971"/>
        <v>0</v>
      </c>
      <c r="AG1075">
        <f t="shared" si="971"/>
        <v>0</v>
      </c>
      <c r="AH1075" s="5">
        <v>2.3696682464454978E-2</v>
      </c>
      <c r="AI1075" t="s">
        <v>13</v>
      </c>
      <c r="AJ1075" s="5">
        <f t="shared" si="764"/>
        <v>2.3696682464454978E-2</v>
      </c>
      <c r="AK1075" t="s">
        <v>13</v>
      </c>
      <c r="AL1075">
        <f t="shared" si="778"/>
        <v>0.67021303317535541</v>
      </c>
      <c r="AM1075">
        <f t="shared" si="804"/>
        <v>0.32978696682464459</v>
      </c>
      <c r="AN1075">
        <v>2828</v>
      </c>
      <c r="AO1075" t="s">
        <v>13</v>
      </c>
      <c r="AP1075" s="3">
        <v>4220</v>
      </c>
      <c r="AQ1075" t="s">
        <v>13</v>
      </c>
      <c r="AR1075">
        <f t="shared" si="895"/>
        <v>7.1854514726942063E-4</v>
      </c>
      <c r="AS1075">
        <f t="shared" si="768"/>
        <v>0.32955000000000007</v>
      </c>
      <c r="AT1075">
        <f t="shared" si="769"/>
        <v>1391</v>
      </c>
      <c r="AU1075">
        <f t="shared" si="770"/>
        <v>1</v>
      </c>
      <c r="AV1075">
        <f t="shared" si="755"/>
        <v>698</v>
      </c>
      <c r="AW1075">
        <f t="shared" si="756"/>
        <v>1</v>
      </c>
      <c r="AX1075" s="3">
        <f t="shared" si="757"/>
        <v>3521</v>
      </c>
      <c r="AY1075">
        <f t="shared" si="758"/>
        <v>695</v>
      </c>
      <c r="AZ1075">
        <f t="shared" si="759"/>
        <v>1</v>
      </c>
      <c r="BA1075" s="3">
        <f t="shared" si="760"/>
        <v>3524</v>
      </c>
    </row>
    <row r="1076" spans="1:53" x14ac:dyDescent="0.2">
      <c r="A1076">
        <v>2021</v>
      </c>
      <c r="B1076" t="s">
        <v>91</v>
      </c>
      <c r="C1076" t="s">
        <v>85</v>
      </c>
      <c r="D1076">
        <f t="shared" si="771"/>
        <v>19.63</v>
      </c>
      <c r="E1076">
        <f t="shared" si="771"/>
        <v>0.26</v>
      </c>
      <c r="F1076">
        <f t="shared" ref="F1076:J1076" si="972">F1033*0.65</f>
        <v>3.0550000000000002</v>
      </c>
      <c r="G1076">
        <f t="shared" si="972"/>
        <v>10.270000000000001</v>
      </c>
      <c r="H1076">
        <f t="shared" si="972"/>
        <v>3.6399999999999997</v>
      </c>
      <c r="I1076">
        <f t="shared" si="972"/>
        <v>1.2349999999999999</v>
      </c>
      <c r="J1076">
        <f t="shared" si="972"/>
        <v>0.52</v>
      </c>
      <c r="K1076">
        <f t="shared" si="922"/>
        <v>38.610000000000007</v>
      </c>
      <c r="L1076">
        <f t="shared" ref="L1076:N1076" si="973">L1033*0.65</f>
        <v>0</v>
      </c>
      <c r="M1076">
        <f t="shared" si="973"/>
        <v>0</v>
      </c>
      <c r="N1076">
        <f t="shared" si="973"/>
        <v>0.71500000000000008</v>
      </c>
      <c r="O1076">
        <f t="shared" si="761"/>
        <v>0.71500000000000008</v>
      </c>
      <c r="P1076">
        <f t="shared" si="774"/>
        <v>0</v>
      </c>
      <c r="Q1076">
        <f t="shared" si="774"/>
        <v>0</v>
      </c>
      <c r="R1076">
        <f t="shared" ref="R1076" si="974">R1033*0.65</f>
        <v>0</v>
      </c>
      <c r="S1076">
        <f t="shared" si="762"/>
        <v>0</v>
      </c>
      <c r="T1076">
        <f t="shared" ref="T1076:Z1076" si="975">T1033*0.65</f>
        <v>0.19500000000000001</v>
      </c>
      <c r="U1076">
        <f t="shared" si="975"/>
        <v>0</v>
      </c>
      <c r="V1076">
        <f t="shared" si="975"/>
        <v>0</v>
      </c>
      <c r="W1076">
        <f t="shared" si="975"/>
        <v>0</v>
      </c>
      <c r="X1076">
        <f t="shared" si="975"/>
        <v>0</v>
      </c>
      <c r="Y1076">
        <f t="shared" si="975"/>
        <v>0</v>
      </c>
      <c r="Z1076">
        <f t="shared" si="975"/>
        <v>0</v>
      </c>
      <c r="AA1076">
        <f t="shared" si="763"/>
        <v>0.19500000000000001</v>
      </c>
      <c r="AB1076">
        <f t="shared" ref="AB1076:AG1076" si="976">AB1033*0.65</f>
        <v>0</v>
      </c>
      <c r="AC1076">
        <f t="shared" si="976"/>
        <v>0</v>
      </c>
      <c r="AD1076">
        <f t="shared" si="976"/>
        <v>0</v>
      </c>
      <c r="AE1076">
        <f t="shared" si="976"/>
        <v>0</v>
      </c>
      <c r="AF1076">
        <f t="shared" si="976"/>
        <v>0</v>
      </c>
      <c r="AG1076">
        <f t="shared" si="976"/>
        <v>0</v>
      </c>
      <c r="AH1076" s="5">
        <v>2.3496240601503758E-2</v>
      </c>
      <c r="AI1076" t="s">
        <v>13</v>
      </c>
      <c r="AJ1076" s="5">
        <f t="shared" si="764"/>
        <v>2.3496240601503758E-2</v>
      </c>
      <c r="AK1076" t="s">
        <v>13</v>
      </c>
      <c r="AL1076">
        <f t="shared" si="778"/>
        <v>0.60456503759398494</v>
      </c>
      <c r="AM1076">
        <f t="shared" si="804"/>
        <v>0.39543496240601506</v>
      </c>
      <c r="AN1076">
        <v>2573</v>
      </c>
      <c r="AO1076" t="s">
        <v>13</v>
      </c>
      <c r="AP1076" s="3">
        <v>4256</v>
      </c>
      <c r="AQ1076" t="s">
        <v>13</v>
      </c>
      <c r="AR1076">
        <f t="shared" si="895"/>
        <v>5.94187232675164E-4</v>
      </c>
      <c r="AS1076">
        <f t="shared" si="768"/>
        <v>0.39520000000000011</v>
      </c>
      <c r="AT1076">
        <f t="shared" si="769"/>
        <v>1682</v>
      </c>
      <c r="AU1076">
        <f t="shared" si="770"/>
        <v>1</v>
      </c>
      <c r="AV1076">
        <f t="shared" si="755"/>
        <v>860</v>
      </c>
      <c r="AW1076">
        <f t="shared" si="756"/>
        <v>1</v>
      </c>
      <c r="AX1076" s="3">
        <f t="shared" si="757"/>
        <v>3395</v>
      </c>
      <c r="AY1076">
        <f t="shared" si="758"/>
        <v>841</v>
      </c>
      <c r="AZ1076">
        <f t="shared" si="759"/>
        <v>1</v>
      </c>
      <c r="BA1076" s="3">
        <f t="shared" si="760"/>
        <v>3414</v>
      </c>
    </row>
    <row r="1077" spans="1:53" x14ac:dyDescent="0.2">
      <c r="A1077">
        <v>2022</v>
      </c>
      <c r="B1077" t="s">
        <v>91</v>
      </c>
      <c r="C1077" t="s">
        <v>85</v>
      </c>
      <c r="D1077">
        <f t="shared" si="771"/>
        <v>15.47</v>
      </c>
      <c r="E1077">
        <f t="shared" si="771"/>
        <v>0.58500000000000008</v>
      </c>
      <c r="F1077">
        <f t="shared" ref="F1077:J1077" si="977">F1034*0.65</f>
        <v>4.6800000000000006</v>
      </c>
      <c r="G1077">
        <f t="shared" si="977"/>
        <v>10.855</v>
      </c>
      <c r="H1077">
        <f t="shared" si="977"/>
        <v>2.7949999999999999</v>
      </c>
      <c r="I1077">
        <f t="shared" si="977"/>
        <v>0.32500000000000001</v>
      </c>
      <c r="J1077">
        <f t="shared" si="977"/>
        <v>0</v>
      </c>
      <c r="K1077">
        <f t="shared" si="922"/>
        <v>34.71</v>
      </c>
      <c r="L1077">
        <f t="shared" ref="L1077:N1077" si="978">L1034*0.65</f>
        <v>0</v>
      </c>
      <c r="M1077">
        <f t="shared" si="978"/>
        <v>0</v>
      </c>
      <c r="N1077">
        <f t="shared" si="978"/>
        <v>0</v>
      </c>
      <c r="O1077">
        <f t="shared" si="761"/>
        <v>0</v>
      </c>
      <c r="P1077">
        <f t="shared" si="774"/>
        <v>0</v>
      </c>
      <c r="Q1077">
        <f t="shared" si="774"/>
        <v>0</v>
      </c>
      <c r="R1077">
        <f t="shared" ref="R1077" si="979">R1034*0.65</f>
        <v>0.65</v>
      </c>
      <c r="S1077">
        <f t="shared" si="762"/>
        <v>0.65</v>
      </c>
      <c r="T1077">
        <f t="shared" ref="T1077:Z1077" si="980">T1034*0.65</f>
        <v>0</v>
      </c>
      <c r="U1077">
        <f t="shared" si="980"/>
        <v>0</v>
      </c>
      <c r="V1077">
        <f t="shared" si="980"/>
        <v>0</v>
      </c>
      <c r="W1077">
        <f t="shared" si="980"/>
        <v>0</v>
      </c>
      <c r="X1077">
        <f t="shared" si="980"/>
        <v>0</v>
      </c>
      <c r="Y1077">
        <f t="shared" si="980"/>
        <v>0</v>
      </c>
      <c r="Z1077">
        <f t="shared" si="980"/>
        <v>0</v>
      </c>
      <c r="AA1077">
        <f t="shared" si="763"/>
        <v>0</v>
      </c>
      <c r="AB1077">
        <f t="shared" ref="AB1077:AG1077" si="981">AB1034*0.65</f>
        <v>0</v>
      </c>
      <c r="AC1077">
        <f t="shared" si="981"/>
        <v>0</v>
      </c>
      <c r="AD1077">
        <f t="shared" si="981"/>
        <v>0</v>
      </c>
      <c r="AE1077">
        <f t="shared" si="981"/>
        <v>0</v>
      </c>
      <c r="AF1077">
        <f t="shared" si="981"/>
        <v>0</v>
      </c>
      <c r="AG1077">
        <f t="shared" si="981"/>
        <v>0</v>
      </c>
      <c r="AH1077" s="5">
        <v>0</v>
      </c>
      <c r="AI1077" t="s">
        <v>13</v>
      </c>
      <c r="AJ1077" s="5">
        <f t="shared" si="764"/>
        <v>0</v>
      </c>
      <c r="AK1077" t="s">
        <v>13</v>
      </c>
      <c r="AL1077">
        <f t="shared" si="778"/>
        <v>0.64639999999999986</v>
      </c>
      <c r="AM1077">
        <f t="shared" si="804"/>
        <v>0.35360000000000008</v>
      </c>
      <c r="AN1077">
        <v>1348</v>
      </c>
      <c r="AO1077" t="s">
        <v>13</v>
      </c>
      <c r="AP1077" s="3">
        <v>2085</v>
      </c>
      <c r="AQ1077" t="s">
        <v>13</v>
      </c>
      <c r="AR1077">
        <f t="shared" si="895"/>
        <v>0</v>
      </c>
      <c r="AS1077">
        <f t="shared" si="768"/>
        <v>0.35359999999999997</v>
      </c>
      <c r="AT1077">
        <f t="shared" si="769"/>
        <v>737</v>
      </c>
      <c r="AU1077">
        <f t="shared" si="770"/>
        <v>0</v>
      </c>
      <c r="AV1077">
        <f t="shared" si="755"/>
        <v>375</v>
      </c>
      <c r="AW1077">
        <f t="shared" si="756"/>
        <v>0</v>
      </c>
      <c r="AX1077" s="3">
        <f t="shared" si="757"/>
        <v>1710</v>
      </c>
      <c r="AY1077">
        <f t="shared" si="758"/>
        <v>369</v>
      </c>
      <c r="AZ1077">
        <f t="shared" si="759"/>
        <v>0</v>
      </c>
      <c r="BA1077" s="3">
        <f t="shared" si="760"/>
        <v>1716</v>
      </c>
    </row>
    <row r="1078" spans="1:53" x14ac:dyDescent="0.2">
      <c r="A1078">
        <v>2023</v>
      </c>
      <c r="B1078" t="s">
        <v>91</v>
      </c>
      <c r="C1078" t="s">
        <v>85</v>
      </c>
      <c r="D1078" t="s">
        <v>13</v>
      </c>
      <c r="E1078" t="s">
        <v>13</v>
      </c>
      <c r="F1078" t="s">
        <v>13</v>
      </c>
      <c r="G1078" t="s">
        <v>13</v>
      </c>
      <c r="H1078" t="s">
        <v>13</v>
      </c>
      <c r="I1078" t="s">
        <v>13</v>
      </c>
      <c r="J1078" t="s">
        <v>13</v>
      </c>
      <c r="K1078" t="s">
        <v>13</v>
      </c>
      <c r="L1078" t="s">
        <v>13</v>
      </c>
      <c r="M1078" t="s">
        <v>13</v>
      </c>
      <c r="N1078" t="s">
        <v>13</v>
      </c>
      <c r="O1078" t="s">
        <v>13</v>
      </c>
      <c r="P1078" t="s">
        <v>13</v>
      </c>
      <c r="Q1078" t="s">
        <v>13</v>
      </c>
      <c r="R1078" t="s">
        <v>13</v>
      </c>
      <c r="S1078" t="s">
        <v>13</v>
      </c>
      <c r="T1078" t="s">
        <v>13</v>
      </c>
      <c r="U1078" t="s">
        <v>13</v>
      </c>
      <c r="V1078" t="s">
        <v>13</v>
      </c>
      <c r="W1078" t="s">
        <v>13</v>
      </c>
      <c r="X1078" t="s">
        <v>13</v>
      </c>
      <c r="Y1078" t="s">
        <v>13</v>
      </c>
      <c r="Z1078" t="s">
        <v>13</v>
      </c>
      <c r="AA1078" t="s">
        <v>13</v>
      </c>
      <c r="AB1078" t="s">
        <v>13</v>
      </c>
      <c r="AC1078" t="s">
        <v>13</v>
      </c>
      <c r="AD1078" t="s">
        <v>13</v>
      </c>
      <c r="AE1078" t="s">
        <v>13</v>
      </c>
      <c r="AF1078" t="s">
        <v>13</v>
      </c>
      <c r="AG1078" t="s">
        <v>13</v>
      </c>
      <c r="AH1078" t="s">
        <v>13</v>
      </c>
      <c r="AI1078" t="s">
        <v>13</v>
      </c>
      <c r="AJ1078" t="s">
        <v>13</v>
      </c>
      <c r="AK1078" t="s">
        <v>13</v>
      </c>
      <c r="AL1078" t="s">
        <v>13</v>
      </c>
      <c r="AM1078" t="s">
        <v>13</v>
      </c>
      <c r="AN1078">
        <v>2175</v>
      </c>
      <c r="AO1078" t="s">
        <v>13</v>
      </c>
      <c r="AP1078" s="3" t="s">
        <v>13</v>
      </c>
      <c r="AQ1078" t="s">
        <v>13</v>
      </c>
      <c r="AR1078" t="s">
        <v>13</v>
      </c>
      <c r="AS1078" t="s">
        <v>13</v>
      </c>
      <c r="AT1078" t="s">
        <v>13</v>
      </c>
      <c r="AU1078" t="s">
        <v>13</v>
      </c>
      <c r="AV1078" t="s">
        <v>13</v>
      </c>
      <c r="AW1078" t="s">
        <v>13</v>
      </c>
      <c r="AX1078" t="s">
        <v>13</v>
      </c>
      <c r="AY1078" t="s">
        <v>13</v>
      </c>
      <c r="AZ1078" t="s">
        <v>13</v>
      </c>
      <c r="BA1078" t="s">
        <v>13</v>
      </c>
    </row>
    <row r="1079" spans="1:53" x14ac:dyDescent="0.2">
      <c r="A1079">
        <v>1981</v>
      </c>
      <c r="B1079" t="s">
        <v>92</v>
      </c>
      <c r="C1079" t="s">
        <v>85</v>
      </c>
      <c r="D1079">
        <v>13.6</v>
      </c>
      <c r="E1079">
        <v>0</v>
      </c>
      <c r="F1079">
        <v>0</v>
      </c>
      <c r="G1079">
        <v>16.600000000000001</v>
      </c>
      <c r="H1079">
        <v>0.2</v>
      </c>
      <c r="I1079">
        <v>12.2</v>
      </c>
      <c r="J1079">
        <v>0</v>
      </c>
      <c r="K1079">
        <f t="shared" si="922"/>
        <v>42.6</v>
      </c>
      <c r="L1079">
        <v>1.7</v>
      </c>
      <c r="M1079">
        <v>1.8</v>
      </c>
      <c r="N1079">
        <v>0</v>
      </c>
      <c r="O1079">
        <f t="shared" si="761"/>
        <v>3.5</v>
      </c>
      <c r="P1079">
        <v>0</v>
      </c>
      <c r="Q1079">
        <v>0.8</v>
      </c>
      <c r="R1079">
        <v>0</v>
      </c>
      <c r="S1079">
        <f t="shared" si="762"/>
        <v>0.8</v>
      </c>
      <c r="T1079">
        <v>0.3</v>
      </c>
      <c r="U1079">
        <v>0</v>
      </c>
      <c r="V1079">
        <v>1.7</v>
      </c>
      <c r="W1079">
        <v>0</v>
      </c>
      <c r="X1079">
        <v>0</v>
      </c>
      <c r="Y1079">
        <v>0</v>
      </c>
      <c r="Z1079">
        <v>3.2</v>
      </c>
      <c r="AA1079">
        <f t="shared" si="763"/>
        <v>5.2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7.1</v>
      </c>
      <c r="AI1079">
        <v>0.6</v>
      </c>
      <c r="AJ1079" s="5">
        <f t="shared" si="764"/>
        <v>7.6999999999999993</v>
      </c>
      <c r="AK1079">
        <v>0</v>
      </c>
      <c r="AL1079">
        <v>0.40200000000000002</v>
      </c>
      <c r="AM1079">
        <f t="shared" si="804"/>
        <v>0.59799999999999998</v>
      </c>
      <c r="AN1079">
        <v>5963</v>
      </c>
      <c r="AO1079" t="s">
        <v>13</v>
      </c>
      <c r="AP1079" s="3">
        <f t="shared" ref="AP1079:AP1120" si="982">AN1079/(1-AM1079)</f>
        <v>14833.333333333332</v>
      </c>
      <c r="AQ1079" t="s">
        <v>13</v>
      </c>
      <c r="AR1079">
        <f t="shared" si="895"/>
        <v>0.12876254180602006</v>
      </c>
      <c r="AS1079">
        <f t="shared" ref="AS1079:AS1120" si="983">SUM(K1079,O1079,S1079,AA1079)/100</f>
        <v>0.52100000000000002</v>
      </c>
      <c r="AT1079">
        <f t="shared" ref="AT1079:AT1120" si="984">ROUND(AS1079*AP1079,0)</f>
        <v>7728</v>
      </c>
      <c r="AU1079">
        <f t="shared" ref="AU1079:AU1120" si="985">ROUND((AJ1079/100)*AP1079,0)</f>
        <v>1142</v>
      </c>
      <c r="AV1079">
        <f t="shared" si="755"/>
        <v>4569</v>
      </c>
      <c r="AW1079">
        <f t="shared" si="756"/>
        <v>1650</v>
      </c>
      <c r="AX1079" s="3">
        <f t="shared" si="757"/>
        <v>8614.3333333333321</v>
      </c>
      <c r="AY1079">
        <f t="shared" si="758"/>
        <v>3864</v>
      </c>
      <c r="AZ1079">
        <f t="shared" si="759"/>
        <v>1763</v>
      </c>
      <c r="BA1079" s="3">
        <f t="shared" si="760"/>
        <v>9206.3333333333321</v>
      </c>
    </row>
    <row r="1080" spans="1:53" x14ac:dyDescent="0.2">
      <c r="A1080">
        <v>1982</v>
      </c>
      <c r="B1080" t="s">
        <v>92</v>
      </c>
      <c r="C1080" t="s">
        <v>85</v>
      </c>
      <c r="D1080">
        <v>13.7</v>
      </c>
      <c r="E1080">
        <v>1.4</v>
      </c>
      <c r="F1080">
        <v>0</v>
      </c>
      <c r="G1080">
        <v>20.5</v>
      </c>
      <c r="H1080">
        <v>0</v>
      </c>
      <c r="I1080">
        <v>14</v>
      </c>
      <c r="J1080">
        <v>0</v>
      </c>
      <c r="K1080">
        <f t="shared" si="922"/>
        <v>49.6</v>
      </c>
      <c r="L1080">
        <v>0</v>
      </c>
      <c r="M1080">
        <v>0.8</v>
      </c>
      <c r="N1080">
        <v>1.3</v>
      </c>
      <c r="O1080">
        <f t="shared" si="761"/>
        <v>2.1</v>
      </c>
      <c r="P1080">
        <v>0</v>
      </c>
      <c r="Q1080">
        <v>0</v>
      </c>
      <c r="R1080">
        <v>0</v>
      </c>
      <c r="S1080">
        <f t="shared" si="762"/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f t="shared" si="763"/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12.3</v>
      </c>
      <c r="AI1080">
        <v>0.4</v>
      </c>
      <c r="AJ1080" s="5">
        <f t="shared" si="764"/>
        <v>12.700000000000001</v>
      </c>
      <c r="AK1080">
        <v>0</v>
      </c>
      <c r="AL1080">
        <v>0.35499999999999998</v>
      </c>
      <c r="AM1080">
        <f t="shared" si="804"/>
        <v>0.64400000000000002</v>
      </c>
      <c r="AN1080">
        <v>7107</v>
      </c>
      <c r="AO1080" t="s">
        <v>13</v>
      </c>
      <c r="AP1080" s="3">
        <f t="shared" si="982"/>
        <v>19963.483146067418</v>
      </c>
      <c r="AQ1080" t="s">
        <v>13</v>
      </c>
      <c r="AR1080">
        <f t="shared" si="895"/>
        <v>0.19720496894409939</v>
      </c>
      <c r="AS1080">
        <f t="shared" si="983"/>
        <v>0.51700000000000002</v>
      </c>
      <c r="AT1080">
        <f t="shared" si="984"/>
        <v>10321</v>
      </c>
      <c r="AU1080">
        <f t="shared" si="985"/>
        <v>2535</v>
      </c>
      <c r="AV1080">
        <f t="shared" si="755"/>
        <v>5370</v>
      </c>
      <c r="AW1080">
        <f t="shared" si="756"/>
        <v>3837</v>
      </c>
      <c r="AX1080" s="3">
        <f t="shared" si="757"/>
        <v>10756.483146067418</v>
      </c>
      <c r="AY1080">
        <f t="shared" si="758"/>
        <v>5161</v>
      </c>
      <c r="AZ1080">
        <f t="shared" si="759"/>
        <v>3892</v>
      </c>
      <c r="BA1080" s="3">
        <f t="shared" si="760"/>
        <v>10910.483146067418</v>
      </c>
    </row>
    <row r="1081" spans="1:53" x14ac:dyDescent="0.2">
      <c r="A1081">
        <v>1983</v>
      </c>
      <c r="B1081" t="s">
        <v>92</v>
      </c>
      <c r="C1081" t="s">
        <v>85</v>
      </c>
      <c r="D1081">
        <v>44.1</v>
      </c>
      <c r="E1081">
        <v>0</v>
      </c>
      <c r="F1081">
        <v>0</v>
      </c>
      <c r="G1081">
        <v>14.2</v>
      </c>
      <c r="H1081">
        <v>0</v>
      </c>
      <c r="I1081">
        <v>4.9000000000000004</v>
      </c>
      <c r="J1081">
        <v>0</v>
      </c>
      <c r="K1081">
        <f t="shared" si="922"/>
        <v>63.199999999999996</v>
      </c>
      <c r="L1081">
        <v>0</v>
      </c>
      <c r="M1081">
        <v>0.5</v>
      </c>
      <c r="N1081">
        <v>0</v>
      </c>
      <c r="O1081">
        <f t="shared" si="761"/>
        <v>0.5</v>
      </c>
      <c r="P1081">
        <v>0</v>
      </c>
      <c r="Q1081">
        <v>1.6</v>
      </c>
      <c r="R1081">
        <v>0</v>
      </c>
      <c r="S1081">
        <f t="shared" si="762"/>
        <v>1.6</v>
      </c>
      <c r="T1081">
        <v>0.6</v>
      </c>
      <c r="U1081">
        <v>0</v>
      </c>
      <c r="V1081">
        <v>0</v>
      </c>
      <c r="W1081">
        <v>0</v>
      </c>
      <c r="X1081">
        <v>0</v>
      </c>
      <c r="Y1081">
        <v>1</v>
      </c>
      <c r="Z1081">
        <v>0</v>
      </c>
      <c r="AA1081">
        <f t="shared" si="763"/>
        <v>1.6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14.1</v>
      </c>
      <c r="AI1081">
        <v>0.7</v>
      </c>
      <c r="AJ1081" s="5">
        <f t="shared" si="764"/>
        <v>14.799999999999999</v>
      </c>
      <c r="AK1081">
        <v>0</v>
      </c>
      <c r="AL1081">
        <v>0.184</v>
      </c>
      <c r="AM1081">
        <f t="shared" si="804"/>
        <v>0.81700000000000006</v>
      </c>
      <c r="AN1081">
        <v>3069</v>
      </c>
      <c r="AO1081" t="s">
        <v>13</v>
      </c>
      <c r="AP1081" s="3">
        <f t="shared" si="982"/>
        <v>16770.491803278695</v>
      </c>
      <c r="AQ1081" t="s">
        <v>13</v>
      </c>
      <c r="AR1081">
        <f t="shared" si="895"/>
        <v>0.18115055079559361</v>
      </c>
      <c r="AS1081">
        <f t="shared" si="983"/>
        <v>0.66899999999999993</v>
      </c>
      <c r="AT1081">
        <f t="shared" si="984"/>
        <v>11219</v>
      </c>
      <c r="AU1081">
        <f t="shared" si="985"/>
        <v>2482</v>
      </c>
      <c r="AV1081">
        <f t="shared" si="755"/>
        <v>5920</v>
      </c>
      <c r="AW1081">
        <f t="shared" si="756"/>
        <v>4851</v>
      </c>
      <c r="AX1081" s="3">
        <f t="shared" si="757"/>
        <v>5999.4918032786954</v>
      </c>
      <c r="AY1081">
        <f t="shared" si="758"/>
        <v>5610</v>
      </c>
      <c r="AZ1081">
        <f t="shared" si="759"/>
        <v>4990</v>
      </c>
      <c r="BA1081" s="3">
        <f t="shared" si="760"/>
        <v>6170.4918032786954</v>
      </c>
    </row>
    <row r="1082" spans="1:53" x14ac:dyDescent="0.2">
      <c r="A1082">
        <v>1984</v>
      </c>
      <c r="B1082" t="s">
        <v>92</v>
      </c>
      <c r="C1082" t="s">
        <v>85</v>
      </c>
      <c r="D1082">
        <v>17.5</v>
      </c>
      <c r="E1082">
        <v>0.7</v>
      </c>
      <c r="F1082">
        <v>0</v>
      </c>
      <c r="G1082">
        <v>25.4</v>
      </c>
      <c r="H1082">
        <v>2.6</v>
      </c>
      <c r="I1082">
        <v>8.6</v>
      </c>
      <c r="J1082">
        <v>0</v>
      </c>
      <c r="K1082">
        <f t="shared" si="922"/>
        <v>54.8</v>
      </c>
      <c r="L1082">
        <v>0</v>
      </c>
      <c r="M1082">
        <v>0</v>
      </c>
      <c r="N1082">
        <v>0</v>
      </c>
      <c r="O1082">
        <f t="shared" si="761"/>
        <v>0</v>
      </c>
      <c r="P1082">
        <v>0</v>
      </c>
      <c r="Q1082">
        <v>0</v>
      </c>
      <c r="R1082">
        <v>0</v>
      </c>
      <c r="S1082">
        <f t="shared" si="762"/>
        <v>0</v>
      </c>
      <c r="T1082">
        <v>2.9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f t="shared" si="763"/>
        <v>2.9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4.9000000000000004</v>
      </c>
      <c r="AI1082">
        <v>0.4</v>
      </c>
      <c r="AJ1082" s="5">
        <f t="shared" si="764"/>
        <v>5.3000000000000007</v>
      </c>
      <c r="AK1082">
        <v>0</v>
      </c>
      <c r="AL1082">
        <v>0.36899999999999999</v>
      </c>
      <c r="AM1082">
        <f t="shared" si="804"/>
        <v>0.63</v>
      </c>
      <c r="AN1082">
        <v>9128</v>
      </c>
      <c r="AO1082" t="s">
        <v>13</v>
      </c>
      <c r="AP1082" s="3">
        <f t="shared" si="982"/>
        <v>24670.27027027027</v>
      </c>
      <c r="AQ1082" t="s">
        <v>13</v>
      </c>
      <c r="AR1082">
        <f t="shared" si="895"/>
        <v>8.4126984126984133E-2</v>
      </c>
      <c r="AS1082">
        <f t="shared" si="983"/>
        <v>0.57699999999999996</v>
      </c>
      <c r="AT1082">
        <f t="shared" si="984"/>
        <v>14235</v>
      </c>
      <c r="AU1082">
        <f t="shared" si="985"/>
        <v>1308</v>
      </c>
      <c r="AV1082">
        <f t="shared" si="755"/>
        <v>7475</v>
      </c>
      <c r="AW1082">
        <f t="shared" si="756"/>
        <v>2155</v>
      </c>
      <c r="AX1082" s="3">
        <f t="shared" si="757"/>
        <v>15040.27027027027</v>
      </c>
      <c r="AY1082">
        <f t="shared" si="758"/>
        <v>7117</v>
      </c>
      <c r="AZ1082">
        <f t="shared" si="759"/>
        <v>2200</v>
      </c>
      <c r="BA1082" s="3">
        <f t="shared" si="760"/>
        <v>15353.27027027027</v>
      </c>
    </row>
    <row r="1083" spans="1:53" x14ac:dyDescent="0.2">
      <c r="A1083">
        <v>1985</v>
      </c>
      <c r="B1083" t="s">
        <v>92</v>
      </c>
      <c r="C1083" t="s">
        <v>85</v>
      </c>
      <c r="D1083">
        <v>22.4</v>
      </c>
      <c r="E1083">
        <v>0</v>
      </c>
      <c r="F1083">
        <v>0</v>
      </c>
      <c r="G1083">
        <v>30.5</v>
      </c>
      <c r="H1083">
        <v>0</v>
      </c>
      <c r="I1083">
        <v>2.2999999999999998</v>
      </c>
      <c r="J1083">
        <v>0</v>
      </c>
      <c r="K1083">
        <f t="shared" si="922"/>
        <v>55.199999999999996</v>
      </c>
      <c r="L1083">
        <v>0</v>
      </c>
      <c r="M1083">
        <v>0</v>
      </c>
      <c r="N1083">
        <v>0</v>
      </c>
      <c r="O1083">
        <f t="shared" si="761"/>
        <v>0</v>
      </c>
      <c r="P1083">
        <v>0</v>
      </c>
      <c r="Q1083">
        <v>1.4</v>
      </c>
      <c r="R1083">
        <v>0</v>
      </c>
      <c r="S1083">
        <f t="shared" si="762"/>
        <v>1.4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1.7</v>
      </c>
      <c r="AA1083">
        <f t="shared" si="763"/>
        <v>1.7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10.199999999999999</v>
      </c>
      <c r="AI1083">
        <v>0.9</v>
      </c>
      <c r="AJ1083" s="5">
        <f t="shared" si="764"/>
        <v>11.1</v>
      </c>
      <c r="AK1083">
        <v>0</v>
      </c>
      <c r="AL1083">
        <v>0.307</v>
      </c>
      <c r="AM1083">
        <f t="shared" si="804"/>
        <v>0.69399999999999995</v>
      </c>
      <c r="AN1083">
        <v>6145</v>
      </c>
      <c r="AO1083" t="s">
        <v>13</v>
      </c>
      <c r="AP1083" s="3">
        <f t="shared" si="982"/>
        <v>20081.699346405225</v>
      </c>
      <c r="AQ1083" t="s">
        <v>13</v>
      </c>
      <c r="AR1083">
        <f t="shared" si="895"/>
        <v>0.15994236311239193</v>
      </c>
      <c r="AS1083">
        <f t="shared" si="983"/>
        <v>0.58299999999999996</v>
      </c>
      <c r="AT1083">
        <f t="shared" si="984"/>
        <v>11708</v>
      </c>
      <c r="AU1083">
        <f t="shared" si="985"/>
        <v>2229</v>
      </c>
      <c r="AV1083">
        <f t="shared" si="755"/>
        <v>6165</v>
      </c>
      <c r="AW1083">
        <f t="shared" si="756"/>
        <v>3704</v>
      </c>
      <c r="AX1083" s="3">
        <f t="shared" si="757"/>
        <v>10212.699346405225</v>
      </c>
      <c r="AY1083">
        <f t="shared" si="758"/>
        <v>5854</v>
      </c>
      <c r="AZ1083">
        <f t="shared" si="759"/>
        <v>3787</v>
      </c>
      <c r="BA1083" s="3">
        <f t="shared" si="760"/>
        <v>10440.699346405225</v>
      </c>
    </row>
    <row r="1084" spans="1:53" x14ac:dyDescent="0.2">
      <c r="A1084">
        <v>1986</v>
      </c>
      <c r="B1084" t="s">
        <v>92</v>
      </c>
      <c r="C1084" t="s">
        <v>85</v>
      </c>
      <c r="D1084">
        <v>25.1</v>
      </c>
      <c r="E1084">
        <v>0</v>
      </c>
      <c r="F1084">
        <v>1.2</v>
      </c>
      <c r="G1084">
        <v>11.4</v>
      </c>
      <c r="H1084">
        <v>0</v>
      </c>
      <c r="I1084">
        <v>6.8</v>
      </c>
      <c r="J1084">
        <v>0</v>
      </c>
      <c r="K1084">
        <f t="shared" si="922"/>
        <v>44.5</v>
      </c>
      <c r="L1084">
        <v>1.6</v>
      </c>
      <c r="M1084">
        <v>0</v>
      </c>
      <c r="N1084">
        <v>0</v>
      </c>
      <c r="O1084">
        <f t="shared" si="761"/>
        <v>1.6</v>
      </c>
      <c r="P1084">
        <v>0</v>
      </c>
      <c r="Q1084">
        <v>0.9</v>
      </c>
      <c r="R1084">
        <v>0</v>
      </c>
      <c r="S1084">
        <f t="shared" si="762"/>
        <v>0.9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0.1</v>
      </c>
      <c r="AA1084">
        <f t="shared" si="763"/>
        <v>0.1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11</v>
      </c>
      <c r="AI1084">
        <v>2.2999999999999998</v>
      </c>
      <c r="AJ1084" s="5">
        <f t="shared" si="764"/>
        <v>13.3</v>
      </c>
      <c r="AK1084">
        <v>0</v>
      </c>
      <c r="AL1084">
        <v>0.39500000000000002</v>
      </c>
      <c r="AM1084">
        <f t="shared" si="804"/>
        <v>0.60399999999999998</v>
      </c>
      <c r="AN1084">
        <v>10006</v>
      </c>
      <c r="AO1084" t="s">
        <v>13</v>
      </c>
      <c r="AP1084" s="3">
        <f t="shared" si="982"/>
        <v>25267.676767676767</v>
      </c>
      <c r="AQ1084" t="s">
        <v>13</v>
      </c>
      <c r="AR1084">
        <f t="shared" si="895"/>
        <v>0.22019867549668876</v>
      </c>
      <c r="AS1084">
        <f t="shared" si="983"/>
        <v>0.47100000000000003</v>
      </c>
      <c r="AT1084">
        <f t="shared" si="984"/>
        <v>11901</v>
      </c>
      <c r="AU1084">
        <f t="shared" si="985"/>
        <v>3361</v>
      </c>
      <c r="AV1084">
        <f t="shared" si="755"/>
        <v>6279</v>
      </c>
      <c r="AW1084">
        <f t="shared" si="756"/>
        <v>4775</v>
      </c>
      <c r="AX1084" s="3">
        <f t="shared" si="757"/>
        <v>14213.676767676767</v>
      </c>
      <c r="AY1084">
        <f t="shared" si="758"/>
        <v>5951</v>
      </c>
      <c r="AZ1084">
        <f t="shared" si="759"/>
        <v>4857</v>
      </c>
      <c r="BA1084" s="3">
        <f t="shared" si="760"/>
        <v>14459.676767676767</v>
      </c>
    </row>
    <row r="1085" spans="1:53" x14ac:dyDescent="0.2">
      <c r="A1085">
        <v>1987</v>
      </c>
      <c r="B1085" t="s">
        <v>92</v>
      </c>
      <c r="C1085" t="s">
        <v>85</v>
      </c>
      <c r="D1085">
        <v>26.5</v>
      </c>
      <c r="E1085">
        <v>1.7</v>
      </c>
      <c r="F1085">
        <v>0.1</v>
      </c>
      <c r="G1085">
        <v>12.8</v>
      </c>
      <c r="H1085">
        <v>0.9</v>
      </c>
      <c r="I1085">
        <v>1.5</v>
      </c>
      <c r="J1085">
        <v>0</v>
      </c>
      <c r="K1085">
        <f t="shared" si="922"/>
        <v>43.5</v>
      </c>
      <c r="L1085">
        <v>1.3</v>
      </c>
      <c r="M1085">
        <v>0.5</v>
      </c>
      <c r="N1085">
        <v>0</v>
      </c>
      <c r="O1085">
        <f t="shared" si="761"/>
        <v>1.8</v>
      </c>
      <c r="P1085">
        <v>0</v>
      </c>
      <c r="Q1085">
        <v>0</v>
      </c>
      <c r="R1085">
        <v>0</v>
      </c>
      <c r="S1085">
        <f t="shared" si="762"/>
        <v>0</v>
      </c>
      <c r="T1085">
        <v>0.4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0.7</v>
      </c>
      <c r="AA1085">
        <f t="shared" si="763"/>
        <v>1.1000000000000001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20.100000000000001</v>
      </c>
      <c r="AI1085">
        <v>1</v>
      </c>
      <c r="AJ1085" s="5">
        <f t="shared" si="764"/>
        <v>21.1</v>
      </c>
      <c r="AK1085">
        <v>0</v>
      </c>
      <c r="AL1085">
        <v>0.32600000000000001</v>
      </c>
      <c r="AM1085">
        <f t="shared" si="804"/>
        <v>0.67500000000000016</v>
      </c>
      <c r="AN1085">
        <v>12352</v>
      </c>
      <c r="AO1085" t="s">
        <v>13</v>
      </c>
      <c r="AP1085" s="3">
        <f t="shared" si="982"/>
        <v>38006.153846153866</v>
      </c>
      <c r="AQ1085" t="s">
        <v>13</v>
      </c>
      <c r="AR1085">
        <f t="shared" si="895"/>
        <v>0.31259259259259253</v>
      </c>
      <c r="AS1085">
        <f t="shared" si="983"/>
        <v>0.46399999999999997</v>
      </c>
      <c r="AT1085">
        <f t="shared" si="984"/>
        <v>17635</v>
      </c>
      <c r="AU1085">
        <f t="shared" si="985"/>
        <v>8019</v>
      </c>
      <c r="AV1085">
        <f t="shared" si="755"/>
        <v>9369</v>
      </c>
      <c r="AW1085">
        <f t="shared" si="756"/>
        <v>11273</v>
      </c>
      <c r="AX1085" s="3">
        <f t="shared" si="757"/>
        <v>17364.153846153866</v>
      </c>
      <c r="AY1085">
        <f t="shared" si="758"/>
        <v>8817</v>
      </c>
      <c r="AZ1085">
        <f t="shared" si="759"/>
        <v>11490</v>
      </c>
      <c r="BA1085" s="3">
        <f t="shared" si="760"/>
        <v>17699.153846153866</v>
      </c>
    </row>
    <row r="1086" spans="1:53" x14ac:dyDescent="0.2">
      <c r="A1086">
        <v>1988</v>
      </c>
      <c r="B1086" t="s">
        <v>92</v>
      </c>
      <c r="C1086" t="s">
        <v>85</v>
      </c>
      <c r="D1086">
        <v>21.6</v>
      </c>
      <c r="E1086">
        <v>1.6</v>
      </c>
      <c r="F1086">
        <v>1.5</v>
      </c>
      <c r="G1086">
        <v>8.5</v>
      </c>
      <c r="H1086">
        <v>0.9</v>
      </c>
      <c r="I1086">
        <v>5.4</v>
      </c>
      <c r="J1086">
        <v>0</v>
      </c>
      <c r="K1086">
        <f t="shared" si="922"/>
        <v>39.5</v>
      </c>
      <c r="L1086">
        <v>1.9</v>
      </c>
      <c r="M1086">
        <v>0.4</v>
      </c>
      <c r="N1086">
        <v>0</v>
      </c>
      <c r="O1086">
        <f t="shared" si="761"/>
        <v>2.2999999999999998</v>
      </c>
      <c r="P1086">
        <v>0</v>
      </c>
      <c r="Q1086">
        <v>0</v>
      </c>
      <c r="R1086">
        <v>1</v>
      </c>
      <c r="S1086">
        <f t="shared" si="762"/>
        <v>1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3.3</v>
      </c>
      <c r="AA1086">
        <f t="shared" si="763"/>
        <v>3.3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15.3</v>
      </c>
      <c r="AI1086">
        <v>2.2000000000000002</v>
      </c>
      <c r="AJ1086" s="5">
        <f t="shared" si="764"/>
        <v>17.5</v>
      </c>
      <c r="AK1086">
        <v>0</v>
      </c>
      <c r="AL1086">
        <v>0.36399999999999999</v>
      </c>
      <c r="AM1086">
        <f t="shared" si="804"/>
        <v>0.63600000000000001</v>
      </c>
      <c r="AN1086">
        <v>15168</v>
      </c>
      <c r="AO1086" t="s">
        <v>13</v>
      </c>
      <c r="AP1086" s="3">
        <f t="shared" si="982"/>
        <v>41670.329670329673</v>
      </c>
      <c r="AQ1086" t="s">
        <v>13</v>
      </c>
      <c r="AR1086">
        <f t="shared" si="895"/>
        <v>0.27515723270440251</v>
      </c>
      <c r="AS1086">
        <f t="shared" si="983"/>
        <v>0.46099999999999997</v>
      </c>
      <c r="AT1086">
        <f t="shared" si="984"/>
        <v>19210</v>
      </c>
      <c r="AU1086">
        <f t="shared" si="985"/>
        <v>7292</v>
      </c>
      <c r="AV1086">
        <f t="shared" si="755"/>
        <v>10980</v>
      </c>
      <c r="AW1086">
        <f t="shared" si="756"/>
        <v>9964</v>
      </c>
      <c r="AX1086" s="3">
        <f t="shared" si="757"/>
        <v>20726.329670329673</v>
      </c>
      <c r="AY1086">
        <f t="shared" si="758"/>
        <v>9605</v>
      </c>
      <c r="AZ1086">
        <f t="shared" si="759"/>
        <v>10410</v>
      </c>
      <c r="BA1086" s="3">
        <f t="shared" si="760"/>
        <v>21655.329670329673</v>
      </c>
    </row>
    <row r="1087" spans="1:53" x14ac:dyDescent="0.2">
      <c r="A1087">
        <v>1989</v>
      </c>
      <c r="B1087" t="s">
        <v>92</v>
      </c>
      <c r="C1087" t="s">
        <v>85</v>
      </c>
      <c r="D1087">
        <v>11.7</v>
      </c>
      <c r="E1087">
        <v>0.3</v>
      </c>
      <c r="F1087">
        <v>0.2</v>
      </c>
      <c r="G1087">
        <v>11.7</v>
      </c>
      <c r="H1087">
        <v>0.2</v>
      </c>
      <c r="I1087">
        <v>10.5</v>
      </c>
      <c r="J1087">
        <v>0</v>
      </c>
      <c r="K1087">
        <f t="shared" si="922"/>
        <v>34.599999999999994</v>
      </c>
      <c r="L1087">
        <v>0.6</v>
      </c>
      <c r="M1087">
        <v>0.3</v>
      </c>
      <c r="N1087">
        <v>0</v>
      </c>
      <c r="O1087">
        <f t="shared" si="761"/>
        <v>0.89999999999999991</v>
      </c>
      <c r="P1087">
        <v>0</v>
      </c>
      <c r="Q1087">
        <v>0</v>
      </c>
      <c r="R1087">
        <v>0</v>
      </c>
      <c r="S1087">
        <f t="shared" si="762"/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2</v>
      </c>
      <c r="AA1087">
        <f t="shared" si="763"/>
        <v>2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24.9</v>
      </c>
      <c r="AI1087">
        <v>1.6</v>
      </c>
      <c r="AJ1087" s="5">
        <f t="shared" si="764"/>
        <v>26.5</v>
      </c>
      <c r="AK1087">
        <v>0</v>
      </c>
      <c r="AL1087">
        <v>0.36</v>
      </c>
      <c r="AM1087">
        <f t="shared" si="804"/>
        <v>0.64</v>
      </c>
      <c r="AN1087">
        <v>9951</v>
      </c>
      <c r="AO1087" t="s">
        <v>13</v>
      </c>
      <c r="AP1087" s="3">
        <f t="shared" si="982"/>
        <v>27641.666666666668</v>
      </c>
      <c r="AQ1087" t="s">
        <v>13</v>
      </c>
      <c r="AR1087">
        <f t="shared" si="895"/>
        <v>0.4140625</v>
      </c>
      <c r="AS1087">
        <f t="shared" si="983"/>
        <v>0.37499999999999994</v>
      </c>
      <c r="AT1087">
        <f t="shared" si="984"/>
        <v>10366</v>
      </c>
      <c r="AU1087">
        <f t="shared" si="985"/>
        <v>7325</v>
      </c>
      <c r="AV1087">
        <f t="shared" si="755"/>
        <v>5584</v>
      </c>
      <c r="AW1087">
        <f t="shared" si="756"/>
        <v>9353</v>
      </c>
      <c r="AX1087" s="3">
        <f t="shared" si="757"/>
        <v>12704.666666666668</v>
      </c>
      <c r="AY1087">
        <f t="shared" si="758"/>
        <v>5183</v>
      </c>
      <c r="AZ1087">
        <f t="shared" si="759"/>
        <v>9523</v>
      </c>
      <c r="BA1087" s="3">
        <f t="shared" si="760"/>
        <v>12935.666666666668</v>
      </c>
    </row>
    <row r="1088" spans="1:53" x14ac:dyDescent="0.2">
      <c r="A1088">
        <v>1990</v>
      </c>
      <c r="B1088" t="s">
        <v>92</v>
      </c>
      <c r="C1088" t="s">
        <v>85</v>
      </c>
      <c r="D1088">
        <v>15.1</v>
      </c>
      <c r="E1088">
        <v>0.5</v>
      </c>
      <c r="F1088">
        <v>0.3</v>
      </c>
      <c r="G1088">
        <v>6.3</v>
      </c>
      <c r="H1088">
        <v>2.6</v>
      </c>
      <c r="I1088">
        <v>7.1</v>
      </c>
      <c r="J1088">
        <v>0</v>
      </c>
      <c r="K1088">
        <f t="shared" si="922"/>
        <v>31.9</v>
      </c>
      <c r="L1088">
        <v>0.3</v>
      </c>
      <c r="M1088">
        <v>0.2</v>
      </c>
      <c r="N1088">
        <v>0</v>
      </c>
      <c r="O1088">
        <f t="shared" si="761"/>
        <v>0.5</v>
      </c>
      <c r="P1088">
        <v>0</v>
      </c>
      <c r="Q1088">
        <v>0</v>
      </c>
      <c r="R1088">
        <v>0</v>
      </c>
      <c r="S1088">
        <f t="shared" si="762"/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f t="shared" si="763"/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11.3</v>
      </c>
      <c r="AI1088">
        <v>1.5</v>
      </c>
      <c r="AJ1088" s="5">
        <f t="shared" si="764"/>
        <v>12.8</v>
      </c>
      <c r="AK1088">
        <v>0</v>
      </c>
      <c r="AL1088">
        <v>0.54600000000000004</v>
      </c>
      <c r="AM1088">
        <f t="shared" si="804"/>
        <v>0.45200000000000001</v>
      </c>
      <c r="AN1088">
        <v>13711</v>
      </c>
      <c r="AO1088" t="s">
        <v>13</v>
      </c>
      <c r="AP1088" s="3">
        <f t="shared" si="982"/>
        <v>25020.072992700727</v>
      </c>
      <c r="AQ1088" t="s">
        <v>13</v>
      </c>
      <c r="AR1088">
        <f t="shared" si="895"/>
        <v>0.2831858407079646</v>
      </c>
      <c r="AS1088">
        <f t="shared" si="983"/>
        <v>0.32400000000000001</v>
      </c>
      <c r="AT1088">
        <f t="shared" si="984"/>
        <v>8107</v>
      </c>
      <c r="AU1088">
        <f t="shared" si="985"/>
        <v>3203</v>
      </c>
      <c r="AV1088">
        <f t="shared" si="755"/>
        <v>4116</v>
      </c>
      <c r="AW1088">
        <f t="shared" si="756"/>
        <v>3959</v>
      </c>
      <c r="AX1088" s="3">
        <f t="shared" si="757"/>
        <v>16945.072992700727</v>
      </c>
      <c r="AY1088">
        <f t="shared" si="758"/>
        <v>4053</v>
      </c>
      <c r="AZ1088">
        <f t="shared" si="759"/>
        <v>3971</v>
      </c>
      <c r="BA1088" s="3">
        <f t="shared" si="760"/>
        <v>16996.072992700727</v>
      </c>
    </row>
    <row r="1089" spans="1:53" x14ac:dyDescent="0.2">
      <c r="A1089">
        <v>1991</v>
      </c>
      <c r="B1089" t="s">
        <v>92</v>
      </c>
      <c r="C1089" t="s">
        <v>85</v>
      </c>
      <c r="D1089">
        <v>24.6</v>
      </c>
      <c r="E1089">
        <v>0.3</v>
      </c>
      <c r="F1089">
        <v>0.8</v>
      </c>
      <c r="G1089">
        <v>10.3</v>
      </c>
      <c r="H1089">
        <v>1.3</v>
      </c>
      <c r="I1089">
        <v>6.2</v>
      </c>
      <c r="J1089">
        <v>0</v>
      </c>
      <c r="K1089">
        <f t="shared" si="922"/>
        <v>43.5</v>
      </c>
      <c r="L1089">
        <v>0</v>
      </c>
      <c r="M1089">
        <v>0</v>
      </c>
      <c r="N1089">
        <v>0</v>
      </c>
      <c r="O1089">
        <f t="shared" si="761"/>
        <v>0</v>
      </c>
      <c r="P1089">
        <v>0</v>
      </c>
      <c r="Q1089">
        <v>0</v>
      </c>
      <c r="R1089">
        <v>0</v>
      </c>
      <c r="S1089">
        <f t="shared" si="762"/>
        <v>0</v>
      </c>
      <c r="T1089">
        <v>0</v>
      </c>
      <c r="U1089">
        <v>0.3</v>
      </c>
      <c r="V1089">
        <v>0</v>
      </c>
      <c r="W1089">
        <v>0</v>
      </c>
      <c r="X1089">
        <v>0</v>
      </c>
      <c r="Y1089">
        <v>0</v>
      </c>
      <c r="Z1089">
        <v>0.5</v>
      </c>
      <c r="AA1089">
        <f t="shared" si="763"/>
        <v>0.8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7.1</v>
      </c>
      <c r="AI1089">
        <v>2.7</v>
      </c>
      <c r="AJ1089" s="5">
        <f t="shared" si="764"/>
        <v>9.8000000000000007</v>
      </c>
      <c r="AK1089">
        <v>0</v>
      </c>
      <c r="AL1089">
        <v>0.46</v>
      </c>
      <c r="AM1089">
        <f t="shared" si="804"/>
        <v>0.54099999999999993</v>
      </c>
      <c r="AN1089">
        <v>6292</v>
      </c>
      <c r="AO1089" t="s">
        <v>13</v>
      </c>
      <c r="AP1089" s="3">
        <f t="shared" si="982"/>
        <v>13708.061002178647</v>
      </c>
      <c r="AQ1089" t="s">
        <v>13</v>
      </c>
      <c r="AR1089">
        <f t="shared" si="895"/>
        <v>0.18114602587800374</v>
      </c>
      <c r="AS1089">
        <f t="shared" si="983"/>
        <v>0.44299999999999995</v>
      </c>
      <c r="AT1089">
        <f t="shared" si="984"/>
        <v>6073</v>
      </c>
      <c r="AU1089">
        <f t="shared" si="985"/>
        <v>1343</v>
      </c>
      <c r="AV1089">
        <f t="shared" si="755"/>
        <v>3091</v>
      </c>
      <c r="AW1089">
        <f t="shared" si="756"/>
        <v>1868</v>
      </c>
      <c r="AX1089" s="3">
        <f t="shared" si="757"/>
        <v>8749.061002178647</v>
      </c>
      <c r="AY1089">
        <f t="shared" si="758"/>
        <v>3036</v>
      </c>
      <c r="AZ1089">
        <f t="shared" si="759"/>
        <v>1877</v>
      </c>
      <c r="BA1089" s="3">
        <f t="shared" si="760"/>
        <v>8795.061002178647</v>
      </c>
    </row>
    <row r="1090" spans="1:53" x14ac:dyDescent="0.2">
      <c r="A1090">
        <v>1992</v>
      </c>
      <c r="B1090" t="s">
        <v>92</v>
      </c>
      <c r="C1090" t="s">
        <v>85</v>
      </c>
      <c r="D1090">
        <v>15.1</v>
      </c>
      <c r="E1090">
        <v>6.1</v>
      </c>
      <c r="F1090">
        <v>2.5</v>
      </c>
      <c r="G1090">
        <v>11.2</v>
      </c>
      <c r="H1090">
        <v>1.9</v>
      </c>
      <c r="I1090">
        <v>16.3</v>
      </c>
      <c r="J1090">
        <v>0</v>
      </c>
      <c r="K1090">
        <f t="shared" si="922"/>
        <v>53.099999999999994</v>
      </c>
      <c r="L1090">
        <v>0</v>
      </c>
      <c r="M1090">
        <v>0.2</v>
      </c>
      <c r="N1090">
        <v>0</v>
      </c>
      <c r="O1090">
        <f t="shared" si="761"/>
        <v>0.2</v>
      </c>
      <c r="P1090">
        <v>0</v>
      </c>
      <c r="Q1090">
        <v>0</v>
      </c>
      <c r="R1090">
        <v>0</v>
      </c>
      <c r="S1090">
        <f t="shared" si="762"/>
        <v>0</v>
      </c>
      <c r="T1090">
        <v>0</v>
      </c>
      <c r="U1090">
        <v>0.3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f t="shared" si="763"/>
        <v>0.3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7.3</v>
      </c>
      <c r="AI1090">
        <v>1.2</v>
      </c>
      <c r="AJ1090" s="5">
        <f t="shared" si="764"/>
        <v>8.5</v>
      </c>
      <c r="AK1090">
        <v>0</v>
      </c>
      <c r="AL1090">
        <v>0.38</v>
      </c>
      <c r="AM1090">
        <f t="shared" si="804"/>
        <v>0.62100000000000011</v>
      </c>
      <c r="AN1090">
        <v>6342</v>
      </c>
      <c r="AO1090" t="s">
        <v>13</v>
      </c>
      <c r="AP1090" s="3">
        <f t="shared" si="982"/>
        <v>16733.5092348285</v>
      </c>
      <c r="AQ1090" t="s">
        <v>13</v>
      </c>
      <c r="AR1090">
        <f t="shared" si="895"/>
        <v>0.13687600644122383</v>
      </c>
      <c r="AS1090">
        <f t="shared" si="983"/>
        <v>0.53599999999999992</v>
      </c>
      <c r="AT1090">
        <f t="shared" si="984"/>
        <v>8969</v>
      </c>
      <c r="AU1090">
        <f t="shared" si="985"/>
        <v>1422</v>
      </c>
      <c r="AV1090">
        <f t="shared" si="755"/>
        <v>4526</v>
      </c>
      <c r="AW1090">
        <f t="shared" si="756"/>
        <v>2236</v>
      </c>
      <c r="AX1090" s="3">
        <f t="shared" si="757"/>
        <v>9971.5092348284998</v>
      </c>
      <c r="AY1090">
        <f t="shared" si="758"/>
        <v>4485</v>
      </c>
      <c r="AZ1090">
        <f t="shared" si="759"/>
        <v>2243</v>
      </c>
      <c r="BA1090" s="3">
        <f t="shared" si="760"/>
        <v>10005.5092348285</v>
      </c>
    </row>
    <row r="1091" spans="1:53" x14ac:dyDescent="0.2">
      <c r="A1091">
        <v>1993</v>
      </c>
      <c r="B1091" t="s">
        <v>92</v>
      </c>
      <c r="C1091" t="s">
        <v>85</v>
      </c>
      <c r="D1091">
        <v>20.5</v>
      </c>
      <c r="E1091">
        <v>2.2000000000000002</v>
      </c>
      <c r="F1091">
        <v>0.7</v>
      </c>
      <c r="G1091">
        <v>12.7</v>
      </c>
      <c r="H1091">
        <v>1.4</v>
      </c>
      <c r="I1091">
        <v>13.2</v>
      </c>
      <c r="J1091">
        <v>0</v>
      </c>
      <c r="K1091">
        <f t="shared" si="922"/>
        <v>50.699999999999989</v>
      </c>
      <c r="L1091">
        <v>0.3</v>
      </c>
      <c r="M1091">
        <v>0</v>
      </c>
      <c r="N1091">
        <v>0</v>
      </c>
      <c r="O1091">
        <f t="shared" si="761"/>
        <v>0.3</v>
      </c>
      <c r="P1091">
        <v>0</v>
      </c>
      <c r="Q1091">
        <v>0</v>
      </c>
      <c r="R1091">
        <v>0</v>
      </c>
      <c r="S1091">
        <f t="shared" si="762"/>
        <v>0</v>
      </c>
      <c r="T1091">
        <v>0.5</v>
      </c>
      <c r="U1091">
        <v>1.9</v>
      </c>
      <c r="V1091">
        <v>0</v>
      </c>
      <c r="W1091">
        <v>0</v>
      </c>
      <c r="X1091">
        <v>0</v>
      </c>
      <c r="Y1091">
        <v>0</v>
      </c>
      <c r="Z1091">
        <v>1</v>
      </c>
      <c r="AA1091">
        <f t="shared" si="763"/>
        <v>3.4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3.6</v>
      </c>
      <c r="AI1091">
        <v>0.2</v>
      </c>
      <c r="AJ1091" s="5">
        <f t="shared" si="764"/>
        <v>3.8000000000000003</v>
      </c>
      <c r="AK1091">
        <v>0</v>
      </c>
      <c r="AL1091">
        <v>0.41799999999999998</v>
      </c>
      <c r="AM1091">
        <f t="shared" si="804"/>
        <v>0.58199999999999985</v>
      </c>
      <c r="AN1091">
        <v>5254</v>
      </c>
      <c r="AO1091" t="s">
        <v>13</v>
      </c>
      <c r="AP1091" s="3">
        <f t="shared" si="982"/>
        <v>12569.377990430618</v>
      </c>
      <c r="AQ1091" t="s">
        <v>13</v>
      </c>
      <c r="AR1091">
        <f t="shared" si="895"/>
        <v>6.5292096219931303E-2</v>
      </c>
      <c r="AS1091">
        <f t="shared" si="983"/>
        <v>0.54399999999999982</v>
      </c>
      <c r="AT1091">
        <f t="shared" si="984"/>
        <v>6838</v>
      </c>
      <c r="AU1091">
        <f t="shared" si="985"/>
        <v>478</v>
      </c>
      <c r="AV1091">
        <f t="shared" ref="AV1091:AV1154" si="986">ROUND((((K1091*0.5)+O1091+S1091+AA1091)/100)*AP1091,0)</f>
        <v>3651</v>
      </c>
      <c r="AW1091">
        <f t="shared" ref="AW1091:AW1154" si="987">ROUND((AU1091/(AP1091-AT1091))*(AP1091-AV1091),0)</f>
        <v>744</v>
      </c>
      <c r="AX1091" s="3">
        <f t="shared" ref="AX1091:AX1154" si="988">AP1091-AV1091-AW1091</f>
        <v>8174.3779904306175</v>
      </c>
      <c r="AY1091">
        <f t="shared" ref="AY1091:AY1154" si="989">ROUND((0.5*AS1091)*AP1091,0)</f>
        <v>3419</v>
      </c>
      <c r="AZ1091">
        <f t="shared" ref="AZ1091:AZ1154" si="990">ROUND((AU1091/(AP1091-AT1091))*(AP1091-AY1091),0)</f>
        <v>763</v>
      </c>
      <c r="BA1091" s="3">
        <f t="shared" ref="BA1091:BA1154" si="991">AP1091-AZ1091-AY1091</f>
        <v>8387.3779904306175</v>
      </c>
    </row>
    <row r="1092" spans="1:53" x14ac:dyDescent="0.2">
      <c r="A1092">
        <v>1994</v>
      </c>
      <c r="B1092" t="s">
        <v>92</v>
      </c>
      <c r="C1092" t="s">
        <v>85</v>
      </c>
      <c r="D1092">
        <v>22.5</v>
      </c>
      <c r="E1092">
        <v>1.2</v>
      </c>
      <c r="F1092">
        <v>0.4</v>
      </c>
      <c r="G1092">
        <v>21.2</v>
      </c>
      <c r="H1092">
        <v>1.4</v>
      </c>
      <c r="I1092">
        <v>4</v>
      </c>
      <c r="J1092">
        <v>0.5</v>
      </c>
      <c r="K1092">
        <f t="shared" si="922"/>
        <v>51.199999999999996</v>
      </c>
      <c r="L1092">
        <v>0.2</v>
      </c>
      <c r="M1092">
        <v>0.3</v>
      </c>
      <c r="N1092">
        <v>0</v>
      </c>
      <c r="O1092">
        <f t="shared" si="761"/>
        <v>0.5</v>
      </c>
      <c r="P1092">
        <v>0</v>
      </c>
      <c r="Q1092">
        <v>0</v>
      </c>
      <c r="R1092">
        <v>0.7</v>
      </c>
      <c r="S1092">
        <f t="shared" si="762"/>
        <v>0.7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f t="shared" si="763"/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4.0999999999999996</v>
      </c>
      <c r="AI1092">
        <v>2.2000000000000002</v>
      </c>
      <c r="AJ1092" s="5">
        <f t="shared" si="764"/>
        <v>6.3</v>
      </c>
      <c r="AK1092">
        <v>0</v>
      </c>
      <c r="AL1092">
        <v>0.41299999999999998</v>
      </c>
      <c r="AM1092">
        <f t="shared" si="804"/>
        <v>0.58699999999999997</v>
      </c>
      <c r="AN1092">
        <v>4932</v>
      </c>
      <c r="AO1092" t="s">
        <v>13</v>
      </c>
      <c r="AP1092" s="3">
        <f t="shared" si="982"/>
        <v>11941.888619854721</v>
      </c>
      <c r="AQ1092" t="s">
        <v>13</v>
      </c>
      <c r="AR1092">
        <f t="shared" si="895"/>
        <v>0.10732538330494037</v>
      </c>
      <c r="AS1092">
        <f t="shared" si="983"/>
        <v>0.52400000000000002</v>
      </c>
      <c r="AT1092">
        <f t="shared" si="984"/>
        <v>6258</v>
      </c>
      <c r="AU1092">
        <f t="shared" si="985"/>
        <v>752</v>
      </c>
      <c r="AV1092">
        <f t="shared" si="986"/>
        <v>3200</v>
      </c>
      <c r="AW1092">
        <f t="shared" si="987"/>
        <v>1157</v>
      </c>
      <c r="AX1092" s="3">
        <f t="shared" si="988"/>
        <v>7584.8886198547207</v>
      </c>
      <c r="AY1092">
        <f t="shared" si="989"/>
        <v>3129</v>
      </c>
      <c r="AZ1092">
        <f t="shared" si="990"/>
        <v>1166</v>
      </c>
      <c r="BA1092" s="3">
        <f t="shared" si="991"/>
        <v>7646.8886198547207</v>
      </c>
    </row>
    <row r="1093" spans="1:53" x14ac:dyDescent="0.2">
      <c r="A1093">
        <v>1995</v>
      </c>
      <c r="B1093" t="s">
        <v>92</v>
      </c>
      <c r="C1093" t="s">
        <v>85</v>
      </c>
      <c r="D1093">
        <v>21.4</v>
      </c>
      <c r="E1093">
        <v>0</v>
      </c>
      <c r="F1093">
        <v>1.7</v>
      </c>
      <c r="G1093">
        <v>6.4</v>
      </c>
      <c r="H1093">
        <v>3.8</v>
      </c>
      <c r="I1093">
        <v>0.8</v>
      </c>
      <c r="J1093">
        <v>0</v>
      </c>
      <c r="K1093">
        <f t="shared" si="922"/>
        <v>34.099999999999994</v>
      </c>
      <c r="L1093">
        <v>0</v>
      </c>
      <c r="M1093">
        <v>0.2</v>
      </c>
      <c r="N1093">
        <v>0</v>
      </c>
      <c r="O1093">
        <f t="shared" si="761"/>
        <v>0.2</v>
      </c>
      <c r="P1093">
        <v>0</v>
      </c>
      <c r="Q1093">
        <v>0</v>
      </c>
      <c r="R1093">
        <v>0.6</v>
      </c>
      <c r="S1093">
        <f t="shared" si="762"/>
        <v>0.6</v>
      </c>
      <c r="T1093">
        <v>0.7</v>
      </c>
      <c r="U1093">
        <v>0</v>
      </c>
      <c r="V1093">
        <v>0</v>
      </c>
      <c r="W1093">
        <v>0</v>
      </c>
      <c r="X1093">
        <v>0</v>
      </c>
      <c r="Y1093">
        <v>0.2</v>
      </c>
      <c r="Z1093">
        <v>0</v>
      </c>
      <c r="AA1093">
        <f t="shared" si="763"/>
        <v>0.89999999999999991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5.8</v>
      </c>
      <c r="AI1093">
        <v>5.6</v>
      </c>
      <c r="AJ1093" s="5">
        <f t="shared" si="764"/>
        <v>11.399999999999999</v>
      </c>
      <c r="AK1093">
        <v>0</v>
      </c>
      <c r="AL1093">
        <v>0.52900000000000003</v>
      </c>
      <c r="AM1093">
        <f t="shared" si="804"/>
        <v>0.47199999999999986</v>
      </c>
      <c r="AN1093">
        <v>5532</v>
      </c>
      <c r="AO1093" t="s">
        <v>13</v>
      </c>
      <c r="AP1093" s="3">
        <f t="shared" si="982"/>
        <v>10477.272727272724</v>
      </c>
      <c r="AQ1093" t="s">
        <v>13</v>
      </c>
      <c r="AR1093">
        <f t="shared" si="895"/>
        <v>0.24152542372881361</v>
      </c>
      <c r="AS1093">
        <f t="shared" si="983"/>
        <v>0.35799999999999998</v>
      </c>
      <c r="AT1093">
        <f t="shared" si="984"/>
        <v>3751</v>
      </c>
      <c r="AU1093">
        <f t="shared" si="985"/>
        <v>1194</v>
      </c>
      <c r="AV1093">
        <f t="shared" si="986"/>
        <v>1964</v>
      </c>
      <c r="AW1093">
        <f t="shared" si="987"/>
        <v>1511</v>
      </c>
      <c r="AX1093" s="3">
        <f t="shared" si="988"/>
        <v>7002.2727272727243</v>
      </c>
      <c r="AY1093">
        <f t="shared" si="989"/>
        <v>1875</v>
      </c>
      <c r="AZ1093">
        <f t="shared" si="990"/>
        <v>1527</v>
      </c>
      <c r="BA1093" s="3">
        <f t="shared" si="991"/>
        <v>7075.2727272727243</v>
      </c>
    </row>
    <row r="1094" spans="1:53" x14ac:dyDescent="0.2">
      <c r="A1094">
        <v>1996</v>
      </c>
      <c r="B1094" t="s">
        <v>92</v>
      </c>
      <c r="C1094" t="s">
        <v>85</v>
      </c>
      <c r="D1094">
        <v>21.7</v>
      </c>
      <c r="E1094">
        <v>0</v>
      </c>
      <c r="F1094">
        <v>2.7</v>
      </c>
      <c r="G1094">
        <v>0.8</v>
      </c>
      <c r="H1094">
        <v>0</v>
      </c>
      <c r="I1094">
        <v>0.4</v>
      </c>
      <c r="J1094">
        <v>0</v>
      </c>
      <c r="K1094">
        <f t="shared" si="922"/>
        <v>25.599999999999998</v>
      </c>
      <c r="L1094">
        <v>0.3</v>
      </c>
      <c r="M1094">
        <v>0</v>
      </c>
      <c r="N1094">
        <v>0</v>
      </c>
      <c r="O1094">
        <f t="shared" si="761"/>
        <v>0.3</v>
      </c>
      <c r="P1094">
        <v>0</v>
      </c>
      <c r="Q1094">
        <v>0</v>
      </c>
      <c r="R1094">
        <v>0</v>
      </c>
      <c r="S1094">
        <f t="shared" si="762"/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f t="shared" si="763"/>
        <v>0</v>
      </c>
      <c r="AB1094">
        <v>0</v>
      </c>
      <c r="AC1094">
        <v>0</v>
      </c>
      <c r="AD1094">
        <v>0</v>
      </c>
      <c r="AE1094">
        <v>0</v>
      </c>
      <c r="AF1094">
        <v>0.1</v>
      </c>
      <c r="AG1094">
        <v>0</v>
      </c>
      <c r="AH1094">
        <v>11.8</v>
      </c>
      <c r="AI1094">
        <v>4</v>
      </c>
      <c r="AJ1094" s="5">
        <f t="shared" si="764"/>
        <v>15.9</v>
      </c>
      <c r="AK1094">
        <v>0</v>
      </c>
      <c r="AL1094">
        <v>0.58299999999999996</v>
      </c>
      <c r="AM1094">
        <f t="shared" si="804"/>
        <v>0.41799999999999998</v>
      </c>
      <c r="AN1094">
        <v>7316</v>
      </c>
      <c r="AO1094" t="s">
        <v>13</v>
      </c>
      <c r="AP1094" s="3">
        <f t="shared" si="982"/>
        <v>12570.446735395188</v>
      </c>
      <c r="AQ1094" t="s">
        <v>13</v>
      </c>
      <c r="AR1094">
        <f t="shared" si="895"/>
        <v>0.38038277511961727</v>
      </c>
      <c r="AS1094">
        <f t="shared" si="983"/>
        <v>0.25900000000000001</v>
      </c>
      <c r="AT1094">
        <f t="shared" si="984"/>
        <v>3256</v>
      </c>
      <c r="AU1094">
        <f t="shared" si="985"/>
        <v>1999</v>
      </c>
      <c r="AV1094">
        <f t="shared" si="986"/>
        <v>1647</v>
      </c>
      <c r="AW1094">
        <f t="shared" si="987"/>
        <v>2344</v>
      </c>
      <c r="AX1094" s="3">
        <f t="shared" si="988"/>
        <v>8579.4467353951877</v>
      </c>
      <c r="AY1094">
        <f t="shared" si="989"/>
        <v>1628</v>
      </c>
      <c r="AZ1094">
        <f t="shared" si="990"/>
        <v>2348</v>
      </c>
      <c r="BA1094" s="3">
        <f t="shared" si="991"/>
        <v>8594.4467353951877</v>
      </c>
    </row>
    <row r="1095" spans="1:53" x14ac:dyDescent="0.2">
      <c r="A1095">
        <v>1997</v>
      </c>
      <c r="B1095" t="s">
        <v>92</v>
      </c>
      <c r="C1095" t="s">
        <v>85</v>
      </c>
      <c r="D1095">
        <v>37.799999999999997</v>
      </c>
      <c r="E1095">
        <v>0.6</v>
      </c>
      <c r="F1095">
        <v>0</v>
      </c>
      <c r="G1095">
        <v>7.8</v>
      </c>
      <c r="H1095">
        <v>0</v>
      </c>
      <c r="I1095">
        <v>0.3</v>
      </c>
      <c r="J1095">
        <v>0</v>
      </c>
      <c r="K1095">
        <f t="shared" si="922"/>
        <v>46.499999999999993</v>
      </c>
      <c r="L1095">
        <v>0.3</v>
      </c>
      <c r="M1095">
        <v>0</v>
      </c>
      <c r="N1095">
        <v>0</v>
      </c>
      <c r="O1095">
        <f t="shared" si="761"/>
        <v>0.3</v>
      </c>
      <c r="P1095">
        <v>0</v>
      </c>
      <c r="Q1095">
        <v>0</v>
      </c>
      <c r="R1095">
        <v>0</v>
      </c>
      <c r="S1095">
        <f t="shared" si="762"/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f t="shared" si="763"/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2.9</v>
      </c>
      <c r="AI1095">
        <v>2.7</v>
      </c>
      <c r="AJ1095" s="5">
        <f t="shared" si="764"/>
        <v>5.6</v>
      </c>
      <c r="AK1095">
        <v>0</v>
      </c>
      <c r="AL1095">
        <v>0.47600000000000003</v>
      </c>
      <c r="AM1095">
        <f t="shared" si="804"/>
        <v>0.52399999999999991</v>
      </c>
      <c r="AN1095">
        <v>5405</v>
      </c>
      <c r="AO1095" t="s">
        <v>13</v>
      </c>
      <c r="AP1095" s="3">
        <f t="shared" si="982"/>
        <v>11355.042016806721</v>
      </c>
      <c r="AQ1095" t="s">
        <v>13</v>
      </c>
      <c r="AR1095">
        <f t="shared" si="895"/>
        <v>0.1068702290076336</v>
      </c>
      <c r="AS1095">
        <f t="shared" si="983"/>
        <v>0.46799999999999992</v>
      </c>
      <c r="AT1095">
        <f t="shared" si="984"/>
        <v>5314</v>
      </c>
      <c r="AU1095">
        <f t="shared" si="985"/>
        <v>636</v>
      </c>
      <c r="AV1095">
        <f t="shared" si="986"/>
        <v>2674</v>
      </c>
      <c r="AW1095">
        <f t="shared" si="987"/>
        <v>914</v>
      </c>
      <c r="AX1095" s="3">
        <f t="shared" si="988"/>
        <v>7767.0420168067212</v>
      </c>
      <c r="AY1095">
        <f t="shared" si="989"/>
        <v>2657</v>
      </c>
      <c r="AZ1095">
        <f t="shared" si="990"/>
        <v>916</v>
      </c>
      <c r="BA1095" s="3">
        <f t="shared" si="991"/>
        <v>7782.0420168067212</v>
      </c>
    </row>
    <row r="1096" spans="1:53" x14ac:dyDescent="0.2">
      <c r="A1096">
        <v>1998</v>
      </c>
      <c r="B1096" t="s">
        <v>92</v>
      </c>
      <c r="C1096" t="s">
        <v>85</v>
      </c>
      <c r="D1096">
        <v>25.1</v>
      </c>
      <c r="E1096">
        <v>0</v>
      </c>
      <c r="F1096">
        <v>3.4</v>
      </c>
      <c r="G1096">
        <v>18.899999999999999</v>
      </c>
      <c r="H1096">
        <v>0</v>
      </c>
      <c r="I1096">
        <v>0</v>
      </c>
      <c r="J1096">
        <v>0</v>
      </c>
      <c r="K1096">
        <f t="shared" si="922"/>
        <v>47.4</v>
      </c>
      <c r="L1096">
        <v>0</v>
      </c>
      <c r="M1096">
        <v>0</v>
      </c>
      <c r="N1096">
        <v>0</v>
      </c>
      <c r="O1096">
        <f t="shared" si="761"/>
        <v>0</v>
      </c>
      <c r="P1096">
        <v>0</v>
      </c>
      <c r="Q1096">
        <v>0</v>
      </c>
      <c r="R1096">
        <v>0</v>
      </c>
      <c r="S1096">
        <f t="shared" si="762"/>
        <v>0</v>
      </c>
      <c r="T1096">
        <v>0</v>
      </c>
      <c r="U1096">
        <v>0.8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f t="shared" si="763"/>
        <v>0.8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5.7</v>
      </c>
      <c r="AI1096">
        <v>2.1</v>
      </c>
      <c r="AJ1096" s="5">
        <f t="shared" si="764"/>
        <v>7.8000000000000007</v>
      </c>
      <c r="AK1096">
        <v>0</v>
      </c>
      <c r="AL1096">
        <v>0.441</v>
      </c>
      <c r="AM1096">
        <f t="shared" si="804"/>
        <v>0.56000000000000005</v>
      </c>
      <c r="AN1096">
        <v>6752</v>
      </c>
      <c r="AO1096" t="s">
        <v>13</v>
      </c>
      <c r="AP1096" s="3">
        <f t="shared" si="982"/>
        <v>15345.454545454548</v>
      </c>
      <c r="AQ1096" t="s">
        <v>13</v>
      </c>
      <c r="AR1096">
        <f t="shared" si="895"/>
        <v>0.13928571428571429</v>
      </c>
      <c r="AS1096">
        <f t="shared" si="983"/>
        <v>0.48199999999999998</v>
      </c>
      <c r="AT1096">
        <f t="shared" si="984"/>
        <v>7397</v>
      </c>
      <c r="AU1096">
        <f t="shared" si="985"/>
        <v>1197</v>
      </c>
      <c r="AV1096">
        <f t="shared" si="986"/>
        <v>3760</v>
      </c>
      <c r="AW1096">
        <f t="shared" si="987"/>
        <v>1745</v>
      </c>
      <c r="AX1096" s="3">
        <f t="shared" si="988"/>
        <v>9840.4545454545478</v>
      </c>
      <c r="AY1096">
        <f t="shared" si="989"/>
        <v>3698</v>
      </c>
      <c r="AZ1096">
        <f t="shared" si="990"/>
        <v>1754</v>
      </c>
      <c r="BA1096" s="3">
        <f t="shared" si="991"/>
        <v>9893.4545454545478</v>
      </c>
    </row>
    <row r="1097" spans="1:53" x14ac:dyDescent="0.2">
      <c r="A1097">
        <v>1999</v>
      </c>
      <c r="B1097" t="s">
        <v>92</v>
      </c>
      <c r="C1097" t="s">
        <v>85</v>
      </c>
      <c r="D1097">
        <v>10.9</v>
      </c>
      <c r="E1097">
        <v>0</v>
      </c>
      <c r="F1097">
        <v>2.7</v>
      </c>
      <c r="G1097">
        <v>2.7</v>
      </c>
      <c r="H1097">
        <v>0</v>
      </c>
      <c r="I1097">
        <v>0</v>
      </c>
      <c r="J1097">
        <v>0</v>
      </c>
      <c r="K1097">
        <f t="shared" si="922"/>
        <v>16.3</v>
      </c>
      <c r="L1097">
        <v>0</v>
      </c>
      <c r="M1097">
        <v>0</v>
      </c>
      <c r="N1097">
        <v>0</v>
      </c>
      <c r="O1097">
        <f t="shared" si="761"/>
        <v>0</v>
      </c>
      <c r="P1097">
        <v>0</v>
      </c>
      <c r="Q1097">
        <v>0</v>
      </c>
      <c r="R1097">
        <v>0</v>
      </c>
      <c r="S1097">
        <f t="shared" si="762"/>
        <v>0</v>
      </c>
      <c r="T1097">
        <v>0</v>
      </c>
      <c r="U1097">
        <v>0.3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f t="shared" si="763"/>
        <v>0.3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21.5</v>
      </c>
      <c r="AI1097">
        <v>3.4</v>
      </c>
      <c r="AJ1097" s="5">
        <f t="shared" si="764"/>
        <v>24.9</v>
      </c>
      <c r="AK1097">
        <v>0</v>
      </c>
      <c r="AL1097">
        <v>0.58399999999999996</v>
      </c>
      <c r="AM1097">
        <f t="shared" si="804"/>
        <v>0.41500000000000009</v>
      </c>
      <c r="AN1097">
        <v>3334</v>
      </c>
      <c r="AO1097" t="s">
        <v>13</v>
      </c>
      <c r="AP1097" s="3">
        <f t="shared" si="982"/>
        <v>5699.1452991452998</v>
      </c>
      <c r="AQ1097" t="s">
        <v>13</v>
      </c>
      <c r="AR1097">
        <f t="shared" si="895"/>
        <v>0.59999999999999987</v>
      </c>
      <c r="AS1097">
        <f t="shared" si="983"/>
        <v>0.16600000000000001</v>
      </c>
      <c r="AT1097">
        <f t="shared" si="984"/>
        <v>946</v>
      </c>
      <c r="AU1097">
        <f t="shared" si="985"/>
        <v>1419</v>
      </c>
      <c r="AV1097">
        <f t="shared" si="986"/>
        <v>482</v>
      </c>
      <c r="AW1097">
        <f t="shared" si="987"/>
        <v>1558</v>
      </c>
      <c r="AX1097" s="3">
        <f t="shared" si="988"/>
        <v>3659.1452991452998</v>
      </c>
      <c r="AY1097">
        <f t="shared" si="989"/>
        <v>473</v>
      </c>
      <c r="AZ1097">
        <f t="shared" si="990"/>
        <v>1560</v>
      </c>
      <c r="BA1097" s="3">
        <f t="shared" si="991"/>
        <v>3666.1452991452998</v>
      </c>
    </row>
    <row r="1098" spans="1:53" x14ac:dyDescent="0.2">
      <c r="A1098">
        <v>2000</v>
      </c>
      <c r="B1098" t="s">
        <v>92</v>
      </c>
      <c r="C1098" t="s">
        <v>85</v>
      </c>
      <c r="D1098">
        <v>19.600000000000001</v>
      </c>
      <c r="E1098">
        <v>0</v>
      </c>
      <c r="F1098">
        <v>5</v>
      </c>
      <c r="G1098">
        <v>9.8000000000000007</v>
      </c>
      <c r="H1098">
        <v>0</v>
      </c>
      <c r="I1098">
        <v>0</v>
      </c>
      <c r="J1098">
        <v>0</v>
      </c>
      <c r="K1098">
        <f t="shared" si="922"/>
        <v>34.400000000000006</v>
      </c>
      <c r="L1098">
        <v>0</v>
      </c>
      <c r="M1098">
        <v>0</v>
      </c>
      <c r="N1098">
        <v>0</v>
      </c>
      <c r="O1098">
        <f t="shared" ref="O1098:O1161" si="992">SUM(L1098:N1098)</f>
        <v>0</v>
      </c>
      <c r="P1098">
        <v>0</v>
      </c>
      <c r="Q1098">
        <v>0</v>
      </c>
      <c r="R1098">
        <v>0</v>
      </c>
      <c r="S1098">
        <f t="shared" ref="S1098:S1161" si="993">SUM(P1098:R1098)</f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f t="shared" ref="AA1098:AA1161" si="994">SUM(T1098:Z1098)</f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9.6</v>
      </c>
      <c r="AI1098">
        <v>4.9000000000000004</v>
      </c>
      <c r="AJ1098" s="5">
        <f t="shared" ref="AJ1098:AJ1161" si="995">SUM(AB1098:AI1098)</f>
        <v>14.5</v>
      </c>
      <c r="AK1098">
        <v>0</v>
      </c>
      <c r="AL1098">
        <v>0.51</v>
      </c>
      <c r="AM1098">
        <f t="shared" si="804"/>
        <v>0.48900000000000005</v>
      </c>
      <c r="AN1098">
        <v>3730</v>
      </c>
      <c r="AO1098" t="s">
        <v>13</v>
      </c>
      <c r="AP1098" s="3">
        <f t="shared" si="982"/>
        <v>7299.4129158512733</v>
      </c>
      <c r="AQ1098" t="s">
        <v>13</v>
      </c>
      <c r="AR1098">
        <f t="shared" si="895"/>
        <v>0.29652351738241306</v>
      </c>
      <c r="AS1098">
        <f t="shared" si="983"/>
        <v>0.34400000000000008</v>
      </c>
      <c r="AT1098">
        <f t="shared" si="984"/>
        <v>2511</v>
      </c>
      <c r="AU1098">
        <f t="shared" si="985"/>
        <v>1058</v>
      </c>
      <c r="AV1098">
        <f t="shared" si="986"/>
        <v>1255</v>
      </c>
      <c r="AW1098">
        <f t="shared" si="987"/>
        <v>1336</v>
      </c>
      <c r="AX1098" s="3">
        <f t="shared" si="988"/>
        <v>4708.4129158512733</v>
      </c>
      <c r="AY1098">
        <f t="shared" si="989"/>
        <v>1255</v>
      </c>
      <c r="AZ1098">
        <f t="shared" si="990"/>
        <v>1336</v>
      </c>
      <c r="BA1098" s="3">
        <f t="shared" si="991"/>
        <v>4708.4129158512733</v>
      </c>
    </row>
    <row r="1099" spans="1:53" x14ac:dyDescent="0.2">
      <c r="A1099">
        <v>2001</v>
      </c>
      <c r="B1099" t="s">
        <v>92</v>
      </c>
      <c r="C1099" t="s">
        <v>85</v>
      </c>
      <c r="D1099">
        <v>11.4</v>
      </c>
      <c r="E1099">
        <v>0</v>
      </c>
      <c r="F1099">
        <v>3.6</v>
      </c>
      <c r="G1099">
        <v>2.2999999999999998</v>
      </c>
      <c r="H1099">
        <v>0</v>
      </c>
      <c r="I1099">
        <v>0</v>
      </c>
      <c r="J1099">
        <v>0</v>
      </c>
      <c r="K1099">
        <f t="shared" si="922"/>
        <v>17.3</v>
      </c>
      <c r="L1099">
        <v>0</v>
      </c>
      <c r="M1099">
        <v>0</v>
      </c>
      <c r="N1099">
        <v>0</v>
      </c>
      <c r="O1099">
        <f t="shared" si="992"/>
        <v>0</v>
      </c>
      <c r="P1099">
        <v>0</v>
      </c>
      <c r="Q1099">
        <v>0</v>
      </c>
      <c r="R1099">
        <v>0</v>
      </c>
      <c r="S1099">
        <f t="shared" si="993"/>
        <v>0</v>
      </c>
      <c r="T1099">
        <v>0.5</v>
      </c>
      <c r="U1099">
        <v>0.3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f t="shared" si="994"/>
        <v>0.8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19</v>
      </c>
      <c r="AI1099">
        <v>7.1</v>
      </c>
      <c r="AJ1099" s="5">
        <f t="shared" si="995"/>
        <v>26.1</v>
      </c>
      <c r="AK1099">
        <v>0</v>
      </c>
      <c r="AL1099">
        <v>0.55799999999999994</v>
      </c>
      <c r="AM1099">
        <f t="shared" si="804"/>
        <v>0.442</v>
      </c>
      <c r="AN1099">
        <v>5136</v>
      </c>
      <c r="AO1099" t="s">
        <v>13</v>
      </c>
      <c r="AP1099" s="3">
        <f t="shared" si="982"/>
        <v>9204.3010752688169</v>
      </c>
      <c r="AQ1099" t="s">
        <v>13</v>
      </c>
      <c r="AR1099">
        <f t="shared" si="895"/>
        <v>0.5904977375565611</v>
      </c>
      <c r="AS1099">
        <f t="shared" si="983"/>
        <v>0.18100000000000002</v>
      </c>
      <c r="AT1099">
        <f t="shared" si="984"/>
        <v>1666</v>
      </c>
      <c r="AU1099">
        <f t="shared" si="985"/>
        <v>2402</v>
      </c>
      <c r="AV1099">
        <f t="shared" si="986"/>
        <v>870</v>
      </c>
      <c r="AW1099">
        <f t="shared" si="987"/>
        <v>2656</v>
      </c>
      <c r="AX1099" s="3">
        <f t="shared" si="988"/>
        <v>5678.3010752688169</v>
      </c>
      <c r="AY1099">
        <f t="shared" si="989"/>
        <v>833</v>
      </c>
      <c r="AZ1099">
        <f t="shared" si="990"/>
        <v>2667</v>
      </c>
      <c r="BA1099" s="3">
        <f t="shared" si="991"/>
        <v>5704.3010752688169</v>
      </c>
    </row>
    <row r="1100" spans="1:53" x14ac:dyDescent="0.2">
      <c r="A1100">
        <v>2002</v>
      </c>
      <c r="B1100" t="s">
        <v>92</v>
      </c>
      <c r="C1100" t="s">
        <v>85</v>
      </c>
      <c r="D1100">
        <v>22.2</v>
      </c>
      <c r="E1100">
        <v>0</v>
      </c>
      <c r="F1100">
        <v>2.6</v>
      </c>
      <c r="G1100">
        <v>4.0999999999999996</v>
      </c>
      <c r="H1100">
        <v>2.5</v>
      </c>
      <c r="I1100">
        <v>0</v>
      </c>
      <c r="J1100">
        <v>0</v>
      </c>
      <c r="K1100">
        <f t="shared" si="922"/>
        <v>31.4</v>
      </c>
      <c r="L1100">
        <v>0</v>
      </c>
      <c r="M1100">
        <v>0</v>
      </c>
      <c r="N1100">
        <v>0</v>
      </c>
      <c r="O1100">
        <f t="shared" si="992"/>
        <v>0</v>
      </c>
      <c r="P1100">
        <v>0</v>
      </c>
      <c r="Q1100">
        <v>0</v>
      </c>
      <c r="R1100">
        <v>0.2</v>
      </c>
      <c r="S1100">
        <f t="shared" si="993"/>
        <v>0.2</v>
      </c>
      <c r="T1100">
        <v>0</v>
      </c>
      <c r="U1100">
        <v>0.2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f t="shared" si="994"/>
        <v>0.2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18.899999999999999</v>
      </c>
      <c r="AI1100">
        <v>1.6</v>
      </c>
      <c r="AJ1100" s="5">
        <f t="shared" si="995"/>
        <v>20.5</v>
      </c>
      <c r="AK1100">
        <v>11.1</v>
      </c>
      <c r="AL1100">
        <v>0.36700000000000005</v>
      </c>
      <c r="AM1100">
        <f t="shared" si="804"/>
        <v>0.52300000000000002</v>
      </c>
      <c r="AN1100">
        <v>6067</v>
      </c>
      <c r="AO1100" t="s">
        <v>13</v>
      </c>
      <c r="AP1100" s="3">
        <f t="shared" si="982"/>
        <v>12719.077568134173</v>
      </c>
      <c r="AQ1100" t="s">
        <v>13</v>
      </c>
      <c r="AR1100">
        <f t="shared" si="895"/>
        <v>0.39196940726577434</v>
      </c>
      <c r="AS1100">
        <f t="shared" si="983"/>
        <v>0.31799999999999995</v>
      </c>
      <c r="AT1100">
        <f t="shared" si="984"/>
        <v>4045</v>
      </c>
      <c r="AU1100">
        <f t="shared" si="985"/>
        <v>2607</v>
      </c>
      <c r="AV1100">
        <f t="shared" si="986"/>
        <v>2048</v>
      </c>
      <c r="AW1100">
        <f t="shared" si="987"/>
        <v>3207</v>
      </c>
      <c r="AX1100" s="3">
        <f t="shared" si="988"/>
        <v>7464.0775681341729</v>
      </c>
      <c r="AY1100">
        <f t="shared" si="989"/>
        <v>2022</v>
      </c>
      <c r="AZ1100">
        <f t="shared" si="990"/>
        <v>3215</v>
      </c>
      <c r="BA1100" s="3">
        <f t="shared" si="991"/>
        <v>7482.0775681341729</v>
      </c>
    </row>
    <row r="1101" spans="1:53" x14ac:dyDescent="0.2">
      <c r="A1101">
        <v>2003</v>
      </c>
      <c r="B1101" t="s">
        <v>92</v>
      </c>
      <c r="C1101" t="s">
        <v>85</v>
      </c>
      <c r="D1101">
        <v>14.4</v>
      </c>
      <c r="E1101">
        <v>0</v>
      </c>
      <c r="F1101">
        <v>2.7</v>
      </c>
      <c r="G1101">
        <v>7.5</v>
      </c>
      <c r="H1101">
        <v>3.8</v>
      </c>
      <c r="I1101">
        <v>0</v>
      </c>
      <c r="J1101">
        <v>0.2</v>
      </c>
      <c r="K1101">
        <f t="shared" si="922"/>
        <v>28.6</v>
      </c>
      <c r="L1101">
        <v>0</v>
      </c>
      <c r="M1101">
        <v>0</v>
      </c>
      <c r="N1101">
        <v>0</v>
      </c>
      <c r="O1101">
        <f t="shared" si="992"/>
        <v>0</v>
      </c>
      <c r="P1101">
        <v>0</v>
      </c>
      <c r="Q1101">
        <v>0</v>
      </c>
      <c r="R1101">
        <v>0</v>
      </c>
      <c r="S1101">
        <f t="shared" si="993"/>
        <v>0</v>
      </c>
      <c r="T1101">
        <v>0</v>
      </c>
      <c r="U1101">
        <v>0.5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f t="shared" si="994"/>
        <v>0.5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10.8</v>
      </c>
      <c r="AI1101">
        <v>4.7</v>
      </c>
      <c r="AJ1101" s="5">
        <f t="shared" si="995"/>
        <v>15.5</v>
      </c>
      <c r="AK1101">
        <v>0.2</v>
      </c>
      <c r="AL1101">
        <v>0.55100000000000005</v>
      </c>
      <c r="AM1101">
        <f t="shared" si="804"/>
        <v>0.44600000000000001</v>
      </c>
      <c r="AN1101">
        <v>7398</v>
      </c>
      <c r="AO1101" t="s">
        <v>13</v>
      </c>
      <c r="AP1101" s="3">
        <f t="shared" si="982"/>
        <v>13353.790613718411</v>
      </c>
      <c r="AQ1101" t="s">
        <v>13</v>
      </c>
      <c r="AR1101">
        <f t="shared" si="895"/>
        <v>0.34753363228699552</v>
      </c>
      <c r="AS1101">
        <f t="shared" si="983"/>
        <v>0.29100000000000004</v>
      </c>
      <c r="AT1101">
        <f t="shared" si="984"/>
        <v>3886</v>
      </c>
      <c r="AU1101">
        <f t="shared" si="985"/>
        <v>2070</v>
      </c>
      <c r="AV1101">
        <f t="shared" si="986"/>
        <v>1976</v>
      </c>
      <c r="AW1101">
        <f t="shared" si="987"/>
        <v>2488</v>
      </c>
      <c r="AX1101" s="3">
        <f t="shared" si="988"/>
        <v>8889.7906137184109</v>
      </c>
      <c r="AY1101">
        <f t="shared" si="989"/>
        <v>1943</v>
      </c>
      <c r="AZ1101">
        <f t="shared" si="990"/>
        <v>2495</v>
      </c>
      <c r="BA1101" s="3">
        <f t="shared" si="991"/>
        <v>8915.7906137184109</v>
      </c>
    </row>
    <row r="1102" spans="1:53" x14ac:dyDescent="0.2">
      <c r="A1102">
        <v>2004</v>
      </c>
      <c r="B1102" t="s">
        <v>92</v>
      </c>
      <c r="C1102" t="s">
        <v>85</v>
      </c>
      <c r="D1102">
        <v>13.7</v>
      </c>
      <c r="E1102">
        <v>0.7</v>
      </c>
      <c r="F1102">
        <v>2.5</v>
      </c>
      <c r="G1102">
        <v>6.1</v>
      </c>
      <c r="H1102">
        <v>6.8</v>
      </c>
      <c r="I1102">
        <v>2</v>
      </c>
      <c r="J1102">
        <v>0</v>
      </c>
      <c r="K1102">
        <f t="shared" si="922"/>
        <v>31.8</v>
      </c>
      <c r="L1102">
        <v>0</v>
      </c>
      <c r="M1102">
        <v>0</v>
      </c>
      <c r="N1102">
        <v>0</v>
      </c>
      <c r="O1102">
        <f t="shared" si="992"/>
        <v>0</v>
      </c>
      <c r="P1102">
        <v>0</v>
      </c>
      <c r="Q1102">
        <v>0</v>
      </c>
      <c r="R1102">
        <v>0</v>
      </c>
      <c r="S1102">
        <f t="shared" si="993"/>
        <v>0</v>
      </c>
      <c r="T1102">
        <v>0.2</v>
      </c>
      <c r="U1102">
        <v>0.2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f t="shared" si="994"/>
        <v>0.4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12.2</v>
      </c>
      <c r="AI1102">
        <v>13.2</v>
      </c>
      <c r="AJ1102" s="5">
        <f t="shared" si="995"/>
        <v>25.4</v>
      </c>
      <c r="AK1102">
        <v>0.1</v>
      </c>
      <c r="AL1102">
        <v>0.42299999999999999</v>
      </c>
      <c r="AM1102">
        <f t="shared" si="804"/>
        <v>0.57600000000000007</v>
      </c>
      <c r="AN1102">
        <v>3831</v>
      </c>
      <c r="AO1102" t="s">
        <v>13</v>
      </c>
      <c r="AP1102" s="3">
        <f t="shared" si="982"/>
        <v>9035.3773584905666</v>
      </c>
      <c r="AQ1102" t="s">
        <v>13</v>
      </c>
      <c r="AR1102">
        <f t="shared" si="895"/>
        <v>0.44097222222222215</v>
      </c>
      <c r="AS1102">
        <f t="shared" si="983"/>
        <v>0.32200000000000001</v>
      </c>
      <c r="AT1102">
        <f t="shared" si="984"/>
        <v>2909</v>
      </c>
      <c r="AU1102">
        <f t="shared" si="985"/>
        <v>2295</v>
      </c>
      <c r="AV1102">
        <f t="shared" si="986"/>
        <v>1473</v>
      </c>
      <c r="AW1102">
        <f t="shared" si="987"/>
        <v>2833</v>
      </c>
      <c r="AX1102" s="3">
        <f t="shared" si="988"/>
        <v>4729.3773584905666</v>
      </c>
      <c r="AY1102">
        <f t="shared" si="989"/>
        <v>1455</v>
      </c>
      <c r="AZ1102">
        <f t="shared" si="990"/>
        <v>2840</v>
      </c>
      <c r="BA1102" s="3">
        <f t="shared" si="991"/>
        <v>4740.3773584905666</v>
      </c>
    </row>
    <row r="1103" spans="1:53" x14ac:dyDescent="0.2">
      <c r="A1103">
        <v>2005</v>
      </c>
      <c r="B1103" t="s">
        <v>92</v>
      </c>
      <c r="C1103" t="s">
        <v>85</v>
      </c>
      <c r="D1103">
        <v>14.5</v>
      </c>
      <c r="E1103">
        <v>0</v>
      </c>
      <c r="F1103">
        <v>2.7</v>
      </c>
      <c r="G1103">
        <v>5.8</v>
      </c>
      <c r="H1103">
        <v>2</v>
      </c>
      <c r="I1103">
        <v>2.8</v>
      </c>
      <c r="J1103">
        <v>0</v>
      </c>
      <c r="K1103">
        <f t="shared" si="922"/>
        <v>27.8</v>
      </c>
      <c r="L1103">
        <v>0</v>
      </c>
      <c r="M1103">
        <v>0</v>
      </c>
      <c r="N1103">
        <v>0</v>
      </c>
      <c r="O1103">
        <f t="shared" si="992"/>
        <v>0</v>
      </c>
      <c r="P1103">
        <v>0</v>
      </c>
      <c r="Q1103">
        <v>0</v>
      </c>
      <c r="R1103">
        <v>0.3</v>
      </c>
      <c r="S1103">
        <f t="shared" si="993"/>
        <v>0.3</v>
      </c>
      <c r="T1103">
        <v>0</v>
      </c>
      <c r="U1103">
        <v>0.3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f t="shared" si="994"/>
        <v>0.3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12.1</v>
      </c>
      <c r="AI1103">
        <v>4.3</v>
      </c>
      <c r="AJ1103" s="5">
        <f t="shared" si="995"/>
        <v>16.399999999999999</v>
      </c>
      <c r="AK1103">
        <v>0.1</v>
      </c>
      <c r="AL1103">
        <v>0.55000000000000004</v>
      </c>
      <c r="AM1103">
        <f t="shared" si="804"/>
        <v>0.44799999999999995</v>
      </c>
      <c r="AN1103">
        <v>6406</v>
      </c>
      <c r="AO1103" t="s">
        <v>13</v>
      </c>
      <c r="AP1103" s="3">
        <f t="shared" si="982"/>
        <v>11605.072463768114</v>
      </c>
      <c r="AQ1103" t="s">
        <v>13</v>
      </c>
      <c r="AR1103">
        <f t="shared" si="895"/>
        <v>0.36607142857142855</v>
      </c>
      <c r="AS1103">
        <f t="shared" si="983"/>
        <v>0.28400000000000003</v>
      </c>
      <c r="AT1103">
        <f t="shared" si="984"/>
        <v>3296</v>
      </c>
      <c r="AU1103">
        <f t="shared" si="985"/>
        <v>1903</v>
      </c>
      <c r="AV1103">
        <f t="shared" si="986"/>
        <v>1683</v>
      </c>
      <c r="AW1103">
        <f t="shared" si="987"/>
        <v>2272</v>
      </c>
      <c r="AX1103" s="3">
        <f t="shared" si="988"/>
        <v>7650.0724637681142</v>
      </c>
      <c r="AY1103">
        <f t="shared" si="989"/>
        <v>1648</v>
      </c>
      <c r="AZ1103">
        <f t="shared" si="990"/>
        <v>2280</v>
      </c>
      <c r="BA1103" s="3">
        <f t="shared" si="991"/>
        <v>7677.0724637681142</v>
      </c>
    </row>
    <row r="1104" spans="1:53" x14ac:dyDescent="0.2">
      <c r="A1104">
        <v>2006</v>
      </c>
      <c r="B1104" t="s">
        <v>92</v>
      </c>
      <c r="C1104" t="s">
        <v>85</v>
      </c>
      <c r="D1104">
        <v>19.100000000000001</v>
      </c>
      <c r="E1104">
        <v>0.2</v>
      </c>
      <c r="F1104">
        <v>3.3</v>
      </c>
      <c r="G1104">
        <v>10.8</v>
      </c>
      <c r="H1104">
        <v>2.2999999999999998</v>
      </c>
      <c r="I1104">
        <v>3</v>
      </c>
      <c r="J1104">
        <v>0.5</v>
      </c>
      <c r="K1104">
        <f t="shared" si="922"/>
        <v>39.200000000000003</v>
      </c>
      <c r="L1104">
        <v>0</v>
      </c>
      <c r="M1104">
        <v>0</v>
      </c>
      <c r="N1104">
        <v>0</v>
      </c>
      <c r="O1104">
        <f t="shared" si="992"/>
        <v>0</v>
      </c>
      <c r="P1104">
        <v>0</v>
      </c>
      <c r="Q1104">
        <v>0</v>
      </c>
      <c r="R1104">
        <v>0</v>
      </c>
      <c r="S1104">
        <f t="shared" si="993"/>
        <v>0</v>
      </c>
      <c r="T1104">
        <v>0.4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f t="shared" si="994"/>
        <v>0.4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15.3</v>
      </c>
      <c r="AI1104">
        <v>0.3</v>
      </c>
      <c r="AJ1104" s="5">
        <f t="shared" si="995"/>
        <v>15.600000000000001</v>
      </c>
      <c r="AK1104">
        <v>1</v>
      </c>
      <c r="AL1104">
        <v>0.43799999999999994</v>
      </c>
      <c r="AM1104">
        <f t="shared" si="804"/>
        <v>0.55200000000000005</v>
      </c>
      <c r="AN1104">
        <v>5642</v>
      </c>
      <c r="AO1104" t="s">
        <v>13</v>
      </c>
      <c r="AP1104" s="3">
        <f t="shared" si="982"/>
        <v>12593.750000000002</v>
      </c>
      <c r="AQ1104" t="s">
        <v>13</v>
      </c>
      <c r="AR1104">
        <f t="shared" si="895"/>
        <v>0.28260869565217395</v>
      </c>
      <c r="AS1104">
        <f t="shared" si="983"/>
        <v>0.39600000000000002</v>
      </c>
      <c r="AT1104">
        <f t="shared" si="984"/>
        <v>4987</v>
      </c>
      <c r="AU1104">
        <f t="shared" si="985"/>
        <v>1965</v>
      </c>
      <c r="AV1104">
        <f t="shared" si="986"/>
        <v>2519</v>
      </c>
      <c r="AW1104">
        <f t="shared" si="987"/>
        <v>2603</v>
      </c>
      <c r="AX1104" s="3">
        <f t="shared" si="988"/>
        <v>7471.7500000000018</v>
      </c>
      <c r="AY1104">
        <f t="shared" si="989"/>
        <v>2494</v>
      </c>
      <c r="AZ1104">
        <f t="shared" si="990"/>
        <v>2609</v>
      </c>
      <c r="BA1104" s="3">
        <f t="shared" si="991"/>
        <v>7490.7500000000018</v>
      </c>
    </row>
    <row r="1105" spans="1:53" x14ac:dyDescent="0.2">
      <c r="A1105">
        <v>2007</v>
      </c>
      <c r="B1105" t="s">
        <v>92</v>
      </c>
      <c r="C1105" t="s">
        <v>85</v>
      </c>
      <c r="D1105">
        <v>29.8</v>
      </c>
      <c r="E1105">
        <v>0</v>
      </c>
      <c r="F1105">
        <v>7</v>
      </c>
      <c r="G1105">
        <v>9.6999999999999993</v>
      </c>
      <c r="H1105">
        <v>13.9</v>
      </c>
      <c r="I1105">
        <v>0</v>
      </c>
      <c r="J1105">
        <v>0</v>
      </c>
      <c r="K1105">
        <f t="shared" si="922"/>
        <v>60.4</v>
      </c>
      <c r="L1105">
        <v>0</v>
      </c>
      <c r="M1105">
        <v>0</v>
      </c>
      <c r="N1105">
        <v>0</v>
      </c>
      <c r="O1105">
        <f t="shared" si="992"/>
        <v>0</v>
      </c>
      <c r="P1105">
        <v>0</v>
      </c>
      <c r="Q1105">
        <v>0</v>
      </c>
      <c r="R1105">
        <v>0</v>
      </c>
      <c r="S1105">
        <f t="shared" si="993"/>
        <v>0</v>
      </c>
      <c r="T1105">
        <v>2.2999999999999998</v>
      </c>
      <c r="U1105">
        <v>0.1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f t="shared" si="994"/>
        <v>2.4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8.1</v>
      </c>
      <c r="AI1105">
        <v>1.5</v>
      </c>
      <c r="AJ1105" s="5">
        <f t="shared" si="995"/>
        <v>9.6</v>
      </c>
      <c r="AK1105">
        <v>0</v>
      </c>
      <c r="AL1105">
        <v>0.27600000000000002</v>
      </c>
      <c r="AM1105">
        <f t="shared" si="804"/>
        <v>0.72400000000000009</v>
      </c>
      <c r="AN1105">
        <v>3066</v>
      </c>
      <c r="AO1105" t="s">
        <v>13</v>
      </c>
      <c r="AP1105" s="3">
        <f t="shared" si="982"/>
        <v>11108.695652173916</v>
      </c>
      <c r="AQ1105" t="s">
        <v>13</v>
      </c>
      <c r="AR1105">
        <f t="shared" si="895"/>
        <v>0.13259668508287292</v>
      </c>
      <c r="AS1105">
        <f t="shared" si="983"/>
        <v>0.628</v>
      </c>
      <c r="AT1105">
        <f t="shared" si="984"/>
        <v>6976</v>
      </c>
      <c r="AU1105">
        <f t="shared" si="985"/>
        <v>1066</v>
      </c>
      <c r="AV1105">
        <f t="shared" si="986"/>
        <v>3621</v>
      </c>
      <c r="AW1105">
        <f t="shared" si="987"/>
        <v>1931</v>
      </c>
      <c r="AX1105" s="3">
        <f t="shared" si="988"/>
        <v>5556.6956521739157</v>
      </c>
      <c r="AY1105">
        <f t="shared" si="989"/>
        <v>3488</v>
      </c>
      <c r="AZ1105">
        <f t="shared" si="990"/>
        <v>1966</v>
      </c>
      <c r="BA1105" s="3">
        <f t="shared" si="991"/>
        <v>5654.6956521739157</v>
      </c>
    </row>
    <row r="1106" spans="1:53" x14ac:dyDescent="0.2">
      <c r="A1106">
        <v>2008</v>
      </c>
      <c r="B1106" t="s">
        <v>92</v>
      </c>
      <c r="C1106" t="s">
        <v>85</v>
      </c>
      <c r="D1106">
        <v>17.100000000000001</v>
      </c>
      <c r="E1106">
        <v>0</v>
      </c>
      <c r="F1106">
        <v>2.6</v>
      </c>
      <c r="G1106">
        <v>8</v>
      </c>
      <c r="H1106">
        <v>5.0999999999999996</v>
      </c>
      <c r="I1106">
        <v>0.8</v>
      </c>
      <c r="J1106">
        <v>1.1000000000000001</v>
      </c>
      <c r="K1106">
        <f t="shared" si="922"/>
        <v>34.700000000000003</v>
      </c>
      <c r="L1106">
        <v>0</v>
      </c>
      <c r="M1106">
        <v>0</v>
      </c>
      <c r="N1106">
        <v>0</v>
      </c>
      <c r="O1106">
        <f t="shared" si="992"/>
        <v>0</v>
      </c>
      <c r="P1106">
        <v>0</v>
      </c>
      <c r="Q1106">
        <v>0</v>
      </c>
      <c r="R1106">
        <v>0</v>
      </c>
      <c r="S1106">
        <f t="shared" si="993"/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f t="shared" si="994"/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17.7</v>
      </c>
      <c r="AI1106">
        <v>2.7</v>
      </c>
      <c r="AJ1106" s="5">
        <f t="shared" si="995"/>
        <v>20.399999999999999</v>
      </c>
      <c r="AK1106">
        <v>0</v>
      </c>
      <c r="AL1106">
        <v>0.45</v>
      </c>
      <c r="AM1106">
        <f t="shared" ref="AM1106:AM1166" si="996">SUM(AB1106:AI1106,T1106:Z1106,P1106:R1106,L1106:N1106,D1106:J1106)/100</f>
        <v>0.55100000000000005</v>
      </c>
      <c r="AN1106">
        <v>3612</v>
      </c>
      <c r="AO1106" t="s">
        <v>13</v>
      </c>
      <c r="AP1106" s="3">
        <f t="shared" si="982"/>
        <v>8044.5434298440987</v>
      </c>
      <c r="AQ1106" t="s">
        <v>13</v>
      </c>
      <c r="AR1106">
        <f t="shared" si="895"/>
        <v>0.37023593466424676</v>
      </c>
      <c r="AS1106">
        <f t="shared" si="983"/>
        <v>0.34700000000000003</v>
      </c>
      <c r="AT1106">
        <f t="shared" si="984"/>
        <v>2791</v>
      </c>
      <c r="AU1106">
        <f t="shared" si="985"/>
        <v>1641</v>
      </c>
      <c r="AV1106">
        <f t="shared" si="986"/>
        <v>1396</v>
      </c>
      <c r="AW1106">
        <f t="shared" si="987"/>
        <v>2077</v>
      </c>
      <c r="AX1106" s="3">
        <f t="shared" si="988"/>
        <v>4571.5434298440987</v>
      </c>
      <c r="AY1106">
        <f t="shared" si="989"/>
        <v>1396</v>
      </c>
      <c r="AZ1106">
        <f t="shared" si="990"/>
        <v>2077</v>
      </c>
      <c r="BA1106" s="3">
        <f t="shared" si="991"/>
        <v>4571.5434298440987</v>
      </c>
    </row>
    <row r="1107" spans="1:53" x14ac:dyDescent="0.2">
      <c r="A1107">
        <v>2009</v>
      </c>
      <c r="B1107" t="s">
        <v>92</v>
      </c>
      <c r="C1107" t="s">
        <v>85</v>
      </c>
      <c r="D1107">
        <v>26.9</v>
      </c>
      <c r="E1107">
        <v>1.5</v>
      </c>
      <c r="F1107">
        <v>6</v>
      </c>
      <c r="G1107">
        <v>9.6</v>
      </c>
      <c r="H1107">
        <v>3.9</v>
      </c>
      <c r="I1107">
        <v>0.1</v>
      </c>
      <c r="J1107">
        <v>1.2</v>
      </c>
      <c r="K1107">
        <f t="shared" si="922"/>
        <v>49.2</v>
      </c>
      <c r="L1107">
        <v>0</v>
      </c>
      <c r="M1107">
        <v>0</v>
      </c>
      <c r="N1107">
        <v>0</v>
      </c>
      <c r="O1107">
        <f t="shared" si="992"/>
        <v>0</v>
      </c>
      <c r="P1107">
        <v>0</v>
      </c>
      <c r="Q1107">
        <v>0</v>
      </c>
      <c r="R1107">
        <v>0</v>
      </c>
      <c r="S1107">
        <f t="shared" si="993"/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f t="shared" si="994"/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20.6</v>
      </c>
      <c r="AI1107">
        <v>3</v>
      </c>
      <c r="AJ1107" s="5">
        <f t="shared" si="995"/>
        <v>23.6</v>
      </c>
      <c r="AK1107">
        <v>0.3</v>
      </c>
      <c r="AL1107">
        <v>0.26899999999999996</v>
      </c>
      <c r="AM1107">
        <f t="shared" si="996"/>
        <v>0.72799999999999998</v>
      </c>
      <c r="AN1107">
        <v>3130</v>
      </c>
      <c r="AO1107" t="s">
        <v>13</v>
      </c>
      <c r="AP1107" s="3">
        <f t="shared" si="982"/>
        <v>11507.35294117647</v>
      </c>
      <c r="AQ1107" t="s">
        <v>13</v>
      </c>
      <c r="AR1107">
        <f t="shared" si="895"/>
        <v>0.32417582417582419</v>
      </c>
      <c r="AS1107">
        <f t="shared" si="983"/>
        <v>0.49200000000000005</v>
      </c>
      <c r="AT1107">
        <f t="shared" si="984"/>
        <v>5662</v>
      </c>
      <c r="AU1107">
        <f t="shared" si="985"/>
        <v>2716</v>
      </c>
      <c r="AV1107">
        <f t="shared" si="986"/>
        <v>2831</v>
      </c>
      <c r="AW1107">
        <f t="shared" si="987"/>
        <v>4031</v>
      </c>
      <c r="AX1107" s="3">
        <f t="shared" si="988"/>
        <v>4645.3529411764703</v>
      </c>
      <c r="AY1107">
        <f t="shared" si="989"/>
        <v>2831</v>
      </c>
      <c r="AZ1107">
        <f t="shared" si="990"/>
        <v>4031</v>
      </c>
      <c r="BA1107" s="3">
        <f t="shared" si="991"/>
        <v>4645.3529411764703</v>
      </c>
    </row>
    <row r="1108" spans="1:53" x14ac:dyDescent="0.2">
      <c r="A1108">
        <v>2010</v>
      </c>
      <c r="B1108" t="s">
        <v>92</v>
      </c>
      <c r="C1108" t="s">
        <v>85</v>
      </c>
      <c r="D1108">
        <v>20.9</v>
      </c>
      <c r="E1108">
        <v>0</v>
      </c>
      <c r="F1108">
        <v>5.2</v>
      </c>
      <c r="G1108">
        <v>4.5</v>
      </c>
      <c r="H1108">
        <v>4.7</v>
      </c>
      <c r="I1108">
        <v>0</v>
      </c>
      <c r="J1108">
        <v>0.5</v>
      </c>
      <c r="K1108">
        <f t="shared" si="922"/>
        <v>35.799999999999997</v>
      </c>
      <c r="L1108">
        <v>0</v>
      </c>
      <c r="M1108">
        <v>0</v>
      </c>
      <c r="N1108">
        <v>0</v>
      </c>
      <c r="O1108">
        <f t="shared" si="992"/>
        <v>0</v>
      </c>
      <c r="P1108">
        <v>0</v>
      </c>
      <c r="Q1108">
        <v>0</v>
      </c>
      <c r="R1108">
        <v>0.1</v>
      </c>
      <c r="S1108">
        <f t="shared" si="993"/>
        <v>0.1</v>
      </c>
      <c r="T1108">
        <v>0.2</v>
      </c>
      <c r="U1108">
        <v>0.3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f t="shared" si="994"/>
        <v>0.5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16.399999999999999</v>
      </c>
      <c r="AI1108">
        <v>5</v>
      </c>
      <c r="AJ1108" s="5">
        <f t="shared" si="995"/>
        <v>21.4</v>
      </c>
      <c r="AK1108">
        <v>0</v>
      </c>
      <c r="AL1108">
        <v>0.42200000000000004</v>
      </c>
      <c r="AM1108">
        <f t="shared" si="996"/>
        <v>0.57800000000000007</v>
      </c>
      <c r="AN1108">
        <v>4635</v>
      </c>
      <c r="AO1108" t="s">
        <v>13</v>
      </c>
      <c r="AP1108" s="3">
        <f t="shared" si="982"/>
        <v>10983.412322274884</v>
      </c>
      <c r="AQ1108" t="s">
        <v>13</v>
      </c>
      <c r="AR1108">
        <f t="shared" si="895"/>
        <v>0.37024221453287193</v>
      </c>
      <c r="AS1108">
        <f t="shared" si="983"/>
        <v>0.36399999999999999</v>
      </c>
      <c r="AT1108">
        <f t="shared" si="984"/>
        <v>3998</v>
      </c>
      <c r="AU1108">
        <f t="shared" si="985"/>
        <v>2350</v>
      </c>
      <c r="AV1108">
        <f t="shared" si="986"/>
        <v>2032</v>
      </c>
      <c r="AW1108">
        <f t="shared" si="987"/>
        <v>3011</v>
      </c>
      <c r="AX1108" s="3">
        <f t="shared" si="988"/>
        <v>5940.412322274884</v>
      </c>
      <c r="AY1108">
        <f t="shared" si="989"/>
        <v>1999</v>
      </c>
      <c r="AZ1108">
        <f t="shared" si="990"/>
        <v>3022</v>
      </c>
      <c r="BA1108" s="3">
        <f t="shared" si="991"/>
        <v>5962.412322274884</v>
      </c>
    </row>
    <row r="1109" spans="1:53" x14ac:dyDescent="0.2">
      <c r="A1109">
        <v>2011</v>
      </c>
      <c r="B1109" t="s">
        <v>92</v>
      </c>
      <c r="C1109" t="s">
        <v>85</v>
      </c>
      <c r="D1109">
        <v>22.5</v>
      </c>
      <c r="E1109">
        <v>0.2</v>
      </c>
      <c r="F1109">
        <v>5.9</v>
      </c>
      <c r="G1109">
        <v>5.7</v>
      </c>
      <c r="H1109">
        <v>4.9000000000000004</v>
      </c>
      <c r="I1109">
        <v>0.1</v>
      </c>
      <c r="J1109">
        <v>0.2</v>
      </c>
      <c r="K1109">
        <f t="shared" si="922"/>
        <v>39.500000000000007</v>
      </c>
      <c r="L1109">
        <v>0</v>
      </c>
      <c r="M1109">
        <v>0</v>
      </c>
      <c r="N1109">
        <v>0.1</v>
      </c>
      <c r="O1109">
        <f t="shared" si="992"/>
        <v>0.1</v>
      </c>
      <c r="P1109">
        <v>0</v>
      </c>
      <c r="Q1109">
        <v>0</v>
      </c>
      <c r="R1109">
        <v>0</v>
      </c>
      <c r="S1109">
        <f t="shared" si="993"/>
        <v>0</v>
      </c>
      <c r="T1109">
        <v>0.3</v>
      </c>
      <c r="U1109">
        <v>0.1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f t="shared" si="994"/>
        <v>0.4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17.3</v>
      </c>
      <c r="AI1109">
        <v>7.6</v>
      </c>
      <c r="AJ1109" s="5">
        <f t="shared" si="995"/>
        <v>24.9</v>
      </c>
      <c r="AK1109">
        <v>0</v>
      </c>
      <c r="AL1109">
        <v>0.35200000000000004</v>
      </c>
      <c r="AM1109">
        <f t="shared" si="996"/>
        <v>0.64900000000000002</v>
      </c>
      <c r="AN1109">
        <v>3963</v>
      </c>
      <c r="AO1109" t="s">
        <v>13</v>
      </c>
      <c r="AP1109" s="3">
        <f t="shared" si="982"/>
        <v>11290.598290598291</v>
      </c>
      <c r="AQ1109" t="s">
        <v>13</v>
      </c>
      <c r="AR1109">
        <f t="shared" si="895"/>
        <v>0.38366718027734975</v>
      </c>
      <c r="AS1109">
        <f t="shared" si="983"/>
        <v>0.40000000000000008</v>
      </c>
      <c r="AT1109">
        <f t="shared" si="984"/>
        <v>4516</v>
      </c>
      <c r="AU1109">
        <f t="shared" si="985"/>
        <v>2811</v>
      </c>
      <c r="AV1109">
        <f t="shared" si="986"/>
        <v>2286</v>
      </c>
      <c r="AW1109">
        <f t="shared" si="987"/>
        <v>3736</v>
      </c>
      <c r="AX1109" s="3">
        <f t="shared" si="988"/>
        <v>5268.598290598291</v>
      </c>
      <c r="AY1109">
        <f t="shared" si="989"/>
        <v>2258</v>
      </c>
      <c r="AZ1109">
        <f t="shared" si="990"/>
        <v>3748</v>
      </c>
      <c r="BA1109" s="3">
        <f t="shared" si="991"/>
        <v>5284.598290598291</v>
      </c>
    </row>
    <row r="1110" spans="1:53" x14ac:dyDescent="0.2">
      <c r="A1110">
        <v>2012</v>
      </c>
      <c r="B1110" t="s">
        <v>92</v>
      </c>
      <c r="C1110" t="s">
        <v>85</v>
      </c>
      <c r="D1110">
        <v>35.799999999999997</v>
      </c>
      <c r="E1110">
        <v>0.2</v>
      </c>
      <c r="F1110">
        <v>6.5</v>
      </c>
      <c r="G1110">
        <v>8.1999999999999993</v>
      </c>
      <c r="H1110">
        <v>7.6</v>
      </c>
      <c r="I1110">
        <v>0.9</v>
      </c>
      <c r="J1110">
        <v>0.7</v>
      </c>
      <c r="K1110">
        <f t="shared" si="922"/>
        <v>59.900000000000006</v>
      </c>
      <c r="L1110">
        <v>0</v>
      </c>
      <c r="M1110">
        <v>0</v>
      </c>
      <c r="N1110">
        <v>0</v>
      </c>
      <c r="O1110">
        <f t="shared" si="992"/>
        <v>0</v>
      </c>
      <c r="P1110">
        <v>0</v>
      </c>
      <c r="Q1110">
        <v>0</v>
      </c>
      <c r="R1110">
        <v>0.2</v>
      </c>
      <c r="S1110">
        <f t="shared" si="993"/>
        <v>0.2</v>
      </c>
      <c r="T1110">
        <v>0.7</v>
      </c>
      <c r="U1110">
        <v>0.1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f t="shared" si="994"/>
        <v>0.79999999999999993</v>
      </c>
      <c r="AB1110">
        <v>0.4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16.2</v>
      </c>
      <c r="AI1110">
        <v>2</v>
      </c>
      <c r="AJ1110" s="5">
        <f t="shared" si="995"/>
        <v>18.599999999999998</v>
      </c>
      <c r="AK1110">
        <v>0.4</v>
      </c>
      <c r="AL1110">
        <v>0.20199999999999999</v>
      </c>
      <c r="AM1110">
        <f t="shared" si="996"/>
        <v>0.79500000000000004</v>
      </c>
      <c r="AN1110">
        <v>3518</v>
      </c>
      <c r="AO1110" t="s">
        <v>13</v>
      </c>
      <c r="AP1110" s="3">
        <f t="shared" si="982"/>
        <v>17160.9756097561</v>
      </c>
      <c r="AQ1110" t="s">
        <v>13</v>
      </c>
      <c r="AR1110">
        <f t="shared" si="895"/>
        <v>0.23396226415094334</v>
      </c>
      <c r="AS1110">
        <f t="shared" si="983"/>
        <v>0.6090000000000001</v>
      </c>
      <c r="AT1110">
        <f t="shared" si="984"/>
        <v>10451</v>
      </c>
      <c r="AU1110">
        <f t="shared" si="985"/>
        <v>3192</v>
      </c>
      <c r="AV1110">
        <f t="shared" si="986"/>
        <v>5311</v>
      </c>
      <c r="AW1110">
        <f t="shared" si="987"/>
        <v>5637</v>
      </c>
      <c r="AX1110" s="3">
        <f t="shared" si="988"/>
        <v>6212.9756097561003</v>
      </c>
      <c r="AY1110">
        <f t="shared" si="989"/>
        <v>5226</v>
      </c>
      <c r="AZ1110">
        <f t="shared" si="990"/>
        <v>5678</v>
      </c>
      <c r="BA1110" s="3">
        <f t="shared" si="991"/>
        <v>6256.9756097561003</v>
      </c>
    </row>
    <row r="1111" spans="1:53" x14ac:dyDescent="0.2">
      <c r="A1111">
        <v>2013</v>
      </c>
      <c r="B1111" t="s">
        <v>92</v>
      </c>
      <c r="C1111" t="s">
        <v>85</v>
      </c>
      <c r="D1111">
        <v>17.8</v>
      </c>
      <c r="E1111">
        <v>0.8</v>
      </c>
      <c r="F1111">
        <v>11.8</v>
      </c>
      <c r="G1111">
        <v>7.9</v>
      </c>
      <c r="H1111">
        <v>16.2</v>
      </c>
      <c r="I1111">
        <v>0.4</v>
      </c>
      <c r="J1111">
        <v>0.9</v>
      </c>
      <c r="K1111">
        <f t="shared" si="922"/>
        <v>55.8</v>
      </c>
      <c r="L1111">
        <v>0</v>
      </c>
      <c r="M1111">
        <v>0</v>
      </c>
      <c r="N1111">
        <v>0.5</v>
      </c>
      <c r="O1111">
        <f t="shared" si="992"/>
        <v>0.5</v>
      </c>
      <c r="P1111">
        <v>0</v>
      </c>
      <c r="Q1111">
        <v>0</v>
      </c>
      <c r="R1111">
        <v>0</v>
      </c>
      <c r="S1111">
        <f t="shared" si="993"/>
        <v>0</v>
      </c>
      <c r="T1111">
        <v>0.8</v>
      </c>
      <c r="U1111">
        <v>0.2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f t="shared" si="994"/>
        <v>1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12.2</v>
      </c>
      <c r="AI1111">
        <v>6.3</v>
      </c>
      <c r="AJ1111" s="5">
        <f t="shared" si="995"/>
        <v>18.5</v>
      </c>
      <c r="AK1111">
        <v>0</v>
      </c>
      <c r="AL1111">
        <v>0.24299999999999999</v>
      </c>
      <c r="AM1111">
        <f t="shared" si="996"/>
        <v>0.75800000000000001</v>
      </c>
      <c r="AN1111">
        <v>3901</v>
      </c>
      <c r="AO1111" t="s">
        <v>13</v>
      </c>
      <c r="AP1111" s="3">
        <f t="shared" si="982"/>
        <v>16119.834710743802</v>
      </c>
      <c r="AQ1111" t="s">
        <v>13</v>
      </c>
      <c r="AR1111">
        <f t="shared" si="895"/>
        <v>0.24406332453825857</v>
      </c>
      <c r="AS1111">
        <f t="shared" si="983"/>
        <v>0.57299999999999995</v>
      </c>
      <c r="AT1111">
        <f t="shared" si="984"/>
        <v>9237</v>
      </c>
      <c r="AU1111">
        <f t="shared" si="985"/>
        <v>2982</v>
      </c>
      <c r="AV1111">
        <f t="shared" si="986"/>
        <v>4739</v>
      </c>
      <c r="AW1111">
        <f t="shared" si="987"/>
        <v>4931</v>
      </c>
      <c r="AX1111" s="3">
        <f t="shared" si="988"/>
        <v>6449.8347107438021</v>
      </c>
      <c r="AY1111">
        <f t="shared" si="989"/>
        <v>4618</v>
      </c>
      <c r="AZ1111">
        <f t="shared" si="990"/>
        <v>4983</v>
      </c>
      <c r="BA1111" s="3">
        <f t="shared" si="991"/>
        <v>6518.8347107438021</v>
      </c>
    </row>
    <row r="1112" spans="1:53" x14ac:dyDescent="0.2">
      <c r="A1112">
        <v>2014</v>
      </c>
      <c r="B1112" t="s">
        <v>92</v>
      </c>
      <c r="C1112" t="s">
        <v>85</v>
      </c>
      <c r="D1112">
        <v>24</v>
      </c>
      <c r="E1112">
        <v>1.1000000000000001</v>
      </c>
      <c r="F1112">
        <v>7.3</v>
      </c>
      <c r="G1112">
        <v>7.3</v>
      </c>
      <c r="H1112">
        <v>6.7</v>
      </c>
      <c r="I1112">
        <v>0.7</v>
      </c>
      <c r="J1112">
        <v>0.5</v>
      </c>
      <c r="K1112">
        <f t="shared" si="922"/>
        <v>47.6</v>
      </c>
      <c r="L1112">
        <v>0</v>
      </c>
      <c r="M1112">
        <v>0</v>
      </c>
      <c r="N1112">
        <v>0</v>
      </c>
      <c r="O1112">
        <f t="shared" si="992"/>
        <v>0</v>
      </c>
      <c r="P1112">
        <v>0</v>
      </c>
      <c r="Q1112">
        <v>0</v>
      </c>
      <c r="R1112">
        <v>0</v>
      </c>
      <c r="S1112">
        <f t="shared" si="993"/>
        <v>0</v>
      </c>
      <c r="T1112">
        <v>0.3</v>
      </c>
      <c r="U1112">
        <v>0.3</v>
      </c>
      <c r="V1112">
        <v>0</v>
      </c>
      <c r="W1112">
        <v>0</v>
      </c>
      <c r="X1112">
        <v>0</v>
      </c>
      <c r="Y1112">
        <v>0</v>
      </c>
      <c r="Z1112">
        <v>0.1</v>
      </c>
      <c r="AA1112">
        <f t="shared" si="994"/>
        <v>0.7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29.1</v>
      </c>
      <c r="AI1112">
        <v>2.9</v>
      </c>
      <c r="AJ1112" s="5">
        <f t="shared" si="995"/>
        <v>32</v>
      </c>
      <c r="AK1112">
        <v>0</v>
      </c>
      <c r="AL1112">
        <v>0.19600000000000001</v>
      </c>
      <c r="AM1112">
        <f t="shared" si="996"/>
        <v>0.80299999999999994</v>
      </c>
      <c r="AN1112">
        <v>2782</v>
      </c>
      <c r="AO1112" t="s">
        <v>13</v>
      </c>
      <c r="AP1112" s="3">
        <f t="shared" si="982"/>
        <v>14121.827411167507</v>
      </c>
      <c r="AQ1112" t="s">
        <v>13</v>
      </c>
      <c r="AR1112">
        <f t="shared" si="895"/>
        <v>0.39850560398505608</v>
      </c>
      <c r="AS1112">
        <f t="shared" si="983"/>
        <v>0.48300000000000004</v>
      </c>
      <c r="AT1112">
        <f t="shared" si="984"/>
        <v>6821</v>
      </c>
      <c r="AU1112">
        <f t="shared" si="985"/>
        <v>4519</v>
      </c>
      <c r="AV1112">
        <f t="shared" si="986"/>
        <v>3460</v>
      </c>
      <c r="AW1112">
        <f t="shared" si="987"/>
        <v>6599</v>
      </c>
      <c r="AX1112" s="3">
        <f t="shared" si="988"/>
        <v>4062.8274111675073</v>
      </c>
      <c r="AY1112">
        <f t="shared" si="989"/>
        <v>3410</v>
      </c>
      <c r="AZ1112">
        <f t="shared" si="990"/>
        <v>6630</v>
      </c>
      <c r="BA1112" s="3">
        <f t="shared" si="991"/>
        <v>4081.8274111675073</v>
      </c>
    </row>
    <row r="1113" spans="1:53" x14ac:dyDescent="0.2">
      <c r="A1113">
        <v>2015</v>
      </c>
      <c r="B1113" t="s">
        <v>92</v>
      </c>
      <c r="C1113" t="s">
        <v>85</v>
      </c>
      <c r="D1113">
        <v>18.7</v>
      </c>
      <c r="E1113">
        <v>0</v>
      </c>
      <c r="F1113">
        <v>7.3</v>
      </c>
      <c r="G1113">
        <v>7.5</v>
      </c>
      <c r="H1113">
        <v>8.1</v>
      </c>
      <c r="I1113">
        <v>0.4</v>
      </c>
      <c r="J1113">
        <v>0.3</v>
      </c>
      <c r="K1113">
        <f t="shared" si="922"/>
        <v>42.3</v>
      </c>
      <c r="L1113">
        <v>0</v>
      </c>
      <c r="M1113">
        <v>0</v>
      </c>
      <c r="N1113">
        <v>0</v>
      </c>
      <c r="O1113">
        <f t="shared" si="992"/>
        <v>0</v>
      </c>
      <c r="P1113">
        <v>0</v>
      </c>
      <c r="Q1113">
        <v>0</v>
      </c>
      <c r="R1113">
        <v>0</v>
      </c>
      <c r="S1113">
        <f t="shared" si="993"/>
        <v>0</v>
      </c>
      <c r="T1113">
        <v>0.6</v>
      </c>
      <c r="U1113">
        <v>0.3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f t="shared" si="994"/>
        <v>0.89999999999999991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19.899999999999999</v>
      </c>
      <c r="AI1113">
        <v>7.2</v>
      </c>
      <c r="AJ1113" s="5">
        <f t="shared" si="995"/>
        <v>27.099999999999998</v>
      </c>
      <c r="AK1113">
        <v>0.7</v>
      </c>
      <c r="AL1113">
        <v>0.28899999999999998</v>
      </c>
      <c r="AM1113">
        <f t="shared" si="996"/>
        <v>0.70299999999999996</v>
      </c>
      <c r="AN1113">
        <v>3440</v>
      </c>
      <c r="AO1113" t="s">
        <v>13</v>
      </c>
      <c r="AP1113" s="3">
        <f t="shared" si="982"/>
        <v>11582.491582491581</v>
      </c>
      <c r="AQ1113" t="s">
        <v>13</v>
      </c>
      <c r="AR1113">
        <f t="shared" si="895"/>
        <v>0.38549075391180654</v>
      </c>
      <c r="AS1113">
        <f t="shared" si="983"/>
        <v>0.43199999999999994</v>
      </c>
      <c r="AT1113">
        <f t="shared" si="984"/>
        <v>5004</v>
      </c>
      <c r="AU1113">
        <f t="shared" si="985"/>
        <v>3139</v>
      </c>
      <c r="AV1113">
        <f t="shared" si="986"/>
        <v>2554</v>
      </c>
      <c r="AW1113">
        <f t="shared" si="987"/>
        <v>4308</v>
      </c>
      <c r="AX1113" s="3">
        <f t="shared" si="988"/>
        <v>4720.4915824915806</v>
      </c>
      <c r="AY1113">
        <f t="shared" si="989"/>
        <v>2502</v>
      </c>
      <c r="AZ1113">
        <f t="shared" si="990"/>
        <v>4333</v>
      </c>
      <c r="BA1113" s="3">
        <f t="shared" si="991"/>
        <v>4747.4915824915806</v>
      </c>
    </row>
    <row r="1114" spans="1:53" x14ac:dyDescent="0.2">
      <c r="A1114">
        <v>2016</v>
      </c>
      <c r="B1114" t="s">
        <v>92</v>
      </c>
      <c r="C1114" t="s">
        <v>85</v>
      </c>
      <c r="D1114">
        <v>28.2</v>
      </c>
      <c r="E1114">
        <v>0.1</v>
      </c>
      <c r="F1114">
        <v>3.6</v>
      </c>
      <c r="G1114">
        <v>17.8</v>
      </c>
      <c r="H1114">
        <v>2</v>
      </c>
      <c r="I1114">
        <v>0.3</v>
      </c>
      <c r="J1114">
        <v>0</v>
      </c>
      <c r="K1114">
        <f t="shared" si="922"/>
        <v>52</v>
      </c>
      <c r="L1114">
        <v>0</v>
      </c>
      <c r="M1114">
        <v>0</v>
      </c>
      <c r="N1114">
        <v>0</v>
      </c>
      <c r="O1114">
        <f t="shared" si="992"/>
        <v>0</v>
      </c>
      <c r="P1114">
        <v>0</v>
      </c>
      <c r="Q1114">
        <v>0</v>
      </c>
      <c r="R1114">
        <v>0</v>
      </c>
      <c r="S1114">
        <f t="shared" si="993"/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f t="shared" si="994"/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12.7</v>
      </c>
      <c r="AI1114">
        <v>0.3</v>
      </c>
      <c r="AJ1114" s="5">
        <f t="shared" si="995"/>
        <v>13</v>
      </c>
      <c r="AK1114">
        <v>0</v>
      </c>
      <c r="AL1114">
        <v>0.35100000000000003</v>
      </c>
      <c r="AM1114">
        <f t="shared" si="996"/>
        <v>0.65</v>
      </c>
      <c r="AN1114">
        <v>3654</v>
      </c>
      <c r="AO1114" t="s">
        <v>13</v>
      </c>
      <c r="AP1114" s="3">
        <f t="shared" si="982"/>
        <v>10440</v>
      </c>
      <c r="AQ1114" t="s">
        <v>13</v>
      </c>
      <c r="AR1114">
        <f t="shared" si="895"/>
        <v>0.2</v>
      </c>
      <c r="AS1114">
        <f t="shared" si="983"/>
        <v>0.52</v>
      </c>
      <c r="AT1114">
        <f t="shared" si="984"/>
        <v>5429</v>
      </c>
      <c r="AU1114">
        <f t="shared" si="985"/>
        <v>1357</v>
      </c>
      <c r="AV1114">
        <f t="shared" si="986"/>
        <v>2714</v>
      </c>
      <c r="AW1114">
        <f t="shared" si="987"/>
        <v>2092</v>
      </c>
      <c r="AX1114" s="3">
        <f t="shared" si="988"/>
        <v>5634</v>
      </c>
      <c r="AY1114">
        <f t="shared" si="989"/>
        <v>2714</v>
      </c>
      <c r="AZ1114">
        <f t="shared" si="990"/>
        <v>2092</v>
      </c>
      <c r="BA1114" s="3">
        <f t="shared" si="991"/>
        <v>5634</v>
      </c>
    </row>
    <row r="1115" spans="1:53" x14ac:dyDescent="0.2">
      <c r="A1115">
        <v>2017</v>
      </c>
      <c r="B1115" t="s">
        <v>92</v>
      </c>
      <c r="C1115" t="s">
        <v>85</v>
      </c>
      <c r="D1115">
        <v>13.2</v>
      </c>
      <c r="E1115">
        <v>0</v>
      </c>
      <c r="F1115">
        <v>5.0999999999999996</v>
      </c>
      <c r="G1115">
        <v>8.6</v>
      </c>
      <c r="H1115">
        <v>2</v>
      </c>
      <c r="I1115">
        <v>1.2</v>
      </c>
      <c r="J1115">
        <v>1.8</v>
      </c>
      <c r="K1115">
        <f t="shared" si="922"/>
        <v>31.9</v>
      </c>
      <c r="L1115">
        <v>0</v>
      </c>
      <c r="M1115">
        <v>0</v>
      </c>
      <c r="N1115">
        <v>0</v>
      </c>
      <c r="O1115">
        <f t="shared" si="992"/>
        <v>0</v>
      </c>
      <c r="P1115">
        <v>0</v>
      </c>
      <c r="Q1115">
        <v>0</v>
      </c>
      <c r="R1115">
        <v>0</v>
      </c>
      <c r="S1115">
        <f t="shared" si="993"/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f t="shared" si="994"/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33.9</v>
      </c>
      <c r="AI1115">
        <v>3.3</v>
      </c>
      <c r="AJ1115" s="5">
        <f t="shared" si="995"/>
        <v>37.199999999999996</v>
      </c>
      <c r="AK1115">
        <v>0</v>
      </c>
      <c r="AL1115">
        <v>0.308</v>
      </c>
      <c r="AM1115">
        <f t="shared" si="996"/>
        <v>0.69099999999999995</v>
      </c>
      <c r="AN1115">
        <v>3604</v>
      </c>
      <c r="AO1115" t="s">
        <v>13</v>
      </c>
      <c r="AP1115" s="3">
        <f t="shared" si="982"/>
        <v>11663.430420711971</v>
      </c>
      <c r="AQ1115" t="s">
        <v>13</v>
      </c>
      <c r="AR1115">
        <f t="shared" si="895"/>
        <v>0.53835021707670039</v>
      </c>
      <c r="AS1115">
        <f t="shared" si="983"/>
        <v>0.31900000000000001</v>
      </c>
      <c r="AT1115">
        <f t="shared" si="984"/>
        <v>3721</v>
      </c>
      <c r="AU1115">
        <f t="shared" si="985"/>
        <v>4339</v>
      </c>
      <c r="AV1115">
        <f t="shared" si="986"/>
        <v>1860</v>
      </c>
      <c r="AW1115">
        <f t="shared" si="987"/>
        <v>5356</v>
      </c>
      <c r="AX1115" s="3">
        <f t="shared" si="988"/>
        <v>4447.4304207119712</v>
      </c>
      <c r="AY1115">
        <f t="shared" si="989"/>
        <v>1860</v>
      </c>
      <c r="AZ1115">
        <f t="shared" si="990"/>
        <v>5356</v>
      </c>
      <c r="BA1115" s="3">
        <f t="shared" si="991"/>
        <v>4447.4304207119712</v>
      </c>
    </row>
    <row r="1116" spans="1:53" x14ac:dyDescent="0.2">
      <c r="A1116">
        <v>2018</v>
      </c>
      <c r="B1116" t="s">
        <v>92</v>
      </c>
      <c r="C1116" t="s">
        <v>85</v>
      </c>
      <c r="D1116">
        <v>20.5</v>
      </c>
      <c r="E1116">
        <v>0</v>
      </c>
      <c r="F1116">
        <v>7.1</v>
      </c>
      <c r="G1116">
        <v>20.2</v>
      </c>
      <c r="H1116">
        <v>3.2</v>
      </c>
      <c r="I1116">
        <v>0.9</v>
      </c>
      <c r="J1116">
        <v>0</v>
      </c>
      <c r="K1116">
        <f t="shared" si="922"/>
        <v>51.9</v>
      </c>
      <c r="L1116">
        <v>0</v>
      </c>
      <c r="M1116">
        <v>0</v>
      </c>
      <c r="N1116">
        <v>0</v>
      </c>
      <c r="O1116">
        <f t="shared" si="992"/>
        <v>0</v>
      </c>
      <c r="P1116">
        <v>0</v>
      </c>
      <c r="Q1116">
        <v>0</v>
      </c>
      <c r="R1116">
        <v>1.1000000000000001</v>
      </c>
      <c r="S1116">
        <f t="shared" si="993"/>
        <v>1.1000000000000001</v>
      </c>
      <c r="T1116">
        <v>0.2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f t="shared" si="994"/>
        <v>0.2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14.2</v>
      </c>
      <c r="AI1116">
        <v>5.0999999999999996</v>
      </c>
      <c r="AJ1116" s="5">
        <f t="shared" si="995"/>
        <v>19.299999999999997</v>
      </c>
      <c r="AK1116">
        <v>0</v>
      </c>
      <c r="AL1116">
        <v>0.27500000000000002</v>
      </c>
      <c r="AM1116">
        <f t="shared" si="996"/>
        <v>0.72499999999999998</v>
      </c>
      <c r="AN1116">
        <v>3937</v>
      </c>
      <c r="AO1116" t="s">
        <v>13</v>
      </c>
      <c r="AP1116" s="3">
        <f t="shared" si="982"/>
        <v>14316.363636363636</v>
      </c>
      <c r="AQ1116" t="s">
        <v>13</v>
      </c>
      <c r="AR1116">
        <f t="shared" si="895"/>
        <v>0.26620689655172414</v>
      </c>
      <c r="AS1116">
        <f t="shared" si="983"/>
        <v>0.53200000000000003</v>
      </c>
      <c r="AT1116">
        <f t="shared" si="984"/>
        <v>7616</v>
      </c>
      <c r="AU1116">
        <f t="shared" si="985"/>
        <v>2763</v>
      </c>
      <c r="AV1116">
        <f t="shared" si="986"/>
        <v>3901</v>
      </c>
      <c r="AW1116">
        <f t="shared" si="987"/>
        <v>4295</v>
      </c>
      <c r="AX1116" s="3">
        <f t="shared" si="988"/>
        <v>6120.363636363636</v>
      </c>
      <c r="AY1116">
        <f t="shared" si="989"/>
        <v>3808</v>
      </c>
      <c r="AZ1116">
        <f t="shared" si="990"/>
        <v>4333</v>
      </c>
      <c r="BA1116" s="3">
        <f t="shared" si="991"/>
        <v>6175.363636363636</v>
      </c>
    </row>
    <row r="1117" spans="1:53" x14ac:dyDescent="0.2">
      <c r="A1117">
        <v>2019</v>
      </c>
      <c r="B1117" t="s">
        <v>92</v>
      </c>
      <c r="C1117" t="s">
        <v>85</v>
      </c>
      <c r="D1117">
        <v>20.7</v>
      </c>
      <c r="E1117">
        <v>0.6</v>
      </c>
      <c r="F1117">
        <v>1.2</v>
      </c>
      <c r="G1117">
        <v>20.7</v>
      </c>
      <c r="H1117">
        <v>5.2</v>
      </c>
      <c r="I1117">
        <v>1</v>
      </c>
      <c r="J1117">
        <v>0.6</v>
      </c>
      <c r="K1117">
        <f t="shared" si="922"/>
        <v>50.000000000000007</v>
      </c>
      <c r="L1117">
        <v>0</v>
      </c>
      <c r="M1117">
        <v>0</v>
      </c>
      <c r="N1117">
        <v>0.8</v>
      </c>
      <c r="O1117">
        <f t="shared" si="992"/>
        <v>0.8</v>
      </c>
      <c r="P1117">
        <v>0</v>
      </c>
      <c r="Q1117">
        <v>0</v>
      </c>
      <c r="R1117">
        <v>1.9</v>
      </c>
      <c r="S1117">
        <f t="shared" si="993"/>
        <v>1.9</v>
      </c>
      <c r="T1117">
        <v>1.3</v>
      </c>
      <c r="U1117">
        <v>0.3</v>
      </c>
      <c r="V1117">
        <v>0</v>
      </c>
      <c r="W1117">
        <v>0.3</v>
      </c>
      <c r="X1117">
        <v>0</v>
      </c>
      <c r="Y1117">
        <v>0</v>
      </c>
      <c r="Z1117">
        <v>0</v>
      </c>
      <c r="AA1117">
        <f t="shared" si="994"/>
        <v>1.9000000000000001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6.9</v>
      </c>
      <c r="AI1117">
        <v>3.8</v>
      </c>
      <c r="AJ1117" s="5">
        <f t="shared" si="995"/>
        <v>10.7</v>
      </c>
      <c r="AK1117">
        <v>0</v>
      </c>
      <c r="AL1117">
        <v>0.34799999999999998</v>
      </c>
      <c r="AM1117">
        <f t="shared" si="996"/>
        <v>0.65300000000000002</v>
      </c>
      <c r="AN1117">
        <v>7765</v>
      </c>
      <c r="AO1117" t="s">
        <v>13</v>
      </c>
      <c r="AP1117" s="3">
        <f t="shared" si="982"/>
        <v>22377.521613832854</v>
      </c>
      <c r="AQ1117" t="s">
        <v>13</v>
      </c>
      <c r="AR1117">
        <f t="shared" si="895"/>
        <v>0.16385911179173046</v>
      </c>
      <c r="AS1117">
        <f t="shared" si="983"/>
        <v>0.54600000000000004</v>
      </c>
      <c r="AT1117">
        <f t="shared" si="984"/>
        <v>12218</v>
      </c>
      <c r="AU1117">
        <f t="shared" si="985"/>
        <v>2394</v>
      </c>
      <c r="AV1117">
        <f t="shared" si="986"/>
        <v>6624</v>
      </c>
      <c r="AW1117">
        <f t="shared" si="987"/>
        <v>3712</v>
      </c>
      <c r="AX1117" s="3">
        <f t="shared" si="988"/>
        <v>12041.521613832854</v>
      </c>
      <c r="AY1117">
        <f t="shared" si="989"/>
        <v>6109</v>
      </c>
      <c r="AZ1117">
        <f t="shared" si="990"/>
        <v>3834</v>
      </c>
      <c r="BA1117" s="3">
        <f t="shared" si="991"/>
        <v>12434.521613832854</v>
      </c>
    </row>
    <row r="1118" spans="1:53" x14ac:dyDescent="0.2">
      <c r="A1118">
        <v>2020</v>
      </c>
      <c r="B1118" t="s">
        <v>92</v>
      </c>
      <c r="C1118" t="s">
        <v>85</v>
      </c>
      <c r="D1118">
        <v>30.7</v>
      </c>
      <c r="E1118">
        <v>1.4</v>
      </c>
      <c r="F1118">
        <v>5.9</v>
      </c>
      <c r="G1118">
        <v>11.9</v>
      </c>
      <c r="H1118">
        <v>0</v>
      </c>
      <c r="I1118">
        <v>0.6</v>
      </c>
      <c r="J1118">
        <v>0</v>
      </c>
      <c r="K1118">
        <f t="shared" si="922"/>
        <v>50.5</v>
      </c>
      <c r="L1118">
        <v>0</v>
      </c>
      <c r="M1118">
        <v>0</v>
      </c>
      <c r="N1118">
        <v>0</v>
      </c>
      <c r="O1118">
        <f t="shared" si="992"/>
        <v>0</v>
      </c>
      <c r="P1118">
        <v>0</v>
      </c>
      <c r="Q1118">
        <v>0</v>
      </c>
      <c r="R1118">
        <v>0</v>
      </c>
      <c r="S1118">
        <f t="shared" si="993"/>
        <v>0</v>
      </c>
      <c r="T1118">
        <v>0.2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f t="shared" si="994"/>
        <v>0.2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7.3</v>
      </c>
      <c r="AI1118">
        <v>3.4</v>
      </c>
      <c r="AJ1118" s="5">
        <f t="shared" si="995"/>
        <v>10.7</v>
      </c>
      <c r="AK1118">
        <v>0</v>
      </c>
      <c r="AL1118">
        <v>0.38700000000000001</v>
      </c>
      <c r="AM1118">
        <f t="shared" si="996"/>
        <v>0.61399999999999988</v>
      </c>
      <c r="AN1118">
        <v>8672</v>
      </c>
      <c r="AO1118" t="s">
        <v>13</v>
      </c>
      <c r="AP1118" s="3">
        <f t="shared" si="982"/>
        <v>22466.321243523311</v>
      </c>
      <c r="AQ1118" t="s">
        <v>13</v>
      </c>
      <c r="AR1118">
        <f t="shared" si="895"/>
        <v>0.17426710097719872</v>
      </c>
      <c r="AS1118">
        <f t="shared" si="983"/>
        <v>0.50700000000000001</v>
      </c>
      <c r="AT1118">
        <f t="shared" si="984"/>
        <v>11390</v>
      </c>
      <c r="AU1118">
        <f t="shared" si="985"/>
        <v>2404</v>
      </c>
      <c r="AV1118">
        <f t="shared" si="986"/>
        <v>5718</v>
      </c>
      <c r="AW1118">
        <f t="shared" si="987"/>
        <v>3635</v>
      </c>
      <c r="AX1118" s="3">
        <f t="shared" si="988"/>
        <v>13113.321243523311</v>
      </c>
      <c r="AY1118">
        <f t="shared" si="989"/>
        <v>5695</v>
      </c>
      <c r="AZ1118">
        <f t="shared" si="990"/>
        <v>3640</v>
      </c>
      <c r="BA1118" s="3">
        <f t="shared" si="991"/>
        <v>13131.321243523311</v>
      </c>
    </row>
    <row r="1119" spans="1:53" x14ac:dyDescent="0.2">
      <c r="A1119">
        <v>2021</v>
      </c>
      <c r="B1119" t="s">
        <v>92</v>
      </c>
      <c r="C1119" t="s">
        <v>85</v>
      </c>
      <c r="D1119">
        <v>30.2</v>
      </c>
      <c r="E1119">
        <v>0.4</v>
      </c>
      <c r="F1119">
        <v>4.7</v>
      </c>
      <c r="G1119">
        <v>15.8</v>
      </c>
      <c r="H1119">
        <v>5.6</v>
      </c>
      <c r="I1119">
        <v>1.9</v>
      </c>
      <c r="J1119">
        <v>0.8</v>
      </c>
      <c r="K1119">
        <f t="shared" si="922"/>
        <v>59.399999999999991</v>
      </c>
      <c r="L1119">
        <v>0</v>
      </c>
      <c r="M1119">
        <v>0</v>
      </c>
      <c r="N1119">
        <v>1.1000000000000001</v>
      </c>
      <c r="O1119">
        <f t="shared" si="992"/>
        <v>1.1000000000000001</v>
      </c>
      <c r="P1119">
        <v>0</v>
      </c>
      <c r="Q1119">
        <v>0</v>
      </c>
      <c r="R1119">
        <v>0</v>
      </c>
      <c r="S1119">
        <f t="shared" si="993"/>
        <v>0</v>
      </c>
      <c r="T1119">
        <v>0.3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f t="shared" si="994"/>
        <v>0.3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4.0999999999999996</v>
      </c>
      <c r="AI1119">
        <v>3.4</v>
      </c>
      <c r="AJ1119" s="5">
        <f t="shared" si="995"/>
        <v>7.5</v>
      </c>
      <c r="AK1119">
        <v>0</v>
      </c>
      <c r="AL1119">
        <v>0.317</v>
      </c>
      <c r="AM1119">
        <f t="shared" si="996"/>
        <v>0.68299999999999994</v>
      </c>
      <c r="AN1119">
        <v>5568</v>
      </c>
      <c r="AO1119" t="s">
        <v>13</v>
      </c>
      <c r="AP1119" s="3">
        <f t="shared" si="982"/>
        <v>17564.668769716085</v>
      </c>
      <c r="AQ1119" t="s">
        <v>13</v>
      </c>
      <c r="AR1119">
        <f t="shared" si="895"/>
        <v>0.10980966325036604</v>
      </c>
      <c r="AS1119">
        <f t="shared" si="983"/>
        <v>0.60799999999999987</v>
      </c>
      <c r="AT1119">
        <f t="shared" si="984"/>
        <v>10679</v>
      </c>
      <c r="AU1119">
        <f t="shared" si="985"/>
        <v>1317</v>
      </c>
      <c r="AV1119">
        <f t="shared" si="986"/>
        <v>5463</v>
      </c>
      <c r="AW1119">
        <f t="shared" si="987"/>
        <v>2315</v>
      </c>
      <c r="AX1119" s="3">
        <f t="shared" si="988"/>
        <v>9786.6687697160851</v>
      </c>
      <c r="AY1119">
        <f t="shared" si="989"/>
        <v>5340</v>
      </c>
      <c r="AZ1119">
        <f t="shared" si="990"/>
        <v>2338</v>
      </c>
      <c r="BA1119" s="3">
        <f t="shared" si="991"/>
        <v>9886.6687697160851</v>
      </c>
    </row>
    <row r="1120" spans="1:53" x14ac:dyDescent="0.2">
      <c r="A1120">
        <v>2022</v>
      </c>
      <c r="B1120" t="s">
        <v>92</v>
      </c>
      <c r="C1120" t="s">
        <v>85</v>
      </c>
      <c r="D1120">
        <v>23.8</v>
      </c>
      <c r="E1120">
        <v>0.9</v>
      </c>
      <c r="F1120">
        <v>7.2</v>
      </c>
      <c r="G1120">
        <v>16.7</v>
      </c>
      <c r="H1120">
        <v>4.3</v>
      </c>
      <c r="I1120">
        <v>0.5</v>
      </c>
      <c r="J1120">
        <v>0</v>
      </c>
      <c r="K1120">
        <f t="shared" si="922"/>
        <v>53.399999999999991</v>
      </c>
      <c r="L1120">
        <v>0</v>
      </c>
      <c r="M1120">
        <v>0</v>
      </c>
      <c r="N1120">
        <v>0</v>
      </c>
      <c r="O1120">
        <f t="shared" si="992"/>
        <v>0</v>
      </c>
      <c r="P1120">
        <v>0</v>
      </c>
      <c r="Q1120">
        <v>0</v>
      </c>
      <c r="R1120">
        <v>1</v>
      </c>
      <c r="S1120">
        <f t="shared" si="993"/>
        <v>1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f t="shared" si="994"/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7.5</v>
      </c>
      <c r="AI1120">
        <v>0.7</v>
      </c>
      <c r="AJ1120" s="5">
        <f t="shared" si="995"/>
        <v>8.1999999999999993</v>
      </c>
      <c r="AK1120">
        <v>0</v>
      </c>
      <c r="AL1120">
        <v>0.374</v>
      </c>
      <c r="AM1120">
        <f t="shared" si="996"/>
        <v>0.62599999999999989</v>
      </c>
      <c r="AN1120">
        <v>6761</v>
      </c>
      <c r="AO1120" t="s">
        <v>13</v>
      </c>
      <c r="AP1120" s="3">
        <f t="shared" si="982"/>
        <v>18077.540106951867</v>
      </c>
      <c r="AQ1120" t="s">
        <v>13</v>
      </c>
      <c r="AR1120">
        <f t="shared" si="895"/>
        <v>0.13099041533546327</v>
      </c>
      <c r="AS1120">
        <f t="shared" si="983"/>
        <v>0.54399999999999993</v>
      </c>
      <c r="AT1120">
        <f t="shared" si="984"/>
        <v>9834</v>
      </c>
      <c r="AU1120">
        <f t="shared" si="985"/>
        <v>1482</v>
      </c>
      <c r="AV1120">
        <f t="shared" si="986"/>
        <v>5007</v>
      </c>
      <c r="AW1120">
        <f t="shared" si="987"/>
        <v>2350</v>
      </c>
      <c r="AX1120" s="3">
        <f t="shared" si="988"/>
        <v>10720.540106951867</v>
      </c>
      <c r="AY1120">
        <f t="shared" si="989"/>
        <v>4917</v>
      </c>
      <c r="AZ1120">
        <f t="shared" si="990"/>
        <v>2366</v>
      </c>
      <c r="BA1120" s="3">
        <f t="shared" si="991"/>
        <v>10794.540106951867</v>
      </c>
    </row>
    <row r="1121" spans="1:53" x14ac:dyDescent="0.2">
      <c r="A1121">
        <v>2023</v>
      </c>
      <c r="B1121" t="s">
        <v>92</v>
      </c>
      <c r="C1121" t="s">
        <v>85</v>
      </c>
      <c r="D1121" t="s">
        <v>13</v>
      </c>
      <c r="E1121" t="s">
        <v>13</v>
      </c>
      <c r="F1121" t="s">
        <v>13</v>
      </c>
      <c r="G1121" t="s">
        <v>13</v>
      </c>
      <c r="H1121" t="s">
        <v>13</v>
      </c>
      <c r="I1121" t="s">
        <v>13</v>
      </c>
      <c r="J1121" t="s">
        <v>13</v>
      </c>
      <c r="K1121" t="s">
        <v>13</v>
      </c>
      <c r="L1121" t="s">
        <v>13</v>
      </c>
      <c r="M1121" t="s">
        <v>13</v>
      </c>
      <c r="N1121" t="s">
        <v>13</v>
      </c>
      <c r="O1121" t="s">
        <v>13</v>
      </c>
      <c r="P1121" t="s">
        <v>13</v>
      </c>
      <c r="Q1121" t="s">
        <v>13</v>
      </c>
      <c r="R1121" t="s">
        <v>13</v>
      </c>
      <c r="S1121" t="s">
        <v>13</v>
      </c>
      <c r="T1121" t="s">
        <v>13</v>
      </c>
      <c r="U1121" t="s">
        <v>13</v>
      </c>
      <c r="V1121" t="s">
        <v>13</v>
      </c>
      <c r="W1121" t="s">
        <v>13</v>
      </c>
      <c r="X1121" t="s">
        <v>13</v>
      </c>
      <c r="Y1121" t="s">
        <v>13</v>
      </c>
      <c r="Z1121" t="s">
        <v>13</v>
      </c>
      <c r="AA1121" t="s">
        <v>13</v>
      </c>
      <c r="AB1121" t="s">
        <v>13</v>
      </c>
      <c r="AC1121" t="s">
        <v>13</v>
      </c>
      <c r="AD1121" t="s">
        <v>13</v>
      </c>
      <c r="AE1121" t="s">
        <v>13</v>
      </c>
      <c r="AF1121" t="s">
        <v>13</v>
      </c>
      <c r="AG1121" t="s">
        <v>13</v>
      </c>
      <c r="AH1121" t="s">
        <v>13</v>
      </c>
      <c r="AI1121" t="s">
        <v>13</v>
      </c>
      <c r="AJ1121" t="s">
        <v>13</v>
      </c>
      <c r="AK1121" t="s">
        <v>13</v>
      </c>
      <c r="AL1121" t="s">
        <v>13</v>
      </c>
      <c r="AM1121" t="s">
        <v>13</v>
      </c>
      <c r="AN1121">
        <v>5607</v>
      </c>
      <c r="AO1121" t="s">
        <v>13</v>
      </c>
      <c r="AP1121" t="s">
        <v>13</v>
      </c>
      <c r="AQ1121" t="s">
        <v>13</v>
      </c>
      <c r="AR1121" t="s">
        <v>13</v>
      </c>
      <c r="AS1121" t="s">
        <v>13</v>
      </c>
      <c r="AT1121" t="s">
        <v>13</v>
      </c>
      <c r="AU1121" t="s">
        <v>13</v>
      </c>
      <c r="AV1121" t="s">
        <v>13</v>
      </c>
      <c r="AW1121" t="s">
        <v>13</v>
      </c>
      <c r="AX1121" t="s">
        <v>13</v>
      </c>
      <c r="AY1121" t="s">
        <v>13</v>
      </c>
      <c r="AZ1121" t="s">
        <v>13</v>
      </c>
      <c r="BA1121" t="s">
        <v>13</v>
      </c>
    </row>
    <row r="1122" spans="1:53" x14ac:dyDescent="0.2">
      <c r="A1122">
        <v>1979</v>
      </c>
      <c r="B1122" t="s">
        <v>110</v>
      </c>
      <c r="C1122" t="s">
        <v>99</v>
      </c>
      <c r="D1122">
        <v>21.2</v>
      </c>
      <c r="E1122">
        <v>0.6</v>
      </c>
      <c r="F1122">
        <v>0.7</v>
      </c>
      <c r="G1122">
        <v>11.9</v>
      </c>
      <c r="H1122">
        <v>0</v>
      </c>
      <c r="I1122">
        <v>8.3000000000000007</v>
      </c>
      <c r="J1122">
        <v>0</v>
      </c>
      <c r="K1122">
        <f t="shared" si="922"/>
        <v>42.7</v>
      </c>
      <c r="L1122">
        <v>11.3</v>
      </c>
      <c r="M1122">
        <v>7.4</v>
      </c>
      <c r="N1122">
        <v>0.1</v>
      </c>
      <c r="O1122">
        <f t="shared" si="992"/>
        <v>18.800000000000004</v>
      </c>
      <c r="P1122">
        <v>0.5</v>
      </c>
      <c r="Q1122">
        <v>2.1</v>
      </c>
      <c r="R1122">
        <v>1.4</v>
      </c>
      <c r="S1122">
        <f t="shared" si="993"/>
        <v>4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f t="shared" si="994"/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0.1</v>
      </c>
      <c r="AI1122">
        <v>0</v>
      </c>
      <c r="AJ1122" s="5">
        <f t="shared" si="995"/>
        <v>0.1</v>
      </c>
      <c r="AK1122">
        <v>0</v>
      </c>
      <c r="AL1122">
        <v>0.34399999999999997</v>
      </c>
      <c r="AM1122">
        <f t="shared" si="996"/>
        <v>0.65600000000000014</v>
      </c>
      <c r="AN1122" t="s">
        <v>13</v>
      </c>
      <c r="AO1122" t="s">
        <v>13</v>
      </c>
      <c r="AP1122" t="s">
        <v>13</v>
      </c>
      <c r="AQ1122" t="s">
        <v>13</v>
      </c>
      <c r="AR1122">
        <f t="shared" si="895"/>
        <v>1.5243902439024386E-3</v>
      </c>
      <c r="AS1122">
        <f t="shared" ref="AS1122:AS1185" si="997">SUM(K1122,O1122,S1122,AA1122)/100</f>
        <v>0.65500000000000003</v>
      </c>
      <c r="AT1122" t="s">
        <v>13</v>
      </c>
      <c r="AU1122" t="s">
        <v>13</v>
      </c>
      <c r="AV1122" t="s">
        <v>13</v>
      </c>
      <c r="AW1122" t="s">
        <v>13</v>
      </c>
      <c r="AX1122" t="s">
        <v>13</v>
      </c>
      <c r="AY1122" t="s">
        <v>13</v>
      </c>
      <c r="AZ1122" t="s">
        <v>13</v>
      </c>
      <c r="BA1122" t="s">
        <v>13</v>
      </c>
    </row>
    <row r="1123" spans="1:53" x14ac:dyDescent="0.2">
      <c r="A1123">
        <v>1980</v>
      </c>
      <c r="B1123" t="s">
        <v>110</v>
      </c>
      <c r="C1123" t="s">
        <v>99</v>
      </c>
      <c r="D1123">
        <v>28.3</v>
      </c>
      <c r="E1123">
        <v>5.7</v>
      </c>
      <c r="F1123">
        <v>1.1000000000000001</v>
      </c>
      <c r="G1123">
        <v>8.5</v>
      </c>
      <c r="H1123">
        <v>0</v>
      </c>
      <c r="I1123">
        <v>7.4</v>
      </c>
      <c r="J1123">
        <v>0.2</v>
      </c>
      <c r="K1123">
        <f t="shared" si="922"/>
        <v>51.2</v>
      </c>
      <c r="L1123">
        <v>8.6999999999999993</v>
      </c>
      <c r="M1123">
        <v>4.5999999999999996</v>
      </c>
      <c r="N1123">
        <v>0</v>
      </c>
      <c r="O1123">
        <f t="shared" si="992"/>
        <v>13.299999999999999</v>
      </c>
      <c r="P1123">
        <v>0</v>
      </c>
      <c r="Q1123">
        <v>1.2</v>
      </c>
      <c r="R1123">
        <v>0.5</v>
      </c>
      <c r="S1123">
        <f t="shared" si="993"/>
        <v>1.7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0.2</v>
      </c>
      <c r="Z1123">
        <v>0</v>
      </c>
      <c r="AA1123">
        <f t="shared" si="994"/>
        <v>0.2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 s="5">
        <f t="shared" si="995"/>
        <v>0</v>
      </c>
      <c r="AK1123">
        <v>0</v>
      </c>
      <c r="AL1123">
        <v>0.33600000000000002</v>
      </c>
      <c r="AM1123">
        <f t="shared" si="996"/>
        <v>0.66400000000000003</v>
      </c>
      <c r="AN1123" t="s">
        <v>13</v>
      </c>
      <c r="AO1123" t="s">
        <v>13</v>
      </c>
      <c r="AP1123" t="s">
        <v>13</v>
      </c>
      <c r="AQ1123" t="s">
        <v>13</v>
      </c>
      <c r="AR1123">
        <f t="shared" si="895"/>
        <v>0</v>
      </c>
      <c r="AS1123">
        <f t="shared" si="997"/>
        <v>0.66400000000000003</v>
      </c>
      <c r="AT1123" t="s">
        <v>13</v>
      </c>
      <c r="AU1123" t="s">
        <v>13</v>
      </c>
      <c r="AV1123" t="s">
        <v>13</v>
      </c>
      <c r="AW1123" t="s">
        <v>13</v>
      </c>
      <c r="AX1123" t="s">
        <v>13</v>
      </c>
      <c r="AY1123" t="s">
        <v>13</v>
      </c>
      <c r="AZ1123" t="s">
        <v>13</v>
      </c>
      <c r="BA1123" t="s">
        <v>13</v>
      </c>
    </row>
    <row r="1124" spans="1:53" x14ac:dyDescent="0.2">
      <c r="A1124">
        <v>1981</v>
      </c>
      <c r="B1124" t="s">
        <v>110</v>
      </c>
      <c r="C1124" t="s">
        <v>99</v>
      </c>
      <c r="D1124">
        <v>31.6</v>
      </c>
      <c r="E1124">
        <v>1.6</v>
      </c>
      <c r="F1124">
        <v>1</v>
      </c>
      <c r="G1124">
        <v>13.9</v>
      </c>
      <c r="H1124">
        <v>0</v>
      </c>
      <c r="I1124">
        <v>5.8</v>
      </c>
      <c r="J1124">
        <v>0.1</v>
      </c>
      <c r="K1124">
        <f t="shared" si="922"/>
        <v>54</v>
      </c>
      <c r="L1124">
        <v>8.3000000000000007</v>
      </c>
      <c r="M1124">
        <v>4.5999999999999996</v>
      </c>
      <c r="N1124">
        <v>0.3</v>
      </c>
      <c r="O1124">
        <f t="shared" si="992"/>
        <v>13.200000000000001</v>
      </c>
      <c r="P1124">
        <v>0.4</v>
      </c>
      <c r="Q1124">
        <v>1.2</v>
      </c>
      <c r="R1124">
        <v>1.5</v>
      </c>
      <c r="S1124">
        <f t="shared" si="993"/>
        <v>3.1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0.8</v>
      </c>
      <c r="Z1124">
        <v>0.1</v>
      </c>
      <c r="AA1124">
        <f t="shared" si="994"/>
        <v>0.9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0.4</v>
      </c>
      <c r="AI1124">
        <v>0</v>
      </c>
      <c r="AJ1124" s="5">
        <f t="shared" si="995"/>
        <v>0.4</v>
      </c>
      <c r="AK1124">
        <v>0</v>
      </c>
      <c r="AL1124">
        <v>0.28399999999999997</v>
      </c>
      <c r="AM1124">
        <f t="shared" si="996"/>
        <v>0.71599999999999997</v>
      </c>
      <c r="AN1124" t="s">
        <v>13</v>
      </c>
      <c r="AO1124" t="s">
        <v>13</v>
      </c>
      <c r="AP1124" t="s">
        <v>13</v>
      </c>
      <c r="AQ1124" t="s">
        <v>13</v>
      </c>
      <c r="AR1124">
        <f t="shared" ref="AR1124:AR1187" si="998">(AJ1124/100)/AM1124</f>
        <v>5.5865921787709499E-3</v>
      </c>
      <c r="AS1124">
        <f t="shared" si="997"/>
        <v>0.71200000000000008</v>
      </c>
      <c r="AT1124" t="s">
        <v>13</v>
      </c>
      <c r="AU1124" t="s">
        <v>13</v>
      </c>
      <c r="AV1124" t="s">
        <v>13</v>
      </c>
      <c r="AW1124" t="s">
        <v>13</v>
      </c>
      <c r="AX1124" t="s">
        <v>13</v>
      </c>
      <c r="AY1124" t="s">
        <v>13</v>
      </c>
      <c r="AZ1124" t="s">
        <v>13</v>
      </c>
      <c r="BA1124" t="s">
        <v>13</v>
      </c>
    </row>
    <row r="1125" spans="1:53" x14ac:dyDescent="0.2">
      <c r="A1125">
        <v>1982</v>
      </c>
      <c r="B1125" t="s">
        <v>110</v>
      </c>
      <c r="C1125" t="s">
        <v>99</v>
      </c>
      <c r="D1125">
        <v>29.1</v>
      </c>
      <c r="E1125">
        <v>3.5</v>
      </c>
      <c r="F1125">
        <v>1.6</v>
      </c>
      <c r="G1125">
        <v>14.7</v>
      </c>
      <c r="H1125">
        <v>0</v>
      </c>
      <c r="I1125">
        <v>6.1</v>
      </c>
      <c r="J1125">
        <v>0.1</v>
      </c>
      <c r="K1125">
        <f t="shared" si="922"/>
        <v>55.100000000000009</v>
      </c>
      <c r="L1125">
        <v>7.1</v>
      </c>
      <c r="M1125">
        <v>4.5</v>
      </c>
      <c r="N1125">
        <v>0</v>
      </c>
      <c r="O1125">
        <f t="shared" si="992"/>
        <v>11.6</v>
      </c>
      <c r="P1125">
        <v>0.1</v>
      </c>
      <c r="Q1125">
        <v>1.3</v>
      </c>
      <c r="R1125">
        <v>0.9</v>
      </c>
      <c r="S1125">
        <f t="shared" si="993"/>
        <v>2.3000000000000003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0.5</v>
      </c>
      <c r="Z1125">
        <v>0.1</v>
      </c>
      <c r="AA1125">
        <f t="shared" si="994"/>
        <v>0.6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0.1</v>
      </c>
      <c r="AI1125">
        <v>0</v>
      </c>
      <c r="AJ1125" s="5">
        <f t="shared" si="995"/>
        <v>0.1</v>
      </c>
      <c r="AK1125">
        <v>0</v>
      </c>
      <c r="AL1125">
        <v>0.3</v>
      </c>
      <c r="AM1125">
        <f t="shared" si="996"/>
        <v>0.69699999999999984</v>
      </c>
      <c r="AN1125" t="s">
        <v>13</v>
      </c>
      <c r="AO1125" t="s">
        <v>13</v>
      </c>
      <c r="AP1125" t="s">
        <v>13</v>
      </c>
      <c r="AQ1125" t="s">
        <v>13</v>
      </c>
      <c r="AR1125">
        <f t="shared" si="998"/>
        <v>1.434720229555237E-3</v>
      </c>
      <c r="AS1125">
        <f t="shared" si="997"/>
        <v>0.69599999999999995</v>
      </c>
      <c r="AT1125" t="s">
        <v>13</v>
      </c>
      <c r="AU1125" t="s">
        <v>13</v>
      </c>
      <c r="AV1125" t="s">
        <v>13</v>
      </c>
      <c r="AW1125" t="s">
        <v>13</v>
      </c>
      <c r="AX1125" t="s">
        <v>13</v>
      </c>
      <c r="AY1125" t="s">
        <v>13</v>
      </c>
      <c r="AZ1125" t="s">
        <v>13</v>
      </c>
      <c r="BA1125" t="s">
        <v>13</v>
      </c>
    </row>
    <row r="1126" spans="1:53" x14ac:dyDescent="0.2">
      <c r="A1126">
        <v>1983</v>
      </c>
      <c r="B1126" t="s">
        <v>110</v>
      </c>
      <c r="C1126" t="s">
        <v>99</v>
      </c>
      <c r="D1126">
        <v>41.4</v>
      </c>
      <c r="E1126">
        <v>2.7</v>
      </c>
      <c r="F1126">
        <v>0.4</v>
      </c>
      <c r="G1126">
        <v>11.1</v>
      </c>
      <c r="H1126">
        <v>0</v>
      </c>
      <c r="I1126">
        <v>5.7</v>
      </c>
      <c r="J1126">
        <v>0</v>
      </c>
      <c r="K1126">
        <f t="shared" si="922"/>
        <v>61.300000000000004</v>
      </c>
      <c r="L1126">
        <v>7.9</v>
      </c>
      <c r="M1126">
        <v>2.2999999999999998</v>
      </c>
      <c r="N1126">
        <v>0.1</v>
      </c>
      <c r="O1126">
        <f t="shared" si="992"/>
        <v>10.299999999999999</v>
      </c>
      <c r="P1126">
        <v>0</v>
      </c>
      <c r="Q1126">
        <v>0.6</v>
      </c>
      <c r="R1126">
        <v>0.4</v>
      </c>
      <c r="S1126">
        <f t="shared" si="993"/>
        <v>1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f t="shared" si="994"/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0.1</v>
      </c>
      <c r="AI1126">
        <v>0</v>
      </c>
      <c r="AJ1126" s="5">
        <f t="shared" si="995"/>
        <v>0.1</v>
      </c>
      <c r="AK1126">
        <v>0</v>
      </c>
      <c r="AL1126">
        <v>0.27300000000000002</v>
      </c>
      <c r="AM1126">
        <f t="shared" si="996"/>
        <v>0.72699999999999998</v>
      </c>
      <c r="AN1126" t="s">
        <v>13</v>
      </c>
      <c r="AO1126" t="s">
        <v>13</v>
      </c>
      <c r="AP1126" t="s">
        <v>13</v>
      </c>
      <c r="AQ1126" t="s">
        <v>13</v>
      </c>
      <c r="AR1126">
        <f t="shared" si="998"/>
        <v>1.375515818431912E-3</v>
      </c>
      <c r="AS1126">
        <f t="shared" si="997"/>
        <v>0.72600000000000009</v>
      </c>
      <c r="AT1126" t="s">
        <v>13</v>
      </c>
      <c r="AU1126" t="s">
        <v>13</v>
      </c>
      <c r="AV1126" t="s">
        <v>13</v>
      </c>
      <c r="AW1126" t="s">
        <v>13</v>
      </c>
      <c r="AX1126" t="s">
        <v>13</v>
      </c>
      <c r="AY1126" t="s">
        <v>13</v>
      </c>
      <c r="AZ1126" t="s">
        <v>13</v>
      </c>
      <c r="BA1126" t="s">
        <v>13</v>
      </c>
    </row>
    <row r="1127" spans="1:53" x14ac:dyDescent="0.2">
      <c r="A1127">
        <v>1984</v>
      </c>
      <c r="B1127" t="s">
        <v>110</v>
      </c>
      <c r="C1127" t="s">
        <v>99</v>
      </c>
      <c r="D1127">
        <v>30.1</v>
      </c>
      <c r="E1127">
        <v>4.0999999999999996</v>
      </c>
      <c r="F1127">
        <v>0.1</v>
      </c>
      <c r="G1127">
        <v>13.7</v>
      </c>
      <c r="H1127">
        <v>0</v>
      </c>
      <c r="I1127">
        <v>6.7</v>
      </c>
      <c r="J1127">
        <v>0</v>
      </c>
      <c r="K1127">
        <f t="shared" si="922"/>
        <v>54.7</v>
      </c>
      <c r="L1127">
        <v>3.9</v>
      </c>
      <c r="M1127">
        <v>2.7</v>
      </c>
      <c r="N1127">
        <v>0</v>
      </c>
      <c r="O1127">
        <f t="shared" si="992"/>
        <v>6.6</v>
      </c>
      <c r="P1127">
        <v>0</v>
      </c>
      <c r="Q1127">
        <v>0.8</v>
      </c>
      <c r="R1127">
        <v>1</v>
      </c>
      <c r="S1127">
        <f t="shared" si="993"/>
        <v>1.8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0.1</v>
      </c>
      <c r="Z1127">
        <v>0</v>
      </c>
      <c r="AA1127">
        <f t="shared" si="994"/>
        <v>0.1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 s="5">
        <f t="shared" si="995"/>
        <v>0</v>
      </c>
      <c r="AK1127">
        <v>0</v>
      </c>
      <c r="AL1127">
        <v>0.36700000000000005</v>
      </c>
      <c r="AM1127">
        <f t="shared" si="996"/>
        <v>0.63200000000000001</v>
      </c>
      <c r="AN1127" t="s">
        <v>13</v>
      </c>
      <c r="AO1127" t="s">
        <v>13</v>
      </c>
      <c r="AP1127" t="s">
        <v>13</v>
      </c>
      <c r="AQ1127" t="s">
        <v>13</v>
      </c>
      <c r="AR1127">
        <f t="shared" si="998"/>
        <v>0</v>
      </c>
      <c r="AS1127">
        <f t="shared" si="997"/>
        <v>0.63200000000000001</v>
      </c>
      <c r="AT1127" t="s">
        <v>13</v>
      </c>
      <c r="AU1127" t="s">
        <v>13</v>
      </c>
      <c r="AV1127" t="s">
        <v>13</v>
      </c>
      <c r="AW1127" t="s">
        <v>13</v>
      </c>
      <c r="AX1127" t="s">
        <v>13</v>
      </c>
      <c r="AY1127" t="s">
        <v>13</v>
      </c>
      <c r="AZ1127" t="s">
        <v>13</v>
      </c>
      <c r="BA1127" t="s">
        <v>13</v>
      </c>
    </row>
    <row r="1128" spans="1:53" x14ac:dyDescent="0.2">
      <c r="A1128">
        <v>1985</v>
      </c>
      <c r="B1128" t="s">
        <v>110</v>
      </c>
      <c r="C1128" t="s">
        <v>99</v>
      </c>
      <c r="D1128">
        <v>19.8</v>
      </c>
      <c r="E1128">
        <v>13.7</v>
      </c>
      <c r="F1128">
        <v>0</v>
      </c>
      <c r="G1128">
        <v>16</v>
      </c>
      <c r="H1128">
        <v>0</v>
      </c>
      <c r="I1128">
        <v>1.4</v>
      </c>
      <c r="J1128">
        <v>0</v>
      </c>
      <c r="K1128">
        <f t="shared" si="922"/>
        <v>50.9</v>
      </c>
      <c r="L1128">
        <v>0.9</v>
      </c>
      <c r="M1128">
        <v>3.7</v>
      </c>
      <c r="N1128">
        <v>0</v>
      </c>
      <c r="O1128">
        <f t="shared" si="992"/>
        <v>4.6000000000000005</v>
      </c>
      <c r="P1128">
        <v>0</v>
      </c>
      <c r="Q1128">
        <v>1.9</v>
      </c>
      <c r="R1128">
        <v>0.7</v>
      </c>
      <c r="S1128">
        <f t="shared" si="993"/>
        <v>2.5999999999999996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0.2</v>
      </c>
      <c r="Z1128">
        <v>0.2</v>
      </c>
      <c r="AA1128">
        <f t="shared" si="994"/>
        <v>0.4</v>
      </c>
      <c r="AB1128">
        <v>0</v>
      </c>
      <c r="AC1128">
        <v>0</v>
      </c>
      <c r="AD1128">
        <v>0</v>
      </c>
      <c r="AE1128">
        <v>0</v>
      </c>
      <c r="AF1128">
        <v>0.2</v>
      </c>
      <c r="AG1128">
        <v>0</v>
      </c>
      <c r="AH1128">
        <v>1.1000000000000001</v>
      </c>
      <c r="AI1128">
        <v>0</v>
      </c>
      <c r="AJ1128" s="5">
        <f t="shared" si="995"/>
        <v>1.3</v>
      </c>
      <c r="AK1128">
        <v>0.2</v>
      </c>
      <c r="AL1128">
        <v>0.4</v>
      </c>
      <c r="AM1128">
        <f t="shared" si="996"/>
        <v>0.59800000000000009</v>
      </c>
      <c r="AN1128" t="s">
        <v>13</v>
      </c>
      <c r="AO1128" t="s">
        <v>13</v>
      </c>
      <c r="AP1128" t="s">
        <v>13</v>
      </c>
      <c r="AQ1128" t="s">
        <v>13</v>
      </c>
      <c r="AR1128">
        <f t="shared" si="998"/>
        <v>2.1739130434782608E-2</v>
      </c>
      <c r="AS1128">
        <f t="shared" si="997"/>
        <v>0.58499999999999996</v>
      </c>
      <c r="AT1128" t="s">
        <v>13</v>
      </c>
      <c r="AU1128" t="s">
        <v>13</v>
      </c>
      <c r="AV1128" t="s">
        <v>13</v>
      </c>
      <c r="AW1128" t="s">
        <v>13</v>
      </c>
      <c r="AX1128" t="s">
        <v>13</v>
      </c>
      <c r="AY1128" t="s">
        <v>13</v>
      </c>
      <c r="AZ1128" t="s">
        <v>13</v>
      </c>
      <c r="BA1128" t="s">
        <v>13</v>
      </c>
    </row>
    <row r="1129" spans="1:53" x14ac:dyDescent="0.2">
      <c r="A1129">
        <v>1986</v>
      </c>
      <c r="B1129" t="s">
        <v>110</v>
      </c>
      <c r="C1129" t="s">
        <v>99</v>
      </c>
      <c r="D1129">
        <v>15.8</v>
      </c>
      <c r="E1129">
        <v>8.1999999999999993</v>
      </c>
      <c r="F1129">
        <v>0.6</v>
      </c>
      <c r="G1129">
        <v>8.1</v>
      </c>
      <c r="H1129">
        <v>0.8</v>
      </c>
      <c r="I1129">
        <v>6.2</v>
      </c>
      <c r="J1129">
        <v>0</v>
      </c>
      <c r="K1129">
        <f t="shared" si="922"/>
        <v>39.700000000000003</v>
      </c>
      <c r="L1129">
        <v>0.9</v>
      </c>
      <c r="M1129">
        <v>3.3</v>
      </c>
      <c r="N1129">
        <v>0</v>
      </c>
      <c r="O1129">
        <f t="shared" si="992"/>
        <v>4.2</v>
      </c>
      <c r="P1129">
        <v>0</v>
      </c>
      <c r="Q1129">
        <v>0.7</v>
      </c>
      <c r="R1129">
        <v>1.2</v>
      </c>
      <c r="S1129">
        <f t="shared" si="993"/>
        <v>1.9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0.2</v>
      </c>
      <c r="Z1129">
        <v>1.6</v>
      </c>
      <c r="AA1129">
        <f t="shared" si="994"/>
        <v>1.8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 s="5">
        <f t="shared" si="995"/>
        <v>0</v>
      </c>
      <c r="AK1129">
        <v>0</v>
      </c>
      <c r="AL1129">
        <v>0.52400000000000002</v>
      </c>
      <c r="AM1129">
        <f t="shared" si="996"/>
        <v>0.47600000000000003</v>
      </c>
      <c r="AN1129" t="s">
        <v>13</v>
      </c>
      <c r="AO1129" t="s">
        <v>13</v>
      </c>
      <c r="AP1129" t="s">
        <v>13</v>
      </c>
      <c r="AQ1129" t="s">
        <v>13</v>
      </c>
      <c r="AR1129">
        <f t="shared" si="998"/>
        <v>0</v>
      </c>
      <c r="AS1129">
        <f t="shared" si="997"/>
        <v>0.47600000000000003</v>
      </c>
      <c r="AT1129" t="s">
        <v>13</v>
      </c>
      <c r="AU1129" t="s">
        <v>13</v>
      </c>
      <c r="AV1129" t="s">
        <v>13</v>
      </c>
      <c r="AW1129" t="s">
        <v>13</v>
      </c>
      <c r="AX1129" t="s">
        <v>13</v>
      </c>
      <c r="AY1129" t="s">
        <v>13</v>
      </c>
      <c r="AZ1129" t="s">
        <v>13</v>
      </c>
      <c r="BA1129" t="s">
        <v>13</v>
      </c>
    </row>
    <row r="1130" spans="1:53" x14ac:dyDescent="0.2">
      <c r="A1130">
        <v>1987</v>
      </c>
      <c r="B1130" t="s">
        <v>110</v>
      </c>
      <c r="C1130" t="s">
        <v>99</v>
      </c>
      <c r="D1130">
        <v>10.6</v>
      </c>
      <c r="E1130">
        <v>3.2</v>
      </c>
      <c r="F1130">
        <v>1</v>
      </c>
      <c r="G1130">
        <v>7.4</v>
      </c>
      <c r="H1130">
        <v>0</v>
      </c>
      <c r="I1130">
        <v>2.7</v>
      </c>
      <c r="J1130">
        <v>0.2</v>
      </c>
      <c r="K1130">
        <f t="shared" ref="K1130:K1174" si="999">SUM(D1130:J1130)</f>
        <v>25.1</v>
      </c>
      <c r="L1130">
        <v>3.5</v>
      </c>
      <c r="M1130">
        <v>2.2999999999999998</v>
      </c>
      <c r="N1130">
        <v>0</v>
      </c>
      <c r="O1130">
        <f t="shared" si="992"/>
        <v>5.8</v>
      </c>
      <c r="P1130">
        <v>0</v>
      </c>
      <c r="Q1130">
        <v>1</v>
      </c>
      <c r="R1130">
        <v>1</v>
      </c>
      <c r="S1130">
        <f t="shared" si="993"/>
        <v>2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0.3</v>
      </c>
      <c r="Z1130">
        <v>0.1</v>
      </c>
      <c r="AA1130">
        <f t="shared" si="994"/>
        <v>0.4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 s="5">
        <f t="shared" si="995"/>
        <v>0</v>
      </c>
      <c r="AK1130">
        <v>0.1</v>
      </c>
      <c r="AL1130">
        <v>0.66900000000000004</v>
      </c>
      <c r="AM1130">
        <f t="shared" si="996"/>
        <v>0.33300000000000002</v>
      </c>
      <c r="AN1130" t="s">
        <v>13</v>
      </c>
      <c r="AO1130" t="s">
        <v>13</v>
      </c>
      <c r="AP1130" t="s">
        <v>13</v>
      </c>
      <c r="AQ1130" t="s">
        <v>13</v>
      </c>
      <c r="AR1130">
        <f t="shared" si="998"/>
        <v>0</v>
      </c>
      <c r="AS1130">
        <f t="shared" si="997"/>
        <v>0.33300000000000002</v>
      </c>
      <c r="AT1130" t="s">
        <v>13</v>
      </c>
      <c r="AU1130" t="s">
        <v>13</v>
      </c>
      <c r="AV1130" t="s">
        <v>13</v>
      </c>
      <c r="AW1130" t="s">
        <v>13</v>
      </c>
      <c r="AX1130" t="s">
        <v>13</v>
      </c>
      <c r="AY1130" t="s">
        <v>13</v>
      </c>
      <c r="AZ1130" t="s">
        <v>13</v>
      </c>
      <c r="BA1130" t="s">
        <v>13</v>
      </c>
    </row>
    <row r="1131" spans="1:53" x14ac:dyDescent="0.2">
      <c r="A1131">
        <v>1988</v>
      </c>
      <c r="B1131" t="s">
        <v>110</v>
      </c>
      <c r="C1131" t="s">
        <v>99</v>
      </c>
      <c r="D1131">
        <v>11.3</v>
      </c>
      <c r="E1131">
        <v>4.4000000000000004</v>
      </c>
      <c r="F1131">
        <v>1.3</v>
      </c>
      <c r="G1131">
        <v>7.6</v>
      </c>
      <c r="H1131">
        <v>1.1000000000000001</v>
      </c>
      <c r="I1131">
        <v>4.9000000000000004</v>
      </c>
      <c r="J1131">
        <v>1.1000000000000001</v>
      </c>
      <c r="K1131">
        <f t="shared" si="999"/>
        <v>31.700000000000003</v>
      </c>
      <c r="L1131">
        <v>1.4</v>
      </c>
      <c r="M1131">
        <v>1.8</v>
      </c>
      <c r="N1131">
        <v>0</v>
      </c>
      <c r="O1131">
        <f t="shared" si="992"/>
        <v>3.2</v>
      </c>
      <c r="P1131">
        <v>0</v>
      </c>
      <c r="Q1131">
        <v>0.2</v>
      </c>
      <c r="R1131">
        <v>4.8</v>
      </c>
      <c r="S1131">
        <f t="shared" si="993"/>
        <v>5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0.3</v>
      </c>
      <c r="Z1131">
        <v>0.3</v>
      </c>
      <c r="AA1131">
        <f t="shared" si="994"/>
        <v>0.6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 s="5">
        <f t="shared" si="995"/>
        <v>0</v>
      </c>
      <c r="AK1131">
        <v>0.1</v>
      </c>
      <c r="AL1131">
        <v>0.59399999999999997</v>
      </c>
      <c r="AM1131">
        <f t="shared" si="996"/>
        <v>0.40500000000000003</v>
      </c>
      <c r="AN1131" t="s">
        <v>13</v>
      </c>
      <c r="AO1131" t="s">
        <v>13</v>
      </c>
      <c r="AP1131" t="s">
        <v>13</v>
      </c>
      <c r="AQ1131" t="s">
        <v>13</v>
      </c>
      <c r="AR1131">
        <f t="shared" si="998"/>
        <v>0</v>
      </c>
      <c r="AS1131">
        <f t="shared" si="997"/>
        <v>0.40500000000000008</v>
      </c>
      <c r="AT1131" t="s">
        <v>13</v>
      </c>
      <c r="AU1131" t="s">
        <v>13</v>
      </c>
      <c r="AV1131" t="s">
        <v>13</v>
      </c>
      <c r="AW1131" t="s">
        <v>13</v>
      </c>
      <c r="AX1131" t="s">
        <v>13</v>
      </c>
      <c r="AY1131" t="s">
        <v>13</v>
      </c>
      <c r="AZ1131" t="s">
        <v>13</v>
      </c>
      <c r="BA1131" t="s">
        <v>13</v>
      </c>
    </row>
    <row r="1132" spans="1:53" x14ac:dyDescent="0.2">
      <c r="A1132">
        <v>1989</v>
      </c>
      <c r="B1132" t="s">
        <v>110</v>
      </c>
      <c r="C1132" t="s">
        <v>99</v>
      </c>
      <c r="D1132">
        <v>10.1</v>
      </c>
      <c r="E1132">
        <v>7.6</v>
      </c>
      <c r="F1132">
        <v>0.4</v>
      </c>
      <c r="G1132">
        <v>9.6</v>
      </c>
      <c r="H1132">
        <v>0.5</v>
      </c>
      <c r="I1132">
        <v>2.5</v>
      </c>
      <c r="J1132">
        <v>1.1000000000000001</v>
      </c>
      <c r="K1132">
        <f t="shared" si="999"/>
        <v>31.799999999999997</v>
      </c>
      <c r="L1132">
        <v>1.7</v>
      </c>
      <c r="M1132">
        <v>1.1000000000000001</v>
      </c>
      <c r="N1132">
        <v>0.1</v>
      </c>
      <c r="O1132">
        <f t="shared" si="992"/>
        <v>2.9</v>
      </c>
      <c r="P1132">
        <v>0</v>
      </c>
      <c r="Q1132">
        <v>0.9</v>
      </c>
      <c r="R1132">
        <v>1.5</v>
      </c>
      <c r="S1132">
        <f t="shared" si="993"/>
        <v>2.4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0.1</v>
      </c>
      <c r="AA1132">
        <f t="shared" si="994"/>
        <v>0.1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 s="5">
        <f t="shared" si="995"/>
        <v>0</v>
      </c>
      <c r="AK1132">
        <v>0</v>
      </c>
      <c r="AL1132">
        <v>0.628</v>
      </c>
      <c r="AM1132">
        <f t="shared" si="996"/>
        <v>0.37200000000000005</v>
      </c>
      <c r="AN1132" t="s">
        <v>13</v>
      </c>
      <c r="AO1132" t="s">
        <v>13</v>
      </c>
      <c r="AP1132" t="s">
        <v>13</v>
      </c>
      <c r="AQ1132" t="s">
        <v>13</v>
      </c>
      <c r="AR1132">
        <f t="shared" si="998"/>
        <v>0</v>
      </c>
      <c r="AS1132">
        <f t="shared" si="997"/>
        <v>0.37199999999999994</v>
      </c>
      <c r="AT1132" t="s">
        <v>13</v>
      </c>
      <c r="AU1132" t="s">
        <v>13</v>
      </c>
      <c r="AV1132" t="s">
        <v>13</v>
      </c>
      <c r="AW1132" t="s">
        <v>13</v>
      </c>
      <c r="AX1132" t="s">
        <v>13</v>
      </c>
      <c r="AY1132" t="s">
        <v>13</v>
      </c>
      <c r="AZ1132" t="s">
        <v>13</v>
      </c>
      <c r="BA1132" t="s">
        <v>13</v>
      </c>
    </row>
    <row r="1133" spans="1:53" x14ac:dyDescent="0.2">
      <c r="A1133">
        <v>1990</v>
      </c>
      <c r="B1133" t="s">
        <v>110</v>
      </c>
      <c r="C1133" t="s">
        <v>99</v>
      </c>
      <c r="D1133">
        <v>19</v>
      </c>
      <c r="E1133">
        <v>2.2999999999999998</v>
      </c>
      <c r="F1133">
        <v>2</v>
      </c>
      <c r="G1133">
        <v>9.1</v>
      </c>
      <c r="H1133">
        <v>0.8</v>
      </c>
      <c r="I1133">
        <v>6.2</v>
      </c>
      <c r="J1133">
        <v>0.8</v>
      </c>
      <c r="K1133">
        <f t="shared" si="999"/>
        <v>40.199999999999996</v>
      </c>
      <c r="L1133">
        <v>2.2999999999999998</v>
      </c>
      <c r="M1133">
        <v>1.5</v>
      </c>
      <c r="N1133">
        <v>0.1</v>
      </c>
      <c r="O1133">
        <f t="shared" si="992"/>
        <v>3.9</v>
      </c>
      <c r="P1133">
        <v>0</v>
      </c>
      <c r="Q1133">
        <v>0.7</v>
      </c>
      <c r="R1133">
        <v>1</v>
      </c>
      <c r="S1133">
        <f t="shared" si="993"/>
        <v>1.7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f t="shared" si="994"/>
        <v>0</v>
      </c>
      <c r="AB1133">
        <v>0</v>
      </c>
      <c r="AC1133">
        <v>0</v>
      </c>
      <c r="AD1133">
        <v>0</v>
      </c>
      <c r="AE1133">
        <v>0</v>
      </c>
      <c r="AF1133">
        <v>0.1</v>
      </c>
      <c r="AG1133">
        <v>0</v>
      </c>
      <c r="AH1133">
        <v>0</v>
      </c>
      <c r="AI1133">
        <v>0</v>
      </c>
      <c r="AJ1133" s="5">
        <f t="shared" si="995"/>
        <v>0.1</v>
      </c>
      <c r="AK1133">
        <v>0</v>
      </c>
      <c r="AL1133">
        <v>0.53900000000000003</v>
      </c>
      <c r="AM1133">
        <f t="shared" si="996"/>
        <v>0.45899999999999996</v>
      </c>
      <c r="AN1133" t="s">
        <v>13</v>
      </c>
      <c r="AO1133" t="s">
        <v>13</v>
      </c>
      <c r="AP1133" t="s">
        <v>13</v>
      </c>
      <c r="AQ1133" t="s">
        <v>13</v>
      </c>
      <c r="AR1133">
        <f t="shared" si="998"/>
        <v>2.1786492374727671E-3</v>
      </c>
      <c r="AS1133">
        <f t="shared" si="997"/>
        <v>0.45799999999999996</v>
      </c>
      <c r="AT1133" t="s">
        <v>13</v>
      </c>
      <c r="AU1133" t="s">
        <v>13</v>
      </c>
      <c r="AV1133" t="s">
        <v>13</v>
      </c>
      <c r="AW1133" t="s">
        <v>13</v>
      </c>
      <c r="AX1133" t="s">
        <v>13</v>
      </c>
      <c r="AY1133" t="s">
        <v>13</v>
      </c>
      <c r="AZ1133" t="s">
        <v>13</v>
      </c>
      <c r="BA1133" t="s">
        <v>13</v>
      </c>
    </row>
    <row r="1134" spans="1:53" x14ac:dyDescent="0.2">
      <c r="A1134">
        <v>1991</v>
      </c>
      <c r="B1134" t="s">
        <v>110</v>
      </c>
      <c r="C1134" t="s">
        <v>99</v>
      </c>
      <c r="D1134">
        <v>19.399999999999999</v>
      </c>
      <c r="E1134">
        <v>2.4</v>
      </c>
      <c r="F1134">
        <v>3.2</v>
      </c>
      <c r="G1134">
        <v>9.6999999999999993</v>
      </c>
      <c r="H1134">
        <v>0.5</v>
      </c>
      <c r="I1134">
        <v>4.9000000000000004</v>
      </c>
      <c r="J1134">
        <v>0.6</v>
      </c>
      <c r="K1134">
        <f t="shared" si="999"/>
        <v>40.699999999999996</v>
      </c>
      <c r="L1134">
        <v>2.6</v>
      </c>
      <c r="M1134">
        <v>0.6</v>
      </c>
      <c r="N1134">
        <v>0.3</v>
      </c>
      <c r="O1134">
        <f t="shared" si="992"/>
        <v>3.5</v>
      </c>
      <c r="P1134">
        <v>0</v>
      </c>
      <c r="Q1134">
        <v>1.3</v>
      </c>
      <c r="R1134">
        <v>1.2</v>
      </c>
      <c r="S1134">
        <f t="shared" si="993"/>
        <v>2.5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0.1</v>
      </c>
      <c r="AA1134">
        <f t="shared" si="994"/>
        <v>0.1</v>
      </c>
      <c r="AB1134">
        <v>0.1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 s="5">
        <f t="shared" si="995"/>
        <v>0.1</v>
      </c>
      <c r="AK1134">
        <v>0</v>
      </c>
      <c r="AL1134">
        <v>0.53100000000000003</v>
      </c>
      <c r="AM1134">
        <f t="shared" si="996"/>
        <v>0.46899999999999992</v>
      </c>
      <c r="AN1134" t="s">
        <v>13</v>
      </c>
      <c r="AO1134" t="s">
        <v>13</v>
      </c>
      <c r="AP1134" t="s">
        <v>13</v>
      </c>
      <c r="AQ1134" t="s">
        <v>13</v>
      </c>
      <c r="AR1134">
        <f t="shared" si="998"/>
        <v>2.1321961620469087E-3</v>
      </c>
      <c r="AS1134">
        <f t="shared" si="997"/>
        <v>0.46799999999999997</v>
      </c>
      <c r="AT1134" t="s">
        <v>13</v>
      </c>
      <c r="AU1134" t="s">
        <v>13</v>
      </c>
      <c r="AV1134" t="s">
        <v>13</v>
      </c>
      <c r="AW1134" t="s">
        <v>13</v>
      </c>
      <c r="AX1134" t="s">
        <v>13</v>
      </c>
      <c r="AY1134" t="s">
        <v>13</v>
      </c>
      <c r="AZ1134" t="s">
        <v>13</v>
      </c>
      <c r="BA1134" t="s">
        <v>13</v>
      </c>
    </row>
    <row r="1135" spans="1:53" x14ac:dyDescent="0.2">
      <c r="A1135">
        <v>1992</v>
      </c>
      <c r="B1135" t="s">
        <v>110</v>
      </c>
      <c r="C1135" t="s">
        <v>99</v>
      </c>
      <c r="D1135">
        <v>15.3</v>
      </c>
      <c r="E1135">
        <v>15.7</v>
      </c>
      <c r="F1135">
        <v>1.6</v>
      </c>
      <c r="G1135">
        <v>6.8</v>
      </c>
      <c r="H1135">
        <v>0.9</v>
      </c>
      <c r="I1135">
        <v>17.100000000000001</v>
      </c>
      <c r="J1135">
        <v>0.8</v>
      </c>
      <c r="K1135">
        <f t="shared" si="999"/>
        <v>58.199999999999996</v>
      </c>
      <c r="L1135">
        <v>2.8</v>
      </c>
      <c r="M1135">
        <v>0.7</v>
      </c>
      <c r="N1135">
        <v>0.3</v>
      </c>
      <c r="O1135">
        <f t="shared" si="992"/>
        <v>3.8</v>
      </c>
      <c r="P1135">
        <v>0</v>
      </c>
      <c r="Q1135">
        <v>0.5</v>
      </c>
      <c r="R1135">
        <v>1.2</v>
      </c>
      <c r="S1135">
        <f t="shared" si="993"/>
        <v>1.7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f t="shared" si="994"/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 s="5">
        <f t="shared" si="995"/>
        <v>0</v>
      </c>
      <c r="AK1135">
        <v>0.1</v>
      </c>
      <c r="AL1135">
        <v>0.36</v>
      </c>
      <c r="AM1135">
        <f t="shared" si="996"/>
        <v>0.63700000000000001</v>
      </c>
      <c r="AN1135" t="s">
        <v>13</v>
      </c>
      <c r="AO1135" t="s">
        <v>13</v>
      </c>
      <c r="AP1135" t="s">
        <v>13</v>
      </c>
      <c r="AQ1135" t="s">
        <v>13</v>
      </c>
      <c r="AR1135">
        <f t="shared" si="998"/>
        <v>0</v>
      </c>
      <c r="AS1135">
        <f t="shared" si="997"/>
        <v>0.63700000000000001</v>
      </c>
      <c r="AT1135" t="s">
        <v>13</v>
      </c>
      <c r="AU1135" t="s">
        <v>13</v>
      </c>
      <c r="AV1135" t="s">
        <v>13</v>
      </c>
      <c r="AW1135" t="s">
        <v>13</v>
      </c>
      <c r="AX1135" t="s">
        <v>13</v>
      </c>
      <c r="AY1135" t="s">
        <v>13</v>
      </c>
      <c r="AZ1135" t="s">
        <v>13</v>
      </c>
      <c r="BA1135" t="s">
        <v>13</v>
      </c>
    </row>
    <row r="1136" spans="1:53" x14ac:dyDescent="0.2">
      <c r="A1136">
        <v>1993</v>
      </c>
      <c r="B1136" t="s">
        <v>110</v>
      </c>
      <c r="C1136" t="s">
        <v>99</v>
      </c>
      <c r="D1136">
        <v>16</v>
      </c>
      <c r="E1136">
        <v>2.1</v>
      </c>
      <c r="F1136">
        <v>2.4</v>
      </c>
      <c r="G1136">
        <v>7.7</v>
      </c>
      <c r="H1136">
        <v>0.8</v>
      </c>
      <c r="I1136">
        <v>14.7</v>
      </c>
      <c r="J1136">
        <v>0.8</v>
      </c>
      <c r="K1136">
        <f t="shared" si="999"/>
        <v>44.5</v>
      </c>
      <c r="L1136">
        <v>2.1</v>
      </c>
      <c r="M1136">
        <v>0.4</v>
      </c>
      <c r="N1136">
        <v>0.2</v>
      </c>
      <c r="O1136">
        <f t="shared" si="992"/>
        <v>2.7</v>
      </c>
      <c r="P1136">
        <v>0</v>
      </c>
      <c r="Q1136">
        <v>0.7</v>
      </c>
      <c r="R1136">
        <v>2.5</v>
      </c>
      <c r="S1136">
        <f t="shared" si="993"/>
        <v>3.2</v>
      </c>
      <c r="T1136">
        <v>0</v>
      </c>
      <c r="U1136">
        <v>0.1</v>
      </c>
      <c r="V1136">
        <v>0</v>
      </c>
      <c r="W1136">
        <v>0</v>
      </c>
      <c r="X1136">
        <v>0</v>
      </c>
      <c r="Y1136">
        <v>0</v>
      </c>
      <c r="Z1136">
        <v>0.1</v>
      </c>
      <c r="AA1136">
        <f t="shared" si="994"/>
        <v>0.2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 s="5">
        <f t="shared" si="995"/>
        <v>0</v>
      </c>
      <c r="AK1136">
        <v>0</v>
      </c>
      <c r="AL1136">
        <v>0.49399999999999999</v>
      </c>
      <c r="AM1136">
        <f t="shared" si="996"/>
        <v>0.50599999999999989</v>
      </c>
      <c r="AN1136">
        <v>100</v>
      </c>
      <c r="AO1136" t="s">
        <v>13</v>
      </c>
      <c r="AP1136" s="3">
        <f t="shared" ref="AP1136:AP1199" si="1000">AN1136/(1-AM1136)</f>
        <v>202.4291497975708</v>
      </c>
      <c r="AQ1136" t="s">
        <v>13</v>
      </c>
      <c r="AR1136">
        <f t="shared" si="998"/>
        <v>0</v>
      </c>
      <c r="AS1136">
        <f t="shared" si="997"/>
        <v>0.50600000000000012</v>
      </c>
      <c r="AT1136">
        <f t="shared" ref="AT1136:AT1199" si="1001">ROUND(AS1136*AP1136,0)</f>
        <v>102</v>
      </c>
      <c r="AU1136">
        <f t="shared" ref="AU1136:AU1199" si="1002">ROUND((AJ1136/100)*AP1136,0)</f>
        <v>0</v>
      </c>
      <c r="AV1136">
        <f t="shared" si="986"/>
        <v>57</v>
      </c>
      <c r="AW1136">
        <f t="shared" si="987"/>
        <v>0</v>
      </c>
      <c r="AX1136" s="3">
        <f t="shared" si="988"/>
        <v>145.4291497975708</v>
      </c>
      <c r="AY1136">
        <f t="shared" si="989"/>
        <v>51</v>
      </c>
      <c r="AZ1136">
        <f t="shared" si="990"/>
        <v>0</v>
      </c>
      <c r="BA1136" s="3">
        <f t="shared" si="991"/>
        <v>151.4291497975708</v>
      </c>
    </row>
    <row r="1137" spans="1:53" x14ac:dyDescent="0.2">
      <c r="A1137">
        <v>1994</v>
      </c>
      <c r="B1137" t="s">
        <v>110</v>
      </c>
      <c r="C1137" t="s">
        <v>99</v>
      </c>
      <c r="D1137">
        <v>17.7</v>
      </c>
      <c r="E1137">
        <v>6.3</v>
      </c>
      <c r="F1137">
        <v>3.9</v>
      </c>
      <c r="G1137">
        <v>9.1999999999999993</v>
      </c>
      <c r="H1137">
        <v>0.5</v>
      </c>
      <c r="I1137">
        <v>4.9000000000000004</v>
      </c>
      <c r="J1137">
        <v>1.7</v>
      </c>
      <c r="K1137">
        <f t="shared" si="999"/>
        <v>44.199999999999996</v>
      </c>
      <c r="L1137">
        <v>1.2</v>
      </c>
      <c r="M1137">
        <v>0.9</v>
      </c>
      <c r="N1137">
        <v>0.2</v>
      </c>
      <c r="O1137">
        <f t="shared" si="992"/>
        <v>2.3000000000000003</v>
      </c>
      <c r="P1137">
        <v>0</v>
      </c>
      <c r="Q1137">
        <v>0.1</v>
      </c>
      <c r="R1137">
        <v>3</v>
      </c>
      <c r="S1137">
        <f t="shared" si="993"/>
        <v>3.1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0.1</v>
      </c>
      <c r="AA1137">
        <f t="shared" si="994"/>
        <v>0.1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 s="5">
        <f t="shared" si="995"/>
        <v>0</v>
      </c>
      <c r="AK1137">
        <v>0</v>
      </c>
      <c r="AL1137">
        <v>0.502</v>
      </c>
      <c r="AM1137">
        <f t="shared" si="996"/>
        <v>0.49699999999999994</v>
      </c>
      <c r="AN1137">
        <v>24</v>
      </c>
      <c r="AO1137" t="s">
        <v>13</v>
      </c>
      <c r="AP1137" s="3">
        <f t="shared" si="1000"/>
        <v>47.713717693836969</v>
      </c>
      <c r="AQ1137" t="s">
        <v>13</v>
      </c>
      <c r="AR1137">
        <f t="shared" si="998"/>
        <v>0</v>
      </c>
      <c r="AS1137">
        <f t="shared" si="997"/>
        <v>0.49699999999999994</v>
      </c>
      <c r="AT1137">
        <f t="shared" si="1001"/>
        <v>24</v>
      </c>
      <c r="AU1137">
        <f t="shared" si="1002"/>
        <v>0</v>
      </c>
      <c r="AV1137">
        <f t="shared" si="986"/>
        <v>13</v>
      </c>
      <c r="AW1137">
        <f t="shared" si="987"/>
        <v>0</v>
      </c>
      <c r="AX1137" s="3">
        <f t="shared" si="988"/>
        <v>34.713717693836969</v>
      </c>
      <c r="AY1137">
        <f t="shared" si="989"/>
        <v>12</v>
      </c>
      <c r="AZ1137">
        <f t="shared" si="990"/>
        <v>0</v>
      </c>
      <c r="BA1137" s="3">
        <f t="shared" si="991"/>
        <v>35.713717693836969</v>
      </c>
    </row>
    <row r="1138" spans="1:53" x14ac:dyDescent="0.2">
      <c r="A1138">
        <v>1995</v>
      </c>
      <c r="B1138" t="s">
        <v>110</v>
      </c>
      <c r="C1138" t="s">
        <v>99</v>
      </c>
      <c r="D1138">
        <v>15</v>
      </c>
      <c r="E1138">
        <v>0</v>
      </c>
      <c r="F1138">
        <v>4.3</v>
      </c>
      <c r="G1138">
        <v>3.1</v>
      </c>
      <c r="H1138">
        <v>2</v>
      </c>
      <c r="I1138">
        <v>1.6</v>
      </c>
      <c r="J1138">
        <v>0.8</v>
      </c>
      <c r="K1138">
        <f t="shared" si="999"/>
        <v>26.800000000000004</v>
      </c>
      <c r="L1138">
        <v>0.3</v>
      </c>
      <c r="M1138">
        <v>0.4</v>
      </c>
      <c r="N1138">
        <v>0</v>
      </c>
      <c r="O1138">
        <f t="shared" si="992"/>
        <v>0.7</v>
      </c>
      <c r="P1138">
        <v>0</v>
      </c>
      <c r="Q1138">
        <v>0.1</v>
      </c>
      <c r="R1138">
        <v>3.8</v>
      </c>
      <c r="S1138">
        <f t="shared" si="993"/>
        <v>3.9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0.1</v>
      </c>
      <c r="Z1138">
        <v>0</v>
      </c>
      <c r="AA1138">
        <f t="shared" si="994"/>
        <v>0.1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0.1</v>
      </c>
      <c r="AI1138">
        <v>0</v>
      </c>
      <c r="AJ1138" s="5">
        <f t="shared" si="995"/>
        <v>0.1</v>
      </c>
      <c r="AK1138">
        <v>0.3</v>
      </c>
      <c r="AL1138">
        <v>0.68099999999999994</v>
      </c>
      <c r="AM1138">
        <f t="shared" si="996"/>
        <v>0.31600000000000006</v>
      </c>
      <c r="AN1138">
        <v>75</v>
      </c>
      <c r="AO1138" t="s">
        <v>13</v>
      </c>
      <c r="AP1138" s="3">
        <f t="shared" si="1000"/>
        <v>109.64912280701755</v>
      </c>
      <c r="AQ1138" t="s">
        <v>13</v>
      </c>
      <c r="AR1138">
        <f t="shared" si="998"/>
        <v>3.164556962025316E-3</v>
      </c>
      <c r="AS1138">
        <f t="shared" si="997"/>
        <v>0.31500000000000006</v>
      </c>
      <c r="AT1138">
        <f t="shared" si="1001"/>
        <v>35</v>
      </c>
      <c r="AU1138">
        <f t="shared" si="1002"/>
        <v>0</v>
      </c>
      <c r="AV1138">
        <f t="shared" si="986"/>
        <v>20</v>
      </c>
      <c r="AW1138">
        <f t="shared" si="987"/>
        <v>0</v>
      </c>
      <c r="AX1138" s="3">
        <f t="shared" si="988"/>
        <v>89.649122807017548</v>
      </c>
      <c r="AY1138">
        <f t="shared" si="989"/>
        <v>17</v>
      </c>
      <c r="AZ1138">
        <f t="shared" si="990"/>
        <v>0</v>
      </c>
      <c r="BA1138" s="3">
        <f t="shared" si="991"/>
        <v>92.649122807017548</v>
      </c>
    </row>
    <row r="1139" spans="1:53" x14ac:dyDescent="0.2">
      <c r="A1139">
        <v>1996</v>
      </c>
      <c r="B1139" t="s">
        <v>110</v>
      </c>
      <c r="C1139" t="s">
        <v>99</v>
      </c>
      <c r="D1139">
        <v>8.6</v>
      </c>
      <c r="E1139">
        <v>0.1</v>
      </c>
      <c r="F1139">
        <v>3.9</v>
      </c>
      <c r="G1139">
        <v>2.5</v>
      </c>
      <c r="H1139">
        <v>1.2</v>
      </c>
      <c r="I1139">
        <v>0.7</v>
      </c>
      <c r="J1139">
        <v>0</v>
      </c>
      <c r="K1139">
        <f t="shared" si="999"/>
        <v>17</v>
      </c>
      <c r="L1139">
        <v>0.4</v>
      </c>
      <c r="M1139">
        <v>0</v>
      </c>
      <c r="N1139">
        <v>1.8</v>
      </c>
      <c r="O1139">
        <f t="shared" si="992"/>
        <v>2.2000000000000002</v>
      </c>
      <c r="P1139">
        <v>0</v>
      </c>
      <c r="Q1139">
        <v>0</v>
      </c>
      <c r="R1139">
        <v>3.1</v>
      </c>
      <c r="S1139">
        <f t="shared" si="993"/>
        <v>3.1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f t="shared" si="994"/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 s="5">
        <f t="shared" si="995"/>
        <v>0</v>
      </c>
      <c r="AK1139">
        <v>0</v>
      </c>
      <c r="AL1139">
        <v>0.77599999999999991</v>
      </c>
      <c r="AM1139">
        <f t="shared" si="996"/>
        <v>0.22299999999999998</v>
      </c>
      <c r="AN1139">
        <v>70</v>
      </c>
      <c r="AO1139" t="s">
        <v>13</v>
      </c>
      <c r="AP1139" s="3">
        <f t="shared" si="1000"/>
        <v>90.090090090090087</v>
      </c>
      <c r="AQ1139" t="s">
        <v>13</v>
      </c>
      <c r="AR1139">
        <f t="shared" si="998"/>
        <v>0</v>
      </c>
      <c r="AS1139">
        <f t="shared" si="997"/>
        <v>0.223</v>
      </c>
      <c r="AT1139">
        <f t="shared" si="1001"/>
        <v>20</v>
      </c>
      <c r="AU1139">
        <f t="shared" si="1002"/>
        <v>0</v>
      </c>
      <c r="AV1139">
        <f t="shared" si="986"/>
        <v>12</v>
      </c>
      <c r="AW1139">
        <f t="shared" si="987"/>
        <v>0</v>
      </c>
      <c r="AX1139" s="3">
        <f t="shared" si="988"/>
        <v>78.090090090090087</v>
      </c>
      <c r="AY1139">
        <f t="shared" si="989"/>
        <v>10</v>
      </c>
      <c r="AZ1139">
        <f t="shared" si="990"/>
        <v>0</v>
      </c>
      <c r="BA1139" s="3">
        <f t="shared" si="991"/>
        <v>80.090090090090087</v>
      </c>
    </row>
    <row r="1140" spans="1:53" x14ac:dyDescent="0.2">
      <c r="A1140">
        <v>1997</v>
      </c>
      <c r="B1140" t="s">
        <v>110</v>
      </c>
      <c r="C1140" t="s">
        <v>99</v>
      </c>
      <c r="D1140">
        <v>14.1</v>
      </c>
      <c r="E1140">
        <v>3.6</v>
      </c>
      <c r="F1140">
        <v>5.0999999999999996</v>
      </c>
      <c r="G1140">
        <v>5</v>
      </c>
      <c r="H1140">
        <v>1.6</v>
      </c>
      <c r="I1140">
        <v>0.1</v>
      </c>
      <c r="J1140">
        <v>0</v>
      </c>
      <c r="K1140">
        <f t="shared" si="999"/>
        <v>29.5</v>
      </c>
      <c r="L1140">
        <v>1.8</v>
      </c>
      <c r="M1140">
        <v>0.5</v>
      </c>
      <c r="N1140">
        <v>1.2</v>
      </c>
      <c r="O1140">
        <f t="shared" si="992"/>
        <v>3.5</v>
      </c>
      <c r="P1140">
        <v>0</v>
      </c>
      <c r="Q1140">
        <v>0.1</v>
      </c>
      <c r="R1140">
        <v>2.9</v>
      </c>
      <c r="S1140">
        <f t="shared" si="993"/>
        <v>3</v>
      </c>
      <c r="T1140">
        <v>0.1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f t="shared" si="994"/>
        <v>0.1</v>
      </c>
      <c r="AB1140">
        <v>0.2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 s="5">
        <f t="shared" si="995"/>
        <v>0.2</v>
      </c>
      <c r="AK1140">
        <v>0</v>
      </c>
      <c r="AL1140">
        <v>0.63700000000000001</v>
      </c>
      <c r="AM1140">
        <f t="shared" si="996"/>
        <v>0.36300000000000004</v>
      </c>
      <c r="AN1140">
        <v>36</v>
      </c>
      <c r="AO1140" t="s">
        <v>13</v>
      </c>
      <c r="AP1140" s="3">
        <f t="shared" si="1000"/>
        <v>56.514913657770798</v>
      </c>
      <c r="AQ1140" t="s">
        <v>13</v>
      </c>
      <c r="AR1140">
        <f t="shared" si="998"/>
        <v>5.5096418732782362E-3</v>
      </c>
      <c r="AS1140">
        <f t="shared" si="997"/>
        <v>0.36099999999999999</v>
      </c>
      <c r="AT1140">
        <f t="shared" si="1001"/>
        <v>20</v>
      </c>
      <c r="AU1140">
        <f t="shared" si="1002"/>
        <v>0</v>
      </c>
      <c r="AV1140">
        <f t="shared" si="986"/>
        <v>12</v>
      </c>
      <c r="AW1140">
        <f t="shared" si="987"/>
        <v>0</v>
      </c>
      <c r="AX1140" s="3">
        <f t="shared" si="988"/>
        <v>44.514913657770798</v>
      </c>
      <c r="AY1140">
        <f t="shared" si="989"/>
        <v>10</v>
      </c>
      <c r="AZ1140">
        <f t="shared" si="990"/>
        <v>0</v>
      </c>
      <c r="BA1140" s="3">
        <f t="shared" si="991"/>
        <v>46.514913657770798</v>
      </c>
    </row>
    <row r="1141" spans="1:53" x14ac:dyDescent="0.2">
      <c r="A1141">
        <v>1998</v>
      </c>
      <c r="B1141" t="s">
        <v>110</v>
      </c>
      <c r="C1141" t="s">
        <v>99</v>
      </c>
      <c r="D1141">
        <v>17.399999999999999</v>
      </c>
      <c r="E1141">
        <v>1.8</v>
      </c>
      <c r="F1141">
        <v>4.9000000000000004</v>
      </c>
      <c r="G1141">
        <v>5.6</v>
      </c>
      <c r="H1141">
        <v>3</v>
      </c>
      <c r="I1141">
        <v>0</v>
      </c>
      <c r="J1141">
        <v>1.8</v>
      </c>
      <c r="K1141">
        <f t="shared" si="999"/>
        <v>34.5</v>
      </c>
      <c r="L1141">
        <v>0</v>
      </c>
      <c r="M1141">
        <v>0</v>
      </c>
      <c r="N1141">
        <v>0.5</v>
      </c>
      <c r="O1141">
        <f t="shared" si="992"/>
        <v>0.5</v>
      </c>
      <c r="P1141">
        <v>0</v>
      </c>
      <c r="Q1141">
        <v>0</v>
      </c>
      <c r="R1141">
        <v>4</v>
      </c>
      <c r="S1141">
        <f t="shared" si="993"/>
        <v>4</v>
      </c>
      <c r="T1141">
        <v>0</v>
      </c>
      <c r="U1141">
        <v>0</v>
      </c>
      <c r="V1141">
        <v>0.1</v>
      </c>
      <c r="W1141">
        <v>0</v>
      </c>
      <c r="X1141">
        <v>0</v>
      </c>
      <c r="Y1141">
        <v>0</v>
      </c>
      <c r="Z1141">
        <v>0</v>
      </c>
      <c r="AA1141">
        <f t="shared" si="994"/>
        <v>0.1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 s="5">
        <f t="shared" si="995"/>
        <v>0</v>
      </c>
      <c r="AK1141">
        <v>0.1</v>
      </c>
      <c r="AL1141">
        <v>0.60899999999999999</v>
      </c>
      <c r="AM1141">
        <f t="shared" si="996"/>
        <v>0.39100000000000001</v>
      </c>
      <c r="AN1141">
        <v>171</v>
      </c>
      <c r="AO1141" t="s">
        <v>13</v>
      </c>
      <c r="AP1141" s="3">
        <f t="shared" si="1000"/>
        <v>280.78817733990149</v>
      </c>
      <c r="AQ1141" t="s">
        <v>13</v>
      </c>
      <c r="AR1141">
        <f t="shared" si="998"/>
        <v>0</v>
      </c>
      <c r="AS1141">
        <f t="shared" si="997"/>
        <v>0.39100000000000001</v>
      </c>
      <c r="AT1141">
        <f t="shared" si="1001"/>
        <v>110</v>
      </c>
      <c r="AU1141">
        <f t="shared" si="1002"/>
        <v>0</v>
      </c>
      <c r="AV1141">
        <f t="shared" si="986"/>
        <v>61</v>
      </c>
      <c r="AW1141">
        <f t="shared" si="987"/>
        <v>0</v>
      </c>
      <c r="AX1141" s="3">
        <f t="shared" si="988"/>
        <v>219.78817733990149</v>
      </c>
      <c r="AY1141">
        <f t="shared" si="989"/>
        <v>55</v>
      </c>
      <c r="AZ1141">
        <f t="shared" si="990"/>
        <v>0</v>
      </c>
      <c r="BA1141" s="3">
        <f t="shared" si="991"/>
        <v>225.78817733990149</v>
      </c>
    </row>
    <row r="1142" spans="1:53" x14ac:dyDescent="0.2">
      <c r="A1142">
        <v>1999</v>
      </c>
      <c r="B1142" t="s">
        <v>110</v>
      </c>
      <c r="C1142" t="s">
        <v>99</v>
      </c>
      <c r="D1142">
        <v>12.6</v>
      </c>
      <c r="E1142">
        <v>1.1000000000000001</v>
      </c>
      <c r="F1142">
        <v>7.9</v>
      </c>
      <c r="G1142">
        <v>5.5</v>
      </c>
      <c r="H1142">
        <v>6.8</v>
      </c>
      <c r="I1142">
        <v>0</v>
      </c>
      <c r="J1142">
        <v>0.9</v>
      </c>
      <c r="K1142">
        <f t="shared" si="999"/>
        <v>34.799999999999997</v>
      </c>
      <c r="L1142">
        <v>0.3</v>
      </c>
      <c r="M1142">
        <v>0</v>
      </c>
      <c r="N1142">
        <v>0.3</v>
      </c>
      <c r="O1142">
        <f t="shared" si="992"/>
        <v>0.6</v>
      </c>
      <c r="P1142">
        <v>0</v>
      </c>
      <c r="Q1142">
        <v>0</v>
      </c>
      <c r="R1142">
        <v>3.4</v>
      </c>
      <c r="S1142">
        <f t="shared" si="993"/>
        <v>3.4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f t="shared" si="994"/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 s="5">
        <f t="shared" si="995"/>
        <v>0</v>
      </c>
      <c r="AK1142">
        <v>0</v>
      </c>
      <c r="AL1142">
        <v>0.61299999999999999</v>
      </c>
      <c r="AM1142">
        <f t="shared" si="996"/>
        <v>0.38799999999999996</v>
      </c>
      <c r="AN1142">
        <v>883</v>
      </c>
      <c r="AO1142" t="s">
        <v>13</v>
      </c>
      <c r="AP1142" s="3">
        <f t="shared" si="1000"/>
        <v>1442.8104575163397</v>
      </c>
      <c r="AQ1142" t="s">
        <v>13</v>
      </c>
      <c r="AR1142">
        <f t="shared" si="998"/>
        <v>0</v>
      </c>
      <c r="AS1142">
        <f t="shared" si="997"/>
        <v>0.38799999999999996</v>
      </c>
      <c r="AT1142">
        <f t="shared" si="1001"/>
        <v>560</v>
      </c>
      <c r="AU1142">
        <f t="shared" si="1002"/>
        <v>0</v>
      </c>
      <c r="AV1142">
        <f t="shared" si="986"/>
        <v>309</v>
      </c>
      <c r="AW1142">
        <f t="shared" si="987"/>
        <v>0</v>
      </c>
      <c r="AX1142" s="3">
        <f t="shared" si="988"/>
        <v>1133.8104575163397</v>
      </c>
      <c r="AY1142">
        <f t="shared" si="989"/>
        <v>280</v>
      </c>
      <c r="AZ1142">
        <f t="shared" si="990"/>
        <v>0</v>
      </c>
      <c r="BA1142" s="3">
        <f t="shared" si="991"/>
        <v>1162.8104575163397</v>
      </c>
    </row>
    <row r="1143" spans="1:53" x14ac:dyDescent="0.2">
      <c r="A1143">
        <v>2000</v>
      </c>
      <c r="B1143" t="s">
        <v>110</v>
      </c>
      <c r="C1143" t="s">
        <v>99</v>
      </c>
      <c r="D1143">
        <v>7.3</v>
      </c>
      <c r="E1143">
        <v>0</v>
      </c>
      <c r="F1143">
        <v>0</v>
      </c>
      <c r="G1143">
        <v>0</v>
      </c>
      <c r="H1143">
        <v>6.5</v>
      </c>
      <c r="I1143">
        <v>0</v>
      </c>
      <c r="J1143">
        <v>0</v>
      </c>
      <c r="K1143">
        <f t="shared" si="999"/>
        <v>13.8</v>
      </c>
      <c r="L1143">
        <v>0</v>
      </c>
      <c r="M1143">
        <v>0</v>
      </c>
      <c r="N1143">
        <v>0</v>
      </c>
      <c r="O1143">
        <f t="shared" si="992"/>
        <v>0</v>
      </c>
      <c r="P1143">
        <v>0</v>
      </c>
      <c r="Q1143">
        <v>0</v>
      </c>
      <c r="R1143">
        <v>6.9</v>
      </c>
      <c r="S1143">
        <f t="shared" si="993"/>
        <v>6.9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f t="shared" si="994"/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 s="5">
        <f t="shared" si="995"/>
        <v>0</v>
      </c>
      <c r="AK1143">
        <v>0</v>
      </c>
      <c r="AL1143">
        <v>0.79299999999999993</v>
      </c>
      <c r="AM1143">
        <f t="shared" si="996"/>
        <v>0.20699999999999999</v>
      </c>
      <c r="AN1143">
        <v>530</v>
      </c>
      <c r="AO1143" t="s">
        <v>13</v>
      </c>
      <c r="AP1143" s="3">
        <f t="shared" si="1000"/>
        <v>668.34804539722575</v>
      </c>
      <c r="AQ1143" t="s">
        <v>13</v>
      </c>
      <c r="AR1143">
        <f t="shared" si="998"/>
        <v>0</v>
      </c>
      <c r="AS1143">
        <f t="shared" si="997"/>
        <v>0.20700000000000002</v>
      </c>
      <c r="AT1143">
        <f t="shared" si="1001"/>
        <v>138</v>
      </c>
      <c r="AU1143">
        <f t="shared" si="1002"/>
        <v>0</v>
      </c>
      <c r="AV1143">
        <f t="shared" si="986"/>
        <v>92</v>
      </c>
      <c r="AW1143">
        <f t="shared" si="987"/>
        <v>0</v>
      </c>
      <c r="AX1143" s="3">
        <f t="shared" si="988"/>
        <v>576.34804539722575</v>
      </c>
      <c r="AY1143">
        <f t="shared" si="989"/>
        <v>69</v>
      </c>
      <c r="AZ1143">
        <f t="shared" si="990"/>
        <v>0</v>
      </c>
      <c r="BA1143" s="3">
        <f t="shared" si="991"/>
        <v>599.34804539722575</v>
      </c>
    </row>
    <row r="1144" spans="1:53" x14ac:dyDescent="0.2">
      <c r="A1144">
        <v>2001</v>
      </c>
      <c r="B1144" t="s">
        <v>110</v>
      </c>
      <c r="C1144" t="s">
        <v>99</v>
      </c>
      <c r="D1144">
        <v>4.3</v>
      </c>
      <c r="E1144">
        <v>0</v>
      </c>
      <c r="F1144">
        <v>2</v>
      </c>
      <c r="G1144">
        <v>0</v>
      </c>
      <c r="H1144">
        <v>0</v>
      </c>
      <c r="I1144">
        <v>0</v>
      </c>
      <c r="J1144">
        <v>1.6</v>
      </c>
      <c r="K1144">
        <f t="shared" si="999"/>
        <v>7.9</v>
      </c>
      <c r="L1144">
        <v>0</v>
      </c>
      <c r="M1144">
        <v>0</v>
      </c>
      <c r="N1144">
        <v>0.6</v>
      </c>
      <c r="O1144">
        <f t="shared" si="992"/>
        <v>0.6</v>
      </c>
      <c r="P1144">
        <v>0</v>
      </c>
      <c r="Q1144">
        <v>0</v>
      </c>
      <c r="R1144">
        <v>3.5</v>
      </c>
      <c r="S1144">
        <f t="shared" si="993"/>
        <v>3.5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f t="shared" si="994"/>
        <v>0</v>
      </c>
      <c r="AB1144">
        <v>0</v>
      </c>
      <c r="AC1144">
        <v>0</v>
      </c>
      <c r="AD1144">
        <v>0</v>
      </c>
      <c r="AE1144">
        <v>0</v>
      </c>
      <c r="AF1144">
        <v>0.6</v>
      </c>
      <c r="AG1144">
        <v>0</v>
      </c>
      <c r="AH1144">
        <v>0</v>
      </c>
      <c r="AI1144">
        <v>0</v>
      </c>
      <c r="AJ1144" s="5">
        <f t="shared" si="995"/>
        <v>0.6</v>
      </c>
      <c r="AK1144">
        <v>0</v>
      </c>
      <c r="AL1144">
        <v>0.875</v>
      </c>
      <c r="AM1144">
        <f t="shared" si="996"/>
        <v>0.126</v>
      </c>
      <c r="AN1144">
        <v>571</v>
      </c>
      <c r="AO1144" t="s">
        <v>13</v>
      </c>
      <c r="AP1144" s="3">
        <f t="shared" si="1000"/>
        <v>653.31807780320366</v>
      </c>
      <c r="AQ1144" t="s">
        <v>13</v>
      </c>
      <c r="AR1144">
        <f t="shared" si="998"/>
        <v>4.7619047619047616E-2</v>
      </c>
      <c r="AS1144">
        <f t="shared" si="997"/>
        <v>0.12</v>
      </c>
      <c r="AT1144">
        <f t="shared" si="1001"/>
        <v>78</v>
      </c>
      <c r="AU1144">
        <f t="shared" si="1002"/>
        <v>4</v>
      </c>
      <c r="AV1144">
        <f t="shared" si="986"/>
        <v>53</v>
      </c>
      <c r="AW1144">
        <f t="shared" si="987"/>
        <v>4</v>
      </c>
      <c r="AX1144" s="3">
        <f t="shared" si="988"/>
        <v>596.31807780320366</v>
      </c>
      <c r="AY1144">
        <f t="shared" si="989"/>
        <v>39</v>
      </c>
      <c r="AZ1144">
        <f t="shared" si="990"/>
        <v>4</v>
      </c>
      <c r="BA1144" s="3">
        <f t="shared" si="991"/>
        <v>610.31807780320366</v>
      </c>
    </row>
    <row r="1145" spans="1:53" x14ac:dyDescent="0.2">
      <c r="A1145">
        <v>2002</v>
      </c>
      <c r="B1145" t="s">
        <v>110</v>
      </c>
      <c r="C1145" t="s">
        <v>99</v>
      </c>
      <c r="D1145">
        <v>13</v>
      </c>
      <c r="E1145">
        <v>0.6</v>
      </c>
      <c r="F1145">
        <v>1.4</v>
      </c>
      <c r="G1145">
        <v>3.8</v>
      </c>
      <c r="H1145">
        <v>2.2999999999999998</v>
      </c>
      <c r="I1145">
        <v>0.3</v>
      </c>
      <c r="J1145">
        <v>1</v>
      </c>
      <c r="K1145">
        <f t="shared" si="999"/>
        <v>22.400000000000002</v>
      </c>
      <c r="L1145">
        <v>0.2</v>
      </c>
      <c r="M1145">
        <v>0</v>
      </c>
      <c r="N1145">
        <v>2</v>
      </c>
      <c r="O1145">
        <f t="shared" si="992"/>
        <v>2.2000000000000002</v>
      </c>
      <c r="P1145">
        <v>0</v>
      </c>
      <c r="Q1145">
        <v>0</v>
      </c>
      <c r="R1145">
        <v>2.7</v>
      </c>
      <c r="S1145">
        <f t="shared" si="993"/>
        <v>2.7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f t="shared" si="994"/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 s="5">
        <f t="shared" si="995"/>
        <v>0</v>
      </c>
      <c r="AK1145">
        <v>0</v>
      </c>
      <c r="AL1145">
        <v>0.72699999999999998</v>
      </c>
      <c r="AM1145">
        <f t="shared" si="996"/>
        <v>0.27300000000000002</v>
      </c>
      <c r="AN1145">
        <v>383</v>
      </c>
      <c r="AO1145" t="s">
        <v>13</v>
      </c>
      <c r="AP1145" s="3">
        <f t="shared" si="1000"/>
        <v>526.82255845942234</v>
      </c>
      <c r="AQ1145" t="s">
        <v>13</v>
      </c>
      <c r="AR1145">
        <f t="shared" si="998"/>
        <v>0</v>
      </c>
      <c r="AS1145">
        <f t="shared" si="997"/>
        <v>0.27300000000000002</v>
      </c>
      <c r="AT1145">
        <f t="shared" si="1001"/>
        <v>144</v>
      </c>
      <c r="AU1145">
        <f t="shared" si="1002"/>
        <v>0</v>
      </c>
      <c r="AV1145">
        <f t="shared" si="986"/>
        <v>85</v>
      </c>
      <c r="AW1145">
        <f t="shared" si="987"/>
        <v>0</v>
      </c>
      <c r="AX1145" s="3">
        <f t="shared" si="988"/>
        <v>441.82255845942234</v>
      </c>
      <c r="AY1145">
        <f t="shared" si="989"/>
        <v>72</v>
      </c>
      <c r="AZ1145">
        <f t="shared" si="990"/>
        <v>0</v>
      </c>
      <c r="BA1145" s="3">
        <f t="shared" si="991"/>
        <v>454.82255845942234</v>
      </c>
    </row>
    <row r="1146" spans="1:53" x14ac:dyDescent="0.2">
      <c r="A1146">
        <v>2003</v>
      </c>
      <c r="B1146" t="s">
        <v>110</v>
      </c>
      <c r="C1146" t="s">
        <v>99</v>
      </c>
      <c r="D1146">
        <v>14.6</v>
      </c>
      <c r="E1146">
        <v>2.1</v>
      </c>
      <c r="F1146">
        <v>3.1</v>
      </c>
      <c r="G1146">
        <v>0.8</v>
      </c>
      <c r="H1146">
        <v>1.7</v>
      </c>
      <c r="I1146">
        <v>0</v>
      </c>
      <c r="J1146">
        <v>0</v>
      </c>
      <c r="K1146">
        <f t="shared" si="999"/>
        <v>22.3</v>
      </c>
      <c r="L1146">
        <v>0</v>
      </c>
      <c r="M1146">
        <v>0</v>
      </c>
      <c r="N1146">
        <v>2.9</v>
      </c>
      <c r="O1146">
        <f t="shared" si="992"/>
        <v>2.9</v>
      </c>
      <c r="P1146">
        <v>0</v>
      </c>
      <c r="Q1146">
        <v>0</v>
      </c>
      <c r="R1146">
        <v>2.6</v>
      </c>
      <c r="S1146">
        <f t="shared" si="993"/>
        <v>2.6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f t="shared" si="994"/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 s="5">
        <f t="shared" si="995"/>
        <v>0</v>
      </c>
      <c r="AK1146">
        <v>0</v>
      </c>
      <c r="AL1146">
        <v>0.72199999999999998</v>
      </c>
      <c r="AM1146">
        <f t="shared" si="996"/>
        <v>0.27800000000000002</v>
      </c>
      <c r="AN1146">
        <v>600</v>
      </c>
      <c r="AO1146" t="s">
        <v>13</v>
      </c>
      <c r="AP1146" s="3">
        <f t="shared" si="1000"/>
        <v>831.02493074792244</v>
      </c>
      <c r="AQ1146" t="s">
        <v>13</v>
      </c>
      <c r="AR1146">
        <f t="shared" si="998"/>
        <v>0</v>
      </c>
      <c r="AS1146">
        <f t="shared" si="997"/>
        <v>0.27800000000000002</v>
      </c>
      <c r="AT1146">
        <f t="shared" si="1001"/>
        <v>231</v>
      </c>
      <c r="AU1146">
        <f t="shared" si="1002"/>
        <v>0</v>
      </c>
      <c r="AV1146">
        <f t="shared" si="986"/>
        <v>138</v>
      </c>
      <c r="AW1146">
        <f t="shared" si="987"/>
        <v>0</v>
      </c>
      <c r="AX1146" s="3">
        <f t="shared" si="988"/>
        <v>693.02493074792244</v>
      </c>
      <c r="AY1146">
        <f t="shared" si="989"/>
        <v>116</v>
      </c>
      <c r="AZ1146">
        <f t="shared" si="990"/>
        <v>0</v>
      </c>
      <c r="BA1146" s="3">
        <f t="shared" si="991"/>
        <v>715.02493074792244</v>
      </c>
    </row>
    <row r="1147" spans="1:53" x14ac:dyDescent="0.2">
      <c r="A1147">
        <v>2004</v>
      </c>
      <c r="B1147" t="s">
        <v>110</v>
      </c>
      <c r="C1147" t="s">
        <v>99</v>
      </c>
      <c r="D1147">
        <v>13.6</v>
      </c>
      <c r="E1147">
        <v>8.4</v>
      </c>
      <c r="F1147">
        <v>2.2999999999999998</v>
      </c>
      <c r="G1147">
        <v>2.7</v>
      </c>
      <c r="H1147">
        <v>1.6</v>
      </c>
      <c r="I1147">
        <v>0.1</v>
      </c>
      <c r="J1147">
        <v>0.6</v>
      </c>
      <c r="K1147">
        <f t="shared" si="999"/>
        <v>29.300000000000004</v>
      </c>
      <c r="L1147">
        <v>0</v>
      </c>
      <c r="M1147">
        <v>0</v>
      </c>
      <c r="N1147">
        <v>2.9</v>
      </c>
      <c r="O1147">
        <f t="shared" si="992"/>
        <v>2.9</v>
      </c>
      <c r="P1147">
        <v>0</v>
      </c>
      <c r="Q1147">
        <v>0</v>
      </c>
      <c r="R1147">
        <v>3</v>
      </c>
      <c r="S1147">
        <f t="shared" si="993"/>
        <v>3</v>
      </c>
      <c r="T1147">
        <v>0</v>
      </c>
      <c r="U1147">
        <v>0.1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f t="shared" si="994"/>
        <v>0.1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 s="5">
        <f t="shared" si="995"/>
        <v>0</v>
      </c>
      <c r="AK1147">
        <v>0.3</v>
      </c>
      <c r="AL1147">
        <v>0.64400000000000002</v>
      </c>
      <c r="AM1147">
        <f t="shared" si="996"/>
        <v>0.35300000000000004</v>
      </c>
      <c r="AN1147">
        <v>1369</v>
      </c>
      <c r="AO1147" t="s">
        <v>13</v>
      </c>
      <c r="AP1147" s="3">
        <f t="shared" si="1000"/>
        <v>2115.9196290571867</v>
      </c>
      <c r="AQ1147" t="s">
        <v>13</v>
      </c>
      <c r="AR1147">
        <f t="shared" si="998"/>
        <v>0</v>
      </c>
      <c r="AS1147">
        <f t="shared" si="997"/>
        <v>0.35300000000000004</v>
      </c>
      <c r="AT1147">
        <f t="shared" si="1001"/>
        <v>747</v>
      </c>
      <c r="AU1147">
        <f t="shared" si="1002"/>
        <v>0</v>
      </c>
      <c r="AV1147">
        <f t="shared" si="986"/>
        <v>437</v>
      </c>
      <c r="AW1147">
        <f t="shared" si="987"/>
        <v>0</v>
      </c>
      <c r="AX1147" s="3">
        <f t="shared" si="988"/>
        <v>1678.9196290571867</v>
      </c>
      <c r="AY1147">
        <f t="shared" si="989"/>
        <v>373</v>
      </c>
      <c r="AZ1147">
        <f t="shared" si="990"/>
        <v>0</v>
      </c>
      <c r="BA1147" s="3">
        <f t="shared" si="991"/>
        <v>1742.9196290571867</v>
      </c>
    </row>
    <row r="1148" spans="1:53" x14ac:dyDescent="0.2">
      <c r="A1148">
        <v>2005</v>
      </c>
      <c r="B1148" t="s">
        <v>110</v>
      </c>
      <c r="C1148" t="s">
        <v>99</v>
      </c>
      <c r="D1148">
        <v>15.4</v>
      </c>
      <c r="E1148">
        <v>2</v>
      </c>
      <c r="F1148">
        <v>4.5</v>
      </c>
      <c r="G1148">
        <v>3.1</v>
      </c>
      <c r="H1148">
        <v>4.3</v>
      </c>
      <c r="I1148">
        <v>0</v>
      </c>
      <c r="J1148">
        <v>1.1000000000000001</v>
      </c>
      <c r="K1148">
        <f t="shared" si="999"/>
        <v>30.400000000000002</v>
      </c>
      <c r="L1148">
        <v>0</v>
      </c>
      <c r="M1148">
        <v>0</v>
      </c>
      <c r="N1148">
        <v>6.4</v>
      </c>
      <c r="O1148">
        <f t="shared" si="992"/>
        <v>6.4</v>
      </c>
      <c r="P1148">
        <v>0</v>
      </c>
      <c r="Q1148">
        <v>0</v>
      </c>
      <c r="R1148">
        <v>3.7</v>
      </c>
      <c r="S1148">
        <f t="shared" si="993"/>
        <v>3.7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f t="shared" si="994"/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 s="5">
        <f t="shared" si="995"/>
        <v>0</v>
      </c>
      <c r="AK1148">
        <v>0.1</v>
      </c>
      <c r="AL1148">
        <v>0.59399999999999997</v>
      </c>
      <c r="AM1148">
        <f t="shared" si="996"/>
        <v>0.40500000000000003</v>
      </c>
      <c r="AN1148">
        <v>306</v>
      </c>
      <c r="AO1148" t="s">
        <v>13</v>
      </c>
      <c r="AP1148" s="3">
        <f t="shared" si="1000"/>
        <v>514.28571428571433</v>
      </c>
      <c r="AQ1148" t="s">
        <v>13</v>
      </c>
      <c r="AR1148">
        <f t="shared" si="998"/>
        <v>0</v>
      </c>
      <c r="AS1148">
        <f t="shared" si="997"/>
        <v>0.40500000000000008</v>
      </c>
      <c r="AT1148">
        <f t="shared" si="1001"/>
        <v>208</v>
      </c>
      <c r="AU1148">
        <f t="shared" si="1002"/>
        <v>0</v>
      </c>
      <c r="AV1148">
        <f t="shared" si="986"/>
        <v>130</v>
      </c>
      <c r="AW1148">
        <f t="shared" si="987"/>
        <v>0</v>
      </c>
      <c r="AX1148" s="3">
        <f t="shared" si="988"/>
        <v>384.28571428571433</v>
      </c>
      <c r="AY1148">
        <f t="shared" si="989"/>
        <v>104</v>
      </c>
      <c r="AZ1148">
        <f t="shared" si="990"/>
        <v>0</v>
      </c>
      <c r="BA1148" s="3">
        <f t="shared" si="991"/>
        <v>410.28571428571433</v>
      </c>
    </row>
    <row r="1149" spans="1:53" x14ac:dyDescent="0.2">
      <c r="A1149">
        <v>2006</v>
      </c>
      <c r="B1149" t="s">
        <v>110</v>
      </c>
      <c r="C1149" t="s">
        <v>99</v>
      </c>
      <c r="D1149">
        <v>11.6</v>
      </c>
      <c r="E1149">
        <v>2.5</v>
      </c>
      <c r="F1149">
        <v>3.9</v>
      </c>
      <c r="G1149">
        <v>2.6</v>
      </c>
      <c r="H1149">
        <v>2.9</v>
      </c>
      <c r="I1149">
        <v>0</v>
      </c>
      <c r="J1149">
        <v>1.9</v>
      </c>
      <c r="K1149">
        <f t="shared" si="999"/>
        <v>25.4</v>
      </c>
      <c r="L1149">
        <v>0</v>
      </c>
      <c r="M1149">
        <v>0</v>
      </c>
      <c r="N1149">
        <v>2.1</v>
      </c>
      <c r="O1149">
        <f t="shared" si="992"/>
        <v>2.1</v>
      </c>
      <c r="P1149">
        <v>0</v>
      </c>
      <c r="Q1149">
        <v>0</v>
      </c>
      <c r="R1149">
        <v>4.4000000000000004</v>
      </c>
      <c r="S1149">
        <f t="shared" si="993"/>
        <v>4.4000000000000004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f t="shared" si="994"/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 s="5">
        <f t="shared" si="995"/>
        <v>0</v>
      </c>
      <c r="AK1149">
        <v>0</v>
      </c>
      <c r="AL1149">
        <v>0.68200000000000005</v>
      </c>
      <c r="AM1149">
        <f t="shared" si="996"/>
        <v>0.31900000000000001</v>
      </c>
      <c r="AN1149">
        <v>321</v>
      </c>
      <c r="AO1149" t="s">
        <v>13</v>
      </c>
      <c r="AP1149" s="3">
        <f t="shared" si="1000"/>
        <v>471.36563876651979</v>
      </c>
      <c r="AQ1149" t="s">
        <v>13</v>
      </c>
      <c r="AR1149">
        <f t="shared" si="998"/>
        <v>0</v>
      </c>
      <c r="AS1149">
        <f t="shared" si="997"/>
        <v>0.31900000000000001</v>
      </c>
      <c r="AT1149">
        <f t="shared" si="1001"/>
        <v>150</v>
      </c>
      <c r="AU1149">
        <f t="shared" si="1002"/>
        <v>0</v>
      </c>
      <c r="AV1149">
        <f t="shared" si="986"/>
        <v>91</v>
      </c>
      <c r="AW1149">
        <f t="shared" si="987"/>
        <v>0</v>
      </c>
      <c r="AX1149" s="3">
        <f t="shared" si="988"/>
        <v>380.36563876651979</v>
      </c>
      <c r="AY1149">
        <f t="shared" si="989"/>
        <v>75</v>
      </c>
      <c r="AZ1149">
        <f t="shared" si="990"/>
        <v>0</v>
      </c>
      <c r="BA1149" s="3">
        <f t="shared" si="991"/>
        <v>396.36563876651979</v>
      </c>
    </row>
    <row r="1150" spans="1:53" x14ac:dyDescent="0.2">
      <c r="A1150">
        <v>2007</v>
      </c>
      <c r="B1150" t="s">
        <v>110</v>
      </c>
      <c r="C1150" t="s">
        <v>99</v>
      </c>
      <c r="D1150">
        <v>16.2</v>
      </c>
      <c r="E1150">
        <v>3.3</v>
      </c>
      <c r="F1150">
        <v>5.9</v>
      </c>
      <c r="G1150">
        <v>4.9000000000000004</v>
      </c>
      <c r="H1150">
        <v>5.3</v>
      </c>
      <c r="I1150">
        <v>0.1</v>
      </c>
      <c r="J1150">
        <v>1.3</v>
      </c>
      <c r="K1150">
        <f t="shared" si="999"/>
        <v>36.999999999999993</v>
      </c>
      <c r="L1150">
        <v>0</v>
      </c>
      <c r="M1150">
        <v>0</v>
      </c>
      <c r="N1150">
        <v>1.7</v>
      </c>
      <c r="O1150">
        <f t="shared" si="992"/>
        <v>1.7</v>
      </c>
      <c r="P1150">
        <v>0</v>
      </c>
      <c r="Q1150">
        <v>0</v>
      </c>
      <c r="R1150">
        <v>5</v>
      </c>
      <c r="S1150">
        <f t="shared" si="993"/>
        <v>5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f t="shared" si="994"/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 s="5">
        <f t="shared" si="995"/>
        <v>0</v>
      </c>
      <c r="AK1150">
        <v>0</v>
      </c>
      <c r="AL1150">
        <v>0.56299999999999994</v>
      </c>
      <c r="AM1150">
        <f t="shared" si="996"/>
        <v>0.43699999999999994</v>
      </c>
      <c r="AN1150">
        <v>168</v>
      </c>
      <c r="AO1150" t="s">
        <v>13</v>
      </c>
      <c r="AP1150" s="3">
        <f t="shared" si="1000"/>
        <v>298.4014209591474</v>
      </c>
      <c r="AQ1150" t="s">
        <v>13</v>
      </c>
      <c r="AR1150">
        <f t="shared" si="998"/>
        <v>0</v>
      </c>
      <c r="AS1150">
        <f t="shared" si="997"/>
        <v>0.43699999999999994</v>
      </c>
      <c r="AT1150">
        <f t="shared" si="1001"/>
        <v>130</v>
      </c>
      <c r="AU1150">
        <f t="shared" si="1002"/>
        <v>0</v>
      </c>
      <c r="AV1150">
        <f t="shared" si="986"/>
        <v>75</v>
      </c>
      <c r="AW1150">
        <f t="shared" si="987"/>
        <v>0</v>
      </c>
      <c r="AX1150" s="3">
        <f t="shared" si="988"/>
        <v>223.4014209591474</v>
      </c>
      <c r="AY1150">
        <f t="shared" si="989"/>
        <v>65</v>
      </c>
      <c r="AZ1150">
        <f t="shared" si="990"/>
        <v>0</v>
      </c>
      <c r="BA1150" s="3">
        <f t="shared" si="991"/>
        <v>233.4014209591474</v>
      </c>
    </row>
    <row r="1151" spans="1:53" x14ac:dyDescent="0.2">
      <c r="A1151">
        <v>2008</v>
      </c>
      <c r="B1151" t="s">
        <v>110</v>
      </c>
      <c r="C1151" t="s">
        <v>99</v>
      </c>
      <c r="D1151">
        <v>9.9</v>
      </c>
      <c r="E1151">
        <v>0.5</v>
      </c>
      <c r="F1151">
        <v>2.4</v>
      </c>
      <c r="G1151">
        <v>2.6</v>
      </c>
      <c r="H1151">
        <v>2.7</v>
      </c>
      <c r="I1151">
        <v>0</v>
      </c>
      <c r="J1151">
        <v>0.8</v>
      </c>
      <c r="K1151">
        <f t="shared" si="999"/>
        <v>18.900000000000002</v>
      </c>
      <c r="L1151">
        <v>0</v>
      </c>
      <c r="M1151">
        <v>0</v>
      </c>
      <c r="N1151">
        <v>3.4</v>
      </c>
      <c r="O1151">
        <f t="shared" si="992"/>
        <v>3.4</v>
      </c>
      <c r="P1151">
        <v>0</v>
      </c>
      <c r="Q1151">
        <v>0</v>
      </c>
      <c r="R1151">
        <v>2.8</v>
      </c>
      <c r="S1151">
        <f t="shared" si="993"/>
        <v>2.8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f t="shared" si="994"/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 s="5">
        <f t="shared" si="995"/>
        <v>0</v>
      </c>
      <c r="AK1151">
        <v>0</v>
      </c>
      <c r="AL1151">
        <v>0.74900000000000011</v>
      </c>
      <c r="AM1151">
        <f t="shared" si="996"/>
        <v>0.251</v>
      </c>
      <c r="AN1151">
        <v>155</v>
      </c>
      <c r="AO1151" t="s">
        <v>13</v>
      </c>
      <c r="AP1151" s="3">
        <f t="shared" si="1000"/>
        <v>206.94259012016022</v>
      </c>
      <c r="AQ1151" t="s">
        <v>13</v>
      </c>
      <c r="AR1151">
        <f t="shared" si="998"/>
        <v>0</v>
      </c>
      <c r="AS1151">
        <f t="shared" si="997"/>
        <v>0.251</v>
      </c>
      <c r="AT1151">
        <f t="shared" si="1001"/>
        <v>52</v>
      </c>
      <c r="AU1151">
        <f t="shared" si="1002"/>
        <v>0</v>
      </c>
      <c r="AV1151">
        <f t="shared" si="986"/>
        <v>32</v>
      </c>
      <c r="AW1151">
        <f t="shared" si="987"/>
        <v>0</v>
      </c>
      <c r="AX1151" s="3">
        <f t="shared" si="988"/>
        <v>174.94259012016022</v>
      </c>
      <c r="AY1151">
        <f t="shared" si="989"/>
        <v>26</v>
      </c>
      <c r="AZ1151">
        <f t="shared" si="990"/>
        <v>0</v>
      </c>
      <c r="BA1151" s="3">
        <f t="shared" si="991"/>
        <v>180.94259012016022</v>
      </c>
    </row>
    <row r="1152" spans="1:53" x14ac:dyDescent="0.2">
      <c r="A1152">
        <v>2009</v>
      </c>
      <c r="B1152" t="s">
        <v>110</v>
      </c>
      <c r="C1152" t="s">
        <v>99</v>
      </c>
      <c r="D1152">
        <v>12.1</v>
      </c>
      <c r="E1152">
        <v>10.199999999999999</v>
      </c>
      <c r="F1152">
        <v>4.5</v>
      </c>
      <c r="G1152">
        <v>2</v>
      </c>
      <c r="H1152">
        <v>7.2</v>
      </c>
      <c r="I1152">
        <v>0</v>
      </c>
      <c r="J1152">
        <v>1.1000000000000001</v>
      </c>
      <c r="K1152">
        <f t="shared" si="999"/>
        <v>37.1</v>
      </c>
      <c r="L1152">
        <v>0</v>
      </c>
      <c r="M1152">
        <v>0</v>
      </c>
      <c r="N1152">
        <v>6.5</v>
      </c>
      <c r="O1152">
        <f t="shared" si="992"/>
        <v>6.5</v>
      </c>
      <c r="P1152">
        <v>0</v>
      </c>
      <c r="Q1152">
        <v>0</v>
      </c>
      <c r="R1152">
        <v>5.7</v>
      </c>
      <c r="S1152">
        <f t="shared" si="993"/>
        <v>5.7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f t="shared" si="994"/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 s="5">
        <f t="shared" si="995"/>
        <v>0</v>
      </c>
      <c r="AK1152">
        <v>0</v>
      </c>
      <c r="AL1152">
        <v>0.50600000000000001</v>
      </c>
      <c r="AM1152">
        <f t="shared" si="996"/>
        <v>0.49300000000000005</v>
      </c>
      <c r="AN1152">
        <v>630</v>
      </c>
      <c r="AO1152" t="s">
        <v>13</v>
      </c>
      <c r="AP1152" s="3">
        <f t="shared" si="1000"/>
        <v>1242.6035502958582</v>
      </c>
      <c r="AQ1152" t="s">
        <v>13</v>
      </c>
      <c r="AR1152">
        <f t="shared" si="998"/>
        <v>0</v>
      </c>
      <c r="AS1152">
        <f t="shared" si="997"/>
        <v>0.49300000000000005</v>
      </c>
      <c r="AT1152">
        <f t="shared" si="1001"/>
        <v>613</v>
      </c>
      <c r="AU1152">
        <f t="shared" si="1002"/>
        <v>0</v>
      </c>
      <c r="AV1152">
        <f t="shared" si="986"/>
        <v>382</v>
      </c>
      <c r="AW1152">
        <f t="shared" si="987"/>
        <v>0</v>
      </c>
      <c r="AX1152" s="3">
        <f t="shared" si="988"/>
        <v>860.60355029585821</v>
      </c>
      <c r="AY1152">
        <f t="shared" si="989"/>
        <v>306</v>
      </c>
      <c r="AZ1152">
        <f t="shared" si="990"/>
        <v>0</v>
      </c>
      <c r="BA1152" s="3">
        <f t="shared" si="991"/>
        <v>936.60355029585821</v>
      </c>
    </row>
    <row r="1153" spans="1:53" x14ac:dyDescent="0.2">
      <c r="A1153">
        <v>2010</v>
      </c>
      <c r="B1153" t="s">
        <v>110</v>
      </c>
      <c r="C1153" t="s">
        <v>99</v>
      </c>
      <c r="D1153">
        <v>7.2</v>
      </c>
      <c r="E1153">
        <v>0.3</v>
      </c>
      <c r="F1153">
        <v>8.8000000000000007</v>
      </c>
      <c r="G1153">
        <v>3</v>
      </c>
      <c r="H1153">
        <v>4.7</v>
      </c>
      <c r="I1153">
        <v>0.7</v>
      </c>
      <c r="J1153">
        <v>2.2000000000000002</v>
      </c>
      <c r="K1153">
        <f t="shared" si="999"/>
        <v>26.9</v>
      </c>
      <c r="L1153">
        <v>0</v>
      </c>
      <c r="M1153">
        <v>0</v>
      </c>
      <c r="N1153">
        <v>2.6</v>
      </c>
      <c r="O1153">
        <f t="shared" si="992"/>
        <v>2.6</v>
      </c>
      <c r="P1153">
        <v>0</v>
      </c>
      <c r="Q1153">
        <v>0</v>
      </c>
      <c r="R1153">
        <v>5.0999999999999996</v>
      </c>
      <c r="S1153">
        <f t="shared" si="993"/>
        <v>5.0999999999999996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f t="shared" si="994"/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0.1</v>
      </c>
      <c r="AI1153">
        <v>0</v>
      </c>
      <c r="AJ1153" s="5">
        <f t="shared" si="995"/>
        <v>0.1</v>
      </c>
      <c r="AK1153">
        <v>0</v>
      </c>
      <c r="AL1153">
        <v>0.65099999999999991</v>
      </c>
      <c r="AM1153">
        <f t="shared" si="996"/>
        <v>0.34700000000000003</v>
      </c>
      <c r="AN1153">
        <v>520</v>
      </c>
      <c r="AO1153" t="s">
        <v>13</v>
      </c>
      <c r="AP1153" s="3">
        <f t="shared" si="1000"/>
        <v>796.32465543644719</v>
      </c>
      <c r="AQ1153" t="s">
        <v>13</v>
      </c>
      <c r="AR1153">
        <f t="shared" si="998"/>
        <v>2.881844380403458E-3</v>
      </c>
      <c r="AS1153">
        <f t="shared" si="997"/>
        <v>0.34600000000000003</v>
      </c>
      <c r="AT1153">
        <f t="shared" si="1001"/>
        <v>276</v>
      </c>
      <c r="AU1153">
        <f t="shared" si="1002"/>
        <v>1</v>
      </c>
      <c r="AV1153">
        <f t="shared" si="986"/>
        <v>168</v>
      </c>
      <c r="AW1153">
        <f t="shared" si="987"/>
        <v>1</v>
      </c>
      <c r="AX1153" s="3">
        <f t="shared" si="988"/>
        <v>627.32465543644719</v>
      </c>
      <c r="AY1153">
        <f t="shared" si="989"/>
        <v>138</v>
      </c>
      <c r="AZ1153">
        <f t="shared" si="990"/>
        <v>1</v>
      </c>
      <c r="BA1153" s="3">
        <f t="shared" si="991"/>
        <v>657.32465543644719</v>
      </c>
    </row>
    <row r="1154" spans="1:53" x14ac:dyDescent="0.2">
      <c r="A1154">
        <v>2011</v>
      </c>
      <c r="B1154" t="s">
        <v>110</v>
      </c>
      <c r="C1154" t="s">
        <v>99</v>
      </c>
      <c r="D1154">
        <v>13.7</v>
      </c>
      <c r="E1154">
        <v>1.9</v>
      </c>
      <c r="F1154">
        <v>3</v>
      </c>
      <c r="G1154">
        <v>3.4</v>
      </c>
      <c r="H1154">
        <v>3.5</v>
      </c>
      <c r="I1154">
        <v>0.2</v>
      </c>
      <c r="J1154">
        <v>3.8</v>
      </c>
      <c r="K1154">
        <f t="shared" si="999"/>
        <v>29.5</v>
      </c>
      <c r="L1154">
        <v>0</v>
      </c>
      <c r="M1154">
        <v>0</v>
      </c>
      <c r="N1154">
        <v>4.0999999999999996</v>
      </c>
      <c r="O1154">
        <f t="shared" si="992"/>
        <v>4.0999999999999996</v>
      </c>
      <c r="P1154">
        <v>0</v>
      </c>
      <c r="Q1154">
        <v>0</v>
      </c>
      <c r="R1154">
        <v>4.3</v>
      </c>
      <c r="S1154">
        <f t="shared" si="993"/>
        <v>4.3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0.6</v>
      </c>
      <c r="Z1154">
        <v>0</v>
      </c>
      <c r="AA1154">
        <f t="shared" si="994"/>
        <v>0.6</v>
      </c>
      <c r="AB1154">
        <v>0.1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 s="5">
        <f t="shared" si="995"/>
        <v>0.1</v>
      </c>
      <c r="AK1154">
        <v>0</v>
      </c>
      <c r="AL1154">
        <v>0.61399999999999999</v>
      </c>
      <c r="AM1154">
        <f t="shared" si="996"/>
        <v>0.38599999999999995</v>
      </c>
      <c r="AN1154">
        <v>409</v>
      </c>
      <c r="AO1154" t="s">
        <v>13</v>
      </c>
      <c r="AP1154" s="3">
        <f t="shared" si="1000"/>
        <v>666.12377850162852</v>
      </c>
      <c r="AQ1154" t="s">
        <v>13</v>
      </c>
      <c r="AR1154">
        <f t="shared" si="998"/>
        <v>2.5906735751295342E-3</v>
      </c>
      <c r="AS1154">
        <f t="shared" si="997"/>
        <v>0.38500000000000001</v>
      </c>
      <c r="AT1154">
        <f t="shared" si="1001"/>
        <v>256</v>
      </c>
      <c r="AU1154">
        <f t="shared" si="1002"/>
        <v>1</v>
      </c>
      <c r="AV1154">
        <f t="shared" si="986"/>
        <v>158</v>
      </c>
      <c r="AW1154">
        <f t="shared" si="987"/>
        <v>1</v>
      </c>
      <c r="AX1154" s="3">
        <f t="shared" si="988"/>
        <v>507.12377850162852</v>
      </c>
      <c r="AY1154">
        <f t="shared" si="989"/>
        <v>128</v>
      </c>
      <c r="AZ1154">
        <f t="shared" si="990"/>
        <v>1</v>
      </c>
      <c r="BA1154" s="3">
        <f t="shared" si="991"/>
        <v>537.12377850162852</v>
      </c>
    </row>
    <row r="1155" spans="1:53" x14ac:dyDescent="0.2">
      <c r="A1155">
        <v>2012</v>
      </c>
      <c r="B1155" t="s">
        <v>110</v>
      </c>
      <c r="C1155" t="s">
        <v>99</v>
      </c>
      <c r="D1155">
        <v>12.6</v>
      </c>
      <c r="E1155">
        <v>3.4</v>
      </c>
      <c r="F1155">
        <v>2.6</v>
      </c>
      <c r="G1155">
        <v>2.7</v>
      </c>
      <c r="H1155">
        <v>2.8</v>
      </c>
      <c r="I1155">
        <v>0.2</v>
      </c>
      <c r="J1155">
        <v>2.4</v>
      </c>
      <c r="K1155">
        <f t="shared" si="999"/>
        <v>26.7</v>
      </c>
      <c r="L1155">
        <v>0</v>
      </c>
      <c r="M1155">
        <v>0</v>
      </c>
      <c r="N1155">
        <v>4.5999999999999996</v>
      </c>
      <c r="O1155">
        <f t="shared" si="992"/>
        <v>4.5999999999999996</v>
      </c>
      <c r="P1155">
        <v>0</v>
      </c>
      <c r="Q1155">
        <v>0</v>
      </c>
      <c r="R1155">
        <v>5.8</v>
      </c>
      <c r="S1155">
        <f t="shared" si="993"/>
        <v>5.8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f t="shared" si="994"/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 s="5">
        <f t="shared" si="995"/>
        <v>0</v>
      </c>
      <c r="AK1155">
        <v>0</v>
      </c>
      <c r="AL1155">
        <v>0.63</v>
      </c>
      <c r="AM1155">
        <f t="shared" si="996"/>
        <v>0.371</v>
      </c>
      <c r="AN1155">
        <v>93</v>
      </c>
      <c r="AO1155" t="s">
        <v>13</v>
      </c>
      <c r="AP1155" s="3">
        <f t="shared" si="1000"/>
        <v>147.85373608903021</v>
      </c>
      <c r="AQ1155" t="s">
        <v>13</v>
      </c>
      <c r="AR1155">
        <f t="shared" si="998"/>
        <v>0</v>
      </c>
      <c r="AS1155">
        <f t="shared" si="997"/>
        <v>0.37099999999999994</v>
      </c>
      <c r="AT1155">
        <f t="shared" si="1001"/>
        <v>55</v>
      </c>
      <c r="AU1155">
        <f t="shared" si="1002"/>
        <v>0</v>
      </c>
      <c r="AV1155">
        <f t="shared" ref="AV1155:AV1218" si="1003">ROUND((((K1155*0.5)+O1155+S1155+AA1155)/100)*AP1155,0)</f>
        <v>35</v>
      </c>
      <c r="AW1155">
        <f t="shared" ref="AW1155:AW1218" si="1004">ROUND((AU1155/(AP1155-AT1155))*(AP1155-AV1155),0)</f>
        <v>0</v>
      </c>
      <c r="AX1155" s="3">
        <f t="shared" ref="AX1155:AX1218" si="1005">AP1155-AV1155-AW1155</f>
        <v>112.85373608903021</v>
      </c>
      <c r="AY1155">
        <f t="shared" ref="AY1155:AY1218" si="1006">ROUND((0.5*AS1155)*AP1155,0)</f>
        <v>27</v>
      </c>
      <c r="AZ1155">
        <f t="shared" ref="AZ1155:AZ1218" si="1007">ROUND((AU1155/(AP1155-AT1155))*(AP1155-AY1155),0)</f>
        <v>0</v>
      </c>
      <c r="BA1155" s="3">
        <f t="shared" ref="BA1155:BA1218" si="1008">AP1155-AZ1155-AY1155</f>
        <v>120.85373608903021</v>
      </c>
    </row>
    <row r="1156" spans="1:53" x14ac:dyDescent="0.2">
      <c r="A1156">
        <v>2013</v>
      </c>
      <c r="B1156" t="s">
        <v>110</v>
      </c>
      <c r="C1156" t="s">
        <v>99</v>
      </c>
      <c r="D1156">
        <v>10.5</v>
      </c>
      <c r="E1156">
        <v>3.8</v>
      </c>
      <c r="F1156">
        <v>3.9</v>
      </c>
      <c r="G1156">
        <v>1</v>
      </c>
      <c r="H1156">
        <v>4.5</v>
      </c>
      <c r="I1156">
        <v>0</v>
      </c>
      <c r="J1156">
        <v>1</v>
      </c>
      <c r="K1156">
        <f t="shared" si="999"/>
        <v>24.7</v>
      </c>
      <c r="L1156">
        <v>0</v>
      </c>
      <c r="M1156">
        <v>0</v>
      </c>
      <c r="N1156">
        <v>1.5</v>
      </c>
      <c r="O1156">
        <f t="shared" si="992"/>
        <v>1.5</v>
      </c>
      <c r="P1156">
        <v>0</v>
      </c>
      <c r="Q1156">
        <v>0</v>
      </c>
      <c r="R1156">
        <v>8.5</v>
      </c>
      <c r="S1156">
        <f t="shared" si="993"/>
        <v>8.5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f t="shared" si="994"/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 s="5">
        <f t="shared" si="995"/>
        <v>0</v>
      </c>
      <c r="AK1156">
        <v>0</v>
      </c>
      <c r="AL1156">
        <v>0.65300000000000002</v>
      </c>
      <c r="AM1156">
        <f t="shared" si="996"/>
        <v>0.34700000000000003</v>
      </c>
      <c r="AN1156">
        <v>98</v>
      </c>
      <c r="AO1156" t="s">
        <v>13</v>
      </c>
      <c r="AP1156" s="3">
        <f t="shared" si="1000"/>
        <v>150.07656967840734</v>
      </c>
      <c r="AQ1156" t="s">
        <v>13</v>
      </c>
      <c r="AR1156">
        <f t="shared" si="998"/>
        <v>0</v>
      </c>
      <c r="AS1156">
        <f t="shared" si="997"/>
        <v>0.34700000000000003</v>
      </c>
      <c r="AT1156">
        <f t="shared" si="1001"/>
        <v>52</v>
      </c>
      <c r="AU1156">
        <f t="shared" si="1002"/>
        <v>0</v>
      </c>
      <c r="AV1156">
        <f t="shared" si="1003"/>
        <v>34</v>
      </c>
      <c r="AW1156">
        <f t="shared" si="1004"/>
        <v>0</v>
      </c>
      <c r="AX1156" s="3">
        <f t="shared" si="1005"/>
        <v>116.07656967840734</v>
      </c>
      <c r="AY1156">
        <f t="shared" si="1006"/>
        <v>26</v>
      </c>
      <c r="AZ1156">
        <f t="shared" si="1007"/>
        <v>0</v>
      </c>
      <c r="BA1156" s="3">
        <f t="shared" si="1008"/>
        <v>124.07656967840734</v>
      </c>
    </row>
    <row r="1157" spans="1:53" x14ac:dyDescent="0.2">
      <c r="A1157">
        <v>2014</v>
      </c>
      <c r="B1157" t="s">
        <v>110</v>
      </c>
      <c r="C1157" t="s">
        <v>99</v>
      </c>
      <c r="D1157">
        <v>13.9</v>
      </c>
      <c r="E1157">
        <v>2</v>
      </c>
      <c r="F1157">
        <v>7.1</v>
      </c>
      <c r="G1157">
        <v>1.9</v>
      </c>
      <c r="H1157">
        <v>3.4</v>
      </c>
      <c r="I1157">
        <v>0.7</v>
      </c>
      <c r="J1157">
        <v>4.5</v>
      </c>
      <c r="K1157">
        <f t="shared" si="999"/>
        <v>33.5</v>
      </c>
      <c r="L1157">
        <v>0</v>
      </c>
      <c r="M1157">
        <v>0</v>
      </c>
      <c r="N1157">
        <v>1.4</v>
      </c>
      <c r="O1157">
        <f t="shared" si="992"/>
        <v>1.4</v>
      </c>
      <c r="P1157">
        <v>0</v>
      </c>
      <c r="Q1157">
        <v>0</v>
      </c>
      <c r="R1157">
        <v>5</v>
      </c>
      <c r="S1157">
        <f t="shared" si="993"/>
        <v>5</v>
      </c>
      <c r="T1157">
        <v>0</v>
      </c>
      <c r="U1157">
        <v>0.1</v>
      </c>
      <c r="V1157">
        <v>0</v>
      </c>
      <c r="W1157">
        <v>0</v>
      </c>
      <c r="X1157">
        <v>0</v>
      </c>
      <c r="Y1157">
        <v>0</v>
      </c>
      <c r="Z1157">
        <v>0.3</v>
      </c>
      <c r="AA1157">
        <f t="shared" si="994"/>
        <v>0.4</v>
      </c>
      <c r="AB1157">
        <v>0.1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 s="5">
        <f t="shared" si="995"/>
        <v>0.1</v>
      </c>
      <c r="AK1157">
        <v>0</v>
      </c>
      <c r="AL1157">
        <v>0.59299999999999997</v>
      </c>
      <c r="AM1157">
        <f t="shared" si="996"/>
        <v>0.40399999999999997</v>
      </c>
      <c r="AN1157">
        <v>348</v>
      </c>
      <c r="AO1157" t="s">
        <v>13</v>
      </c>
      <c r="AP1157" s="3">
        <f t="shared" si="1000"/>
        <v>583.89261744966439</v>
      </c>
      <c r="AQ1157" t="s">
        <v>13</v>
      </c>
      <c r="AR1157">
        <f t="shared" si="998"/>
        <v>2.4752475247524753E-3</v>
      </c>
      <c r="AS1157">
        <f t="shared" si="997"/>
        <v>0.40299999999999997</v>
      </c>
      <c r="AT1157">
        <f t="shared" si="1001"/>
        <v>235</v>
      </c>
      <c r="AU1157">
        <f t="shared" si="1002"/>
        <v>1</v>
      </c>
      <c r="AV1157">
        <f t="shared" si="1003"/>
        <v>138</v>
      </c>
      <c r="AW1157">
        <f t="shared" si="1004"/>
        <v>1</v>
      </c>
      <c r="AX1157" s="3">
        <f t="shared" si="1005"/>
        <v>444.89261744966439</v>
      </c>
      <c r="AY1157">
        <f t="shared" si="1006"/>
        <v>118</v>
      </c>
      <c r="AZ1157">
        <f t="shared" si="1007"/>
        <v>1</v>
      </c>
      <c r="BA1157" s="3">
        <f t="shared" si="1008"/>
        <v>464.89261744966439</v>
      </c>
    </row>
    <row r="1158" spans="1:53" x14ac:dyDescent="0.2">
      <c r="A1158">
        <v>2015</v>
      </c>
      <c r="B1158" t="s">
        <v>110</v>
      </c>
      <c r="C1158" t="s">
        <v>99</v>
      </c>
      <c r="D1158">
        <v>4</v>
      </c>
      <c r="E1158">
        <v>3.2</v>
      </c>
      <c r="F1158">
        <v>4.7</v>
      </c>
      <c r="G1158">
        <v>0.4</v>
      </c>
      <c r="H1158">
        <v>3.8</v>
      </c>
      <c r="I1158">
        <v>0.3</v>
      </c>
      <c r="J1158">
        <v>2.8</v>
      </c>
      <c r="K1158">
        <f t="shared" si="999"/>
        <v>19.200000000000003</v>
      </c>
      <c r="L1158">
        <v>0</v>
      </c>
      <c r="M1158">
        <v>0.1</v>
      </c>
      <c r="N1158">
        <v>2.2000000000000002</v>
      </c>
      <c r="O1158">
        <f t="shared" si="992"/>
        <v>2.3000000000000003</v>
      </c>
      <c r="P1158">
        <v>0</v>
      </c>
      <c r="Q1158">
        <v>0</v>
      </c>
      <c r="R1158">
        <v>9.4</v>
      </c>
      <c r="S1158">
        <f t="shared" si="993"/>
        <v>9.4</v>
      </c>
      <c r="T1158">
        <v>0.3</v>
      </c>
      <c r="U1158">
        <v>0.5</v>
      </c>
      <c r="V1158">
        <v>0</v>
      </c>
      <c r="W1158">
        <v>0</v>
      </c>
      <c r="X1158">
        <v>0</v>
      </c>
      <c r="Y1158">
        <v>0</v>
      </c>
      <c r="Z1158">
        <v>0.1</v>
      </c>
      <c r="AA1158">
        <f t="shared" si="994"/>
        <v>0.9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 s="5">
        <f t="shared" si="995"/>
        <v>0</v>
      </c>
      <c r="AK1158">
        <v>0.3</v>
      </c>
      <c r="AL1158">
        <v>0.68</v>
      </c>
      <c r="AM1158">
        <f t="shared" si="996"/>
        <v>0.318</v>
      </c>
      <c r="AN1158">
        <v>586</v>
      </c>
      <c r="AO1158" t="s">
        <v>13</v>
      </c>
      <c r="AP1158" s="3">
        <f t="shared" si="1000"/>
        <v>859.23753665689162</v>
      </c>
      <c r="AQ1158" t="s">
        <v>13</v>
      </c>
      <c r="AR1158">
        <f t="shared" si="998"/>
        <v>0</v>
      </c>
      <c r="AS1158">
        <f t="shared" si="997"/>
        <v>0.31800000000000006</v>
      </c>
      <c r="AT1158">
        <f t="shared" si="1001"/>
        <v>273</v>
      </c>
      <c r="AU1158">
        <f t="shared" si="1002"/>
        <v>0</v>
      </c>
      <c r="AV1158">
        <f t="shared" si="1003"/>
        <v>191</v>
      </c>
      <c r="AW1158">
        <f t="shared" si="1004"/>
        <v>0</v>
      </c>
      <c r="AX1158" s="3">
        <f t="shared" si="1005"/>
        <v>668.23753665689162</v>
      </c>
      <c r="AY1158">
        <f t="shared" si="1006"/>
        <v>137</v>
      </c>
      <c r="AZ1158">
        <f t="shared" si="1007"/>
        <v>0</v>
      </c>
      <c r="BA1158" s="3">
        <f t="shared" si="1008"/>
        <v>722.23753665689162</v>
      </c>
    </row>
    <row r="1159" spans="1:53" x14ac:dyDescent="0.2">
      <c r="A1159">
        <v>2016</v>
      </c>
      <c r="B1159" t="s">
        <v>110</v>
      </c>
      <c r="C1159" t="s">
        <v>99</v>
      </c>
      <c r="D1159">
        <v>13.5</v>
      </c>
      <c r="E1159">
        <v>5</v>
      </c>
      <c r="F1159">
        <v>8.1</v>
      </c>
      <c r="G1159">
        <v>1.9</v>
      </c>
      <c r="H1159">
        <v>3.9</v>
      </c>
      <c r="I1159">
        <v>0.8</v>
      </c>
      <c r="J1159">
        <v>0.8</v>
      </c>
      <c r="K1159">
        <f t="shared" si="999"/>
        <v>33.999999999999993</v>
      </c>
      <c r="L1159">
        <v>0</v>
      </c>
      <c r="M1159">
        <v>0.2</v>
      </c>
      <c r="N1159">
        <v>3.5</v>
      </c>
      <c r="O1159">
        <f t="shared" si="992"/>
        <v>3.7</v>
      </c>
      <c r="P1159">
        <v>0</v>
      </c>
      <c r="Q1159">
        <v>0</v>
      </c>
      <c r="R1159">
        <v>7.1</v>
      </c>
      <c r="S1159">
        <f t="shared" si="993"/>
        <v>7.1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f t="shared" si="994"/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 s="5">
        <f t="shared" si="995"/>
        <v>0</v>
      </c>
      <c r="AK1159">
        <v>0</v>
      </c>
      <c r="AL1159">
        <v>0.55200000000000005</v>
      </c>
      <c r="AM1159">
        <f t="shared" si="996"/>
        <v>0.4479999999999999</v>
      </c>
      <c r="AN1159">
        <v>398</v>
      </c>
      <c r="AO1159" t="s">
        <v>13</v>
      </c>
      <c r="AP1159" s="3">
        <f t="shared" si="1000"/>
        <v>721.01449275362313</v>
      </c>
      <c r="AQ1159" t="s">
        <v>13</v>
      </c>
      <c r="AR1159">
        <f t="shared" si="998"/>
        <v>0</v>
      </c>
      <c r="AS1159">
        <f t="shared" si="997"/>
        <v>0.44799999999999995</v>
      </c>
      <c r="AT1159">
        <f t="shared" si="1001"/>
        <v>323</v>
      </c>
      <c r="AU1159">
        <f t="shared" si="1002"/>
        <v>0</v>
      </c>
      <c r="AV1159">
        <f t="shared" si="1003"/>
        <v>200</v>
      </c>
      <c r="AW1159">
        <f t="shared" si="1004"/>
        <v>0</v>
      </c>
      <c r="AX1159" s="3">
        <f t="shared" si="1005"/>
        <v>521.01449275362313</v>
      </c>
      <c r="AY1159">
        <f t="shared" si="1006"/>
        <v>162</v>
      </c>
      <c r="AZ1159">
        <f t="shared" si="1007"/>
        <v>0</v>
      </c>
      <c r="BA1159" s="3">
        <f t="shared" si="1008"/>
        <v>559.01449275362313</v>
      </c>
    </row>
    <row r="1160" spans="1:53" x14ac:dyDescent="0.2">
      <c r="A1160">
        <v>2017</v>
      </c>
      <c r="B1160" t="s">
        <v>110</v>
      </c>
      <c r="C1160" t="s">
        <v>99</v>
      </c>
      <c r="D1160">
        <v>7.9</v>
      </c>
      <c r="E1160">
        <v>0.7</v>
      </c>
      <c r="F1160">
        <v>7.2</v>
      </c>
      <c r="G1160">
        <v>1.6</v>
      </c>
      <c r="H1160">
        <v>7.1</v>
      </c>
      <c r="I1160">
        <v>0.6</v>
      </c>
      <c r="J1160">
        <v>3.8</v>
      </c>
      <c r="K1160">
        <f t="shared" si="999"/>
        <v>28.900000000000002</v>
      </c>
      <c r="L1160">
        <v>0</v>
      </c>
      <c r="M1160">
        <v>0</v>
      </c>
      <c r="N1160">
        <v>1.7</v>
      </c>
      <c r="O1160">
        <f t="shared" si="992"/>
        <v>1.7</v>
      </c>
      <c r="P1160">
        <v>0</v>
      </c>
      <c r="Q1160">
        <v>1.1000000000000001</v>
      </c>
      <c r="R1160">
        <v>7</v>
      </c>
      <c r="S1160">
        <f t="shared" si="993"/>
        <v>8.1</v>
      </c>
      <c r="T1160">
        <v>0</v>
      </c>
      <c r="U1160">
        <v>0.1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f t="shared" si="994"/>
        <v>0.1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0.1</v>
      </c>
      <c r="AI1160">
        <v>0</v>
      </c>
      <c r="AJ1160" s="5">
        <f t="shared" si="995"/>
        <v>0.1</v>
      </c>
      <c r="AK1160">
        <v>1.2</v>
      </c>
      <c r="AL1160">
        <v>0.6</v>
      </c>
      <c r="AM1160">
        <f t="shared" si="996"/>
        <v>0.38900000000000001</v>
      </c>
      <c r="AN1160">
        <v>793</v>
      </c>
      <c r="AO1160" t="s">
        <v>13</v>
      </c>
      <c r="AP1160" s="3">
        <f t="shared" si="1000"/>
        <v>1297.872340425532</v>
      </c>
      <c r="AQ1160" t="s">
        <v>13</v>
      </c>
      <c r="AR1160">
        <f t="shared" si="998"/>
        <v>2.5706940874035988E-3</v>
      </c>
      <c r="AS1160">
        <f t="shared" si="997"/>
        <v>0.38800000000000007</v>
      </c>
      <c r="AT1160">
        <f t="shared" si="1001"/>
        <v>504</v>
      </c>
      <c r="AU1160">
        <f t="shared" si="1002"/>
        <v>1</v>
      </c>
      <c r="AV1160">
        <f t="shared" si="1003"/>
        <v>316</v>
      </c>
      <c r="AW1160">
        <f t="shared" si="1004"/>
        <v>1</v>
      </c>
      <c r="AX1160" s="3">
        <f t="shared" si="1005"/>
        <v>980.872340425532</v>
      </c>
      <c r="AY1160">
        <f t="shared" si="1006"/>
        <v>252</v>
      </c>
      <c r="AZ1160">
        <f t="shared" si="1007"/>
        <v>1</v>
      </c>
      <c r="BA1160" s="3">
        <f t="shared" si="1008"/>
        <v>1044.872340425532</v>
      </c>
    </row>
    <row r="1161" spans="1:53" x14ac:dyDescent="0.2">
      <c r="A1161">
        <v>2018</v>
      </c>
      <c r="B1161" t="s">
        <v>110</v>
      </c>
      <c r="C1161" t="s">
        <v>99</v>
      </c>
      <c r="D1161">
        <v>5.7</v>
      </c>
      <c r="E1161">
        <v>0.6</v>
      </c>
      <c r="F1161">
        <v>2.4</v>
      </c>
      <c r="G1161">
        <v>4.2</v>
      </c>
      <c r="H1161">
        <v>6.1</v>
      </c>
      <c r="I1161">
        <v>1.3</v>
      </c>
      <c r="J1161">
        <v>4.5</v>
      </c>
      <c r="K1161">
        <f t="shared" si="999"/>
        <v>24.8</v>
      </c>
      <c r="L1161">
        <v>0</v>
      </c>
      <c r="M1161">
        <v>0</v>
      </c>
      <c r="N1161">
        <v>2.7</v>
      </c>
      <c r="O1161">
        <f t="shared" si="992"/>
        <v>2.7</v>
      </c>
      <c r="P1161">
        <v>0</v>
      </c>
      <c r="Q1161">
        <v>0</v>
      </c>
      <c r="R1161">
        <v>7.1</v>
      </c>
      <c r="S1161">
        <f t="shared" si="993"/>
        <v>7.1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f t="shared" si="994"/>
        <v>0</v>
      </c>
      <c r="AB1161">
        <v>0</v>
      </c>
      <c r="AC1161">
        <v>0</v>
      </c>
      <c r="AD1161">
        <v>0</v>
      </c>
      <c r="AE1161">
        <v>0</v>
      </c>
      <c r="AF1161">
        <v>0.1</v>
      </c>
      <c r="AG1161">
        <v>0</v>
      </c>
      <c r="AH1161">
        <v>0</v>
      </c>
      <c r="AI1161">
        <v>0</v>
      </c>
      <c r="AJ1161" s="5">
        <f t="shared" si="995"/>
        <v>0.1</v>
      </c>
      <c r="AK1161">
        <v>0.3</v>
      </c>
      <c r="AL1161">
        <v>0.64900000000000002</v>
      </c>
      <c r="AM1161">
        <f t="shared" si="996"/>
        <v>0.34700000000000003</v>
      </c>
      <c r="AN1161">
        <v>270</v>
      </c>
      <c r="AO1161" t="s">
        <v>13</v>
      </c>
      <c r="AP1161" s="3">
        <f t="shared" si="1000"/>
        <v>413.47626339969372</v>
      </c>
      <c r="AQ1161" t="s">
        <v>13</v>
      </c>
      <c r="AR1161">
        <f t="shared" si="998"/>
        <v>2.881844380403458E-3</v>
      </c>
      <c r="AS1161">
        <f t="shared" si="997"/>
        <v>0.34600000000000003</v>
      </c>
      <c r="AT1161">
        <f t="shared" si="1001"/>
        <v>143</v>
      </c>
      <c r="AU1161">
        <f t="shared" si="1002"/>
        <v>0</v>
      </c>
      <c r="AV1161">
        <f t="shared" si="1003"/>
        <v>92</v>
      </c>
      <c r="AW1161">
        <f t="shared" si="1004"/>
        <v>0</v>
      </c>
      <c r="AX1161" s="3">
        <f t="shared" si="1005"/>
        <v>321.47626339969372</v>
      </c>
      <c r="AY1161">
        <f t="shared" si="1006"/>
        <v>72</v>
      </c>
      <c r="AZ1161">
        <f t="shared" si="1007"/>
        <v>0</v>
      </c>
      <c r="BA1161" s="3">
        <f t="shared" si="1008"/>
        <v>341.47626339969372</v>
      </c>
    </row>
    <row r="1162" spans="1:53" x14ac:dyDescent="0.2">
      <c r="A1162">
        <v>2019</v>
      </c>
      <c r="B1162" t="s">
        <v>110</v>
      </c>
      <c r="C1162" t="s">
        <v>99</v>
      </c>
      <c r="D1162">
        <v>4.7</v>
      </c>
      <c r="E1162">
        <v>5.5</v>
      </c>
      <c r="F1162">
        <v>3.5</v>
      </c>
      <c r="G1162">
        <v>2.6</v>
      </c>
      <c r="H1162">
        <v>5.2</v>
      </c>
      <c r="I1162">
        <v>0.8</v>
      </c>
      <c r="J1162">
        <v>2.2000000000000002</v>
      </c>
      <c r="K1162">
        <f t="shared" si="999"/>
        <v>24.5</v>
      </c>
      <c r="L1162">
        <v>0</v>
      </c>
      <c r="M1162">
        <v>0</v>
      </c>
      <c r="N1162">
        <v>4.4000000000000004</v>
      </c>
      <c r="O1162">
        <f t="shared" ref="O1162:O1206" si="1009">SUM(L1162:N1162)</f>
        <v>4.4000000000000004</v>
      </c>
      <c r="P1162">
        <v>0</v>
      </c>
      <c r="Q1162">
        <v>0</v>
      </c>
      <c r="R1162">
        <v>6.5</v>
      </c>
      <c r="S1162">
        <f t="shared" ref="S1162:S1206" si="1010">SUM(P1162:R1162)</f>
        <v>6.5</v>
      </c>
      <c r="T1162">
        <v>0.1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f t="shared" ref="AA1162:AA1206" si="1011">SUM(T1162:Z1162)</f>
        <v>0.1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 s="5">
        <f t="shared" ref="AJ1162:AJ1206" si="1012">SUM(AB1162:AI1162)</f>
        <v>0</v>
      </c>
      <c r="AK1162">
        <v>0.1</v>
      </c>
      <c r="AL1162">
        <v>0.64500000000000002</v>
      </c>
      <c r="AM1162">
        <f t="shared" si="996"/>
        <v>0.35499999999999998</v>
      </c>
      <c r="AN1162">
        <v>708</v>
      </c>
      <c r="AO1162" t="s">
        <v>13</v>
      </c>
      <c r="AP1162" s="3">
        <f t="shared" si="1000"/>
        <v>1097.6744186046512</v>
      </c>
      <c r="AQ1162" t="s">
        <v>13</v>
      </c>
      <c r="AR1162">
        <f t="shared" si="998"/>
        <v>0</v>
      </c>
      <c r="AS1162">
        <f t="shared" si="997"/>
        <v>0.35499999999999998</v>
      </c>
      <c r="AT1162">
        <f t="shared" si="1001"/>
        <v>390</v>
      </c>
      <c r="AU1162">
        <f t="shared" si="1002"/>
        <v>0</v>
      </c>
      <c r="AV1162">
        <f t="shared" si="1003"/>
        <v>255</v>
      </c>
      <c r="AW1162">
        <f t="shared" si="1004"/>
        <v>0</v>
      </c>
      <c r="AX1162" s="3">
        <f t="shared" si="1005"/>
        <v>842.67441860465124</v>
      </c>
      <c r="AY1162">
        <f t="shared" si="1006"/>
        <v>195</v>
      </c>
      <c r="AZ1162">
        <f t="shared" si="1007"/>
        <v>0</v>
      </c>
      <c r="BA1162" s="3">
        <f t="shared" si="1008"/>
        <v>902.67441860465124</v>
      </c>
    </row>
    <row r="1163" spans="1:53" x14ac:dyDescent="0.2">
      <c r="A1163">
        <v>2020</v>
      </c>
      <c r="B1163" t="s">
        <v>110</v>
      </c>
      <c r="C1163" t="s">
        <v>99</v>
      </c>
      <c r="D1163">
        <v>6.6</v>
      </c>
      <c r="E1163">
        <v>2.6</v>
      </c>
      <c r="F1163">
        <v>4.5</v>
      </c>
      <c r="G1163">
        <v>2.4</v>
      </c>
      <c r="H1163">
        <v>2.7</v>
      </c>
      <c r="I1163">
        <v>0.3</v>
      </c>
      <c r="J1163">
        <v>1.7</v>
      </c>
      <c r="K1163">
        <f t="shared" si="999"/>
        <v>20.799999999999997</v>
      </c>
      <c r="L1163">
        <v>0</v>
      </c>
      <c r="M1163">
        <v>0</v>
      </c>
      <c r="N1163">
        <v>1.4</v>
      </c>
      <c r="O1163">
        <f t="shared" si="1009"/>
        <v>1.4</v>
      </c>
      <c r="P1163">
        <v>0</v>
      </c>
      <c r="Q1163">
        <v>0</v>
      </c>
      <c r="R1163">
        <v>3.8</v>
      </c>
      <c r="S1163">
        <f t="shared" si="1010"/>
        <v>3.8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0.1</v>
      </c>
      <c r="AA1163">
        <f t="shared" si="1011"/>
        <v>0.1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 s="5">
        <f t="shared" si="1012"/>
        <v>0</v>
      </c>
      <c r="AK1163">
        <v>1.4</v>
      </c>
      <c r="AL1163">
        <v>0.72499999999999998</v>
      </c>
      <c r="AM1163">
        <f t="shared" si="996"/>
        <v>0.26099999999999995</v>
      </c>
      <c r="AN1163">
        <v>188</v>
      </c>
      <c r="AO1163" t="s">
        <v>13</v>
      </c>
      <c r="AP1163" s="3">
        <f t="shared" si="1000"/>
        <v>254.39783491204327</v>
      </c>
      <c r="AQ1163" t="s">
        <v>13</v>
      </c>
      <c r="AR1163">
        <f t="shared" si="998"/>
        <v>0</v>
      </c>
      <c r="AS1163">
        <f t="shared" si="997"/>
        <v>0.26099999999999995</v>
      </c>
      <c r="AT1163">
        <f t="shared" si="1001"/>
        <v>66</v>
      </c>
      <c r="AU1163">
        <f t="shared" si="1002"/>
        <v>0</v>
      </c>
      <c r="AV1163">
        <f t="shared" si="1003"/>
        <v>40</v>
      </c>
      <c r="AW1163">
        <f t="shared" si="1004"/>
        <v>0</v>
      </c>
      <c r="AX1163" s="3">
        <f t="shared" si="1005"/>
        <v>214.39783491204327</v>
      </c>
      <c r="AY1163">
        <f t="shared" si="1006"/>
        <v>33</v>
      </c>
      <c r="AZ1163">
        <f t="shared" si="1007"/>
        <v>0</v>
      </c>
      <c r="BA1163" s="3">
        <f t="shared" si="1008"/>
        <v>221.39783491204327</v>
      </c>
    </row>
    <row r="1164" spans="1:53" x14ac:dyDescent="0.2">
      <c r="A1164">
        <v>2021</v>
      </c>
      <c r="B1164" t="s">
        <v>110</v>
      </c>
      <c r="C1164" t="s">
        <v>99</v>
      </c>
      <c r="D1164">
        <v>7.5</v>
      </c>
      <c r="E1164">
        <v>4.9000000000000004</v>
      </c>
      <c r="F1164">
        <v>3.1</v>
      </c>
      <c r="G1164">
        <v>3.1</v>
      </c>
      <c r="H1164">
        <v>2.7</v>
      </c>
      <c r="I1164">
        <v>0.8</v>
      </c>
      <c r="J1164">
        <v>1.8</v>
      </c>
      <c r="K1164">
        <f t="shared" si="999"/>
        <v>23.900000000000002</v>
      </c>
      <c r="L1164">
        <v>0</v>
      </c>
      <c r="M1164">
        <v>0</v>
      </c>
      <c r="N1164">
        <v>1.7</v>
      </c>
      <c r="O1164">
        <f t="shared" si="1009"/>
        <v>1.7</v>
      </c>
      <c r="P1164">
        <v>0</v>
      </c>
      <c r="Q1164">
        <v>0</v>
      </c>
      <c r="R1164">
        <v>4.5999999999999996</v>
      </c>
      <c r="S1164">
        <f t="shared" si="1010"/>
        <v>4.5999999999999996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f t="shared" si="1011"/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 s="5">
        <f t="shared" si="1012"/>
        <v>0</v>
      </c>
      <c r="AK1164">
        <v>0</v>
      </c>
      <c r="AL1164">
        <v>0.69799999999999995</v>
      </c>
      <c r="AM1164">
        <f t="shared" si="996"/>
        <v>0.30200000000000005</v>
      </c>
      <c r="AN1164">
        <v>319</v>
      </c>
      <c r="AO1164" t="s">
        <v>13</v>
      </c>
      <c r="AP1164" s="3">
        <f t="shared" si="1000"/>
        <v>457.02005730659027</v>
      </c>
      <c r="AQ1164" t="s">
        <v>13</v>
      </c>
      <c r="AR1164">
        <f t="shared" si="998"/>
        <v>0</v>
      </c>
      <c r="AS1164">
        <f t="shared" si="997"/>
        <v>0.30200000000000005</v>
      </c>
      <c r="AT1164">
        <f t="shared" si="1001"/>
        <v>138</v>
      </c>
      <c r="AU1164">
        <f t="shared" si="1002"/>
        <v>0</v>
      </c>
      <c r="AV1164">
        <f t="shared" si="1003"/>
        <v>83</v>
      </c>
      <c r="AW1164">
        <f t="shared" si="1004"/>
        <v>0</v>
      </c>
      <c r="AX1164" s="3">
        <f t="shared" si="1005"/>
        <v>374.02005730659027</v>
      </c>
      <c r="AY1164">
        <f t="shared" si="1006"/>
        <v>69</v>
      </c>
      <c r="AZ1164">
        <f t="shared" si="1007"/>
        <v>0</v>
      </c>
      <c r="BA1164" s="3">
        <f t="shared" si="1008"/>
        <v>388.02005730659027</v>
      </c>
    </row>
    <row r="1165" spans="1:53" x14ac:dyDescent="0.2">
      <c r="A1165">
        <v>2022</v>
      </c>
      <c r="B1165" t="s">
        <v>110</v>
      </c>
      <c r="C1165" t="s">
        <v>99</v>
      </c>
      <c r="D1165">
        <v>8.8000000000000007</v>
      </c>
      <c r="E1165">
        <v>6.1</v>
      </c>
      <c r="F1165">
        <v>3.8</v>
      </c>
      <c r="G1165">
        <v>1.8</v>
      </c>
      <c r="H1165">
        <v>2.6</v>
      </c>
      <c r="I1165">
        <v>0.6</v>
      </c>
      <c r="J1165">
        <v>2.8</v>
      </c>
      <c r="K1165">
        <f t="shared" si="999"/>
        <v>26.500000000000004</v>
      </c>
      <c r="L1165">
        <v>0</v>
      </c>
      <c r="M1165">
        <v>0</v>
      </c>
      <c r="N1165">
        <v>6.1</v>
      </c>
      <c r="O1165">
        <f t="shared" si="1009"/>
        <v>6.1</v>
      </c>
      <c r="P1165">
        <v>0</v>
      </c>
      <c r="Q1165">
        <v>0</v>
      </c>
      <c r="R1165">
        <v>8.8000000000000007</v>
      </c>
      <c r="S1165">
        <f t="shared" si="1010"/>
        <v>8.8000000000000007</v>
      </c>
      <c r="T1165">
        <v>0.1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0.2</v>
      </c>
      <c r="AA1165">
        <f t="shared" si="1011"/>
        <v>0.30000000000000004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0.1</v>
      </c>
      <c r="AI1165">
        <v>0</v>
      </c>
      <c r="AJ1165" s="5">
        <f t="shared" si="1012"/>
        <v>0.1</v>
      </c>
      <c r="AK1165">
        <v>0</v>
      </c>
      <c r="AL1165">
        <v>0.58099999999999996</v>
      </c>
      <c r="AM1165">
        <f t="shared" si="996"/>
        <v>0.41799999999999998</v>
      </c>
      <c r="AN1165">
        <v>158</v>
      </c>
      <c r="AO1165" t="s">
        <v>13</v>
      </c>
      <c r="AP1165" s="3">
        <f t="shared" si="1000"/>
        <v>271.47766323024052</v>
      </c>
      <c r="AQ1165" t="s">
        <v>13</v>
      </c>
      <c r="AR1165">
        <f t="shared" si="998"/>
        <v>2.3923444976076558E-3</v>
      </c>
      <c r="AS1165">
        <f t="shared" si="997"/>
        <v>0.41700000000000004</v>
      </c>
      <c r="AT1165">
        <f t="shared" si="1001"/>
        <v>113</v>
      </c>
      <c r="AU1165">
        <f t="shared" si="1002"/>
        <v>0</v>
      </c>
      <c r="AV1165">
        <f t="shared" si="1003"/>
        <v>77</v>
      </c>
      <c r="AW1165">
        <f t="shared" si="1004"/>
        <v>0</v>
      </c>
      <c r="AX1165" s="3">
        <f t="shared" si="1005"/>
        <v>194.47766323024052</v>
      </c>
      <c r="AY1165">
        <f t="shared" si="1006"/>
        <v>57</v>
      </c>
      <c r="AZ1165">
        <f t="shared" si="1007"/>
        <v>0</v>
      </c>
      <c r="BA1165" s="3">
        <f t="shared" si="1008"/>
        <v>214.47766323024052</v>
      </c>
    </row>
    <row r="1166" spans="1:53" x14ac:dyDescent="0.2">
      <c r="A1166">
        <v>2023</v>
      </c>
      <c r="B1166" t="s">
        <v>110</v>
      </c>
      <c r="C1166" t="s">
        <v>99</v>
      </c>
      <c r="D1166">
        <v>2.5</v>
      </c>
      <c r="E1166">
        <v>1.9</v>
      </c>
      <c r="F1166">
        <v>1.6</v>
      </c>
      <c r="G1166">
        <v>1.9</v>
      </c>
      <c r="H1166">
        <v>1.9</v>
      </c>
      <c r="I1166">
        <v>0.9</v>
      </c>
      <c r="J1166">
        <v>1.7</v>
      </c>
      <c r="K1166">
        <f t="shared" si="999"/>
        <v>12.4</v>
      </c>
      <c r="L1166">
        <v>0</v>
      </c>
      <c r="M1166">
        <v>0</v>
      </c>
      <c r="N1166">
        <v>2.4</v>
      </c>
      <c r="O1166">
        <f t="shared" si="1009"/>
        <v>2.4</v>
      </c>
      <c r="P1166">
        <v>0</v>
      </c>
      <c r="Q1166">
        <v>0.5</v>
      </c>
      <c r="R1166">
        <v>4.7</v>
      </c>
      <c r="S1166">
        <f t="shared" si="1010"/>
        <v>5.2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f t="shared" si="1011"/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 s="5">
        <f t="shared" si="1012"/>
        <v>0</v>
      </c>
      <c r="AK1166">
        <v>0</v>
      </c>
      <c r="AL1166">
        <v>0.8</v>
      </c>
      <c r="AM1166">
        <f t="shared" si="996"/>
        <v>0.19999999999999996</v>
      </c>
      <c r="AN1166">
        <v>382</v>
      </c>
      <c r="AO1166" t="s">
        <v>13</v>
      </c>
      <c r="AP1166" s="3">
        <f t="shared" si="1000"/>
        <v>477.5</v>
      </c>
      <c r="AQ1166" t="s">
        <v>13</v>
      </c>
      <c r="AR1166">
        <f t="shared" si="998"/>
        <v>0</v>
      </c>
      <c r="AS1166">
        <f t="shared" si="997"/>
        <v>0.2</v>
      </c>
      <c r="AT1166">
        <f t="shared" si="1001"/>
        <v>96</v>
      </c>
      <c r="AU1166">
        <f t="shared" si="1002"/>
        <v>0</v>
      </c>
      <c r="AV1166">
        <f t="shared" si="1003"/>
        <v>66</v>
      </c>
      <c r="AW1166">
        <f t="shared" si="1004"/>
        <v>0</v>
      </c>
      <c r="AX1166" s="3">
        <f t="shared" si="1005"/>
        <v>411.5</v>
      </c>
      <c r="AY1166">
        <f t="shared" si="1006"/>
        <v>48</v>
      </c>
      <c r="AZ1166">
        <f t="shared" si="1007"/>
        <v>0</v>
      </c>
      <c r="BA1166" s="3">
        <f t="shared" si="1008"/>
        <v>429.5</v>
      </c>
    </row>
    <row r="1167" spans="1:53" x14ac:dyDescent="0.2">
      <c r="A1167">
        <v>1979</v>
      </c>
      <c r="B1167" t="s">
        <v>111</v>
      </c>
      <c r="C1167" t="s">
        <v>99</v>
      </c>
      <c r="D1167">
        <v>21.2</v>
      </c>
      <c r="E1167">
        <v>0.6</v>
      </c>
      <c r="F1167">
        <v>0.7</v>
      </c>
      <c r="G1167">
        <v>11.9</v>
      </c>
      <c r="H1167">
        <v>0</v>
      </c>
      <c r="I1167">
        <v>8.3000000000000007</v>
      </c>
      <c r="J1167">
        <v>0</v>
      </c>
      <c r="K1167">
        <f t="shared" si="999"/>
        <v>42.7</v>
      </c>
      <c r="L1167">
        <v>11.3</v>
      </c>
      <c r="M1167">
        <v>7.4</v>
      </c>
      <c r="N1167">
        <v>0.1</v>
      </c>
      <c r="O1167">
        <f t="shared" si="1009"/>
        <v>18.800000000000004</v>
      </c>
      <c r="P1167">
        <v>0.5</v>
      </c>
      <c r="Q1167">
        <v>2.1</v>
      </c>
      <c r="R1167">
        <v>1.4</v>
      </c>
      <c r="S1167">
        <f t="shared" si="1010"/>
        <v>4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f t="shared" si="1011"/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0.1</v>
      </c>
      <c r="AI1167">
        <v>0</v>
      </c>
      <c r="AJ1167" s="5">
        <f t="shared" si="1012"/>
        <v>0.1</v>
      </c>
      <c r="AK1167">
        <v>0</v>
      </c>
      <c r="AL1167">
        <v>0.34399999999999997</v>
      </c>
      <c r="AM1167">
        <f t="shared" ref="AM1167:AM1211" si="1013">SUM(AB1167:AI1167,T1167:Z1167,P1167:R1167,L1167:N1167,D1167:J1167)/100</f>
        <v>0.65600000000000014</v>
      </c>
      <c r="AN1167">
        <v>40</v>
      </c>
      <c r="AO1167" t="s">
        <v>13</v>
      </c>
      <c r="AP1167" s="3">
        <f t="shared" si="1000"/>
        <v>116.27906976744191</v>
      </c>
      <c r="AQ1167" t="s">
        <v>13</v>
      </c>
      <c r="AR1167">
        <f t="shared" si="998"/>
        <v>1.5243902439024386E-3</v>
      </c>
      <c r="AS1167">
        <f t="shared" si="997"/>
        <v>0.65500000000000003</v>
      </c>
      <c r="AT1167">
        <f t="shared" si="1001"/>
        <v>76</v>
      </c>
      <c r="AU1167">
        <f t="shared" si="1002"/>
        <v>0</v>
      </c>
      <c r="AV1167">
        <f t="shared" si="1003"/>
        <v>51</v>
      </c>
      <c r="AW1167">
        <f t="shared" si="1004"/>
        <v>0</v>
      </c>
      <c r="AX1167" s="3">
        <f t="shared" si="1005"/>
        <v>65.279069767441911</v>
      </c>
      <c r="AY1167">
        <f t="shared" si="1006"/>
        <v>38</v>
      </c>
      <c r="AZ1167">
        <f t="shared" si="1007"/>
        <v>0</v>
      </c>
      <c r="BA1167" s="3">
        <f t="shared" si="1008"/>
        <v>78.279069767441911</v>
      </c>
    </row>
    <row r="1168" spans="1:53" x14ac:dyDescent="0.2">
      <c r="A1168">
        <v>1980</v>
      </c>
      <c r="B1168" t="s">
        <v>111</v>
      </c>
      <c r="C1168" t="s">
        <v>99</v>
      </c>
      <c r="D1168">
        <v>28.3</v>
      </c>
      <c r="E1168">
        <v>5.7</v>
      </c>
      <c r="F1168">
        <v>1.1000000000000001</v>
      </c>
      <c r="G1168">
        <v>8.5</v>
      </c>
      <c r="H1168">
        <v>0</v>
      </c>
      <c r="I1168">
        <v>7.4</v>
      </c>
      <c r="J1168">
        <v>0.2</v>
      </c>
      <c r="K1168">
        <f t="shared" si="999"/>
        <v>51.2</v>
      </c>
      <c r="L1168">
        <v>8.6999999999999993</v>
      </c>
      <c r="M1168">
        <v>4.5999999999999996</v>
      </c>
      <c r="N1168">
        <v>0</v>
      </c>
      <c r="O1168">
        <f t="shared" si="1009"/>
        <v>13.299999999999999</v>
      </c>
      <c r="P1168">
        <v>0</v>
      </c>
      <c r="Q1168">
        <v>1.2</v>
      </c>
      <c r="R1168">
        <v>0.5</v>
      </c>
      <c r="S1168">
        <f t="shared" si="1010"/>
        <v>1.7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0.2</v>
      </c>
      <c r="Z1168">
        <v>0</v>
      </c>
      <c r="AA1168">
        <f t="shared" si="1011"/>
        <v>0.2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 s="5">
        <f t="shared" si="1012"/>
        <v>0</v>
      </c>
      <c r="AK1168">
        <v>0</v>
      </c>
      <c r="AL1168">
        <v>0.33600000000000002</v>
      </c>
      <c r="AM1168">
        <f t="shared" si="1013"/>
        <v>0.66400000000000003</v>
      </c>
      <c r="AN1168">
        <v>100</v>
      </c>
      <c r="AO1168" t="s">
        <v>13</v>
      </c>
      <c r="AP1168" s="3">
        <f t="shared" si="1000"/>
        <v>297.61904761904765</v>
      </c>
      <c r="AQ1168" t="s">
        <v>13</v>
      </c>
      <c r="AR1168">
        <f t="shared" si="998"/>
        <v>0</v>
      </c>
      <c r="AS1168">
        <f t="shared" si="997"/>
        <v>0.66400000000000003</v>
      </c>
      <c r="AT1168">
        <f t="shared" si="1001"/>
        <v>198</v>
      </c>
      <c r="AU1168">
        <f t="shared" si="1002"/>
        <v>0</v>
      </c>
      <c r="AV1168">
        <f t="shared" si="1003"/>
        <v>121</v>
      </c>
      <c r="AW1168">
        <f t="shared" si="1004"/>
        <v>0</v>
      </c>
      <c r="AX1168" s="3">
        <f t="shared" si="1005"/>
        <v>176.61904761904765</v>
      </c>
      <c r="AY1168">
        <f t="shared" si="1006"/>
        <v>99</v>
      </c>
      <c r="AZ1168">
        <f t="shared" si="1007"/>
        <v>0</v>
      </c>
      <c r="BA1168" s="3">
        <f t="shared" si="1008"/>
        <v>198.61904761904765</v>
      </c>
    </row>
    <row r="1169" spans="1:53" x14ac:dyDescent="0.2">
      <c r="A1169">
        <v>1981</v>
      </c>
      <c r="B1169" t="s">
        <v>111</v>
      </c>
      <c r="C1169" t="s">
        <v>99</v>
      </c>
      <c r="D1169">
        <v>31.6</v>
      </c>
      <c r="E1169">
        <v>1.6</v>
      </c>
      <c r="F1169">
        <v>1</v>
      </c>
      <c r="G1169">
        <v>13.9</v>
      </c>
      <c r="H1169">
        <v>0</v>
      </c>
      <c r="I1169">
        <v>5.8</v>
      </c>
      <c r="J1169">
        <v>0.1</v>
      </c>
      <c r="K1169">
        <f t="shared" si="999"/>
        <v>54</v>
      </c>
      <c r="L1169">
        <v>8.3000000000000007</v>
      </c>
      <c r="M1169">
        <v>4.5999999999999996</v>
      </c>
      <c r="N1169">
        <v>0.3</v>
      </c>
      <c r="O1169">
        <f t="shared" si="1009"/>
        <v>13.200000000000001</v>
      </c>
      <c r="P1169">
        <v>0.4</v>
      </c>
      <c r="Q1169">
        <v>1.2</v>
      </c>
      <c r="R1169">
        <v>1.5</v>
      </c>
      <c r="S1169">
        <f t="shared" si="1010"/>
        <v>3.1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0.8</v>
      </c>
      <c r="Z1169">
        <v>0.1</v>
      </c>
      <c r="AA1169">
        <f t="shared" si="1011"/>
        <v>0.9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0.4</v>
      </c>
      <c r="AI1169">
        <v>0</v>
      </c>
      <c r="AJ1169" s="5">
        <f t="shared" si="1012"/>
        <v>0.4</v>
      </c>
      <c r="AK1169">
        <v>0</v>
      </c>
      <c r="AL1169">
        <v>0.28399999999999997</v>
      </c>
      <c r="AM1169">
        <f t="shared" si="1013"/>
        <v>0.71599999999999997</v>
      </c>
      <c r="AN1169">
        <v>500</v>
      </c>
      <c r="AO1169" t="s">
        <v>13</v>
      </c>
      <c r="AP1169" s="3">
        <f t="shared" si="1000"/>
        <v>1760.5633802816899</v>
      </c>
      <c r="AQ1169" t="s">
        <v>13</v>
      </c>
      <c r="AR1169">
        <f t="shared" si="998"/>
        <v>5.5865921787709499E-3</v>
      </c>
      <c r="AS1169">
        <f t="shared" si="997"/>
        <v>0.71200000000000008</v>
      </c>
      <c r="AT1169">
        <f t="shared" si="1001"/>
        <v>1254</v>
      </c>
      <c r="AU1169">
        <f t="shared" si="1002"/>
        <v>7</v>
      </c>
      <c r="AV1169">
        <f t="shared" si="1003"/>
        <v>778</v>
      </c>
      <c r="AW1169">
        <f t="shared" si="1004"/>
        <v>14</v>
      </c>
      <c r="AX1169" s="3">
        <f t="shared" si="1005"/>
        <v>968.56338028168989</v>
      </c>
      <c r="AY1169">
        <f t="shared" si="1006"/>
        <v>627</v>
      </c>
      <c r="AZ1169">
        <f t="shared" si="1007"/>
        <v>16</v>
      </c>
      <c r="BA1169" s="3">
        <f t="shared" si="1008"/>
        <v>1117.5633802816899</v>
      </c>
    </row>
    <row r="1170" spans="1:53" x14ac:dyDescent="0.2">
      <c r="A1170">
        <v>1982</v>
      </c>
      <c r="B1170" t="s">
        <v>111</v>
      </c>
      <c r="C1170" t="s">
        <v>99</v>
      </c>
      <c r="D1170">
        <v>29.1</v>
      </c>
      <c r="E1170">
        <v>3.5</v>
      </c>
      <c r="F1170">
        <v>1.6</v>
      </c>
      <c r="G1170">
        <v>14.7</v>
      </c>
      <c r="H1170">
        <v>0</v>
      </c>
      <c r="I1170">
        <v>6.1</v>
      </c>
      <c r="J1170">
        <v>0.1</v>
      </c>
      <c r="K1170">
        <f t="shared" si="999"/>
        <v>55.100000000000009</v>
      </c>
      <c r="L1170">
        <v>7.1</v>
      </c>
      <c r="M1170">
        <v>4.5</v>
      </c>
      <c r="N1170">
        <v>0</v>
      </c>
      <c r="O1170">
        <f t="shared" si="1009"/>
        <v>11.6</v>
      </c>
      <c r="P1170">
        <v>0.1</v>
      </c>
      <c r="Q1170">
        <v>1.3</v>
      </c>
      <c r="R1170">
        <v>0.9</v>
      </c>
      <c r="S1170">
        <f t="shared" si="1010"/>
        <v>2.3000000000000003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0.5</v>
      </c>
      <c r="Z1170">
        <v>0.1</v>
      </c>
      <c r="AA1170">
        <f t="shared" si="1011"/>
        <v>0.6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0.1</v>
      </c>
      <c r="AI1170">
        <v>0</v>
      </c>
      <c r="AJ1170" s="5">
        <f t="shared" si="1012"/>
        <v>0.1</v>
      </c>
      <c r="AK1170">
        <v>0</v>
      </c>
      <c r="AL1170">
        <v>0.3</v>
      </c>
      <c r="AM1170">
        <f t="shared" si="1013"/>
        <v>0.69699999999999984</v>
      </c>
      <c r="AN1170">
        <v>100</v>
      </c>
      <c r="AO1170" t="s">
        <v>13</v>
      </c>
      <c r="AP1170" s="3">
        <f t="shared" si="1000"/>
        <v>330.03300330032988</v>
      </c>
      <c r="AQ1170" t="s">
        <v>13</v>
      </c>
      <c r="AR1170">
        <f t="shared" si="998"/>
        <v>1.434720229555237E-3</v>
      </c>
      <c r="AS1170">
        <f t="shared" si="997"/>
        <v>0.69599999999999995</v>
      </c>
      <c r="AT1170">
        <f t="shared" si="1001"/>
        <v>230</v>
      </c>
      <c r="AU1170">
        <f t="shared" si="1002"/>
        <v>0</v>
      </c>
      <c r="AV1170">
        <f t="shared" si="1003"/>
        <v>139</v>
      </c>
      <c r="AW1170">
        <f t="shared" si="1004"/>
        <v>0</v>
      </c>
      <c r="AX1170" s="3">
        <f t="shared" si="1005"/>
        <v>191.03300330032988</v>
      </c>
      <c r="AY1170">
        <f t="shared" si="1006"/>
        <v>115</v>
      </c>
      <c r="AZ1170">
        <f t="shared" si="1007"/>
        <v>0</v>
      </c>
      <c r="BA1170" s="3">
        <f t="shared" si="1008"/>
        <v>215.03300330032988</v>
      </c>
    </row>
    <row r="1171" spans="1:53" x14ac:dyDescent="0.2">
      <c r="A1171">
        <v>1983</v>
      </c>
      <c r="B1171" t="s">
        <v>111</v>
      </c>
      <c r="C1171" t="s">
        <v>99</v>
      </c>
      <c r="D1171">
        <v>41.4</v>
      </c>
      <c r="E1171">
        <v>2.7</v>
      </c>
      <c r="F1171">
        <v>0.4</v>
      </c>
      <c r="G1171">
        <v>11.1</v>
      </c>
      <c r="H1171">
        <v>0</v>
      </c>
      <c r="I1171">
        <v>5.7</v>
      </c>
      <c r="J1171">
        <v>0</v>
      </c>
      <c r="K1171">
        <f t="shared" si="999"/>
        <v>61.300000000000004</v>
      </c>
      <c r="L1171">
        <v>7.9</v>
      </c>
      <c r="M1171">
        <v>2.2999999999999998</v>
      </c>
      <c r="N1171">
        <v>0.1</v>
      </c>
      <c r="O1171">
        <f t="shared" si="1009"/>
        <v>10.299999999999999</v>
      </c>
      <c r="P1171">
        <v>0</v>
      </c>
      <c r="Q1171">
        <v>0.6</v>
      </c>
      <c r="R1171">
        <v>0.4</v>
      </c>
      <c r="S1171">
        <f t="shared" si="1010"/>
        <v>1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f t="shared" si="1011"/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0.1</v>
      </c>
      <c r="AI1171">
        <v>0</v>
      </c>
      <c r="AJ1171" s="5">
        <f t="shared" si="1012"/>
        <v>0.1</v>
      </c>
      <c r="AK1171">
        <v>0</v>
      </c>
      <c r="AL1171">
        <v>0.27300000000000002</v>
      </c>
      <c r="AM1171">
        <f t="shared" si="1013"/>
        <v>0.72699999999999998</v>
      </c>
      <c r="AN1171">
        <v>400</v>
      </c>
      <c r="AO1171" t="s">
        <v>13</v>
      </c>
      <c r="AP1171" s="3">
        <f t="shared" si="1000"/>
        <v>1465.201465201465</v>
      </c>
      <c r="AQ1171" t="s">
        <v>13</v>
      </c>
      <c r="AR1171">
        <f t="shared" si="998"/>
        <v>1.375515818431912E-3</v>
      </c>
      <c r="AS1171">
        <f t="shared" si="997"/>
        <v>0.72600000000000009</v>
      </c>
      <c r="AT1171">
        <f t="shared" si="1001"/>
        <v>1064</v>
      </c>
      <c r="AU1171">
        <f t="shared" si="1002"/>
        <v>1</v>
      </c>
      <c r="AV1171">
        <f t="shared" si="1003"/>
        <v>615</v>
      </c>
      <c r="AW1171">
        <f t="shared" si="1004"/>
        <v>2</v>
      </c>
      <c r="AX1171" s="3">
        <f t="shared" si="1005"/>
        <v>848.201465201465</v>
      </c>
      <c r="AY1171">
        <f t="shared" si="1006"/>
        <v>532</v>
      </c>
      <c r="AZ1171">
        <f t="shared" si="1007"/>
        <v>2</v>
      </c>
      <c r="BA1171" s="3">
        <f t="shared" si="1008"/>
        <v>931.201465201465</v>
      </c>
    </row>
    <row r="1172" spans="1:53" x14ac:dyDescent="0.2">
      <c r="A1172">
        <v>1984</v>
      </c>
      <c r="B1172" t="s">
        <v>111</v>
      </c>
      <c r="C1172" t="s">
        <v>99</v>
      </c>
      <c r="D1172">
        <v>30.1</v>
      </c>
      <c r="E1172">
        <v>4.0999999999999996</v>
      </c>
      <c r="F1172">
        <v>0.1</v>
      </c>
      <c r="G1172">
        <v>13.7</v>
      </c>
      <c r="H1172">
        <v>0</v>
      </c>
      <c r="I1172">
        <v>6.7</v>
      </c>
      <c r="J1172">
        <v>0</v>
      </c>
      <c r="K1172">
        <f t="shared" si="999"/>
        <v>54.7</v>
      </c>
      <c r="L1172">
        <v>3.9</v>
      </c>
      <c r="M1172">
        <v>2.7</v>
      </c>
      <c r="N1172">
        <v>0</v>
      </c>
      <c r="O1172">
        <f t="shared" si="1009"/>
        <v>6.6</v>
      </c>
      <c r="P1172">
        <v>0</v>
      </c>
      <c r="Q1172">
        <v>0.8</v>
      </c>
      <c r="R1172">
        <v>1</v>
      </c>
      <c r="S1172">
        <f t="shared" si="1010"/>
        <v>1.8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0.1</v>
      </c>
      <c r="Z1172">
        <v>0</v>
      </c>
      <c r="AA1172">
        <f t="shared" si="1011"/>
        <v>0.1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 s="5">
        <f t="shared" si="1012"/>
        <v>0</v>
      </c>
      <c r="AK1172">
        <v>0</v>
      </c>
      <c r="AL1172">
        <v>0.36700000000000005</v>
      </c>
      <c r="AM1172">
        <f t="shared" si="1013"/>
        <v>0.63200000000000001</v>
      </c>
      <c r="AN1172">
        <v>650</v>
      </c>
      <c r="AO1172" t="s">
        <v>13</v>
      </c>
      <c r="AP1172" s="3">
        <f t="shared" si="1000"/>
        <v>1766.304347826087</v>
      </c>
      <c r="AQ1172" t="s">
        <v>13</v>
      </c>
      <c r="AR1172">
        <f t="shared" si="998"/>
        <v>0</v>
      </c>
      <c r="AS1172">
        <f t="shared" si="997"/>
        <v>0.63200000000000001</v>
      </c>
      <c r="AT1172">
        <f t="shared" si="1001"/>
        <v>1116</v>
      </c>
      <c r="AU1172">
        <f t="shared" si="1002"/>
        <v>0</v>
      </c>
      <c r="AV1172">
        <f t="shared" si="1003"/>
        <v>633</v>
      </c>
      <c r="AW1172">
        <f t="shared" si="1004"/>
        <v>0</v>
      </c>
      <c r="AX1172" s="3">
        <f t="shared" si="1005"/>
        <v>1133.304347826087</v>
      </c>
      <c r="AY1172">
        <f t="shared" si="1006"/>
        <v>558</v>
      </c>
      <c r="AZ1172">
        <f t="shared" si="1007"/>
        <v>0</v>
      </c>
      <c r="BA1172" s="3">
        <f t="shared" si="1008"/>
        <v>1208.304347826087</v>
      </c>
    </row>
    <row r="1173" spans="1:53" x14ac:dyDescent="0.2">
      <c r="A1173">
        <v>1985</v>
      </c>
      <c r="B1173" t="s">
        <v>111</v>
      </c>
      <c r="C1173" t="s">
        <v>99</v>
      </c>
      <c r="D1173">
        <v>19.8</v>
      </c>
      <c r="E1173">
        <v>13.7</v>
      </c>
      <c r="F1173">
        <v>0</v>
      </c>
      <c r="G1173">
        <v>16</v>
      </c>
      <c r="H1173">
        <v>0</v>
      </c>
      <c r="I1173">
        <v>1.4</v>
      </c>
      <c r="J1173">
        <v>0</v>
      </c>
      <c r="K1173">
        <f t="shared" si="999"/>
        <v>50.9</v>
      </c>
      <c r="L1173">
        <v>0.9</v>
      </c>
      <c r="M1173">
        <v>3.7</v>
      </c>
      <c r="N1173">
        <v>0</v>
      </c>
      <c r="O1173">
        <f t="shared" si="1009"/>
        <v>4.6000000000000005</v>
      </c>
      <c r="P1173">
        <v>0</v>
      </c>
      <c r="Q1173">
        <v>1.9</v>
      </c>
      <c r="R1173">
        <v>0.7</v>
      </c>
      <c r="S1173">
        <f t="shared" si="1010"/>
        <v>2.5999999999999996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0.2</v>
      </c>
      <c r="Z1173">
        <v>0.2</v>
      </c>
      <c r="AA1173">
        <f t="shared" si="1011"/>
        <v>0.4</v>
      </c>
      <c r="AB1173">
        <v>0</v>
      </c>
      <c r="AC1173">
        <v>0</v>
      </c>
      <c r="AD1173">
        <v>0</v>
      </c>
      <c r="AE1173">
        <v>0</v>
      </c>
      <c r="AF1173">
        <v>0.2</v>
      </c>
      <c r="AG1173">
        <v>0</v>
      </c>
      <c r="AH1173">
        <v>1.1000000000000001</v>
      </c>
      <c r="AI1173">
        <v>0</v>
      </c>
      <c r="AJ1173" s="5">
        <f t="shared" si="1012"/>
        <v>1.3</v>
      </c>
      <c r="AK1173">
        <v>0.2</v>
      </c>
      <c r="AL1173">
        <v>0.4</v>
      </c>
      <c r="AM1173">
        <f t="shared" si="1013"/>
        <v>0.59800000000000009</v>
      </c>
      <c r="AN1173">
        <v>400</v>
      </c>
      <c r="AO1173" t="s">
        <v>13</v>
      </c>
      <c r="AP1173" s="3">
        <f t="shared" si="1000"/>
        <v>995.02487562189071</v>
      </c>
      <c r="AQ1173" t="s">
        <v>13</v>
      </c>
      <c r="AR1173">
        <f t="shared" si="998"/>
        <v>2.1739130434782608E-2</v>
      </c>
      <c r="AS1173">
        <f t="shared" si="997"/>
        <v>0.58499999999999996</v>
      </c>
      <c r="AT1173">
        <f t="shared" si="1001"/>
        <v>582</v>
      </c>
      <c r="AU1173">
        <f t="shared" si="1002"/>
        <v>13</v>
      </c>
      <c r="AV1173">
        <f t="shared" si="1003"/>
        <v>329</v>
      </c>
      <c r="AW1173">
        <f t="shared" si="1004"/>
        <v>21</v>
      </c>
      <c r="AX1173" s="3">
        <f t="shared" si="1005"/>
        <v>645.02487562189071</v>
      </c>
      <c r="AY1173">
        <f t="shared" si="1006"/>
        <v>291</v>
      </c>
      <c r="AZ1173">
        <f t="shared" si="1007"/>
        <v>22</v>
      </c>
      <c r="BA1173" s="3">
        <f t="shared" si="1008"/>
        <v>682.02487562189071</v>
      </c>
    </row>
    <row r="1174" spans="1:53" x14ac:dyDescent="0.2">
      <c r="A1174">
        <v>1986</v>
      </c>
      <c r="B1174" t="s">
        <v>111</v>
      </c>
      <c r="C1174" t="s">
        <v>99</v>
      </c>
      <c r="D1174">
        <v>15.8</v>
      </c>
      <c r="E1174">
        <v>8.1999999999999993</v>
      </c>
      <c r="F1174">
        <v>0.6</v>
      </c>
      <c r="G1174">
        <v>8.1</v>
      </c>
      <c r="H1174">
        <v>0.8</v>
      </c>
      <c r="I1174">
        <v>6.2</v>
      </c>
      <c r="J1174">
        <v>0</v>
      </c>
      <c r="K1174">
        <f t="shared" si="999"/>
        <v>39.700000000000003</v>
      </c>
      <c r="L1174">
        <v>0.9</v>
      </c>
      <c r="M1174">
        <v>3.3</v>
      </c>
      <c r="N1174">
        <v>0</v>
      </c>
      <c r="O1174">
        <f t="shared" si="1009"/>
        <v>4.2</v>
      </c>
      <c r="P1174">
        <v>0</v>
      </c>
      <c r="Q1174">
        <v>0.7</v>
      </c>
      <c r="R1174">
        <v>1.2</v>
      </c>
      <c r="S1174">
        <f t="shared" si="1010"/>
        <v>1.9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0.2</v>
      </c>
      <c r="Z1174">
        <v>1.6</v>
      </c>
      <c r="AA1174">
        <f t="shared" si="1011"/>
        <v>1.8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 s="5">
        <f t="shared" si="1012"/>
        <v>0</v>
      </c>
      <c r="AK1174">
        <v>0</v>
      </c>
      <c r="AL1174">
        <v>0.52400000000000002</v>
      </c>
      <c r="AM1174">
        <f t="shared" si="1013"/>
        <v>0.47600000000000003</v>
      </c>
      <c r="AN1174">
        <v>100</v>
      </c>
      <c r="AO1174" t="s">
        <v>13</v>
      </c>
      <c r="AP1174" s="3">
        <f t="shared" si="1000"/>
        <v>190.83969465648855</v>
      </c>
      <c r="AQ1174" t="s">
        <v>13</v>
      </c>
      <c r="AR1174">
        <f t="shared" si="998"/>
        <v>0</v>
      </c>
      <c r="AS1174">
        <f t="shared" si="997"/>
        <v>0.47600000000000003</v>
      </c>
      <c r="AT1174">
        <f t="shared" si="1001"/>
        <v>91</v>
      </c>
      <c r="AU1174">
        <f t="shared" si="1002"/>
        <v>0</v>
      </c>
      <c r="AV1174">
        <f t="shared" si="1003"/>
        <v>53</v>
      </c>
      <c r="AW1174">
        <f t="shared" si="1004"/>
        <v>0</v>
      </c>
      <c r="AX1174" s="3">
        <f t="shared" si="1005"/>
        <v>137.83969465648855</v>
      </c>
      <c r="AY1174">
        <f t="shared" si="1006"/>
        <v>45</v>
      </c>
      <c r="AZ1174">
        <f t="shared" si="1007"/>
        <v>0</v>
      </c>
      <c r="BA1174" s="3">
        <f t="shared" si="1008"/>
        <v>145.83969465648855</v>
      </c>
    </row>
    <row r="1175" spans="1:53" x14ac:dyDescent="0.2">
      <c r="A1175">
        <v>1987</v>
      </c>
      <c r="B1175" t="s">
        <v>111</v>
      </c>
      <c r="C1175" t="s">
        <v>99</v>
      </c>
      <c r="D1175">
        <v>10.6</v>
      </c>
      <c r="E1175">
        <v>3.2</v>
      </c>
      <c r="F1175">
        <v>1</v>
      </c>
      <c r="G1175">
        <v>7.4</v>
      </c>
      <c r="H1175">
        <v>0</v>
      </c>
      <c r="I1175">
        <v>2.7</v>
      </c>
      <c r="J1175">
        <v>0.2</v>
      </c>
      <c r="K1175">
        <f t="shared" ref="K1175:K1219" si="1014">SUM(D1175:J1175)</f>
        <v>25.1</v>
      </c>
      <c r="L1175">
        <v>3.5</v>
      </c>
      <c r="M1175">
        <v>2.2999999999999998</v>
      </c>
      <c r="N1175">
        <v>0</v>
      </c>
      <c r="O1175">
        <f t="shared" si="1009"/>
        <v>5.8</v>
      </c>
      <c r="P1175">
        <v>0</v>
      </c>
      <c r="Q1175">
        <v>1</v>
      </c>
      <c r="R1175">
        <v>1</v>
      </c>
      <c r="S1175">
        <f t="shared" si="1010"/>
        <v>2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0.3</v>
      </c>
      <c r="Z1175">
        <v>0.1</v>
      </c>
      <c r="AA1175">
        <f t="shared" si="1011"/>
        <v>0.4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 s="5">
        <f t="shared" si="1012"/>
        <v>0</v>
      </c>
      <c r="AK1175">
        <v>0.1</v>
      </c>
      <c r="AL1175">
        <v>0.66900000000000004</v>
      </c>
      <c r="AM1175">
        <f t="shared" si="1013"/>
        <v>0.33300000000000002</v>
      </c>
      <c r="AN1175">
        <v>100</v>
      </c>
      <c r="AO1175" t="s">
        <v>13</v>
      </c>
      <c r="AP1175" s="3">
        <f t="shared" si="1000"/>
        <v>149.92503748125935</v>
      </c>
      <c r="AQ1175" t="s">
        <v>13</v>
      </c>
      <c r="AR1175">
        <f t="shared" si="998"/>
        <v>0</v>
      </c>
      <c r="AS1175">
        <f t="shared" si="997"/>
        <v>0.33300000000000002</v>
      </c>
      <c r="AT1175">
        <f t="shared" si="1001"/>
        <v>50</v>
      </c>
      <c r="AU1175">
        <f t="shared" si="1002"/>
        <v>0</v>
      </c>
      <c r="AV1175">
        <f t="shared" si="1003"/>
        <v>31</v>
      </c>
      <c r="AW1175">
        <f t="shared" si="1004"/>
        <v>0</v>
      </c>
      <c r="AX1175" s="3">
        <f t="shared" si="1005"/>
        <v>118.92503748125935</v>
      </c>
      <c r="AY1175">
        <f t="shared" si="1006"/>
        <v>25</v>
      </c>
      <c r="AZ1175">
        <f t="shared" si="1007"/>
        <v>0</v>
      </c>
      <c r="BA1175" s="3">
        <f t="shared" si="1008"/>
        <v>124.92503748125935</v>
      </c>
    </row>
    <row r="1176" spans="1:53" x14ac:dyDescent="0.2">
      <c r="A1176">
        <v>1988</v>
      </c>
      <c r="B1176" t="s">
        <v>111</v>
      </c>
      <c r="C1176" t="s">
        <v>99</v>
      </c>
      <c r="D1176">
        <v>11.3</v>
      </c>
      <c r="E1176">
        <v>4.4000000000000004</v>
      </c>
      <c r="F1176">
        <v>1.3</v>
      </c>
      <c r="G1176">
        <v>7.6</v>
      </c>
      <c r="H1176">
        <v>1.1000000000000001</v>
      </c>
      <c r="I1176">
        <v>4.9000000000000004</v>
      </c>
      <c r="J1176">
        <v>1.1000000000000001</v>
      </c>
      <c r="K1176">
        <f t="shared" si="1014"/>
        <v>31.700000000000003</v>
      </c>
      <c r="L1176">
        <v>1.4</v>
      </c>
      <c r="M1176">
        <v>1.8</v>
      </c>
      <c r="N1176">
        <v>0</v>
      </c>
      <c r="O1176">
        <f t="shared" si="1009"/>
        <v>3.2</v>
      </c>
      <c r="P1176">
        <v>0</v>
      </c>
      <c r="Q1176">
        <v>0.2</v>
      </c>
      <c r="R1176">
        <v>4.8</v>
      </c>
      <c r="S1176">
        <f t="shared" si="1010"/>
        <v>5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0.3</v>
      </c>
      <c r="Z1176">
        <v>0.3</v>
      </c>
      <c r="AA1176">
        <f t="shared" si="1011"/>
        <v>0.6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 s="5">
        <f t="shared" si="1012"/>
        <v>0</v>
      </c>
      <c r="AK1176">
        <v>0.1</v>
      </c>
      <c r="AL1176">
        <v>0.59399999999999997</v>
      </c>
      <c r="AM1176">
        <f t="shared" si="1013"/>
        <v>0.40500000000000003</v>
      </c>
      <c r="AN1176">
        <v>86</v>
      </c>
      <c r="AO1176" t="s">
        <v>13</v>
      </c>
      <c r="AP1176" s="3">
        <f t="shared" si="1000"/>
        <v>144.53781512605042</v>
      </c>
      <c r="AQ1176" t="s">
        <v>13</v>
      </c>
      <c r="AR1176">
        <f t="shared" si="998"/>
        <v>0</v>
      </c>
      <c r="AS1176">
        <f t="shared" si="997"/>
        <v>0.40500000000000008</v>
      </c>
      <c r="AT1176">
        <f t="shared" si="1001"/>
        <v>59</v>
      </c>
      <c r="AU1176">
        <f t="shared" si="1002"/>
        <v>0</v>
      </c>
      <c r="AV1176">
        <f t="shared" si="1003"/>
        <v>36</v>
      </c>
      <c r="AW1176">
        <f t="shared" si="1004"/>
        <v>0</v>
      </c>
      <c r="AX1176" s="3">
        <f t="shared" si="1005"/>
        <v>108.53781512605042</v>
      </c>
      <c r="AY1176">
        <f t="shared" si="1006"/>
        <v>29</v>
      </c>
      <c r="AZ1176">
        <f t="shared" si="1007"/>
        <v>0</v>
      </c>
      <c r="BA1176" s="3">
        <f t="shared" si="1008"/>
        <v>115.53781512605042</v>
      </c>
    </row>
    <row r="1177" spans="1:53" x14ac:dyDescent="0.2">
      <c r="A1177">
        <v>1989</v>
      </c>
      <c r="B1177" t="s">
        <v>111</v>
      </c>
      <c r="C1177" t="s">
        <v>99</v>
      </c>
      <c r="D1177">
        <v>10.1</v>
      </c>
      <c r="E1177">
        <v>7.6</v>
      </c>
      <c r="F1177">
        <v>0.4</v>
      </c>
      <c r="G1177">
        <v>9.6</v>
      </c>
      <c r="H1177">
        <v>0.5</v>
      </c>
      <c r="I1177">
        <v>2.5</v>
      </c>
      <c r="J1177">
        <v>1.1000000000000001</v>
      </c>
      <c r="K1177">
        <f t="shared" si="1014"/>
        <v>31.799999999999997</v>
      </c>
      <c r="L1177">
        <v>1.7</v>
      </c>
      <c r="M1177">
        <v>1.1000000000000001</v>
      </c>
      <c r="N1177">
        <v>0.1</v>
      </c>
      <c r="O1177">
        <f t="shared" si="1009"/>
        <v>2.9</v>
      </c>
      <c r="P1177">
        <v>0</v>
      </c>
      <c r="Q1177">
        <v>0.9</v>
      </c>
      <c r="R1177">
        <v>1.5</v>
      </c>
      <c r="S1177">
        <f t="shared" si="1010"/>
        <v>2.4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0.1</v>
      </c>
      <c r="AA1177">
        <f t="shared" si="1011"/>
        <v>0.1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 s="5">
        <f t="shared" si="1012"/>
        <v>0</v>
      </c>
      <c r="AK1177">
        <v>0</v>
      </c>
      <c r="AL1177">
        <v>0.628</v>
      </c>
      <c r="AM1177">
        <f t="shared" si="1013"/>
        <v>0.37200000000000005</v>
      </c>
      <c r="AN1177">
        <v>40</v>
      </c>
      <c r="AO1177" t="s">
        <v>13</v>
      </c>
      <c r="AP1177" s="3">
        <f t="shared" si="1000"/>
        <v>63.694267515923578</v>
      </c>
      <c r="AQ1177" t="s">
        <v>13</v>
      </c>
      <c r="AR1177">
        <f t="shared" si="998"/>
        <v>0</v>
      </c>
      <c r="AS1177">
        <f t="shared" si="997"/>
        <v>0.37199999999999994</v>
      </c>
      <c r="AT1177">
        <f t="shared" si="1001"/>
        <v>24</v>
      </c>
      <c r="AU1177">
        <f t="shared" si="1002"/>
        <v>0</v>
      </c>
      <c r="AV1177">
        <f t="shared" si="1003"/>
        <v>14</v>
      </c>
      <c r="AW1177">
        <f t="shared" si="1004"/>
        <v>0</v>
      </c>
      <c r="AX1177" s="3">
        <f t="shared" si="1005"/>
        <v>49.694267515923578</v>
      </c>
      <c r="AY1177">
        <f t="shared" si="1006"/>
        <v>12</v>
      </c>
      <c r="AZ1177">
        <f t="shared" si="1007"/>
        <v>0</v>
      </c>
      <c r="BA1177" s="3">
        <f t="shared" si="1008"/>
        <v>51.694267515923578</v>
      </c>
    </row>
    <row r="1178" spans="1:53" x14ac:dyDescent="0.2">
      <c r="A1178">
        <v>1990</v>
      </c>
      <c r="B1178" t="s">
        <v>111</v>
      </c>
      <c r="C1178" t="s">
        <v>99</v>
      </c>
      <c r="D1178">
        <v>19</v>
      </c>
      <c r="E1178">
        <v>2.2999999999999998</v>
      </c>
      <c r="F1178">
        <v>2</v>
      </c>
      <c r="G1178">
        <v>9.1</v>
      </c>
      <c r="H1178">
        <v>0.8</v>
      </c>
      <c r="I1178">
        <v>6.2</v>
      </c>
      <c r="J1178">
        <v>0.8</v>
      </c>
      <c r="K1178">
        <f t="shared" si="1014"/>
        <v>40.199999999999996</v>
      </c>
      <c r="L1178">
        <v>2.2999999999999998</v>
      </c>
      <c r="M1178">
        <v>1.5</v>
      </c>
      <c r="N1178">
        <v>0.1</v>
      </c>
      <c r="O1178">
        <f t="shared" si="1009"/>
        <v>3.9</v>
      </c>
      <c r="P1178">
        <v>0</v>
      </c>
      <c r="Q1178">
        <v>0.7</v>
      </c>
      <c r="R1178">
        <v>1</v>
      </c>
      <c r="S1178">
        <f t="shared" si="1010"/>
        <v>1.7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f t="shared" si="1011"/>
        <v>0</v>
      </c>
      <c r="AB1178">
        <v>0</v>
      </c>
      <c r="AC1178">
        <v>0</v>
      </c>
      <c r="AD1178">
        <v>0</v>
      </c>
      <c r="AE1178">
        <v>0</v>
      </c>
      <c r="AF1178">
        <v>0.1</v>
      </c>
      <c r="AG1178">
        <v>0</v>
      </c>
      <c r="AH1178">
        <v>0</v>
      </c>
      <c r="AI1178">
        <v>0</v>
      </c>
      <c r="AJ1178" s="5">
        <f t="shared" si="1012"/>
        <v>0.1</v>
      </c>
      <c r="AK1178">
        <v>0</v>
      </c>
      <c r="AL1178">
        <v>0.53900000000000003</v>
      </c>
      <c r="AM1178">
        <f t="shared" si="1013"/>
        <v>0.45899999999999996</v>
      </c>
      <c r="AN1178">
        <v>50</v>
      </c>
      <c r="AO1178" t="s">
        <v>13</v>
      </c>
      <c r="AP1178" s="3">
        <f t="shared" si="1000"/>
        <v>92.421441774491669</v>
      </c>
      <c r="AQ1178" t="s">
        <v>13</v>
      </c>
      <c r="AR1178">
        <f t="shared" si="998"/>
        <v>2.1786492374727671E-3</v>
      </c>
      <c r="AS1178">
        <f t="shared" si="997"/>
        <v>0.45799999999999996</v>
      </c>
      <c r="AT1178">
        <f t="shared" si="1001"/>
        <v>42</v>
      </c>
      <c r="AU1178">
        <f t="shared" si="1002"/>
        <v>0</v>
      </c>
      <c r="AV1178">
        <f t="shared" si="1003"/>
        <v>24</v>
      </c>
      <c r="AW1178">
        <f t="shared" si="1004"/>
        <v>0</v>
      </c>
      <c r="AX1178" s="3">
        <f t="shared" si="1005"/>
        <v>68.421441774491669</v>
      </c>
      <c r="AY1178">
        <f t="shared" si="1006"/>
        <v>21</v>
      </c>
      <c r="AZ1178">
        <f t="shared" si="1007"/>
        <v>0</v>
      </c>
      <c r="BA1178" s="3">
        <f t="shared" si="1008"/>
        <v>71.421441774491669</v>
      </c>
    </row>
    <row r="1179" spans="1:53" x14ac:dyDescent="0.2">
      <c r="A1179">
        <v>1991</v>
      </c>
      <c r="B1179" t="s">
        <v>111</v>
      </c>
      <c r="C1179" t="s">
        <v>99</v>
      </c>
      <c r="D1179">
        <v>19.399999999999999</v>
      </c>
      <c r="E1179">
        <v>2.4</v>
      </c>
      <c r="F1179">
        <v>3.2</v>
      </c>
      <c r="G1179">
        <v>9.6999999999999993</v>
      </c>
      <c r="H1179">
        <v>0.5</v>
      </c>
      <c r="I1179">
        <v>4.9000000000000004</v>
      </c>
      <c r="J1179">
        <v>0.6</v>
      </c>
      <c r="K1179">
        <f t="shared" si="1014"/>
        <v>40.699999999999996</v>
      </c>
      <c r="L1179">
        <v>2.6</v>
      </c>
      <c r="M1179">
        <v>0.6</v>
      </c>
      <c r="N1179">
        <v>0.3</v>
      </c>
      <c r="O1179">
        <f t="shared" si="1009"/>
        <v>3.5</v>
      </c>
      <c r="P1179">
        <v>0</v>
      </c>
      <c r="Q1179">
        <v>1.3</v>
      </c>
      <c r="R1179">
        <v>1.2</v>
      </c>
      <c r="S1179">
        <f t="shared" si="1010"/>
        <v>2.5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0.1</v>
      </c>
      <c r="AA1179">
        <f t="shared" si="1011"/>
        <v>0.1</v>
      </c>
      <c r="AB1179">
        <v>0.1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 s="5">
        <f t="shared" si="1012"/>
        <v>0.1</v>
      </c>
      <c r="AK1179">
        <v>0</v>
      </c>
      <c r="AL1179">
        <v>0.53100000000000003</v>
      </c>
      <c r="AM1179">
        <f t="shared" si="1013"/>
        <v>0.46899999999999992</v>
      </c>
      <c r="AN1179">
        <v>20</v>
      </c>
      <c r="AO1179" t="s">
        <v>13</v>
      </c>
      <c r="AP1179" s="3">
        <f t="shared" si="1000"/>
        <v>37.66478342749528</v>
      </c>
      <c r="AQ1179" t="s">
        <v>13</v>
      </c>
      <c r="AR1179">
        <f t="shared" si="998"/>
        <v>2.1321961620469087E-3</v>
      </c>
      <c r="AS1179">
        <f t="shared" si="997"/>
        <v>0.46799999999999997</v>
      </c>
      <c r="AT1179">
        <f t="shared" si="1001"/>
        <v>18</v>
      </c>
      <c r="AU1179">
        <f t="shared" si="1002"/>
        <v>0</v>
      </c>
      <c r="AV1179">
        <f t="shared" si="1003"/>
        <v>10</v>
      </c>
      <c r="AW1179">
        <f t="shared" si="1004"/>
        <v>0</v>
      </c>
      <c r="AX1179" s="3">
        <f t="shared" si="1005"/>
        <v>27.66478342749528</v>
      </c>
      <c r="AY1179">
        <f t="shared" si="1006"/>
        <v>9</v>
      </c>
      <c r="AZ1179">
        <f t="shared" si="1007"/>
        <v>0</v>
      </c>
      <c r="BA1179" s="3">
        <f t="shared" si="1008"/>
        <v>28.66478342749528</v>
      </c>
    </row>
    <row r="1180" spans="1:53" x14ac:dyDescent="0.2">
      <c r="A1180">
        <v>1992</v>
      </c>
      <c r="B1180" t="s">
        <v>111</v>
      </c>
      <c r="C1180" t="s">
        <v>99</v>
      </c>
      <c r="D1180">
        <v>15.3</v>
      </c>
      <c r="E1180">
        <v>15.7</v>
      </c>
      <c r="F1180">
        <v>1.6</v>
      </c>
      <c r="G1180">
        <v>6.8</v>
      </c>
      <c r="H1180">
        <v>0.9</v>
      </c>
      <c r="I1180">
        <v>17.100000000000001</v>
      </c>
      <c r="J1180">
        <v>0.8</v>
      </c>
      <c r="K1180">
        <f t="shared" si="1014"/>
        <v>58.199999999999996</v>
      </c>
      <c r="L1180">
        <v>2.8</v>
      </c>
      <c r="M1180">
        <v>0.7</v>
      </c>
      <c r="N1180">
        <v>0.3</v>
      </c>
      <c r="O1180">
        <f t="shared" si="1009"/>
        <v>3.8</v>
      </c>
      <c r="P1180">
        <v>0</v>
      </c>
      <c r="Q1180">
        <v>0.5</v>
      </c>
      <c r="R1180">
        <v>1.2</v>
      </c>
      <c r="S1180">
        <f t="shared" si="1010"/>
        <v>1.7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f t="shared" si="1011"/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 s="5">
        <f t="shared" si="1012"/>
        <v>0</v>
      </c>
      <c r="AK1180">
        <v>0.1</v>
      </c>
      <c r="AL1180">
        <v>0.36</v>
      </c>
      <c r="AM1180">
        <f t="shared" si="1013"/>
        <v>0.63700000000000001</v>
      </c>
      <c r="AN1180">
        <v>10</v>
      </c>
      <c r="AO1180" t="s">
        <v>13</v>
      </c>
      <c r="AP1180" s="3">
        <f t="shared" si="1000"/>
        <v>27.548209366391184</v>
      </c>
      <c r="AQ1180" t="s">
        <v>13</v>
      </c>
      <c r="AR1180">
        <f t="shared" si="998"/>
        <v>0</v>
      </c>
      <c r="AS1180">
        <f t="shared" si="997"/>
        <v>0.63700000000000001</v>
      </c>
      <c r="AT1180">
        <f t="shared" si="1001"/>
        <v>18</v>
      </c>
      <c r="AU1180">
        <f t="shared" si="1002"/>
        <v>0</v>
      </c>
      <c r="AV1180">
        <f t="shared" si="1003"/>
        <v>10</v>
      </c>
      <c r="AW1180">
        <f t="shared" si="1004"/>
        <v>0</v>
      </c>
      <c r="AX1180" s="3">
        <f t="shared" si="1005"/>
        <v>17.548209366391184</v>
      </c>
      <c r="AY1180">
        <f t="shared" si="1006"/>
        <v>9</v>
      </c>
      <c r="AZ1180">
        <f t="shared" si="1007"/>
        <v>0</v>
      </c>
      <c r="BA1180" s="3">
        <f t="shared" si="1008"/>
        <v>18.548209366391184</v>
      </c>
    </row>
    <row r="1181" spans="1:53" x14ac:dyDescent="0.2">
      <c r="A1181">
        <v>1993</v>
      </c>
      <c r="B1181" t="s">
        <v>111</v>
      </c>
      <c r="C1181" t="s">
        <v>99</v>
      </c>
      <c r="D1181">
        <v>16</v>
      </c>
      <c r="E1181">
        <v>2.1</v>
      </c>
      <c r="F1181">
        <v>2.4</v>
      </c>
      <c r="G1181">
        <v>7.7</v>
      </c>
      <c r="H1181">
        <v>0.8</v>
      </c>
      <c r="I1181">
        <v>14.7</v>
      </c>
      <c r="J1181">
        <v>0.8</v>
      </c>
      <c r="K1181">
        <f t="shared" si="1014"/>
        <v>44.5</v>
      </c>
      <c r="L1181">
        <v>2.1</v>
      </c>
      <c r="M1181">
        <v>0.4</v>
      </c>
      <c r="N1181">
        <v>0.2</v>
      </c>
      <c r="O1181">
        <f t="shared" si="1009"/>
        <v>2.7</v>
      </c>
      <c r="P1181">
        <v>0</v>
      </c>
      <c r="Q1181">
        <v>0.7</v>
      </c>
      <c r="R1181">
        <v>2.5</v>
      </c>
      <c r="S1181">
        <f t="shared" si="1010"/>
        <v>3.2</v>
      </c>
      <c r="T1181">
        <v>0</v>
      </c>
      <c r="U1181">
        <v>0.1</v>
      </c>
      <c r="V1181">
        <v>0</v>
      </c>
      <c r="W1181">
        <v>0</v>
      </c>
      <c r="X1181">
        <v>0</v>
      </c>
      <c r="Y1181">
        <v>0</v>
      </c>
      <c r="Z1181">
        <v>0.1</v>
      </c>
      <c r="AA1181">
        <f t="shared" si="1011"/>
        <v>0.2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 s="5">
        <f t="shared" si="1012"/>
        <v>0</v>
      </c>
      <c r="AK1181">
        <v>0</v>
      </c>
      <c r="AL1181">
        <v>0.49399999999999999</v>
      </c>
      <c r="AM1181">
        <f t="shared" si="1013"/>
        <v>0.50599999999999989</v>
      </c>
      <c r="AN1181">
        <v>10</v>
      </c>
      <c r="AO1181" t="s">
        <v>13</v>
      </c>
      <c r="AP1181" s="3">
        <f t="shared" si="1000"/>
        <v>20.242914979757082</v>
      </c>
      <c r="AQ1181" t="s">
        <v>13</v>
      </c>
      <c r="AR1181">
        <f t="shared" si="998"/>
        <v>0</v>
      </c>
      <c r="AS1181">
        <f t="shared" si="997"/>
        <v>0.50600000000000012</v>
      </c>
      <c r="AT1181">
        <f t="shared" si="1001"/>
        <v>10</v>
      </c>
      <c r="AU1181">
        <f t="shared" si="1002"/>
        <v>0</v>
      </c>
      <c r="AV1181">
        <f t="shared" si="1003"/>
        <v>6</v>
      </c>
      <c r="AW1181">
        <f t="shared" si="1004"/>
        <v>0</v>
      </c>
      <c r="AX1181" s="3">
        <f t="shared" si="1005"/>
        <v>14.242914979757082</v>
      </c>
      <c r="AY1181">
        <f t="shared" si="1006"/>
        <v>5</v>
      </c>
      <c r="AZ1181">
        <f t="shared" si="1007"/>
        <v>0</v>
      </c>
      <c r="BA1181" s="3">
        <f t="shared" si="1008"/>
        <v>15.242914979757082</v>
      </c>
    </row>
    <row r="1182" spans="1:53" x14ac:dyDescent="0.2">
      <c r="A1182">
        <v>1994</v>
      </c>
      <c r="B1182" t="s">
        <v>111</v>
      </c>
      <c r="C1182" t="s">
        <v>99</v>
      </c>
      <c r="D1182">
        <v>17.7</v>
      </c>
      <c r="E1182">
        <v>6.3</v>
      </c>
      <c r="F1182">
        <v>3.9</v>
      </c>
      <c r="G1182">
        <v>9.1999999999999993</v>
      </c>
      <c r="H1182">
        <v>0.5</v>
      </c>
      <c r="I1182">
        <v>4.9000000000000004</v>
      </c>
      <c r="J1182">
        <v>1.7</v>
      </c>
      <c r="K1182">
        <f t="shared" si="1014"/>
        <v>44.199999999999996</v>
      </c>
      <c r="L1182">
        <v>1.2</v>
      </c>
      <c r="M1182">
        <v>0.9</v>
      </c>
      <c r="N1182">
        <v>0.2</v>
      </c>
      <c r="O1182">
        <f t="shared" si="1009"/>
        <v>2.3000000000000003</v>
      </c>
      <c r="P1182">
        <v>0</v>
      </c>
      <c r="Q1182">
        <v>0.1</v>
      </c>
      <c r="R1182">
        <v>3</v>
      </c>
      <c r="S1182">
        <f t="shared" si="1010"/>
        <v>3.1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0.1</v>
      </c>
      <c r="AA1182">
        <f t="shared" si="1011"/>
        <v>0.1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 s="5">
        <f t="shared" si="1012"/>
        <v>0</v>
      </c>
      <c r="AK1182">
        <v>0</v>
      </c>
      <c r="AL1182">
        <v>0.502</v>
      </c>
      <c r="AM1182">
        <f t="shared" si="1013"/>
        <v>0.49699999999999994</v>
      </c>
      <c r="AN1182">
        <v>100</v>
      </c>
      <c r="AO1182" t="s">
        <v>13</v>
      </c>
      <c r="AP1182" s="3">
        <f t="shared" si="1000"/>
        <v>198.80715705765402</v>
      </c>
      <c r="AQ1182" t="s">
        <v>13</v>
      </c>
      <c r="AR1182">
        <f t="shared" si="998"/>
        <v>0</v>
      </c>
      <c r="AS1182">
        <f t="shared" si="997"/>
        <v>0.49699999999999994</v>
      </c>
      <c r="AT1182">
        <f t="shared" si="1001"/>
        <v>99</v>
      </c>
      <c r="AU1182">
        <f t="shared" si="1002"/>
        <v>0</v>
      </c>
      <c r="AV1182">
        <f t="shared" si="1003"/>
        <v>55</v>
      </c>
      <c r="AW1182">
        <f t="shared" si="1004"/>
        <v>0</v>
      </c>
      <c r="AX1182" s="3">
        <f t="shared" si="1005"/>
        <v>143.80715705765402</v>
      </c>
      <c r="AY1182">
        <f t="shared" si="1006"/>
        <v>49</v>
      </c>
      <c r="AZ1182">
        <f t="shared" si="1007"/>
        <v>0</v>
      </c>
      <c r="BA1182" s="3">
        <f t="shared" si="1008"/>
        <v>149.80715705765402</v>
      </c>
    </row>
    <row r="1183" spans="1:53" x14ac:dyDescent="0.2">
      <c r="A1183">
        <v>1995</v>
      </c>
      <c r="B1183" t="s">
        <v>111</v>
      </c>
      <c r="C1183" t="s">
        <v>99</v>
      </c>
      <c r="D1183">
        <v>15</v>
      </c>
      <c r="E1183">
        <v>0</v>
      </c>
      <c r="F1183">
        <v>4.3</v>
      </c>
      <c r="G1183">
        <v>3.1</v>
      </c>
      <c r="H1183">
        <v>2</v>
      </c>
      <c r="I1183">
        <v>1.6</v>
      </c>
      <c r="J1183">
        <v>0.8</v>
      </c>
      <c r="K1183">
        <f t="shared" si="1014"/>
        <v>26.800000000000004</v>
      </c>
      <c r="L1183">
        <v>0.3</v>
      </c>
      <c r="M1183">
        <v>0.4</v>
      </c>
      <c r="N1183">
        <v>0</v>
      </c>
      <c r="O1183">
        <f t="shared" si="1009"/>
        <v>0.7</v>
      </c>
      <c r="P1183">
        <v>0</v>
      </c>
      <c r="Q1183">
        <v>0.1</v>
      </c>
      <c r="R1183">
        <v>3.8</v>
      </c>
      <c r="S1183">
        <f t="shared" si="1010"/>
        <v>3.9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0.1</v>
      </c>
      <c r="Z1183">
        <v>0</v>
      </c>
      <c r="AA1183">
        <f t="shared" si="1011"/>
        <v>0.1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0.1</v>
      </c>
      <c r="AI1183">
        <v>0</v>
      </c>
      <c r="AJ1183" s="5">
        <f t="shared" si="1012"/>
        <v>0.1</v>
      </c>
      <c r="AK1183">
        <v>0.3</v>
      </c>
      <c r="AL1183">
        <v>0.68099999999999994</v>
      </c>
      <c r="AM1183">
        <f t="shared" si="1013"/>
        <v>0.31600000000000006</v>
      </c>
      <c r="AN1183">
        <v>99</v>
      </c>
      <c r="AO1183" t="s">
        <v>13</v>
      </c>
      <c r="AP1183" s="3">
        <f t="shared" si="1000"/>
        <v>144.73684210526318</v>
      </c>
      <c r="AQ1183" t="s">
        <v>13</v>
      </c>
      <c r="AR1183">
        <f t="shared" si="998"/>
        <v>3.164556962025316E-3</v>
      </c>
      <c r="AS1183">
        <f t="shared" si="997"/>
        <v>0.31500000000000006</v>
      </c>
      <c r="AT1183">
        <f t="shared" si="1001"/>
        <v>46</v>
      </c>
      <c r="AU1183">
        <f t="shared" si="1002"/>
        <v>0</v>
      </c>
      <c r="AV1183">
        <f t="shared" si="1003"/>
        <v>26</v>
      </c>
      <c r="AW1183">
        <f t="shared" si="1004"/>
        <v>0</v>
      </c>
      <c r="AX1183" s="3">
        <f t="shared" si="1005"/>
        <v>118.73684210526318</v>
      </c>
      <c r="AY1183">
        <f t="shared" si="1006"/>
        <v>23</v>
      </c>
      <c r="AZ1183">
        <f t="shared" si="1007"/>
        <v>0</v>
      </c>
      <c r="BA1183" s="3">
        <f t="shared" si="1008"/>
        <v>121.73684210526318</v>
      </c>
    </row>
    <row r="1184" spans="1:53" x14ac:dyDescent="0.2">
      <c r="A1184">
        <v>1996</v>
      </c>
      <c r="B1184" t="s">
        <v>111</v>
      </c>
      <c r="C1184" t="s">
        <v>99</v>
      </c>
      <c r="D1184">
        <v>8.6</v>
      </c>
      <c r="E1184">
        <v>0.1</v>
      </c>
      <c r="F1184">
        <v>3.9</v>
      </c>
      <c r="G1184">
        <v>2.5</v>
      </c>
      <c r="H1184">
        <v>1.2</v>
      </c>
      <c r="I1184">
        <v>0.7</v>
      </c>
      <c r="J1184">
        <v>0</v>
      </c>
      <c r="K1184">
        <f t="shared" si="1014"/>
        <v>17</v>
      </c>
      <c r="L1184">
        <v>0.4</v>
      </c>
      <c r="M1184">
        <v>0</v>
      </c>
      <c r="N1184">
        <v>1.8</v>
      </c>
      <c r="O1184">
        <f t="shared" si="1009"/>
        <v>2.2000000000000002</v>
      </c>
      <c r="P1184">
        <v>0</v>
      </c>
      <c r="Q1184">
        <v>0</v>
      </c>
      <c r="R1184">
        <v>3.1</v>
      </c>
      <c r="S1184">
        <f t="shared" si="1010"/>
        <v>3.1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f t="shared" si="1011"/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 s="5">
        <f t="shared" si="1012"/>
        <v>0</v>
      </c>
      <c r="AK1184">
        <v>0</v>
      </c>
      <c r="AL1184">
        <v>0.77599999999999991</v>
      </c>
      <c r="AM1184">
        <f t="shared" si="1013"/>
        <v>0.22299999999999998</v>
      </c>
      <c r="AN1184">
        <v>53</v>
      </c>
      <c r="AO1184" t="s">
        <v>13</v>
      </c>
      <c r="AP1184" s="3">
        <f t="shared" si="1000"/>
        <v>68.211068211068209</v>
      </c>
      <c r="AQ1184" t="s">
        <v>13</v>
      </c>
      <c r="AR1184">
        <f t="shared" si="998"/>
        <v>0</v>
      </c>
      <c r="AS1184">
        <f t="shared" si="997"/>
        <v>0.223</v>
      </c>
      <c r="AT1184">
        <f t="shared" si="1001"/>
        <v>15</v>
      </c>
      <c r="AU1184">
        <f t="shared" si="1002"/>
        <v>0</v>
      </c>
      <c r="AV1184">
        <f t="shared" si="1003"/>
        <v>9</v>
      </c>
      <c r="AW1184">
        <f t="shared" si="1004"/>
        <v>0</v>
      </c>
      <c r="AX1184" s="3">
        <f t="shared" si="1005"/>
        <v>59.211068211068209</v>
      </c>
      <c r="AY1184">
        <f t="shared" si="1006"/>
        <v>8</v>
      </c>
      <c r="AZ1184">
        <f t="shared" si="1007"/>
        <v>0</v>
      </c>
      <c r="BA1184" s="3">
        <f t="shared" si="1008"/>
        <v>60.211068211068209</v>
      </c>
    </row>
    <row r="1185" spans="1:53" x14ac:dyDescent="0.2">
      <c r="A1185">
        <v>1997</v>
      </c>
      <c r="B1185" t="s">
        <v>111</v>
      </c>
      <c r="C1185" t="s">
        <v>99</v>
      </c>
      <c r="D1185">
        <v>14.1</v>
      </c>
      <c r="E1185">
        <v>3.6</v>
      </c>
      <c r="F1185">
        <v>5.0999999999999996</v>
      </c>
      <c r="G1185">
        <v>5</v>
      </c>
      <c r="H1185">
        <v>1.6</v>
      </c>
      <c r="I1185">
        <v>0.1</v>
      </c>
      <c r="J1185">
        <v>0</v>
      </c>
      <c r="K1185">
        <f t="shared" si="1014"/>
        <v>29.5</v>
      </c>
      <c r="L1185">
        <v>1.8</v>
      </c>
      <c r="M1185">
        <v>0.5</v>
      </c>
      <c r="N1185">
        <v>1.2</v>
      </c>
      <c r="O1185">
        <f t="shared" si="1009"/>
        <v>3.5</v>
      </c>
      <c r="P1185">
        <v>0</v>
      </c>
      <c r="Q1185">
        <v>0.1</v>
      </c>
      <c r="R1185">
        <v>2.9</v>
      </c>
      <c r="S1185">
        <f t="shared" si="1010"/>
        <v>3</v>
      </c>
      <c r="T1185">
        <v>0.1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f t="shared" si="1011"/>
        <v>0.1</v>
      </c>
      <c r="AB1185">
        <v>0.2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 s="5">
        <f t="shared" si="1012"/>
        <v>0.2</v>
      </c>
      <c r="AK1185">
        <v>0</v>
      </c>
      <c r="AL1185">
        <v>0.63700000000000001</v>
      </c>
      <c r="AM1185">
        <f t="shared" si="1013"/>
        <v>0.36300000000000004</v>
      </c>
      <c r="AN1185">
        <v>402</v>
      </c>
      <c r="AO1185" t="s">
        <v>13</v>
      </c>
      <c r="AP1185" s="3">
        <f t="shared" si="1000"/>
        <v>631.08320251177395</v>
      </c>
      <c r="AQ1185" t="s">
        <v>13</v>
      </c>
      <c r="AR1185">
        <f t="shared" si="998"/>
        <v>5.5096418732782362E-3</v>
      </c>
      <c r="AS1185">
        <f t="shared" si="997"/>
        <v>0.36099999999999999</v>
      </c>
      <c r="AT1185">
        <f t="shared" si="1001"/>
        <v>228</v>
      </c>
      <c r="AU1185">
        <f t="shared" si="1002"/>
        <v>1</v>
      </c>
      <c r="AV1185">
        <f t="shared" si="1003"/>
        <v>135</v>
      </c>
      <c r="AW1185">
        <f t="shared" si="1004"/>
        <v>1</v>
      </c>
      <c r="AX1185" s="3">
        <f t="shared" si="1005"/>
        <v>495.08320251177395</v>
      </c>
      <c r="AY1185">
        <f t="shared" si="1006"/>
        <v>114</v>
      </c>
      <c r="AZ1185">
        <f t="shared" si="1007"/>
        <v>1</v>
      </c>
      <c r="BA1185" s="3">
        <f t="shared" si="1008"/>
        <v>516.08320251177395</v>
      </c>
    </row>
    <row r="1186" spans="1:53" x14ac:dyDescent="0.2">
      <c r="A1186">
        <v>1998</v>
      </c>
      <c r="B1186" t="s">
        <v>111</v>
      </c>
      <c r="C1186" t="s">
        <v>99</v>
      </c>
      <c r="D1186">
        <v>17.399999999999999</v>
      </c>
      <c r="E1186">
        <v>1.8</v>
      </c>
      <c r="F1186">
        <v>4.9000000000000004</v>
      </c>
      <c r="G1186">
        <v>5.6</v>
      </c>
      <c r="H1186">
        <v>3</v>
      </c>
      <c r="I1186">
        <v>0</v>
      </c>
      <c r="J1186">
        <v>1.8</v>
      </c>
      <c r="K1186">
        <f t="shared" si="1014"/>
        <v>34.5</v>
      </c>
      <c r="L1186">
        <v>0</v>
      </c>
      <c r="M1186">
        <v>0</v>
      </c>
      <c r="N1186">
        <v>0.5</v>
      </c>
      <c r="O1186">
        <f t="shared" si="1009"/>
        <v>0.5</v>
      </c>
      <c r="P1186">
        <v>0</v>
      </c>
      <c r="Q1186">
        <v>0</v>
      </c>
      <c r="R1186">
        <v>4</v>
      </c>
      <c r="S1186">
        <f t="shared" si="1010"/>
        <v>4</v>
      </c>
      <c r="T1186">
        <v>0</v>
      </c>
      <c r="U1186">
        <v>0</v>
      </c>
      <c r="V1186">
        <v>0.1</v>
      </c>
      <c r="W1186">
        <v>0</v>
      </c>
      <c r="X1186">
        <v>0</v>
      </c>
      <c r="Y1186">
        <v>0</v>
      </c>
      <c r="Z1186">
        <v>0</v>
      </c>
      <c r="AA1186">
        <f t="shared" si="1011"/>
        <v>0.1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 s="5">
        <f t="shared" si="1012"/>
        <v>0</v>
      </c>
      <c r="AK1186">
        <v>0.1</v>
      </c>
      <c r="AL1186">
        <v>0.60899999999999999</v>
      </c>
      <c r="AM1186">
        <f t="shared" si="1013"/>
        <v>0.39100000000000001</v>
      </c>
      <c r="AN1186">
        <v>300</v>
      </c>
      <c r="AO1186" t="s">
        <v>13</v>
      </c>
      <c r="AP1186" s="3">
        <f t="shared" si="1000"/>
        <v>492.61083743842363</v>
      </c>
      <c r="AQ1186" t="s">
        <v>13</v>
      </c>
      <c r="AR1186">
        <f t="shared" si="998"/>
        <v>0</v>
      </c>
      <c r="AS1186">
        <f t="shared" ref="AS1186:AS1249" si="1015">SUM(K1186,O1186,S1186,AA1186)/100</f>
        <v>0.39100000000000001</v>
      </c>
      <c r="AT1186">
        <f t="shared" si="1001"/>
        <v>193</v>
      </c>
      <c r="AU1186">
        <f t="shared" si="1002"/>
        <v>0</v>
      </c>
      <c r="AV1186">
        <f t="shared" si="1003"/>
        <v>108</v>
      </c>
      <c r="AW1186">
        <f t="shared" si="1004"/>
        <v>0</v>
      </c>
      <c r="AX1186" s="3">
        <f t="shared" si="1005"/>
        <v>384.61083743842363</v>
      </c>
      <c r="AY1186">
        <f t="shared" si="1006"/>
        <v>96</v>
      </c>
      <c r="AZ1186">
        <f t="shared" si="1007"/>
        <v>0</v>
      </c>
      <c r="BA1186" s="3">
        <f t="shared" si="1008"/>
        <v>396.61083743842363</v>
      </c>
    </row>
    <row r="1187" spans="1:53" x14ac:dyDescent="0.2">
      <c r="A1187">
        <v>1999</v>
      </c>
      <c r="B1187" t="s">
        <v>111</v>
      </c>
      <c r="C1187" t="s">
        <v>99</v>
      </c>
      <c r="D1187">
        <v>12.6</v>
      </c>
      <c r="E1187">
        <v>1.1000000000000001</v>
      </c>
      <c r="F1187">
        <v>7.9</v>
      </c>
      <c r="G1187">
        <v>5.5</v>
      </c>
      <c r="H1187">
        <v>6.8</v>
      </c>
      <c r="I1187">
        <v>0</v>
      </c>
      <c r="J1187">
        <v>0.9</v>
      </c>
      <c r="K1187">
        <f t="shared" si="1014"/>
        <v>34.799999999999997</v>
      </c>
      <c r="L1187">
        <v>0.3</v>
      </c>
      <c r="M1187">
        <v>0</v>
      </c>
      <c r="N1187">
        <v>0.3</v>
      </c>
      <c r="O1187">
        <f t="shared" si="1009"/>
        <v>0.6</v>
      </c>
      <c r="P1187">
        <v>0</v>
      </c>
      <c r="Q1187">
        <v>0</v>
      </c>
      <c r="R1187">
        <v>3.4</v>
      </c>
      <c r="S1187">
        <f t="shared" si="1010"/>
        <v>3.4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f t="shared" si="1011"/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 s="5">
        <f t="shared" si="1012"/>
        <v>0</v>
      </c>
      <c r="AK1187">
        <v>0</v>
      </c>
      <c r="AL1187">
        <v>0.61299999999999999</v>
      </c>
      <c r="AM1187">
        <f t="shared" si="1013"/>
        <v>0.38799999999999996</v>
      </c>
      <c r="AN1187">
        <v>539</v>
      </c>
      <c r="AO1187" t="s">
        <v>13</v>
      </c>
      <c r="AP1187" s="3">
        <f t="shared" si="1000"/>
        <v>880.71895424836589</v>
      </c>
      <c r="AQ1187" t="s">
        <v>13</v>
      </c>
      <c r="AR1187">
        <f t="shared" si="998"/>
        <v>0</v>
      </c>
      <c r="AS1187">
        <f t="shared" si="1015"/>
        <v>0.38799999999999996</v>
      </c>
      <c r="AT1187">
        <f t="shared" si="1001"/>
        <v>342</v>
      </c>
      <c r="AU1187">
        <f t="shared" si="1002"/>
        <v>0</v>
      </c>
      <c r="AV1187">
        <f t="shared" si="1003"/>
        <v>188</v>
      </c>
      <c r="AW1187">
        <f t="shared" si="1004"/>
        <v>0</v>
      </c>
      <c r="AX1187" s="3">
        <f t="shared" si="1005"/>
        <v>692.71895424836589</v>
      </c>
      <c r="AY1187">
        <f t="shared" si="1006"/>
        <v>171</v>
      </c>
      <c r="AZ1187">
        <f t="shared" si="1007"/>
        <v>0</v>
      </c>
      <c r="BA1187" s="3">
        <f t="shared" si="1008"/>
        <v>709.71895424836589</v>
      </c>
    </row>
    <row r="1188" spans="1:53" x14ac:dyDescent="0.2">
      <c r="A1188">
        <v>2000</v>
      </c>
      <c r="B1188" t="s">
        <v>111</v>
      </c>
      <c r="C1188" t="s">
        <v>99</v>
      </c>
      <c r="D1188">
        <v>7.3</v>
      </c>
      <c r="E1188">
        <v>0</v>
      </c>
      <c r="F1188">
        <v>0</v>
      </c>
      <c r="G1188">
        <v>0</v>
      </c>
      <c r="H1188">
        <v>6.5</v>
      </c>
      <c r="I1188">
        <v>0</v>
      </c>
      <c r="J1188">
        <v>0</v>
      </c>
      <c r="K1188">
        <f t="shared" si="1014"/>
        <v>13.8</v>
      </c>
      <c r="L1188">
        <v>0</v>
      </c>
      <c r="M1188">
        <v>0</v>
      </c>
      <c r="N1188">
        <v>0</v>
      </c>
      <c r="O1188">
        <f t="shared" si="1009"/>
        <v>0</v>
      </c>
      <c r="P1188">
        <v>0</v>
      </c>
      <c r="Q1188">
        <v>0</v>
      </c>
      <c r="R1188">
        <v>6.9</v>
      </c>
      <c r="S1188">
        <f t="shared" si="1010"/>
        <v>6.9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f t="shared" si="1011"/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 s="5">
        <f t="shared" si="1012"/>
        <v>0</v>
      </c>
      <c r="AK1188">
        <v>0</v>
      </c>
      <c r="AL1188">
        <v>0.79299999999999993</v>
      </c>
      <c r="AM1188">
        <f t="shared" si="1013"/>
        <v>0.20699999999999999</v>
      </c>
      <c r="AN1188">
        <v>75</v>
      </c>
      <c r="AO1188" t="s">
        <v>13</v>
      </c>
      <c r="AP1188" s="3">
        <f t="shared" si="1000"/>
        <v>94.57755359394703</v>
      </c>
      <c r="AQ1188" t="s">
        <v>13</v>
      </c>
      <c r="AR1188">
        <f t="shared" ref="AR1188:AR1251" si="1016">(AJ1188/100)/AM1188</f>
        <v>0</v>
      </c>
      <c r="AS1188">
        <f t="shared" si="1015"/>
        <v>0.20700000000000002</v>
      </c>
      <c r="AT1188">
        <f t="shared" si="1001"/>
        <v>20</v>
      </c>
      <c r="AU1188">
        <f t="shared" si="1002"/>
        <v>0</v>
      </c>
      <c r="AV1188">
        <f t="shared" si="1003"/>
        <v>13</v>
      </c>
      <c r="AW1188">
        <f t="shared" si="1004"/>
        <v>0</v>
      </c>
      <c r="AX1188" s="3">
        <f t="shared" si="1005"/>
        <v>81.57755359394703</v>
      </c>
      <c r="AY1188">
        <f t="shared" si="1006"/>
        <v>10</v>
      </c>
      <c r="AZ1188">
        <f t="shared" si="1007"/>
        <v>0</v>
      </c>
      <c r="BA1188" s="3">
        <f t="shared" si="1008"/>
        <v>84.57755359394703</v>
      </c>
    </row>
    <row r="1189" spans="1:53" x14ac:dyDescent="0.2">
      <c r="A1189">
        <v>2001</v>
      </c>
      <c r="B1189" t="s">
        <v>111</v>
      </c>
      <c r="C1189" t="s">
        <v>99</v>
      </c>
      <c r="D1189">
        <v>4.3</v>
      </c>
      <c r="E1189">
        <v>0</v>
      </c>
      <c r="F1189">
        <v>2</v>
      </c>
      <c r="G1189">
        <v>0</v>
      </c>
      <c r="H1189">
        <v>0</v>
      </c>
      <c r="I1189">
        <v>0</v>
      </c>
      <c r="J1189">
        <v>1.6</v>
      </c>
      <c r="K1189">
        <f t="shared" si="1014"/>
        <v>7.9</v>
      </c>
      <c r="L1189">
        <v>0</v>
      </c>
      <c r="M1189">
        <v>0</v>
      </c>
      <c r="N1189">
        <v>0.6</v>
      </c>
      <c r="O1189">
        <f t="shared" si="1009"/>
        <v>0.6</v>
      </c>
      <c r="P1189">
        <v>0</v>
      </c>
      <c r="Q1189">
        <v>0</v>
      </c>
      <c r="R1189">
        <v>3.5</v>
      </c>
      <c r="S1189">
        <f t="shared" si="1010"/>
        <v>3.5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f t="shared" si="1011"/>
        <v>0</v>
      </c>
      <c r="AB1189">
        <v>0</v>
      </c>
      <c r="AC1189">
        <v>0</v>
      </c>
      <c r="AD1189">
        <v>0</v>
      </c>
      <c r="AE1189">
        <v>0</v>
      </c>
      <c r="AF1189">
        <v>0.6</v>
      </c>
      <c r="AG1189">
        <v>0</v>
      </c>
      <c r="AH1189">
        <v>0</v>
      </c>
      <c r="AI1189">
        <v>0</v>
      </c>
      <c r="AJ1189" s="5">
        <f t="shared" si="1012"/>
        <v>0.6</v>
      </c>
      <c r="AK1189">
        <v>0</v>
      </c>
      <c r="AL1189">
        <v>0.875</v>
      </c>
      <c r="AM1189">
        <f t="shared" si="1013"/>
        <v>0.126</v>
      </c>
      <c r="AN1189">
        <v>139</v>
      </c>
      <c r="AO1189" t="s">
        <v>13</v>
      </c>
      <c r="AP1189" s="3">
        <f t="shared" si="1000"/>
        <v>159.03890160183067</v>
      </c>
      <c r="AQ1189" t="s">
        <v>13</v>
      </c>
      <c r="AR1189">
        <f t="shared" si="1016"/>
        <v>4.7619047619047616E-2</v>
      </c>
      <c r="AS1189">
        <f t="shared" si="1015"/>
        <v>0.12</v>
      </c>
      <c r="AT1189">
        <f t="shared" si="1001"/>
        <v>19</v>
      </c>
      <c r="AU1189">
        <f t="shared" si="1002"/>
        <v>1</v>
      </c>
      <c r="AV1189">
        <f t="shared" si="1003"/>
        <v>13</v>
      </c>
      <c r="AW1189">
        <f t="shared" si="1004"/>
        <v>1</v>
      </c>
      <c r="AX1189" s="3">
        <f t="shared" si="1005"/>
        <v>145.03890160183067</v>
      </c>
      <c r="AY1189">
        <f t="shared" si="1006"/>
        <v>10</v>
      </c>
      <c r="AZ1189">
        <f t="shared" si="1007"/>
        <v>1</v>
      </c>
      <c r="BA1189" s="3">
        <f t="shared" si="1008"/>
        <v>148.03890160183067</v>
      </c>
    </row>
    <row r="1190" spans="1:53" x14ac:dyDescent="0.2">
      <c r="A1190">
        <v>2002</v>
      </c>
      <c r="B1190" t="s">
        <v>111</v>
      </c>
      <c r="C1190" t="s">
        <v>99</v>
      </c>
      <c r="D1190">
        <v>13</v>
      </c>
      <c r="E1190">
        <v>0.6</v>
      </c>
      <c r="F1190">
        <v>1.4</v>
      </c>
      <c r="G1190">
        <v>3.8</v>
      </c>
      <c r="H1190">
        <v>2.2999999999999998</v>
      </c>
      <c r="I1190">
        <v>0.3</v>
      </c>
      <c r="J1190">
        <v>1</v>
      </c>
      <c r="K1190">
        <f t="shared" si="1014"/>
        <v>22.400000000000002</v>
      </c>
      <c r="L1190">
        <v>0.2</v>
      </c>
      <c r="M1190">
        <v>0</v>
      </c>
      <c r="N1190">
        <v>2</v>
      </c>
      <c r="O1190">
        <f t="shared" si="1009"/>
        <v>2.2000000000000002</v>
      </c>
      <c r="P1190">
        <v>0</v>
      </c>
      <c r="Q1190">
        <v>0</v>
      </c>
      <c r="R1190">
        <v>2.7</v>
      </c>
      <c r="S1190">
        <f t="shared" si="1010"/>
        <v>2.7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f t="shared" si="1011"/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 s="5">
        <f t="shared" si="1012"/>
        <v>0</v>
      </c>
      <c r="AK1190">
        <v>0</v>
      </c>
      <c r="AL1190">
        <v>0.72699999999999998</v>
      </c>
      <c r="AM1190">
        <f t="shared" si="1013"/>
        <v>0.27300000000000002</v>
      </c>
      <c r="AN1190">
        <v>41</v>
      </c>
      <c r="AO1190" t="s">
        <v>13</v>
      </c>
      <c r="AP1190" s="3">
        <f t="shared" si="1000"/>
        <v>56.396148555708393</v>
      </c>
      <c r="AQ1190" t="s">
        <v>13</v>
      </c>
      <c r="AR1190">
        <f t="shared" si="1016"/>
        <v>0</v>
      </c>
      <c r="AS1190">
        <f t="shared" si="1015"/>
        <v>0.27300000000000002</v>
      </c>
      <c r="AT1190">
        <f t="shared" si="1001"/>
        <v>15</v>
      </c>
      <c r="AU1190">
        <f t="shared" si="1002"/>
        <v>0</v>
      </c>
      <c r="AV1190">
        <f t="shared" si="1003"/>
        <v>9</v>
      </c>
      <c r="AW1190">
        <f t="shared" si="1004"/>
        <v>0</v>
      </c>
      <c r="AX1190" s="3">
        <f t="shared" si="1005"/>
        <v>47.396148555708393</v>
      </c>
      <c r="AY1190">
        <f t="shared" si="1006"/>
        <v>8</v>
      </c>
      <c r="AZ1190">
        <f t="shared" si="1007"/>
        <v>0</v>
      </c>
      <c r="BA1190" s="3">
        <f t="shared" si="1008"/>
        <v>48.396148555708393</v>
      </c>
    </row>
    <row r="1191" spans="1:53" x14ac:dyDescent="0.2">
      <c r="A1191">
        <v>2003</v>
      </c>
      <c r="B1191" t="s">
        <v>111</v>
      </c>
      <c r="C1191" t="s">
        <v>99</v>
      </c>
      <c r="D1191">
        <v>14.6</v>
      </c>
      <c r="E1191">
        <v>2.1</v>
      </c>
      <c r="F1191">
        <v>3.1</v>
      </c>
      <c r="G1191">
        <v>0.8</v>
      </c>
      <c r="H1191">
        <v>1.7</v>
      </c>
      <c r="I1191">
        <v>0</v>
      </c>
      <c r="J1191">
        <v>0</v>
      </c>
      <c r="K1191">
        <f t="shared" si="1014"/>
        <v>22.3</v>
      </c>
      <c r="L1191">
        <v>0</v>
      </c>
      <c r="M1191">
        <v>0</v>
      </c>
      <c r="N1191">
        <v>2.9</v>
      </c>
      <c r="O1191">
        <f t="shared" si="1009"/>
        <v>2.9</v>
      </c>
      <c r="P1191">
        <v>0</v>
      </c>
      <c r="Q1191">
        <v>0</v>
      </c>
      <c r="R1191">
        <v>2.6</v>
      </c>
      <c r="S1191">
        <f t="shared" si="1010"/>
        <v>2.6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f t="shared" si="1011"/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 s="5">
        <f t="shared" si="1012"/>
        <v>0</v>
      </c>
      <c r="AK1191">
        <v>0</v>
      </c>
      <c r="AL1191">
        <v>0.72199999999999998</v>
      </c>
      <c r="AM1191">
        <f t="shared" si="1013"/>
        <v>0.27800000000000002</v>
      </c>
      <c r="AN1191">
        <v>379</v>
      </c>
      <c r="AO1191" t="s">
        <v>13</v>
      </c>
      <c r="AP1191" s="3">
        <f t="shared" si="1000"/>
        <v>524.93074792243772</v>
      </c>
      <c r="AQ1191" t="s">
        <v>13</v>
      </c>
      <c r="AR1191">
        <f t="shared" si="1016"/>
        <v>0</v>
      </c>
      <c r="AS1191">
        <f t="shared" si="1015"/>
        <v>0.27800000000000002</v>
      </c>
      <c r="AT1191">
        <f t="shared" si="1001"/>
        <v>146</v>
      </c>
      <c r="AU1191">
        <f t="shared" si="1002"/>
        <v>0</v>
      </c>
      <c r="AV1191">
        <f t="shared" si="1003"/>
        <v>87</v>
      </c>
      <c r="AW1191">
        <f t="shared" si="1004"/>
        <v>0</v>
      </c>
      <c r="AX1191" s="3">
        <f t="shared" si="1005"/>
        <v>437.93074792243772</v>
      </c>
      <c r="AY1191">
        <f t="shared" si="1006"/>
        <v>73</v>
      </c>
      <c r="AZ1191">
        <f t="shared" si="1007"/>
        <v>0</v>
      </c>
      <c r="BA1191" s="3">
        <f t="shared" si="1008"/>
        <v>451.93074792243772</v>
      </c>
    </row>
    <row r="1192" spans="1:53" x14ac:dyDescent="0.2">
      <c r="A1192">
        <v>2004</v>
      </c>
      <c r="B1192" t="s">
        <v>111</v>
      </c>
      <c r="C1192" t="s">
        <v>99</v>
      </c>
      <c r="D1192">
        <v>13.6</v>
      </c>
      <c r="E1192">
        <v>8.4</v>
      </c>
      <c r="F1192">
        <v>2.2999999999999998</v>
      </c>
      <c r="G1192">
        <v>2.7</v>
      </c>
      <c r="H1192">
        <v>1.6</v>
      </c>
      <c r="I1192">
        <v>0.1</v>
      </c>
      <c r="J1192">
        <v>0.6</v>
      </c>
      <c r="K1192">
        <f t="shared" si="1014"/>
        <v>29.300000000000004</v>
      </c>
      <c r="L1192">
        <v>0</v>
      </c>
      <c r="M1192">
        <v>0</v>
      </c>
      <c r="N1192">
        <v>2.9</v>
      </c>
      <c r="O1192">
        <f t="shared" si="1009"/>
        <v>2.9</v>
      </c>
      <c r="P1192">
        <v>0</v>
      </c>
      <c r="Q1192">
        <v>0</v>
      </c>
      <c r="R1192">
        <v>3</v>
      </c>
      <c r="S1192">
        <f t="shared" si="1010"/>
        <v>3</v>
      </c>
      <c r="T1192">
        <v>0</v>
      </c>
      <c r="U1192">
        <v>0.1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f t="shared" si="1011"/>
        <v>0.1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 s="5">
        <f t="shared" si="1012"/>
        <v>0</v>
      </c>
      <c r="AK1192">
        <v>0.3</v>
      </c>
      <c r="AL1192">
        <v>0.64400000000000002</v>
      </c>
      <c r="AM1192">
        <f t="shared" si="1013"/>
        <v>0.35300000000000004</v>
      </c>
      <c r="AN1192">
        <v>454</v>
      </c>
      <c r="AO1192" t="s">
        <v>13</v>
      </c>
      <c r="AP1192" s="3">
        <f t="shared" si="1000"/>
        <v>701.70015455950534</v>
      </c>
      <c r="AQ1192" t="s">
        <v>13</v>
      </c>
      <c r="AR1192">
        <f t="shared" si="1016"/>
        <v>0</v>
      </c>
      <c r="AS1192">
        <f t="shared" si="1015"/>
        <v>0.35300000000000004</v>
      </c>
      <c r="AT1192">
        <f t="shared" si="1001"/>
        <v>248</v>
      </c>
      <c r="AU1192">
        <f t="shared" si="1002"/>
        <v>0</v>
      </c>
      <c r="AV1192">
        <f t="shared" si="1003"/>
        <v>145</v>
      </c>
      <c r="AW1192">
        <f t="shared" si="1004"/>
        <v>0</v>
      </c>
      <c r="AX1192" s="3">
        <f t="shared" si="1005"/>
        <v>556.70015455950534</v>
      </c>
      <c r="AY1192">
        <f t="shared" si="1006"/>
        <v>124</v>
      </c>
      <c r="AZ1192">
        <f t="shared" si="1007"/>
        <v>0</v>
      </c>
      <c r="BA1192" s="3">
        <f t="shared" si="1008"/>
        <v>577.70015455950534</v>
      </c>
    </row>
    <row r="1193" spans="1:53" x14ac:dyDescent="0.2">
      <c r="A1193">
        <v>2005</v>
      </c>
      <c r="B1193" t="s">
        <v>111</v>
      </c>
      <c r="C1193" t="s">
        <v>99</v>
      </c>
      <c r="D1193">
        <v>15.4</v>
      </c>
      <c r="E1193">
        <v>2</v>
      </c>
      <c r="F1193">
        <v>4.5</v>
      </c>
      <c r="G1193">
        <v>3.1</v>
      </c>
      <c r="H1193">
        <v>4.3</v>
      </c>
      <c r="I1193">
        <v>0</v>
      </c>
      <c r="J1193">
        <v>1.1000000000000001</v>
      </c>
      <c r="K1193">
        <f t="shared" si="1014"/>
        <v>30.400000000000002</v>
      </c>
      <c r="L1193">
        <v>0</v>
      </c>
      <c r="M1193">
        <v>0</v>
      </c>
      <c r="N1193">
        <v>6.4</v>
      </c>
      <c r="O1193">
        <f t="shared" si="1009"/>
        <v>6.4</v>
      </c>
      <c r="P1193">
        <v>0</v>
      </c>
      <c r="Q1193">
        <v>0</v>
      </c>
      <c r="R1193">
        <v>3.7</v>
      </c>
      <c r="S1193">
        <f t="shared" si="1010"/>
        <v>3.7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f t="shared" si="1011"/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 s="5">
        <f t="shared" si="1012"/>
        <v>0</v>
      </c>
      <c r="AK1193">
        <v>0.1</v>
      </c>
      <c r="AL1193">
        <v>0.59399999999999997</v>
      </c>
      <c r="AM1193">
        <f t="shared" si="1013"/>
        <v>0.40500000000000003</v>
      </c>
      <c r="AN1193">
        <v>199</v>
      </c>
      <c r="AO1193" t="s">
        <v>13</v>
      </c>
      <c r="AP1193" s="3">
        <f t="shared" si="1000"/>
        <v>334.45378151260508</v>
      </c>
      <c r="AQ1193" t="s">
        <v>13</v>
      </c>
      <c r="AR1193">
        <f t="shared" si="1016"/>
        <v>0</v>
      </c>
      <c r="AS1193">
        <f t="shared" si="1015"/>
        <v>0.40500000000000008</v>
      </c>
      <c r="AT1193">
        <f t="shared" si="1001"/>
        <v>135</v>
      </c>
      <c r="AU1193">
        <f t="shared" si="1002"/>
        <v>0</v>
      </c>
      <c r="AV1193">
        <f t="shared" si="1003"/>
        <v>85</v>
      </c>
      <c r="AW1193">
        <f t="shared" si="1004"/>
        <v>0</v>
      </c>
      <c r="AX1193" s="3">
        <f t="shared" si="1005"/>
        <v>249.45378151260508</v>
      </c>
      <c r="AY1193">
        <f t="shared" si="1006"/>
        <v>68</v>
      </c>
      <c r="AZ1193">
        <f t="shared" si="1007"/>
        <v>0</v>
      </c>
      <c r="BA1193" s="3">
        <f t="shared" si="1008"/>
        <v>266.45378151260508</v>
      </c>
    </row>
    <row r="1194" spans="1:53" x14ac:dyDescent="0.2">
      <c r="A1194">
        <v>2006</v>
      </c>
      <c r="B1194" t="s">
        <v>111</v>
      </c>
      <c r="C1194" t="s">
        <v>99</v>
      </c>
      <c r="D1194">
        <v>11.6</v>
      </c>
      <c r="E1194">
        <v>2.5</v>
      </c>
      <c r="F1194">
        <v>3.9</v>
      </c>
      <c r="G1194">
        <v>2.6</v>
      </c>
      <c r="H1194">
        <v>2.9</v>
      </c>
      <c r="I1194">
        <v>0</v>
      </c>
      <c r="J1194">
        <v>1.9</v>
      </c>
      <c r="K1194">
        <f t="shared" si="1014"/>
        <v>25.4</v>
      </c>
      <c r="L1194">
        <v>0</v>
      </c>
      <c r="M1194">
        <v>0</v>
      </c>
      <c r="N1194">
        <v>2.1</v>
      </c>
      <c r="O1194">
        <f t="shared" si="1009"/>
        <v>2.1</v>
      </c>
      <c r="P1194">
        <v>0</v>
      </c>
      <c r="Q1194">
        <v>0</v>
      </c>
      <c r="R1194">
        <v>4.4000000000000004</v>
      </c>
      <c r="S1194">
        <f t="shared" si="1010"/>
        <v>4.4000000000000004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f t="shared" si="1011"/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 s="5">
        <f t="shared" si="1012"/>
        <v>0</v>
      </c>
      <c r="AK1194">
        <v>0</v>
      </c>
      <c r="AL1194">
        <v>0.68200000000000005</v>
      </c>
      <c r="AM1194">
        <f t="shared" si="1013"/>
        <v>0.31900000000000001</v>
      </c>
      <c r="AN1194">
        <v>228</v>
      </c>
      <c r="AO1194" t="s">
        <v>13</v>
      </c>
      <c r="AP1194" s="3">
        <f t="shared" si="1000"/>
        <v>334.80176211453744</v>
      </c>
      <c r="AQ1194" t="s">
        <v>13</v>
      </c>
      <c r="AR1194">
        <f t="shared" si="1016"/>
        <v>0</v>
      </c>
      <c r="AS1194">
        <f t="shared" si="1015"/>
        <v>0.31900000000000001</v>
      </c>
      <c r="AT1194">
        <f t="shared" si="1001"/>
        <v>107</v>
      </c>
      <c r="AU1194">
        <f t="shared" si="1002"/>
        <v>0</v>
      </c>
      <c r="AV1194">
        <f t="shared" si="1003"/>
        <v>64</v>
      </c>
      <c r="AW1194">
        <f t="shared" si="1004"/>
        <v>0</v>
      </c>
      <c r="AX1194" s="3">
        <f t="shared" si="1005"/>
        <v>270.80176211453744</v>
      </c>
      <c r="AY1194">
        <f t="shared" si="1006"/>
        <v>53</v>
      </c>
      <c r="AZ1194">
        <f t="shared" si="1007"/>
        <v>0</v>
      </c>
      <c r="BA1194" s="3">
        <f t="shared" si="1008"/>
        <v>281.80176211453744</v>
      </c>
    </row>
    <row r="1195" spans="1:53" x14ac:dyDescent="0.2">
      <c r="A1195">
        <v>2007</v>
      </c>
      <c r="B1195" t="s">
        <v>111</v>
      </c>
      <c r="C1195" t="s">
        <v>99</v>
      </c>
      <c r="D1195">
        <v>16.2</v>
      </c>
      <c r="E1195">
        <v>3.3</v>
      </c>
      <c r="F1195">
        <v>5.9</v>
      </c>
      <c r="G1195">
        <v>4.9000000000000004</v>
      </c>
      <c r="H1195">
        <v>5.3</v>
      </c>
      <c r="I1195">
        <v>0.1</v>
      </c>
      <c r="J1195">
        <v>1.3</v>
      </c>
      <c r="K1195">
        <f t="shared" si="1014"/>
        <v>36.999999999999993</v>
      </c>
      <c r="L1195">
        <v>0</v>
      </c>
      <c r="M1195">
        <v>0</v>
      </c>
      <c r="N1195">
        <v>1.7</v>
      </c>
      <c r="O1195">
        <f t="shared" si="1009"/>
        <v>1.7</v>
      </c>
      <c r="P1195">
        <v>0</v>
      </c>
      <c r="Q1195">
        <v>0</v>
      </c>
      <c r="R1195">
        <v>5</v>
      </c>
      <c r="S1195">
        <f t="shared" si="1010"/>
        <v>5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f t="shared" si="1011"/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 s="5">
        <f t="shared" si="1012"/>
        <v>0</v>
      </c>
      <c r="AK1195">
        <v>0</v>
      </c>
      <c r="AL1195">
        <v>0.56299999999999994</v>
      </c>
      <c r="AM1195">
        <f t="shared" si="1013"/>
        <v>0.43699999999999994</v>
      </c>
      <c r="AN1195">
        <v>162</v>
      </c>
      <c r="AO1195" t="s">
        <v>13</v>
      </c>
      <c r="AP1195" s="3">
        <f t="shared" si="1000"/>
        <v>287.74422735346354</v>
      </c>
      <c r="AQ1195" t="s">
        <v>13</v>
      </c>
      <c r="AR1195">
        <f t="shared" si="1016"/>
        <v>0</v>
      </c>
      <c r="AS1195">
        <f t="shared" si="1015"/>
        <v>0.43699999999999994</v>
      </c>
      <c r="AT1195">
        <f t="shared" si="1001"/>
        <v>126</v>
      </c>
      <c r="AU1195">
        <f t="shared" si="1002"/>
        <v>0</v>
      </c>
      <c r="AV1195">
        <f t="shared" si="1003"/>
        <v>73</v>
      </c>
      <c r="AW1195">
        <f t="shared" si="1004"/>
        <v>0</v>
      </c>
      <c r="AX1195" s="3">
        <f t="shared" si="1005"/>
        <v>214.74422735346354</v>
      </c>
      <c r="AY1195">
        <f t="shared" si="1006"/>
        <v>63</v>
      </c>
      <c r="AZ1195">
        <f t="shared" si="1007"/>
        <v>0</v>
      </c>
      <c r="BA1195" s="3">
        <f t="shared" si="1008"/>
        <v>224.74422735346354</v>
      </c>
    </row>
    <row r="1196" spans="1:53" x14ac:dyDescent="0.2">
      <c r="A1196">
        <v>2008</v>
      </c>
      <c r="B1196" t="s">
        <v>111</v>
      </c>
      <c r="C1196" t="s">
        <v>99</v>
      </c>
      <c r="D1196">
        <v>9.9</v>
      </c>
      <c r="E1196">
        <v>0.5</v>
      </c>
      <c r="F1196">
        <v>2.4</v>
      </c>
      <c r="G1196">
        <v>2.6</v>
      </c>
      <c r="H1196">
        <v>2.7</v>
      </c>
      <c r="I1196">
        <v>0</v>
      </c>
      <c r="J1196">
        <v>0.8</v>
      </c>
      <c r="K1196">
        <f t="shared" si="1014"/>
        <v>18.900000000000002</v>
      </c>
      <c r="L1196">
        <v>0</v>
      </c>
      <c r="M1196">
        <v>0</v>
      </c>
      <c r="N1196">
        <v>3.4</v>
      </c>
      <c r="O1196">
        <f t="shared" si="1009"/>
        <v>3.4</v>
      </c>
      <c r="P1196">
        <v>0</v>
      </c>
      <c r="Q1196">
        <v>0</v>
      </c>
      <c r="R1196">
        <v>2.8</v>
      </c>
      <c r="S1196">
        <f t="shared" si="1010"/>
        <v>2.8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f t="shared" si="1011"/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 s="5">
        <f t="shared" si="1012"/>
        <v>0</v>
      </c>
      <c r="AK1196">
        <v>0</v>
      </c>
      <c r="AL1196">
        <v>0.74900000000000011</v>
      </c>
      <c r="AM1196">
        <f t="shared" si="1013"/>
        <v>0.251</v>
      </c>
      <c r="AN1196">
        <v>200</v>
      </c>
      <c r="AO1196" t="s">
        <v>13</v>
      </c>
      <c r="AP1196" s="3">
        <f t="shared" si="1000"/>
        <v>267.02269692923898</v>
      </c>
      <c r="AQ1196" t="s">
        <v>13</v>
      </c>
      <c r="AR1196">
        <f t="shared" si="1016"/>
        <v>0</v>
      </c>
      <c r="AS1196">
        <f t="shared" si="1015"/>
        <v>0.251</v>
      </c>
      <c r="AT1196">
        <f t="shared" si="1001"/>
        <v>67</v>
      </c>
      <c r="AU1196">
        <f t="shared" si="1002"/>
        <v>0</v>
      </c>
      <c r="AV1196">
        <f t="shared" si="1003"/>
        <v>42</v>
      </c>
      <c r="AW1196">
        <f t="shared" si="1004"/>
        <v>0</v>
      </c>
      <c r="AX1196" s="3">
        <f t="shared" si="1005"/>
        <v>225.02269692923898</v>
      </c>
      <c r="AY1196">
        <f t="shared" si="1006"/>
        <v>34</v>
      </c>
      <c r="AZ1196">
        <f t="shared" si="1007"/>
        <v>0</v>
      </c>
      <c r="BA1196" s="3">
        <f t="shared" si="1008"/>
        <v>233.02269692923898</v>
      </c>
    </row>
    <row r="1197" spans="1:53" x14ac:dyDescent="0.2">
      <c r="A1197">
        <v>2009</v>
      </c>
      <c r="B1197" t="s">
        <v>111</v>
      </c>
      <c r="C1197" t="s">
        <v>99</v>
      </c>
      <c r="D1197">
        <v>12.1</v>
      </c>
      <c r="E1197">
        <v>10.199999999999999</v>
      </c>
      <c r="F1197">
        <v>4.5</v>
      </c>
      <c r="G1197">
        <v>2</v>
      </c>
      <c r="H1197">
        <v>7.2</v>
      </c>
      <c r="I1197">
        <v>0</v>
      </c>
      <c r="J1197">
        <v>1.1000000000000001</v>
      </c>
      <c r="K1197">
        <f t="shared" si="1014"/>
        <v>37.1</v>
      </c>
      <c r="L1197">
        <v>0</v>
      </c>
      <c r="M1197">
        <v>0</v>
      </c>
      <c r="N1197">
        <v>6.5</v>
      </c>
      <c r="O1197">
        <f t="shared" si="1009"/>
        <v>6.5</v>
      </c>
      <c r="P1197">
        <v>0</v>
      </c>
      <c r="Q1197">
        <v>0</v>
      </c>
      <c r="R1197">
        <v>5.7</v>
      </c>
      <c r="S1197">
        <f t="shared" si="1010"/>
        <v>5.7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f t="shared" si="1011"/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 s="5">
        <f t="shared" si="1012"/>
        <v>0</v>
      </c>
      <c r="AK1197">
        <v>0</v>
      </c>
      <c r="AL1197">
        <v>0.50600000000000001</v>
      </c>
      <c r="AM1197">
        <f t="shared" si="1013"/>
        <v>0.49300000000000005</v>
      </c>
      <c r="AN1197">
        <v>214</v>
      </c>
      <c r="AO1197" t="s">
        <v>13</v>
      </c>
      <c r="AP1197" s="3">
        <f t="shared" si="1000"/>
        <v>422.09072978303755</v>
      </c>
      <c r="AQ1197" t="s">
        <v>13</v>
      </c>
      <c r="AR1197">
        <f t="shared" si="1016"/>
        <v>0</v>
      </c>
      <c r="AS1197">
        <f t="shared" si="1015"/>
        <v>0.49300000000000005</v>
      </c>
      <c r="AT1197">
        <f t="shared" si="1001"/>
        <v>208</v>
      </c>
      <c r="AU1197">
        <f t="shared" si="1002"/>
        <v>0</v>
      </c>
      <c r="AV1197">
        <f t="shared" si="1003"/>
        <v>130</v>
      </c>
      <c r="AW1197">
        <f t="shared" si="1004"/>
        <v>0</v>
      </c>
      <c r="AX1197" s="3">
        <f t="shared" si="1005"/>
        <v>292.09072978303755</v>
      </c>
      <c r="AY1197">
        <f t="shared" si="1006"/>
        <v>104</v>
      </c>
      <c r="AZ1197">
        <f t="shared" si="1007"/>
        <v>0</v>
      </c>
      <c r="BA1197" s="3">
        <f t="shared" si="1008"/>
        <v>318.09072978303755</v>
      </c>
    </row>
    <row r="1198" spans="1:53" x14ac:dyDescent="0.2">
      <c r="A1198">
        <v>2010</v>
      </c>
      <c r="B1198" t="s">
        <v>111</v>
      </c>
      <c r="C1198" t="s">
        <v>99</v>
      </c>
      <c r="D1198">
        <v>7.2</v>
      </c>
      <c r="E1198">
        <v>0.3</v>
      </c>
      <c r="F1198">
        <v>8.8000000000000007</v>
      </c>
      <c r="G1198">
        <v>3</v>
      </c>
      <c r="H1198">
        <v>4.7</v>
      </c>
      <c r="I1198">
        <v>0.7</v>
      </c>
      <c r="J1198">
        <v>2.2000000000000002</v>
      </c>
      <c r="K1198">
        <f t="shared" si="1014"/>
        <v>26.9</v>
      </c>
      <c r="L1198">
        <v>0</v>
      </c>
      <c r="M1198">
        <v>0</v>
      </c>
      <c r="N1198">
        <v>2.6</v>
      </c>
      <c r="O1198">
        <f t="shared" si="1009"/>
        <v>2.6</v>
      </c>
      <c r="P1198">
        <v>0</v>
      </c>
      <c r="Q1198">
        <v>0</v>
      </c>
      <c r="R1198">
        <v>5.0999999999999996</v>
      </c>
      <c r="S1198">
        <f t="shared" si="1010"/>
        <v>5.0999999999999996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f t="shared" si="1011"/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0.1</v>
      </c>
      <c r="AI1198">
        <v>0</v>
      </c>
      <c r="AJ1198" s="5">
        <f t="shared" si="1012"/>
        <v>0.1</v>
      </c>
      <c r="AK1198">
        <v>0</v>
      </c>
      <c r="AL1198">
        <v>0.65099999999999991</v>
      </c>
      <c r="AM1198">
        <f t="shared" si="1013"/>
        <v>0.34700000000000003</v>
      </c>
      <c r="AN1198">
        <v>110</v>
      </c>
      <c r="AO1198" t="s">
        <v>13</v>
      </c>
      <c r="AP1198" s="3">
        <f t="shared" si="1000"/>
        <v>168.45329249617151</v>
      </c>
      <c r="AQ1198" t="s">
        <v>13</v>
      </c>
      <c r="AR1198">
        <f t="shared" si="1016"/>
        <v>2.881844380403458E-3</v>
      </c>
      <c r="AS1198">
        <f t="shared" si="1015"/>
        <v>0.34600000000000003</v>
      </c>
      <c r="AT1198">
        <f t="shared" si="1001"/>
        <v>58</v>
      </c>
      <c r="AU1198">
        <f t="shared" si="1002"/>
        <v>0</v>
      </c>
      <c r="AV1198">
        <f t="shared" si="1003"/>
        <v>36</v>
      </c>
      <c r="AW1198">
        <f t="shared" si="1004"/>
        <v>0</v>
      </c>
      <c r="AX1198" s="3">
        <f t="shared" si="1005"/>
        <v>132.45329249617151</v>
      </c>
      <c r="AY1198">
        <f t="shared" si="1006"/>
        <v>29</v>
      </c>
      <c r="AZ1198">
        <f t="shared" si="1007"/>
        <v>0</v>
      </c>
      <c r="BA1198" s="3">
        <f t="shared" si="1008"/>
        <v>139.45329249617151</v>
      </c>
    </row>
    <row r="1199" spans="1:53" x14ac:dyDescent="0.2">
      <c r="A1199">
        <v>2011</v>
      </c>
      <c r="B1199" t="s">
        <v>111</v>
      </c>
      <c r="C1199" t="s">
        <v>99</v>
      </c>
      <c r="D1199">
        <v>13.7</v>
      </c>
      <c r="E1199">
        <v>1.9</v>
      </c>
      <c r="F1199">
        <v>3</v>
      </c>
      <c r="G1199">
        <v>3.4</v>
      </c>
      <c r="H1199">
        <v>3.5</v>
      </c>
      <c r="I1199">
        <v>0.2</v>
      </c>
      <c r="J1199">
        <v>3.8</v>
      </c>
      <c r="K1199">
        <f t="shared" si="1014"/>
        <v>29.5</v>
      </c>
      <c r="L1199">
        <v>0</v>
      </c>
      <c r="M1199">
        <v>0</v>
      </c>
      <c r="N1199">
        <v>4.0999999999999996</v>
      </c>
      <c r="O1199">
        <f t="shared" si="1009"/>
        <v>4.0999999999999996</v>
      </c>
      <c r="P1199">
        <v>0</v>
      </c>
      <c r="Q1199">
        <v>0</v>
      </c>
      <c r="R1199">
        <v>4.3</v>
      </c>
      <c r="S1199">
        <f t="shared" si="1010"/>
        <v>4.3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0.6</v>
      </c>
      <c r="Z1199">
        <v>0</v>
      </c>
      <c r="AA1199">
        <f t="shared" si="1011"/>
        <v>0.6</v>
      </c>
      <c r="AB1199">
        <v>0.1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 s="5">
        <f t="shared" si="1012"/>
        <v>0.1</v>
      </c>
      <c r="AK1199">
        <v>0</v>
      </c>
      <c r="AL1199">
        <v>0.61399999999999999</v>
      </c>
      <c r="AM1199">
        <f t="shared" si="1013"/>
        <v>0.38599999999999995</v>
      </c>
      <c r="AN1199">
        <v>95</v>
      </c>
      <c r="AO1199" t="s">
        <v>13</v>
      </c>
      <c r="AP1199" s="3">
        <f t="shared" si="1000"/>
        <v>154.7231270358306</v>
      </c>
      <c r="AQ1199" t="s">
        <v>13</v>
      </c>
      <c r="AR1199">
        <f t="shared" si="1016"/>
        <v>2.5906735751295342E-3</v>
      </c>
      <c r="AS1199">
        <f t="shared" si="1015"/>
        <v>0.38500000000000001</v>
      </c>
      <c r="AT1199">
        <f t="shared" si="1001"/>
        <v>60</v>
      </c>
      <c r="AU1199">
        <f t="shared" si="1002"/>
        <v>0</v>
      </c>
      <c r="AV1199">
        <f t="shared" si="1003"/>
        <v>37</v>
      </c>
      <c r="AW1199">
        <f t="shared" si="1004"/>
        <v>0</v>
      </c>
      <c r="AX1199" s="3">
        <f t="shared" si="1005"/>
        <v>117.7231270358306</v>
      </c>
      <c r="AY1199">
        <f t="shared" si="1006"/>
        <v>30</v>
      </c>
      <c r="AZ1199">
        <f t="shared" si="1007"/>
        <v>0</v>
      </c>
      <c r="BA1199" s="3">
        <f t="shared" si="1008"/>
        <v>124.7231270358306</v>
      </c>
    </row>
    <row r="1200" spans="1:53" x14ac:dyDescent="0.2">
      <c r="A1200">
        <v>2012</v>
      </c>
      <c r="B1200" t="s">
        <v>111</v>
      </c>
      <c r="C1200" t="s">
        <v>99</v>
      </c>
      <c r="D1200">
        <v>12.6</v>
      </c>
      <c r="E1200">
        <v>3.4</v>
      </c>
      <c r="F1200">
        <v>2.6</v>
      </c>
      <c r="G1200">
        <v>2.7</v>
      </c>
      <c r="H1200">
        <v>2.8</v>
      </c>
      <c r="I1200">
        <v>0.2</v>
      </c>
      <c r="J1200">
        <v>2.4</v>
      </c>
      <c r="K1200">
        <f t="shared" si="1014"/>
        <v>26.7</v>
      </c>
      <c r="L1200">
        <v>0</v>
      </c>
      <c r="M1200">
        <v>0</v>
      </c>
      <c r="N1200">
        <v>4.5999999999999996</v>
      </c>
      <c r="O1200">
        <f t="shared" si="1009"/>
        <v>4.5999999999999996</v>
      </c>
      <c r="P1200">
        <v>0</v>
      </c>
      <c r="Q1200">
        <v>0</v>
      </c>
      <c r="R1200">
        <v>5.8</v>
      </c>
      <c r="S1200">
        <f t="shared" si="1010"/>
        <v>5.8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f t="shared" si="1011"/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 s="5">
        <f t="shared" si="1012"/>
        <v>0</v>
      </c>
      <c r="AK1200">
        <v>0</v>
      </c>
      <c r="AL1200">
        <v>0.63</v>
      </c>
      <c r="AM1200">
        <f t="shared" si="1013"/>
        <v>0.371</v>
      </c>
      <c r="AN1200">
        <v>141</v>
      </c>
      <c r="AO1200" t="s">
        <v>13</v>
      </c>
      <c r="AP1200" s="3">
        <f t="shared" ref="AP1200:AP1263" si="1017">AN1200/(1-AM1200)</f>
        <v>224.16534181240064</v>
      </c>
      <c r="AQ1200" t="s">
        <v>13</v>
      </c>
      <c r="AR1200">
        <f t="shared" si="1016"/>
        <v>0</v>
      </c>
      <c r="AS1200">
        <f t="shared" si="1015"/>
        <v>0.37099999999999994</v>
      </c>
      <c r="AT1200">
        <f t="shared" ref="AT1200:AT1263" si="1018">ROUND(AS1200*AP1200,0)</f>
        <v>83</v>
      </c>
      <c r="AU1200">
        <f t="shared" ref="AU1200:AU1263" si="1019">ROUND((AJ1200/100)*AP1200,0)</f>
        <v>0</v>
      </c>
      <c r="AV1200">
        <f t="shared" si="1003"/>
        <v>53</v>
      </c>
      <c r="AW1200">
        <f t="shared" si="1004"/>
        <v>0</v>
      </c>
      <c r="AX1200" s="3">
        <f t="shared" si="1005"/>
        <v>171.16534181240064</v>
      </c>
      <c r="AY1200">
        <f t="shared" si="1006"/>
        <v>42</v>
      </c>
      <c r="AZ1200">
        <f t="shared" si="1007"/>
        <v>0</v>
      </c>
      <c r="BA1200" s="3">
        <f t="shared" si="1008"/>
        <v>182.16534181240064</v>
      </c>
    </row>
    <row r="1201" spans="1:53" x14ac:dyDescent="0.2">
      <c r="A1201">
        <v>2013</v>
      </c>
      <c r="B1201" t="s">
        <v>111</v>
      </c>
      <c r="C1201" t="s">
        <v>99</v>
      </c>
      <c r="D1201">
        <v>10.5</v>
      </c>
      <c r="E1201">
        <v>3.8</v>
      </c>
      <c r="F1201">
        <v>3.9</v>
      </c>
      <c r="G1201">
        <v>1</v>
      </c>
      <c r="H1201">
        <v>4.5</v>
      </c>
      <c r="I1201">
        <v>0</v>
      </c>
      <c r="J1201">
        <v>1</v>
      </c>
      <c r="K1201">
        <f t="shared" si="1014"/>
        <v>24.7</v>
      </c>
      <c r="L1201">
        <v>0</v>
      </c>
      <c r="M1201">
        <v>0</v>
      </c>
      <c r="N1201">
        <v>1.5</v>
      </c>
      <c r="O1201">
        <f t="shared" si="1009"/>
        <v>1.5</v>
      </c>
      <c r="P1201">
        <v>0</v>
      </c>
      <c r="Q1201">
        <v>0</v>
      </c>
      <c r="R1201">
        <v>8.5</v>
      </c>
      <c r="S1201">
        <f t="shared" si="1010"/>
        <v>8.5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f t="shared" si="1011"/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 s="5">
        <f t="shared" si="1012"/>
        <v>0</v>
      </c>
      <c r="AK1201">
        <v>0</v>
      </c>
      <c r="AL1201">
        <v>0.65300000000000002</v>
      </c>
      <c r="AM1201">
        <f t="shared" si="1013"/>
        <v>0.34700000000000003</v>
      </c>
      <c r="AN1201">
        <v>399</v>
      </c>
      <c r="AO1201" t="s">
        <v>13</v>
      </c>
      <c r="AP1201" s="3">
        <f t="shared" si="1017"/>
        <v>611.02603369065844</v>
      </c>
      <c r="AQ1201" t="s">
        <v>13</v>
      </c>
      <c r="AR1201">
        <f t="shared" si="1016"/>
        <v>0</v>
      </c>
      <c r="AS1201">
        <f t="shared" si="1015"/>
        <v>0.34700000000000003</v>
      </c>
      <c r="AT1201">
        <f t="shared" si="1018"/>
        <v>212</v>
      </c>
      <c r="AU1201">
        <f t="shared" si="1019"/>
        <v>0</v>
      </c>
      <c r="AV1201">
        <f t="shared" si="1003"/>
        <v>137</v>
      </c>
      <c r="AW1201">
        <f t="shared" si="1004"/>
        <v>0</v>
      </c>
      <c r="AX1201" s="3">
        <f t="shared" si="1005"/>
        <v>474.02603369065844</v>
      </c>
      <c r="AY1201">
        <f t="shared" si="1006"/>
        <v>106</v>
      </c>
      <c r="AZ1201">
        <f t="shared" si="1007"/>
        <v>0</v>
      </c>
      <c r="BA1201" s="3">
        <f t="shared" si="1008"/>
        <v>505.02603369065844</v>
      </c>
    </row>
    <row r="1202" spans="1:53" x14ac:dyDescent="0.2">
      <c r="A1202">
        <v>2014</v>
      </c>
      <c r="B1202" t="s">
        <v>111</v>
      </c>
      <c r="C1202" t="s">
        <v>99</v>
      </c>
      <c r="D1202">
        <v>13.9</v>
      </c>
      <c r="E1202">
        <v>2</v>
      </c>
      <c r="F1202">
        <v>7.1</v>
      </c>
      <c r="G1202">
        <v>1.9</v>
      </c>
      <c r="H1202">
        <v>3.4</v>
      </c>
      <c r="I1202">
        <v>0.7</v>
      </c>
      <c r="J1202">
        <v>4.5</v>
      </c>
      <c r="K1202">
        <f t="shared" si="1014"/>
        <v>33.5</v>
      </c>
      <c r="L1202">
        <v>0</v>
      </c>
      <c r="M1202">
        <v>0</v>
      </c>
      <c r="N1202">
        <v>1.4</v>
      </c>
      <c r="O1202">
        <f t="shared" si="1009"/>
        <v>1.4</v>
      </c>
      <c r="P1202">
        <v>0</v>
      </c>
      <c r="Q1202">
        <v>0</v>
      </c>
      <c r="R1202">
        <v>5</v>
      </c>
      <c r="S1202">
        <f t="shared" si="1010"/>
        <v>5</v>
      </c>
      <c r="T1202">
        <v>0</v>
      </c>
      <c r="U1202">
        <v>0.1</v>
      </c>
      <c r="V1202">
        <v>0</v>
      </c>
      <c r="W1202">
        <v>0</v>
      </c>
      <c r="X1202">
        <v>0</v>
      </c>
      <c r="Y1202">
        <v>0</v>
      </c>
      <c r="Z1202">
        <v>0.3</v>
      </c>
      <c r="AA1202">
        <f t="shared" si="1011"/>
        <v>0.4</v>
      </c>
      <c r="AB1202">
        <v>0.1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 s="5">
        <f t="shared" si="1012"/>
        <v>0.1</v>
      </c>
      <c r="AK1202">
        <v>0</v>
      </c>
      <c r="AL1202">
        <v>0.59299999999999997</v>
      </c>
      <c r="AM1202">
        <f t="shared" si="1013"/>
        <v>0.40399999999999997</v>
      </c>
      <c r="AN1202">
        <v>91</v>
      </c>
      <c r="AO1202" t="s">
        <v>13</v>
      </c>
      <c r="AP1202" s="3">
        <f t="shared" si="1017"/>
        <v>152.68456375838923</v>
      </c>
      <c r="AQ1202" t="s">
        <v>13</v>
      </c>
      <c r="AR1202">
        <f t="shared" si="1016"/>
        <v>2.4752475247524753E-3</v>
      </c>
      <c r="AS1202">
        <f t="shared" si="1015"/>
        <v>0.40299999999999997</v>
      </c>
      <c r="AT1202">
        <f t="shared" si="1018"/>
        <v>62</v>
      </c>
      <c r="AU1202">
        <f t="shared" si="1019"/>
        <v>0</v>
      </c>
      <c r="AV1202">
        <f t="shared" si="1003"/>
        <v>36</v>
      </c>
      <c r="AW1202">
        <f t="shared" si="1004"/>
        <v>0</v>
      </c>
      <c r="AX1202" s="3">
        <f t="shared" si="1005"/>
        <v>116.68456375838923</v>
      </c>
      <c r="AY1202">
        <f t="shared" si="1006"/>
        <v>31</v>
      </c>
      <c r="AZ1202">
        <f t="shared" si="1007"/>
        <v>0</v>
      </c>
      <c r="BA1202" s="3">
        <f t="shared" si="1008"/>
        <v>121.68456375838923</v>
      </c>
    </row>
    <row r="1203" spans="1:53" x14ac:dyDescent="0.2">
      <c r="A1203">
        <v>2015</v>
      </c>
      <c r="B1203" t="s">
        <v>111</v>
      </c>
      <c r="C1203" t="s">
        <v>99</v>
      </c>
      <c r="D1203">
        <v>4</v>
      </c>
      <c r="E1203">
        <v>3.2</v>
      </c>
      <c r="F1203">
        <v>4.7</v>
      </c>
      <c r="G1203">
        <v>0.4</v>
      </c>
      <c r="H1203">
        <v>3.8</v>
      </c>
      <c r="I1203">
        <v>0.3</v>
      </c>
      <c r="J1203">
        <v>2.8</v>
      </c>
      <c r="K1203">
        <f t="shared" si="1014"/>
        <v>19.200000000000003</v>
      </c>
      <c r="L1203">
        <v>0</v>
      </c>
      <c r="M1203">
        <v>0.1</v>
      </c>
      <c r="N1203">
        <v>2.2000000000000002</v>
      </c>
      <c r="O1203">
        <f t="shared" si="1009"/>
        <v>2.3000000000000003</v>
      </c>
      <c r="P1203">
        <v>0</v>
      </c>
      <c r="Q1203">
        <v>0</v>
      </c>
      <c r="R1203">
        <v>9.4</v>
      </c>
      <c r="S1203">
        <f t="shared" si="1010"/>
        <v>9.4</v>
      </c>
      <c r="T1203">
        <v>0.3</v>
      </c>
      <c r="U1203">
        <v>0.5</v>
      </c>
      <c r="V1203">
        <v>0</v>
      </c>
      <c r="W1203">
        <v>0</v>
      </c>
      <c r="X1203">
        <v>0</v>
      </c>
      <c r="Y1203">
        <v>0</v>
      </c>
      <c r="Z1203">
        <v>0.1</v>
      </c>
      <c r="AA1203">
        <f t="shared" si="1011"/>
        <v>0.9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 s="5">
        <f t="shared" si="1012"/>
        <v>0</v>
      </c>
      <c r="AK1203">
        <v>0.3</v>
      </c>
      <c r="AL1203">
        <v>0.68</v>
      </c>
      <c r="AM1203">
        <f t="shared" si="1013"/>
        <v>0.318</v>
      </c>
      <c r="AN1203">
        <v>1113</v>
      </c>
      <c r="AO1203" t="s">
        <v>13</v>
      </c>
      <c r="AP1203" s="3">
        <f t="shared" si="1017"/>
        <v>1631.9648093841643</v>
      </c>
      <c r="AQ1203" t="s">
        <v>13</v>
      </c>
      <c r="AR1203">
        <f t="shared" si="1016"/>
        <v>0</v>
      </c>
      <c r="AS1203">
        <f t="shared" si="1015"/>
        <v>0.31800000000000006</v>
      </c>
      <c r="AT1203">
        <f t="shared" si="1018"/>
        <v>519</v>
      </c>
      <c r="AU1203">
        <f t="shared" si="1019"/>
        <v>0</v>
      </c>
      <c r="AV1203">
        <f t="shared" si="1003"/>
        <v>362</v>
      </c>
      <c r="AW1203">
        <f t="shared" si="1004"/>
        <v>0</v>
      </c>
      <c r="AX1203" s="3">
        <f t="shared" si="1005"/>
        <v>1269.9648093841643</v>
      </c>
      <c r="AY1203">
        <f t="shared" si="1006"/>
        <v>259</v>
      </c>
      <c r="AZ1203">
        <f t="shared" si="1007"/>
        <v>0</v>
      </c>
      <c r="BA1203" s="3">
        <f t="shared" si="1008"/>
        <v>1372.9648093841643</v>
      </c>
    </row>
    <row r="1204" spans="1:53" x14ac:dyDescent="0.2">
      <c r="A1204">
        <v>2016</v>
      </c>
      <c r="B1204" t="s">
        <v>111</v>
      </c>
      <c r="C1204" t="s">
        <v>99</v>
      </c>
      <c r="D1204">
        <v>13.5</v>
      </c>
      <c r="E1204">
        <v>5</v>
      </c>
      <c r="F1204">
        <v>8.1</v>
      </c>
      <c r="G1204">
        <v>1.9</v>
      </c>
      <c r="H1204">
        <v>3.9</v>
      </c>
      <c r="I1204">
        <v>0.8</v>
      </c>
      <c r="J1204">
        <v>0.8</v>
      </c>
      <c r="K1204">
        <f t="shared" si="1014"/>
        <v>33.999999999999993</v>
      </c>
      <c r="L1204">
        <v>0</v>
      </c>
      <c r="M1204">
        <v>0.2</v>
      </c>
      <c r="N1204">
        <v>3.5</v>
      </c>
      <c r="O1204">
        <f t="shared" si="1009"/>
        <v>3.7</v>
      </c>
      <c r="P1204">
        <v>0</v>
      </c>
      <c r="Q1204">
        <v>0</v>
      </c>
      <c r="R1204">
        <v>7.1</v>
      </c>
      <c r="S1204">
        <f t="shared" si="1010"/>
        <v>7.1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f t="shared" si="1011"/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 s="5">
        <f t="shared" si="1012"/>
        <v>0</v>
      </c>
      <c r="AK1204">
        <v>0</v>
      </c>
      <c r="AL1204">
        <v>0.55200000000000005</v>
      </c>
      <c r="AM1204">
        <f t="shared" si="1013"/>
        <v>0.4479999999999999</v>
      </c>
      <c r="AN1204">
        <v>160</v>
      </c>
      <c r="AO1204" t="s">
        <v>13</v>
      </c>
      <c r="AP1204" s="3">
        <f t="shared" si="1017"/>
        <v>289.85507246376807</v>
      </c>
      <c r="AQ1204" t="s">
        <v>13</v>
      </c>
      <c r="AR1204">
        <f t="shared" si="1016"/>
        <v>0</v>
      </c>
      <c r="AS1204">
        <f t="shared" si="1015"/>
        <v>0.44799999999999995</v>
      </c>
      <c r="AT1204">
        <f t="shared" si="1018"/>
        <v>130</v>
      </c>
      <c r="AU1204">
        <f t="shared" si="1019"/>
        <v>0</v>
      </c>
      <c r="AV1204">
        <f t="shared" si="1003"/>
        <v>81</v>
      </c>
      <c r="AW1204">
        <f t="shared" si="1004"/>
        <v>0</v>
      </c>
      <c r="AX1204" s="3">
        <f t="shared" si="1005"/>
        <v>208.85507246376807</v>
      </c>
      <c r="AY1204">
        <f t="shared" si="1006"/>
        <v>65</v>
      </c>
      <c r="AZ1204">
        <f t="shared" si="1007"/>
        <v>0</v>
      </c>
      <c r="BA1204" s="3">
        <f t="shared" si="1008"/>
        <v>224.85507246376807</v>
      </c>
    </row>
    <row r="1205" spans="1:53" x14ac:dyDescent="0.2">
      <c r="A1205">
        <v>2017</v>
      </c>
      <c r="B1205" t="s">
        <v>111</v>
      </c>
      <c r="C1205" t="s">
        <v>99</v>
      </c>
      <c r="D1205">
        <v>7.9</v>
      </c>
      <c r="E1205">
        <v>0.7</v>
      </c>
      <c r="F1205">
        <v>7.2</v>
      </c>
      <c r="G1205">
        <v>1.6</v>
      </c>
      <c r="H1205">
        <v>7.1</v>
      </c>
      <c r="I1205">
        <v>0.6</v>
      </c>
      <c r="J1205">
        <v>3.8</v>
      </c>
      <c r="K1205">
        <f t="shared" si="1014"/>
        <v>28.900000000000002</v>
      </c>
      <c r="L1205">
        <v>0</v>
      </c>
      <c r="M1205">
        <v>0</v>
      </c>
      <c r="N1205">
        <v>1.7</v>
      </c>
      <c r="O1205">
        <f t="shared" si="1009"/>
        <v>1.7</v>
      </c>
      <c r="P1205">
        <v>0</v>
      </c>
      <c r="Q1205">
        <v>1.1000000000000001</v>
      </c>
      <c r="R1205">
        <v>7</v>
      </c>
      <c r="S1205">
        <f t="shared" si="1010"/>
        <v>8.1</v>
      </c>
      <c r="T1205">
        <v>0</v>
      </c>
      <c r="U1205">
        <v>0.1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f t="shared" si="1011"/>
        <v>0.1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0.1</v>
      </c>
      <c r="AI1205">
        <v>0</v>
      </c>
      <c r="AJ1205" s="5">
        <f t="shared" si="1012"/>
        <v>0.1</v>
      </c>
      <c r="AK1205">
        <v>1.2</v>
      </c>
      <c r="AL1205">
        <v>0.6</v>
      </c>
      <c r="AM1205">
        <f t="shared" si="1013"/>
        <v>0.38900000000000001</v>
      </c>
      <c r="AN1205">
        <v>274</v>
      </c>
      <c r="AO1205" t="s">
        <v>13</v>
      </c>
      <c r="AP1205" s="3">
        <f t="shared" si="1017"/>
        <v>448.4451718494272</v>
      </c>
      <c r="AQ1205" t="s">
        <v>13</v>
      </c>
      <c r="AR1205">
        <f t="shared" si="1016"/>
        <v>2.5706940874035988E-3</v>
      </c>
      <c r="AS1205">
        <f t="shared" si="1015"/>
        <v>0.38800000000000007</v>
      </c>
      <c r="AT1205">
        <f t="shared" si="1018"/>
        <v>174</v>
      </c>
      <c r="AU1205">
        <f t="shared" si="1019"/>
        <v>0</v>
      </c>
      <c r="AV1205">
        <f t="shared" si="1003"/>
        <v>109</v>
      </c>
      <c r="AW1205">
        <f t="shared" si="1004"/>
        <v>0</v>
      </c>
      <c r="AX1205" s="3">
        <f t="shared" si="1005"/>
        <v>339.4451718494272</v>
      </c>
      <c r="AY1205">
        <f t="shared" si="1006"/>
        <v>87</v>
      </c>
      <c r="AZ1205">
        <f t="shared" si="1007"/>
        <v>0</v>
      </c>
      <c r="BA1205" s="3">
        <f t="shared" si="1008"/>
        <v>361.4451718494272</v>
      </c>
    </row>
    <row r="1206" spans="1:53" x14ac:dyDescent="0.2">
      <c r="A1206">
        <v>2018</v>
      </c>
      <c r="B1206" t="s">
        <v>111</v>
      </c>
      <c r="C1206" t="s">
        <v>99</v>
      </c>
      <c r="D1206">
        <v>5.7</v>
      </c>
      <c r="E1206">
        <v>0.6</v>
      </c>
      <c r="F1206">
        <v>2.4</v>
      </c>
      <c r="G1206">
        <v>4.2</v>
      </c>
      <c r="H1206">
        <v>6.1</v>
      </c>
      <c r="I1206">
        <v>1.3</v>
      </c>
      <c r="J1206">
        <v>4.5</v>
      </c>
      <c r="K1206">
        <f t="shared" si="1014"/>
        <v>24.8</v>
      </c>
      <c r="L1206">
        <v>0</v>
      </c>
      <c r="M1206">
        <v>0</v>
      </c>
      <c r="N1206">
        <v>2.7</v>
      </c>
      <c r="O1206">
        <f t="shared" si="1009"/>
        <v>2.7</v>
      </c>
      <c r="P1206">
        <v>0</v>
      </c>
      <c r="Q1206">
        <v>0</v>
      </c>
      <c r="R1206">
        <v>7.1</v>
      </c>
      <c r="S1206">
        <f t="shared" si="1010"/>
        <v>7.1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f t="shared" si="1011"/>
        <v>0</v>
      </c>
      <c r="AB1206">
        <v>0</v>
      </c>
      <c r="AC1206">
        <v>0</v>
      </c>
      <c r="AD1206">
        <v>0</v>
      </c>
      <c r="AE1206">
        <v>0</v>
      </c>
      <c r="AF1206">
        <v>0.1</v>
      </c>
      <c r="AG1206">
        <v>0</v>
      </c>
      <c r="AH1206">
        <v>0</v>
      </c>
      <c r="AI1206">
        <v>0</v>
      </c>
      <c r="AJ1206" s="5">
        <f t="shared" si="1012"/>
        <v>0.1</v>
      </c>
      <c r="AK1206">
        <v>0.3</v>
      </c>
      <c r="AL1206">
        <v>0.64900000000000002</v>
      </c>
      <c r="AM1206">
        <f t="shared" si="1013"/>
        <v>0.34700000000000003</v>
      </c>
      <c r="AN1206">
        <v>555</v>
      </c>
      <c r="AO1206" t="s">
        <v>13</v>
      </c>
      <c r="AP1206" s="3">
        <f t="shared" si="1017"/>
        <v>849.9234303215926</v>
      </c>
      <c r="AQ1206" t="s">
        <v>13</v>
      </c>
      <c r="AR1206">
        <f t="shared" si="1016"/>
        <v>2.881844380403458E-3</v>
      </c>
      <c r="AS1206">
        <f t="shared" si="1015"/>
        <v>0.34600000000000003</v>
      </c>
      <c r="AT1206">
        <f t="shared" si="1018"/>
        <v>294</v>
      </c>
      <c r="AU1206">
        <f t="shared" si="1019"/>
        <v>1</v>
      </c>
      <c r="AV1206">
        <f t="shared" si="1003"/>
        <v>189</v>
      </c>
      <c r="AW1206">
        <f t="shared" si="1004"/>
        <v>1</v>
      </c>
      <c r="AX1206" s="3">
        <f t="shared" si="1005"/>
        <v>659.9234303215926</v>
      </c>
      <c r="AY1206">
        <f t="shared" si="1006"/>
        <v>147</v>
      </c>
      <c r="AZ1206">
        <f t="shared" si="1007"/>
        <v>1</v>
      </c>
      <c r="BA1206" s="3">
        <f t="shared" si="1008"/>
        <v>701.9234303215926</v>
      </c>
    </row>
    <row r="1207" spans="1:53" x14ac:dyDescent="0.2">
      <c r="A1207">
        <v>2019</v>
      </c>
      <c r="B1207" t="s">
        <v>111</v>
      </c>
      <c r="C1207" t="s">
        <v>99</v>
      </c>
      <c r="D1207">
        <v>4.7</v>
      </c>
      <c r="E1207">
        <v>5.5</v>
      </c>
      <c r="F1207">
        <v>3.5</v>
      </c>
      <c r="G1207">
        <v>2.6</v>
      </c>
      <c r="H1207">
        <v>5.2</v>
      </c>
      <c r="I1207">
        <v>0.8</v>
      </c>
      <c r="J1207">
        <v>2.2000000000000002</v>
      </c>
      <c r="K1207">
        <f t="shared" si="1014"/>
        <v>24.5</v>
      </c>
      <c r="L1207">
        <v>0</v>
      </c>
      <c r="M1207">
        <v>0</v>
      </c>
      <c r="N1207">
        <v>4.4000000000000004</v>
      </c>
      <c r="O1207">
        <f t="shared" ref="O1207:O1251" si="1020">SUM(L1207:N1207)</f>
        <v>4.4000000000000004</v>
      </c>
      <c r="P1207">
        <v>0</v>
      </c>
      <c r="Q1207">
        <v>0</v>
      </c>
      <c r="R1207">
        <v>6.5</v>
      </c>
      <c r="S1207">
        <f t="shared" ref="S1207:S1251" si="1021">SUM(P1207:R1207)</f>
        <v>6.5</v>
      </c>
      <c r="T1207">
        <v>0.1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f t="shared" ref="AA1207:AA1251" si="1022">SUM(T1207:Z1207)</f>
        <v>0.1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 s="5">
        <f t="shared" ref="AJ1207:AJ1251" si="1023">SUM(AB1207:AI1207)</f>
        <v>0</v>
      </c>
      <c r="AK1207">
        <v>0.1</v>
      </c>
      <c r="AL1207">
        <v>0.64500000000000002</v>
      </c>
      <c r="AM1207">
        <f t="shared" si="1013"/>
        <v>0.35499999999999998</v>
      </c>
      <c r="AN1207">
        <v>441</v>
      </c>
      <c r="AO1207" t="s">
        <v>13</v>
      </c>
      <c r="AP1207" s="3">
        <f t="shared" si="1017"/>
        <v>683.72093023255809</v>
      </c>
      <c r="AQ1207" t="s">
        <v>13</v>
      </c>
      <c r="AR1207">
        <f t="shared" si="1016"/>
        <v>0</v>
      </c>
      <c r="AS1207">
        <f t="shared" si="1015"/>
        <v>0.35499999999999998</v>
      </c>
      <c r="AT1207">
        <f t="shared" si="1018"/>
        <v>243</v>
      </c>
      <c r="AU1207">
        <f t="shared" si="1019"/>
        <v>0</v>
      </c>
      <c r="AV1207">
        <f t="shared" si="1003"/>
        <v>159</v>
      </c>
      <c r="AW1207">
        <f t="shared" si="1004"/>
        <v>0</v>
      </c>
      <c r="AX1207" s="3">
        <f t="shared" si="1005"/>
        <v>524.72093023255809</v>
      </c>
      <c r="AY1207">
        <f t="shared" si="1006"/>
        <v>121</v>
      </c>
      <c r="AZ1207">
        <f t="shared" si="1007"/>
        <v>0</v>
      </c>
      <c r="BA1207" s="3">
        <f t="shared" si="1008"/>
        <v>562.72093023255809</v>
      </c>
    </row>
    <row r="1208" spans="1:53" x14ac:dyDescent="0.2">
      <c r="A1208">
        <v>2020</v>
      </c>
      <c r="B1208" t="s">
        <v>111</v>
      </c>
      <c r="C1208" t="s">
        <v>99</v>
      </c>
      <c r="D1208">
        <v>6.6</v>
      </c>
      <c r="E1208">
        <v>2.6</v>
      </c>
      <c r="F1208">
        <v>4.5</v>
      </c>
      <c r="G1208">
        <v>2.4</v>
      </c>
      <c r="H1208">
        <v>2.7</v>
      </c>
      <c r="I1208">
        <v>0.3</v>
      </c>
      <c r="J1208">
        <v>1.7</v>
      </c>
      <c r="K1208">
        <f t="shared" si="1014"/>
        <v>20.799999999999997</v>
      </c>
      <c r="L1208">
        <v>0</v>
      </c>
      <c r="M1208">
        <v>0</v>
      </c>
      <c r="N1208">
        <v>1.4</v>
      </c>
      <c r="O1208">
        <f t="shared" si="1020"/>
        <v>1.4</v>
      </c>
      <c r="P1208">
        <v>0</v>
      </c>
      <c r="Q1208">
        <v>0</v>
      </c>
      <c r="R1208">
        <v>3.8</v>
      </c>
      <c r="S1208">
        <f t="shared" si="1021"/>
        <v>3.8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0.1</v>
      </c>
      <c r="AA1208">
        <f t="shared" si="1022"/>
        <v>0.1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 s="5">
        <f t="shared" si="1023"/>
        <v>0</v>
      </c>
      <c r="AK1208">
        <v>1.4</v>
      </c>
      <c r="AL1208">
        <v>0.72499999999999998</v>
      </c>
      <c r="AM1208">
        <f t="shared" si="1013"/>
        <v>0.26099999999999995</v>
      </c>
      <c r="AN1208">
        <v>117</v>
      </c>
      <c r="AO1208" t="s">
        <v>13</v>
      </c>
      <c r="AP1208" s="3">
        <f t="shared" si="1017"/>
        <v>158.32205683355883</v>
      </c>
      <c r="AQ1208" t="s">
        <v>13</v>
      </c>
      <c r="AR1208">
        <f t="shared" si="1016"/>
        <v>0</v>
      </c>
      <c r="AS1208">
        <f t="shared" si="1015"/>
        <v>0.26099999999999995</v>
      </c>
      <c r="AT1208">
        <f t="shared" si="1018"/>
        <v>41</v>
      </c>
      <c r="AU1208">
        <f t="shared" si="1019"/>
        <v>0</v>
      </c>
      <c r="AV1208">
        <f t="shared" si="1003"/>
        <v>25</v>
      </c>
      <c r="AW1208">
        <f t="shared" si="1004"/>
        <v>0</v>
      </c>
      <c r="AX1208" s="3">
        <f t="shared" si="1005"/>
        <v>133.32205683355883</v>
      </c>
      <c r="AY1208">
        <f t="shared" si="1006"/>
        <v>21</v>
      </c>
      <c r="AZ1208">
        <f t="shared" si="1007"/>
        <v>0</v>
      </c>
      <c r="BA1208" s="3">
        <f t="shared" si="1008"/>
        <v>137.32205683355883</v>
      </c>
    </row>
    <row r="1209" spans="1:53" x14ac:dyDescent="0.2">
      <c r="A1209">
        <v>2021</v>
      </c>
      <c r="B1209" t="s">
        <v>111</v>
      </c>
      <c r="C1209" t="s">
        <v>99</v>
      </c>
      <c r="D1209">
        <v>7.5</v>
      </c>
      <c r="E1209">
        <v>4.9000000000000004</v>
      </c>
      <c r="F1209">
        <v>3.1</v>
      </c>
      <c r="G1209">
        <v>3.1</v>
      </c>
      <c r="H1209">
        <v>2.7</v>
      </c>
      <c r="I1209">
        <v>0.8</v>
      </c>
      <c r="J1209">
        <v>1.8</v>
      </c>
      <c r="K1209">
        <f t="shared" si="1014"/>
        <v>23.900000000000002</v>
      </c>
      <c r="L1209">
        <v>0</v>
      </c>
      <c r="M1209">
        <v>0</v>
      </c>
      <c r="N1209">
        <v>1.7</v>
      </c>
      <c r="O1209">
        <f t="shared" si="1020"/>
        <v>1.7</v>
      </c>
      <c r="P1209">
        <v>0</v>
      </c>
      <c r="Q1209">
        <v>0</v>
      </c>
      <c r="R1209">
        <v>4.5999999999999996</v>
      </c>
      <c r="S1209">
        <f t="shared" si="1021"/>
        <v>4.5999999999999996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f t="shared" si="1022"/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 s="5">
        <f t="shared" si="1023"/>
        <v>0</v>
      </c>
      <c r="AK1209">
        <v>0</v>
      </c>
      <c r="AL1209">
        <v>0.69799999999999995</v>
      </c>
      <c r="AM1209">
        <f t="shared" si="1013"/>
        <v>0.30200000000000005</v>
      </c>
      <c r="AN1209">
        <v>242</v>
      </c>
      <c r="AO1209" t="s">
        <v>13</v>
      </c>
      <c r="AP1209" s="3">
        <f t="shared" si="1017"/>
        <v>346.70487106017197</v>
      </c>
      <c r="AQ1209" t="s">
        <v>13</v>
      </c>
      <c r="AR1209">
        <f t="shared" si="1016"/>
        <v>0</v>
      </c>
      <c r="AS1209">
        <f t="shared" si="1015"/>
        <v>0.30200000000000005</v>
      </c>
      <c r="AT1209">
        <f t="shared" si="1018"/>
        <v>105</v>
      </c>
      <c r="AU1209">
        <f t="shared" si="1019"/>
        <v>0</v>
      </c>
      <c r="AV1209">
        <f t="shared" si="1003"/>
        <v>63</v>
      </c>
      <c r="AW1209">
        <f t="shared" si="1004"/>
        <v>0</v>
      </c>
      <c r="AX1209" s="3">
        <f t="shared" si="1005"/>
        <v>283.70487106017197</v>
      </c>
      <c r="AY1209">
        <f t="shared" si="1006"/>
        <v>52</v>
      </c>
      <c r="AZ1209">
        <f t="shared" si="1007"/>
        <v>0</v>
      </c>
      <c r="BA1209" s="3">
        <f t="shared" si="1008"/>
        <v>294.70487106017197</v>
      </c>
    </row>
    <row r="1210" spans="1:53" x14ac:dyDescent="0.2">
      <c r="A1210">
        <v>2022</v>
      </c>
      <c r="B1210" t="s">
        <v>111</v>
      </c>
      <c r="C1210" t="s">
        <v>99</v>
      </c>
      <c r="D1210">
        <v>8.8000000000000007</v>
      </c>
      <c r="E1210">
        <v>6.1</v>
      </c>
      <c r="F1210">
        <v>3.8</v>
      </c>
      <c r="G1210">
        <v>1.8</v>
      </c>
      <c r="H1210">
        <v>2.6</v>
      </c>
      <c r="I1210">
        <v>0.6</v>
      </c>
      <c r="J1210">
        <v>2.8</v>
      </c>
      <c r="K1210">
        <f t="shared" si="1014"/>
        <v>26.500000000000004</v>
      </c>
      <c r="L1210">
        <v>0</v>
      </c>
      <c r="M1210">
        <v>0</v>
      </c>
      <c r="N1210">
        <v>6.1</v>
      </c>
      <c r="O1210">
        <f t="shared" si="1020"/>
        <v>6.1</v>
      </c>
      <c r="P1210">
        <v>0</v>
      </c>
      <c r="Q1210">
        <v>0</v>
      </c>
      <c r="R1210">
        <v>8.8000000000000007</v>
      </c>
      <c r="S1210">
        <f t="shared" si="1021"/>
        <v>8.8000000000000007</v>
      </c>
      <c r="T1210">
        <v>0.1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0.2</v>
      </c>
      <c r="AA1210">
        <f t="shared" si="1022"/>
        <v>0.30000000000000004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0.1</v>
      </c>
      <c r="AI1210">
        <v>0</v>
      </c>
      <c r="AJ1210" s="5">
        <f t="shared" si="1023"/>
        <v>0.1</v>
      </c>
      <c r="AK1210">
        <v>0</v>
      </c>
      <c r="AL1210">
        <v>0.58099999999999996</v>
      </c>
      <c r="AM1210">
        <f t="shared" si="1013"/>
        <v>0.41799999999999998</v>
      </c>
      <c r="AN1210">
        <v>231</v>
      </c>
      <c r="AO1210" t="s">
        <v>13</v>
      </c>
      <c r="AP1210" s="3">
        <f t="shared" si="1017"/>
        <v>396.90721649484533</v>
      </c>
      <c r="AQ1210" t="s">
        <v>13</v>
      </c>
      <c r="AR1210">
        <f t="shared" si="1016"/>
        <v>2.3923444976076558E-3</v>
      </c>
      <c r="AS1210">
        <f t="shared" si="1015"/>
        <v>0.41700000000000004</v>
      </c>
      <c r="AT1210">
        <f t="shared" si="1018"/>
        <v>166</v>
      </c>
      <c r="AU1210">
        <f t="shared" si="1019"/>
        <v>0</v>
      </c>
      <c r="AV1210">
        <f t="shared" si="1003"/>
        <v>113</v>
      </c>
      <c r="AW1210">
        <f t="shared" si="1004"/>
        <v>0</v>
      </c>
      <c r="AX1210" s="3">
        <f t="shared" si="1005"/>
        <v>283.90721649484533</v>
      </c>
      <c r="AY1210">
        <f t="shared" si="1006"/>
        <v>83</v>
      </c>
      <c r="AZ1210">
        <f t="shared" si="1007"/>
        <v>0</v>
      </c>
      <c r="BA1210" s="3">
        <f t="shared" si="1008"/>
        <v>313.90721649484533</v>
      </c>
    </row>
    <row r="1211" spans="1:53" x14ac:dyDescent="0.2">
      <c r="A1211">
        <v>2023</v>
      </c>
      <c r="B1211" t="s">
        <v>111</v>
      </c>
      <c r="C1211" t="s">
        <v>99</v>
      </c>
      <c r="D1211">
        <v>2.5</v>
      </c>
      <c r="E1211">
        <v>1.9</v>
      </c>
      <c r="F1211">
        <v>1.6</v>
      </c>
      <c r="G1211">
        <v>1.9</v>
      </c>
      <c r="H1211">
        <v>1.9</v>
      </c>
      <c r="I1211">
        <v>0.9</v>
      </c>
      <c r="J1211">
        <v>1.7</v>
      </c>
      <c r="K1211">
        <f t="shared" si="1014"/>
        <v>12.4</v>
      </c>
      <c r="L1211">
        <v>0</v>
      </c>
      <c r="M1211">
        <v>0</v>
      </c>
      <c r="N1211">
        <v>2.4</v>
      </c>
      <c r="O1211">
        <f t="shared" si="1020"/>
        <v>2.4</v>
      </c>
      <c r="P1211">
        <v>0</v>
      </c>
      <c r="Q1211">
        <v>0.5</v>
      </c>
      <c r="R1211">
        <v>4.7</v>
      </c>
      <c r="S1211">
        <f t="shared" si="1021"/>
        <v>5.2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f t="shared" si="1022"/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 s="5">
        <f t="shared" si="1023"/>
        <v>0</v>
      </c>
      <c r="AK1211">
        <v>0</v>
      </c>
      <c r="AL1211">
        <v>0.8</v>
      </c>
      <c r="AM1211">
        <f t="shared" si="1013"/>
        <v>0.19999999999999996</v>
      </c>
      <c r="AN1211">
        <v>104</v>
      </c>
      <c r="AO1211" t="s">
        <v>13</v>
      </c>
      <c r="AP1211" s="3">
        <f t="shared" si="1017"/>
        <v>130</v>
      </c>
      <c r="AQ1211" t="s">
        <v>13</v>
      </c>
      <c r="AR1211">
        <f t="shared" si="1016"/>
        <v>0</v>
      </c>
      <c r="AS1211">
        <f t="shared" si="1015"/>
        <v>0.2</v>
      </c>
      <c r="AT1211">
        <f t="shared" si="1018"/>
        <v>26</v>
      </c>
      <c r="AU1211">
        <f t="shared" si="1019"/>
        <v>0</v>
      </c>
      <c r="AV1211">
        <f t="shared" si="1003"/>
        <v>18</v>
      </c>
      <c r="AW1211">
        <f t="shared" si="1004"/>
        <v>0</v>
      </c>
      <c r="AX1211" s="3">
        <f t="shared" si="1005"/>
        <v>112</v>
      </c>
      <c r="AY1211">
        <f t="shared" si="1006"/>
        <v>13</v>
      </c>
      <c r="AZ1211">
        <f t="shared" si="1007"/>
        <v>0</v>
      </c>
      <c r="BA1211" s="3">
        <f t="shared" si="1008"/>
        <v>117</v>
      </c>
    </row>
    <row r="1212" spans="1:53" x14ac:dyDescent="0.2">
      <c r="A1212">
        <v>1979</v>
      </c>
      <c r="B1212" t="s">
        <v>112</v>
      </c>
      <c r="C1212" t="s">
        <v>99</v>
      </c>
      <c r="D1212">
        <v>21.2</v>
      </c>
      <c r="E1212">
        <v>0.6</v>
      </c>
      <c r="F1212">
        <v>0.7</v>
      </c>
      <c r="G1212">
        <v>11.9</v>
      </c>
      <c r="H1212">
        <v>0</v>
      </c>
      <c r="I1212">
        <v>8.3000000000000007</v>
      </c>
      <c r="J1212">
        <v>0</v>
      </c>
      <c r="K1212">
        <f t="shared" si="1014"/>
        <v>42.7</v>
      </c>
      <c r="L1212">
        <v>11.3</v>
      </c>
      <c r="M1212">
        <v>7.4</v>
      </c>
      <c r="N1212">
        <v>0.1</v>
      </c>
      <c r="O1212">
        <f t="shared" si="1020"/>
        <v>18.800000000000004</v>
      </c>
      <c r="P1212">
        <v>0.5</v>
      </c>
      <c r="Q1212">
        <v>2.1</v>
      </c>
      <c r="R1212">
        <v>1.4</v>
      </c>
      <c r="S1212">
        <f t="shared" si="1021"/>
        <v>4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f t="shared" si="1022"/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0.1</v>
      </c>
      <c r="AI1212">
        <v>0</v>
      </c>
      <c r="AJ1212" s="5">
        <f t="shared" si="1023"/>
        <v>0.1</v>
      </c>
      <c r="AK1212">
        <v>0</v>
      </c>
      <c r="AL1212">
        <v>0.34399999999999997</v>
      </c>
      <c r="AM1212">
        <f t="shared" ref="AM1212:AM1256" si="1024">SUM(AB1212:AI1212,T1212:Z1212,P1212:R1212,L1212:N1212,D1212:J1212)/100</f>
        <v>0.65600000000000014</v>
      </c>
      <c r="AN1212">
        <v>60</v>
      </c>
      <c r="AO1212" t="s">
        <v>13</v>
      </c>
      <c r="AP1212" s="3">
        <f t="shared" si="1017"/>
        <v>174.41860465116287</v>
      </c>
      <c r="AQ1212" t="s">
        <v>13</v>
      </c>
      <c r="AR1212">
        <f t="shared" si="1016"/>
        <v>1.5243902439024386E-3</v>
      </c>
      <c r="AS1212">
        <f t="shared" si="1015"/>
        <v>0.65500000000000003</v>
      </c>
      <c r="AT1212">
        <f t="shared" si="1018"/>
        <v>114</v>
      </c>
      <c r="AU1212">
        <f t="shared" si="1019"/>
        <v>0</v>
      </c>
      <c r="AV1212">
        <f t="shared" si="1003"/>
        <v>77</v>
      </c>
      <c r="AW1212">
        <f t="shared" si="1004"/>
        <v>0</v>
      </c>
      <c r="AX1212" s="3">
        <f t="shared" si="1005"/>
        <v>97.418604651162866</v>
      </c>
      <c r="AY1212">
        <f t="shared" si="1006"/>
        <v>57</v>
      </c>
      <c r="AZ1212">
        <f t="shared" si="1007"/>
        <v>0</v>
      </c>
      <c r="BA1212" s="3">
        <f t="shared" si="1008"/>
        <v>117.41860465116287</v>
      </c>
    </row>
    <row r="1213" spans="1:53" x14ac:dyDescent="0.2">
      <c r="A1213">
        <v>1980</v>
      </c>
      <c r="B1213" t="s">
        <v>112</v>
      </c>
      <c r="C1213" t="s">
        <v>99</v>
      </c>
      <c r="D1213">
        <v>28.3</v>
      </c>
      <c r="E1213">
        <v>5.7</v>
      </c>
      <c r="F1213">
        <v>1.1000000000000001</v>
      </c>
      <c r="G1213">
        <v>8.5</v>
      </c>
      <c r="H1213">
        <v>0</v>
      </c>
      <c r="I1213">
        <v>7.4</v>
      </c>
      <c r="J1213">
        <v>0.2</v>
      </c>
      <c r="K1213">
        <f t="shared" si="1014"/>
        <v>51.2</v>
      </c>
      <c r="L1213">
        <v>8.6999999999999993</v>
      </c>
      <c r="M1213">
        <v>4.5999999999999996</v>
      </c>
      <c r="N1213">
        <v>0</v>
      </c>
      <c r="O1213">
        <f t="shared" si="1020"/>
        <v>13.299999999999999</v>
      </c>
      <c r="P1213">
        <v>0</v>
      </c>
      <c r="Q1213">
        <v>1.2</v>
      </c>
      <c r="R1213">
        <v>0.5</v>
      </c>
      <c r="S1213">
        <f t="shared" si="1021"/>
        <v>1.7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0.2</v>
      </c>
      <c r="Z1213">
        <v>0</v>
      </c>
      <c r="AA1213">
        <f t="shared" si="1022"/>
        <v>0.2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 s="5">
        <f t="shared" si="1023"/>
        <v>0</v>
      </c>
      <c r="AK1213">
        <v>0</v>
      </c>
      <c r="AL1213">
        <v>0.33600000000000002</v>
      </c>
      <c r="AM1213">
        <f t="shared" si="1024"/>
        <v>0.66400000000000003</v>
      </c>
      <c r="AN1213">
        <v>100</v>
      </c>
      <c r="AO1213" t="s">
        <v>13</v>
      </c>
      <c r="AP1213" s="3">
        <f t="shared" si="1017"/>
        <v>297.61904761904765</v>
      </c>
      <c r="AQ1213" t="s">
        <v>13</v>
      </c>
      <c r="AR1213">
        <f t="shared" si="1016"/>
        <v>0</v>
      </c>
      <c r="AS1213">
        <f t="shared" si="1015"/>
        <v>0.66400000000000003</v>
      </c>
      <c r="AT1213">
        <f t="shared" si="1018"/>
        <v>198</v>
      </c>
      <c r="AU1213">
        <f t="shared" si="1019"/>
        <v>0</v>
      </c>
      <c r="AV1213">
        <f t="shared" si="1003"/>
        <v>121</v>
      </c>
      <c r="AW1213">
        <f t="shared" si="1004"/>
        <v>0</v>
      </c>
      <c r="AX1213" s="3">
        <f t="shared" si="1005"/>
        <v>176.61904761904765</v>
      </c>
      <c r="AY1213">
        <f t="shared" si="1006"/>
        <v>99</v>
      </c>
      <c r="AZ1213">
        <f t="shared" si="1007"/>
        <v>0</v>
      </c>
      <c r="BA1213" s="3">
        <f t="shared" si="1008"/>
        <v>198.61904761904765</v>
      </c>
    </row>
    <row r="1214" spans="1:53" x14ac:dyDescent="0.2">
      <c r="A1214">
        <v>1981</v>
      </c>
      <c r="B1214" t="s">
        <v>112</v>
      </c>
      <c r="C1214" t="s">
        <v>99</v>
      </c>
      <c r="D1214">
        <v>31.6</v>
      </c>
      <c r="E1214">
        <v>1.6</v>
      </c>
      <c r="F1214">
        <v>1</v>
      </c>
      <c r="G1214">
        <v>13.9</v>
      </c>
      <c r="H1214">
        <v>0</v>
      </c>
      <c r="I1214">
        <v>5.8</v>
      </c>
      <c r="J1214">
        <v>0.1</v>
      </c>
      <c r="K1214">
        <f t="shared" si="1014"/>
        <v>54</v>
      </c>
      <c r="L1214">
        <v>8.3000000000000007</v>
      </c>
      <c r="M1214">
        <v>4.5999999999999996</v>
      </c>
      <c r="N1214">
        <v>0.3</v>
      </c>
      <c r="O1214">
        <f t="shared" si="1020"/>
        <v>13.200000000000001</v>
      </c>
      <c r="P1214">
        <v>0.4</v>
      </c>
      <c r="Q1214">
        <v>1.2</v>
      </c>
      <c r="R1214">
        <v>1.5</v>
      </c>
      <c r="S1214">
        <f t="shared" si="1021"/>
        <v>3.1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0.8</v>
      </c>
      <c r="Z1214">
        <v>0.1</v>
      </c>
      <c r="AA1214">
        <f t="shared" si="1022"/>
        <v>0.9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0.4</v>
      </c>
      <c r="AI1214">
        <v>0</v>
      </c>
      <c r="AJ1214" s="5">
        <f t="shared" si="1023"/>
        <v>0.4</v>
      </c>
      <c r="AK1214">
        <v>0</v>
      </c>
      <c r="AL1214">
        <v>0.28399999999999997</v>
      </c>
      <c r="AM1214">
        <f t="shared" si="1024"/>
        <v>0.71599999999999997</v>
      </c>
      <c r="AN1214">
        <v>100</v>
      </c>
      <c r="AO1214" t="s">
        <v>13</v>
      </c>
      <c r="AP1214" s="3">
        <f t="shared" si="1017"/>
        <v>352.11267605633799</v>
      </c>
      <c r="AQ1214" t="s">
        <v>13</v>
      </c>
      <c r="AR1214">
        <f t="shared" si="1016"/>
        <v>5.5865921787709499E-3</v>
      </c>
      <c r="AS1214">
        <f t="shared" si="1015"/>
        <v>0.71200000000000008</v>
      </c>
      <c r="AT1214">
        <f t="shared" si="1018"/>
        <v>251</v>
      </c>
      <c r="AU1214">
        <f t="shared" si="1019"/>
        <v>1</v>
      </c>
      <c r="AV1214">
        <f t="shared" si="1003"/>
        <v>156</v>
      </c>
      <c r="AW1214">
        <f t="shared" si="1004"/>
        <v>2</v>
      </c>
      <c r="AX1214" s="3">
        <f t="shared" si="1005"/>
        <v>194.11267605633799</v>
      </c>
      <c r="AY1214">
        <f t="shared" si="1006"/>
        <v>125</v>
      </c>
      <c r="AZ1214">
        <f t="shared" si="1007"/>
        <v>2</v>
      </c>
      <c r="BA1214" s="3">
        <f t="shared" si="1008"/>
        <v>225.11267605633799</v>
      </c>
    </row>
    <row r="1215" spans="1:53" x14ac:dyDescent="0.2">
      <c r="A1215">
        <v>1982</v>
      </c>
      <c r="B1215" t="s">
        <v>112</v>
      </c>
      <c r="C1215" t="s">
        <v>99</v>
      </c>
      <c r="D1215">
        <v>29.1</v>
      </c>
      <c r="E1215">
        <v>3.5</v>
      </c>
      <c r="F1215">
        <v>1.6</v>
      </c>
      <c r="G1215">
        <v>14.7</v>
      </c>
      <c r="H1215">
        <v>0</v>
      </c>
      <c r="I1215">
        <v>6.1</v>
      </c>
      <c r="J1215">
        <v>0.1</v>
      </c>
      <c r="K1215">
        <f t="shared" si="1014"/>
        <v>55.100000000000009</v>
      </c>
      <c r="L1215">
        <v>7.1</v>
      </c>
      <c r="M1215">
        <v>4.5</v>
      </c>
      <c r="N1215">
        <v>0</v>
      </c>
      <c r="O1215">
        <f t="shared" si="1020"/>
        <v>11.6</v>
      </c>
      <c r="P1215">
        <v>0.1</v>
      </c>
      <c r="Q1215">
        <v>1.3</v>
      </c>
      <c r="R1215">
        <v>0.9</v>
      </c>
      <c r="S1215">
        <f t="shared" si="1021"/>
        <v>2.3000000000000003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0.5</v>
      </c>
      <c r="Z1215">
        <v>0.1</v>
      </c>
      <c r="AA1215">
        <f t="shared" si="1022"/>
        <v>0.6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0.1</v>
      </c>
      <c r="AI1215">
        <v>0</v>
      </c>
      <c r="AJ1215" s="5">
        <f t="shared" si="1023"/>
        <v>0.1</v>
      </c>
      <c r="AK1215">
        <v>0</v>
      </c>
      <c r="AL1215">
        <v>0.3</v>
      </c>
      <c r="AM1215">
        <f t="shared" si="1024"/>
        <v>0.69699999999999984</v>
      </c>
      <c r="AN1215">
        <v>100</v>
      </c>
      <c r="AO1215" t="s">
        <v>13</v>
      </c>
      <c r="AP1215" s="3">
        <f t="shared" si="1017"/>
        <v>330.03300330032988</v>
      </c>
      <c r="AQ1215" t="s">
        <v>13</v>
      </c>
      <c r="AR1215">
        <f t="shared" si="1016"/>
        <v>1.434720229555237E-3</v>
      </c>
      <c r="AS1215">
        <f t="shared" si="1015"/>
        <v>0.69599999999999995</v>
      </c>
      <c r="AT1215">
        <f t="shared" si="1018"/>
        <v>230</v>
      </c>
      <c r="AU1215">
        <f t="shared" si="1019"/>
        <v>0</v>
      </c>
      <c r="AV1215">
        <f t="shared" si="1003"/>
        <v>139</v>
      </c>
      <c r="AW1215">
        <f t="shared" si="1004"/>
        <v>0</v>
      </c>
      <c r="AX1215" s="3">
        <f t="shared" si="1005"/>
        <v>191.03300330032988</v>
      </c>
      <c r="AY1215">
        <f t="shared" si="1006"/>
        <v>115</v>
      </c>
      <c r="AZ1215">
        <f t="shared" si="1007"/>
        <v>0</v>
      </c>
      <c r="BA1215" s="3">
        <f t="shared" si="1008"/>
        <v>215.03300330032988</v>
      </c>
    </row>
    <row r="1216" spans="1:53" x14ac:dyDescent="0.2">
      <c r="A1216">
        <v>1983</v>
      </c>
      <c r="B1216" t="s">
        <v>112</v>
      </c>
      <c r="C1216" t="s">
        <v>99</v>
      </c>
      <c r="D1216">
        <v>41.4</v>
      </c>
      <c r="E1216">
        <v>2.7</v>
      </c>
      <c r="F1216">
        <v>0.4</v>
      </c>
      <c r="G1216">
        <v>11.1</v>
      </c>
      <c r="H1216">
        <v>0</v>
      </c>
      <c r="I1216">
        <v>5.7</v>
      </c>
      <c r="J1216">
        <v>0</v>
      </c>
      <c r="K1216">
        <f t="shared" si="1014"/>
        <v>61.300000000000004</v>
      </c>
      <c r="L1216">
        <v>7.9</v>
      </c>
      <c r="M1216">
        <v>2.2999999999999998</v>
      </c>
      <c r="N1216">
        <v>0.1</v>
      </c>
      <c r="O1216">
        <f t="shared" si="1020"/>
        <v>10.299999999999999</v>
      </c>
      <c r="P1216">
        <v>0</v>
      </c>
      <c r="Q1216">
        <v>0.6</v>
      </c>
      <c r="R1216">
        <v>0.4</v>
      </c>
      <c r="S1216">
        <f t="shared" si="1021"/>
        <v>1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f t="shared" si="1022"/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0.1</v>
      </c>
      <c r="AI1216">
        <v>0</v>
      </c>
      <c r="AJ1216" s="5">
        <f t="shared" si="1023"/>
        <v>0.1</v>
      </c>
      <c r="AK1216">
        <v>0</v>
      </c>
      <c r="AL1216">
        <v>0.27300000000000002</v>
      </c>
      <c r="AM1216">
        <f t="shared" si="1024"/>
        <v>0.72699999999999998</v>
      </c>
      <c r="AN1216">
        <v>300</v>
      </c>
      <c r="AO1216" t="s">
        <v>13</v>
      </c>
      <c r="AP1216" s="3">
        <f t="shared" si="1017"/>
        <v>1098.9010989010987</v>
      </c>
      <c r="AQ1216" t="s">
        <v>13</v>
      </c>
      <c r="AR1216">
        <f t="shared" si="1016"/>
        <v>1.375515818431912E-3</v>
      </c>
      <c r="AS1216">
        <f t="shared" si="1015"/>
        <v>0.72600000000000009</v>
      </c>
      <c r="AT1216">
        <f t="shared" si="1018"/>
        <v>798</v>
      </c>
      <c r="AU1216">
        <f t="shared" si="1019"/>
        <v>1</v>
      </c>
      <c r="AV1216">
        <f t="shared" si="1003"/>
        <v>461</v>
      </c>
      <c r="AW1216">
        <f t="shared" si="1004"/>
        <v>2</v>
      </c>
      <c r="AX1216" s="3">
        <f t="shared" si="1005"/>
        <v>635.90109890109875</v>
      </c>
      <c r="AY1216">
        <f t="shared" si="1006"/>
        <v>399</v>
      </c>
      <c r="AZ1216">
        <f t="shared" si="1007"/>
        <v>2</v>
      </c>
      <c r="BA1216" s="3">
        <f t="shared" si="1008"/>
        <v>697.90109890109875</v>
      </c>
    </row>
    <row r="1217" spans="1:53" x14ac:dyDescent="0.2">
      <c r="A1217">
        <v>1984</v>
      </c>
      <c r="B1217" t="s">
        <v>112</v>
      </c>
      <c r="C1217" t="s">
        <v>99</v>
      </c>
      <c r="D1217">
        <v>30.1</v>
      </c>
      <c r="E1217">
        <v>4.0999999999999996</v>
      </c>
      <c r="F1217">
        <v>0.1</v>
      </c>
      <c r="G1217">
        <v>13.7</v>
      </c>
      <c r="H1217">
        <v>0</v>
      </c>
      <c r="I1217">
        <v>6.7</v>
      </c>
      <c r="J1217">
        <v>0</v>
      </c>
      <c r="K1217">
        <f t="shared" si="1014"/>
        <v>54.7</v>
      </c>
      <c r="L1217">
        <v>3.9</v>
      </c>
      <c r="M1217">
        <v>2.7</v>
      </c>
      <c r="N1217">
        <v>0</v>
      </c>
      <c r="O1217">
        <f t="shared" si="1020"/>
        <v>6.6</v>
      </c>
      <c r="P1217">
        <v>0</v>
      </c>
      <c r="Q1217">
        <v>0.8</v>
      </c>
      <c r="R1217">
        <v>1</v>
      </c>
      <c r="S1217">
        <f t="shared" si="1021"/>
        <v>1.8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0.1</v>
      </c>
      <c r="Z1217">
        <v>0</v>
      </c>
      <c r="AA1217">
        <f t="shared" si="1022"/>
        <v>0.1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 s="5">
        <f t="shared" si="1023"/>
        <v>0</v>
      </c>
      <c r="AK1217">
        <v>0</v>
      </c>
      <c r="AL1217">
        <v>0.36700000000000005</v>
      </c>
      <c r="AM1217">
        <f t="shared" si="1024"/>
        <v>0.63200000000000001</v>
      </c>
      <c r="AN1217">
        <v>400</v>
      </c>
      <c r="AO1217" t="s">
        <v>13</v>
      </c>
      <c r="AP1217" s="3">
        <f t="shared" si="1017"/>
        <v>1086.9565217391305</v>
      </c>
      <c r="AQ1217" t="s">
        <v>13</v>
      </c>
      <c r="AR1217">
        <f t="shared" si="1016"/>
        <v>0</v>
      </c>
      <c r="AS1217">
        <f t="shared" si="1015"/>
        <v>0.63200000000000001</v>
      </c>
      <c r="AT1217">
        <f t="shared" si="1018"/>
        <v>687</v>
      </c>
      <c r="AU1217">
        <f t="shared" si="1019"/>
        <v>0</v>
      </c>
      <c r="AV1217">
        <f t="shared" si="1003"/>
        <v>390</v>
      </c>
      <c r="AW1217">
        <f t="shared" si="1004"/>
        <v>0</v>
      </c>
      <c r="AX1217" s="3">
        <f t="shared" si="1005"/>
        <v>696.95652173913049</v>
      </c>
      <c r="AY1217">
        <f t="shared" si="1006"/>
        <v>343</v>
      </c>
      <c r="AZ1217">
        <f t="shared" si="1007"/>
        <v>0</v>
      </c>
      <c r="BA1217" s="3">
        <f t="shared" si="1008"/>
        <v>743.95652173913049</v>
      </c>
    </row>
    <row r="1218" spans="1:53" x14ac:dyDescent="0.2">
      <c r="A1218">
        <v>1985</v>
      </c>
      <c r="B1218" t="s">
        <v>112</v>
      </c>
      <c r="C1218" t="s">
        <v>99</v>
      </c>
      <c r="D1218">
        <v>19.8</v>
      </c>
      <c r="E1218">
        <v>13.7</v>
      </c>
      <c r="F1218">
        <v>0</v>
      </c>
      <c r="G1218">
        <v>16</v>
      </c>
      <c r="H1218">
        <v>0</v>
      </c>
      <c r="I1218">
        <v>1.4</v>
      </c>
      <c r="J1218">
        <v>0</v>
      </c>
      <c r="K1218">
        <f t="shared" si="1014"/>
        <v>50.9</v>
      </c>
      <c r="L1218">
        <v>0.9</v>
      </c>
      <c r="M1218">
        <v>3.7</v>
      </c>
      <c r="N1218">
        <v>0</v>
      </c>
      <c r="O1218">
        <f t="shared" si="1020"/>
        <v>4.6000000000000005</v>
      </c>
      <c r="P1218">
        <v>0</v>
      </c>
      <c r="Q1218">
        <v>1.9</v>
      </c>
      <c r="R1218">
        <v>0.7</v>
      </c>
      <c r="S1218">
        <f t="shared" si="1021"/>
        <v>2.5999999999999996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0.2</v>
      </c>
      <c r="Z1218">
        <v>0.2</v>
      </c>
      <c r="AA1218">
        <f t="shared" si="1022"/>
        <v>0.4</v>
      </c>
      <c r="AB1218">
        <v>0</v>
      </c>
      <c r="AC1218">
        <v>0</v>
      </c>
      <c r="AD1218">
        <v>0</v>
      </c>
      <c r="AE1218">
        <v>0</v>
      </c>
      <c r="AF1218">
        <v>0.2</v>
      </c>
      <c r="AG1218">
        <v>0</v>
      </c>
      <c r="AH1218">
        <v>1.1000000000000001</v>
      </c>
      <c r="AI1218">
        <v>0</v>
      </c>
      <c r="AJ1218" s="5">
        <f t="shared" si="1023"/>
        <v>1.3</v>
      </c>
      <c r="AK1218">
        <v>0.2</v>
      </c>
      <c r="AL1218">
        <v>0.4</v>
      </c>
      <c r="AM1218">
        <f t="shared" si="1024"/>
        <v>0.59800000000000009</v>
      </c>
      <c r="AN1218">
        <v>300</v>
      </c>
      <c r="AO1218" t="s">
        <v>13</v>
      </c>
      <c r="AP1218" s="3">
        <f t="shared" si="1017"/>
        <v>746.26865671641804</v>
      </c>
      <c r="AQ1218" t="s">
        <v>13</v>
      </c>
      <c r="AR1218">
        <f t="shared" si="1016"/>
        <v>2.1739130434782608E-2</v>
      </c>
      <c r="AS1218">
        <f t="shared" si="1015"/>
        <v>0.58499999999999996</v>
      </c>
      <c r="AT1218">
        <f t="shared" si="1018"/>
        <v>437</v>
      </c>
      <c r="AU1218">
        <f t="shared" si="1019"/>
        <v>10</v>
      </c>
      <c r="AV1218">
        <f t="shared" si="1003"/>
        <v>247</v>
      </c>
      <c r="AW1218">
        <f t="shared" si="1004"/>
        <v>16</v>
      </c>
      <c r="AX1218" s="3">
        <f t="shared" si="1005"/>
        <v>483.26865671641804</v>
      </c>
      <c r="AY1218">
        <f t="shared" si="1006"/>
        <v>218</v>
      </c>
      <c r="AZ1218">
        <f t="shared" si="1007"/>
        <v>17</v>
      </c>
      <c r="BA1218" s="3">
        <f t="shared" si="1008"/>
        <v>511.26865671641804</v>
      </c>
    </row>
    <row r="1219" spans="1:53" x14ac:dyDescent="0.2">
      <c r="A1219">
        <v>1986</v>
      </c>
      <c r="B1219" t="s">
        <v>112</v>
      </c>
      <c r="C1219" t="s">
        <v>99</v>
      </c>
      <c r="D1219">
        <v>15.8</v>
      </c>
      <c r="E1219">
        <v>8.1999999999999993</v>
      </c>
      <c r="F1219">
        <v>0.6</v>
      </c>
      <c r="G1219">
        <v>8.1</v>
      </c>
      <c r="H1219">
        <v>0.8</v>
      </c>
      <c r="I1219">
        <v>6.2</v>
      </c>
      <c r="J1219">
        <v>0</v>
      </c>
      <c r="K1219">
        <f t="shared" si="1014"/>
        <v>39.700000000000003</v>
      </c>
      <c r="L1219">
        <v>0.9</v>
      </c>
      <c r="M1219">
        <v>3.3</v>
      </c>
      <c r="N1219">
        <v>0</v>
      </c>
      <c r="O1219">
        <f t="shared" si="1020"/>
        <v>4.2</v>
      </c>
      <c r="P1219">
        <v>0</v>
      </c>
      <c r="Q1219">
        <v>0.7</v>
      </c>
      <c r="R1219">
        <v>1.2</v>
      </c>
      <c r="S1219">
        <f t="shared" si="1021"/>
        <v>1.9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0.2</v>
      </c>
      <c r="Z1219">
        <v>1.6</v>
      </c>
      <c r="AA1219">
        <f t="shared" si="1022"/>
        <v>1.8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 s="5">
        <f t="shared" si="1023"/>
        <v>0</v>
      </c>
      <c r="AK1219">
        <v>0</v>
      </c>
      <c r="AL1219">
        <v>0.52400000000000002</v>
      </c>
      <c r="AM1219">
        <f t="shared" si="1024"/>
        <v>0.47600000000000003</v>
      </c>
      <c r="AN1219">
        <v>100</v>
      </c>
      <c r="AO1219" t="s">
        <v>13</v>
      </c>
      <c r="AP1219" s="3">
        <f t="shared" si="1017"/>
        <v>190.83969465648855</v>
      </c>
      <c r="AQ1219" t="s">
        <v>13</v>
      </c>
      <c r="AR1219">
        <f t="shared" si="1016"/>
        <v>0</v>
      </c>
      <c r="AS1219">
        <f t="shared" si="1015"/>
        <v>0.47600000000000003</v>
      </c>
      <c r="AT1219">
        <f t="shared" si="1018"/>
        <v>91</v>
      </c>
      <c r="AU1219">
        <f t="shared" si="1019"/>
        <v>0</v>
      </c>
      <c r="AV1219">
        <f t="shared" ref="AV1219:AV1282" si="1025">ROUND((((K1219*0.5)+O1219+S1219+AA1219)/100)*AP1219,0)</f>
        <v>53</v>
      </c>
      <c r="AW1219">
        <f t="shared" ref="AW1219:AW1282" si="1026">ROUND((AU1219/(AP1219-AT1219))*(AP1219-AV1219),0)</f>
        <v>0</v>
      </c>
      <c r="AX1219" s="3">
        <f t="shared" ref="AX1219:AX1282" si="1027">AP1219-AV1219-AW1219</f>
        <v>137.83969465648855</v>
      </c>
      <c r="AY1219">
        <f t="shared" ref="AY1219:AY1282" si="1028">ROUND((0.5*AS1219)*AP1219,0)</f>
        <v>45</v>
      </c>
      <c r="AZ1219">
        <f t="shared" ref="AZ1219:AZ1282" si="1029">ROUND((AU1219/(AP1219-AT1219))*(AP1219-AY1219),0)</f>
        <v>0</v>
      </c>
      <c r="BA1219" s="3">
        <f t="shared" ref="BA1219:BA1282" si="1030">AP1219-AZ1219-AY1219</f>
        <v>145.83969465648855</v>
      </c>
    </row>
    <row r="1220" spans="1:53" x14ac:dyDescent="0.2">
      <c r="A1220">
        <v>1987</v>
      </c>
      <c r="B1220" t="s">
        <v>112</v>
      </c>
      <c r="C1220" t="s">
        <v>99</v>
      </c>
      <c r="D1220">
        <v>10.6</v>
      </c>
      <c r="E1220">
        <v>3.2</v>
      </c>
      <c r="F1220">
        <v>1</v>
      </c>
      <c r="G1220">
        <v>7.4</v>
      </c>
      <c r="H1220">
        <v>0</v>
      </c>
      <c r="I1220">
        <v>2.7</v>
      </c>
      <c r="J1220">
        <v>0.2</v>
      </c>
      <c r="K1220">
        <f t="shared" ref="K1220:K1264" si="1031">SUM(D1220:J1220)</f>
        <v>25.1</v>
      </c>
      <c r="L1220">
        <v>3.5</v>
      </c>
      <c r="M1220">
        <v>2.2999999999999998</v>
      </c>
      <c r="N1220">
        <v>0</v>
      </c>
      <c r="O1220">
        <f t="shared" si="1020"/>
        <v>5.8</v>
      </c>
      <c r="P1220">
        <v>0</v>
      </c>
      <c r="Q1220">
        <v>1</v>
      </c>
      <c r="R1220">
        <v>1</v>
      </c>
      <c r="S1220">
        <f t="shared" si="1021"/>
        <v>2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0.3</v>
      </c>
      <c r="Z1220">
        <v>0.1</v>
      </c>
      <c r="AA1220">
        <f t="shared" si="1022"/>
        <v>0.4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 s="5">
        <f t="shared" si="1023"/>
        <v>0</v>
      </c>
      <c r="AK1220">
        <v>0.1</v>
      </c>
      <c r="AL1220">
        <v>0.66900000000000004</v>
      </c>
      <c r="AM1220">
        <f t="shared" si="1024"/>
        <v>0.33300000000000002</v>
      </c>
      <c r="AN1220">
        <v>100</v>
      </c>
      <c r="AO1220" t="s">
        <v>13</v>
      </c>
      <c r="AP1220" s="3">
        <f t="shared" si="1017"/>
        <v>149.92503748125935</v>
      </c>
      <c r="AQ1220" t="s">
        <v>13</v>
      </c>
      <c r="AR1220">
        <f t="shared" si="1016"/>
        <v>0</v>
      </c>
      <c r="AS1220">
        <f t="shared" si="1015"/>
        <v>0.33300000000000002</v>
      </c>
      <c r="AT1220">
        <f t="shared" si="1018"/>
        <v>50</v>
      </c>
      <c r="AU1220">
        <f t="shared" si="1019"/>
        <v>0</v>
      </c>
      <c r="AV1220">
        <f t="shared" si="1025"/>
        <v>31</v>
      </c>
      <c r="AW1220">
        <f t="shared" si="1026"/>
        <v>0</v>
      </c>
      <c r="AX1220" s="3">
        <f t="shared" si="1027"/>
        <v>118.92503748125935</v>
      </c>
      <c r="AY1220">
        <f t="shared" si="1028"/>
        <v>25</v>
      </c>
      <c r="AZ1220">
        <f t="shared" si="1029"/>
        <v>0</v>
      </c>
      <c r="BA1220" s="3">
        <f t="shared" si="1030"/>
        <v>124.92503748125935</v>
      </c>
    </row>
    <row r="1221" spans="1:53" x14ac:dyDescent="0.2">
      <c r="A1221">
        <v>1988</v>
      </c>
      <c r="B1221" t="s">
        <v>112</v>
      </c>
      <c r="C1221" t="s">
        <v>99</v>
      </c>
      <c r="D1221">
        <v>11.3</v>
      </c>
      <c r="E1221">
        <v>4.4000000000000004</v>
      </c>
      <c r="F1221">
        <v>1.3</v>
      </c>
      <c r="G1221">
        <v>7.6</v>
      </c>
      <c r="H1221">
        <v>1.1000000000000001</v>
      </c>
      <c r="I1221">
        <v>4.9000000000000004</v>
      </c>
      <c r="J1221">
        <v>1.1000000000000001</v>
      </c>
      <c r="K1221">
        <f t="shared" si="1031"/>
        <v>31.700000000000003</v>
      </c>
      <c r="L1221">
        <v>1.4</v>
      </c>
      <c r="M1221">
        <v>1.8</v>
      </c>
      <c r="N1221">
        <v>0</v>
      </c>
      <c r="O1221">
        <f t="shared" si="1020"/>
        <v>3.2</v>
      </c>
      <c r="P1221">
        <v>0</v>
      </c>
      <c r="Q1221">
        <v>0.2</v>
      </c>
      <c r="R1221">
        <v>4.8</v>
      </c>
      <c r="S1221">
        <f t="shared" si="1021"/>
        <v>5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0.3</v>
      </c>
      <c r="Z1221">
        <v>0.3</v>
      </c>
      <c r="AA1221">
        <f t="shared" si="1022"/>
        <v>0.6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 s="5">
        <f t="shared" si="1023"/>
        <v>0</v>
      </c>
      <c r="AK1221">
        <v>0.1</v>
      </c>
      <c r="AL1221">
        <v>0.59399999999999997</v>
      </c>
      <c r="AM1221">
        <f t="shared" si="1024"/>
        <v>0.40500000000000003</v>
      </c>
      <c r="AN1221">
        <v>112</v>
      </c>
      <c r="AO1221" t="s">
        <v>13</v>
      </c>
      <c r="AP1221" s="3">
        <f t="shared" si="1017"/>
        <v>188.23529411764707</v>
      </c>
      <c r="AQ1221" t="s">
        <v>13</v>
      </c>
      <c r="AR1221">
        <f t="shared" si="1016"/>
        <v>0</v>
      </c>
      <c r="AS1221">
        <f t="shared" si="1015"/>
        <v>0.40500000000000008</v>
      </c>
      <c r="AT1221">
        <f t="shared" si="1018"/>
        <v>76</v>
      </c>
      <c r="AU1221">
        <f t="shared" si="1019"/>
        <v>0</v>
      </c>
      <c r="AV1221">
        <f t="shared" si="1025"/>
        <v>46</v>
      </c>
      <c r="AW1221">
        <f t="shared" si="1026"/>
        <v>0</v>
      </c>
      <c r="AX1221" s="3">
        <f t="shared" si="1027"/>
        <v>142.23529411764707</v>
      </c>
      <c r="AY1221">
        <f t="shared" si="1028"/>
        <v>38</v>
      </c>
      <c r="AZ1221">
        <f t="shared" si="1029"/>
        <v>0</v>
      </c>
      <c r="BA1221" s="3">
        <f t="shared" si="1030"/>
        <v>150.23529411764707</v>
      </c>
    </row>
    <row r="1222" spans="1:53" x14ac:dyDescent="0.2">
      <c r="A1222">
        <v>1989</v>
      </c>
      <c r="B1222" t="s">
        <v>112</v>
      </c>
      <c r="C1222" t="s">
        <v>99</v>
      </c>
      <c r="D1222">
        <v>10.1</v>
      </c>
      <c r="E1222">
        <v>7.6</v>
      </c>
      <c r="F1222">
        <v>0.4</v>
      </c>
      <c r="G1222">
        <v>9.6</v>
      </c>
      <c r="H1222">
        <v>0.5</v>
      </c>
      <c r="I1222">
        <v>2.5</v>
      </c>
      <c r="J1222">
        <v>1.1000000000000001</v>
      </c>
      <c r="K1222">
        <f t="shared" si="1031"/>
        <v>31.799999999999997</v>
      </c>
      <c r="L1222">
        <v>1.7</v>
      </c>
      <c r="M1222">
        <v>1.1000000000000001</v>
      </c>
      <c r="N1222">
        <v>0.1</v>
      </c>
      <c r="O1222">
        <f t="shared" si="1020"/>
        <v>2.9</v>
      </c>
      <c r="P1222">
        <v>0</v>
      </c>
      <c r="Q1222">
        <v>0.9</v>
      </c>
      <c r="R1222">
        <v>1.5</v>
      </c>
      <c r="S1222">
        <f t="shared" si="1021"/>
        <v>2.4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0.1</v>
      </c>
      <c r="AA1222">
        <f t="shared" si="1022"/>
        <v>0.1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 s="5">
        <f t="shared" si="1023"/>
        <v>0</v>
      </c>
      <c r="AK1222">
        <v>0</v>
      </c>
      <c r="AL1222">
        <v>0.628</v>
      </c>
      <c r="AM1222">
        <f t="shared" si="1024"/>
        <v>0.37200000000000005</v>
      </c>
      <c r="AN1222">
        <v>30</v>
      </c>
      <c r="AO1222" t="s">
        <v>13</v>
      </c>
      <c r="AP1222" s="3">
        <f t="shared" si="1017"/>
        <v>47.770700636942685</v>
      </c>
      <c r="AQ1222" t="s">
        <v>13</v>
      </c>
      <c r="AR1222">
        <f t="shared" si="1016"/>
        <v>0</v>
      </c>
      <c r="AS1222">
        <f t="shared" si="1015"/>
        <v>0.37199999999999994</v>
      </c>
      <c r="AT1222">
        <f t="shared" si="1018"/>
        <v>18</v>
      </c>
      <c r="AU1222">
        <f t="shared" si="1019"/>
        <v>0</v>
      </c>
      <c r="AV1222">
        <f t="shared" si="1025"/>
        <v>10</v>
      </c>
      <c r="AW1222">
        <f t="shared" si="1026"/>
        <v>0</v>
      </c>
      <c r="AX1222" s="3">
        <f t="shared" si="1027"/>
        <v>37.770700636942685</v>
      </c>
      <c r="AY1222">
        <f t="shared" si="1028"/>
        <v>9</v>
      </c>
      <c r="AZ1222">
        <f t="shared" si="1029"/>
        <v>0</v>
      </c>
      <c r="BA1222" s="3">
        <f t="shared" si="1030"/>
        <v>38.770700636942685</v>
      </c>
    </row>
    <row r="1223" spans="1:53" x14ac:dyDescent="0.2">
      <c r="A1223">
        <v>1990</v>
      </c>
      <c r="B1223" t="s">
        <v>112</v>
      </c>
      <c r="C1223" t="s">
        <v>99</v>
      </c>
      <c r="D1223">
        <v>19</v>
      </c>
      <c r="E1223">
        <v>2.2999999999999998</v>
      </c>
      <c r="F1223">
        <v>2</v>
      </c>
      <c r="G1223">
        <v>9.1</v>
      </c>
      <c r="H1223">
        <v>0.8</v>
      </c>
      <c r="I1223">
        <v>6.2</v>
      </c>
      <c r="J1223">
        <v>0.8</v>
      </c>
      <c r="K1223">
        <f t="shared" si="1031"/>
        <v>40.199999999999996</v>
      </c>
      <c r="L1223">
        <v>2.2999999999999998</v>
      </c>
      <c r="M1223">
        <v>1.5</v>
      </c>
      <c r="N1223">
        <v>0.1</v>
      </c>
      <c r="O1223">
        <f t="shared" si="1020"/>
        <v>3.9</v>
      </c>
      <c r="P1223">
        <v>0</v>
      </c>
      <c r="Q1223">
        <v>0.7</v>
      </c>
      <c r="R1223">
        <v>1</v>
      </c>
      <c r="S1223">
        <f t="shared" si="1021"/>
        <v>1.7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f t="shared" si="1022"/>
        <v>0</v>
      </c>
      <c r="AB1223">
        <v>0</v>
      </c>
      <c r="AC1223">
        <v>0</v>
      </c>
      <c r="AD1223">
        <v>0</v>
      </c>
      <c r="AE1223">
        <v>0</v>
      </c>
      <c r="AF1223">
        <v>0.1</v>
      </c>
      <c r="AG1223">
        <v>0</v>
      </c>
      <c r="AH1223">
        <v>0</v>
      </c>
      <c r="AI1223">
        <v>0</v>
      </c>
      <c r="AJ1223" s="5">
        <f t="shared" si="1023"/>
        <v>0.1</v>
      </c>
      <c r="AK1223">
        <v>0</v>
      </c>
      <c r="AL1223">
        <v>0.53900000000000003</v>
      </c>
      <c r="AM1223">
        <f t="shared" si="1024"/>
        <v>0.45899999999999996</v>
      </c>
      <c r="AN1223">
        <v>10</v>
      </c>
      <c r="AO1223" t="s">
        <v>13</v>
      </c>
      <c r="AP1223" s="3">
        <f t="shared" si="1017"/>
        <v>18.484288354898336</v>
      </c>
      <c r="AQ1223" t="s">
        <v>13</v>
      </c>
      <c r="AR1223">
        <f t="shared" si="1016"/>
        <v>2.1786492374727671E-3</v>
      </c>
      <c r="AS1223">
        <f t="shared" si="1015"/>
        <v>0.45799999999999996</v>
      </c>
      <c r="AT1223">
        <f t="shared" si="1018"/>
        <v>8</v>
      </c>
      <c r="AU1223">
        <f t="shared" si="1019"/>
        <v>0</v>
      </c>
      <c r="AV1223">
        <f t="shared" si="1025"/>
        <v>5</v>
      </c>
      <c r="AW1223">
        <f t="shared" si="1026"/>
        <v>0</v>
      </c>
      <c r="AX1223" s="3">
        <f t="shared" si="1027"/>
        <v>13.484288354898336</v>
      </c>
      <c r="AY1223">
        <f t="shared" si="1028"/>
        <v>4</v>
      </c>
      <c r="AZ1223">
        <f t="shared" si="1029"/>
        <v>0</v>
      </c>
      <c r="BA1223" s="3">
        <f t="shared" si="1030"/>
        <v>14.484288354898336</v>
      </c>
    </row>
    <row r="1224" spans="1:53" x14ac:dyDescent="0.2">
      <c r="A1224">
        <v>1991</v>
      </c>
      <c r="B1224" t="s">
        <v>112</v>
      </c>
      <c r="C1224" t="s">
        <v>99</v>
      </c>
      <c r="D1224">
        <v>19.399999999999999</v>
      </c>
      <c r="E1224">
        <v>2.4</v>
      </c>
      <c r="F1224">
        <v>3.2</v>
      </c>
      <c r="G1224">
        <v>9.6999999999999993</v>
      </c>
      <c r="H1224">
        <v>0.5</v>
      </c>
      <c r="I1224">
        <v>4.9000000000000004</v>
      </c>
      <c r="J1224">
        <v>0.6</v>
      </c>
      <c r="K1224">
        <f t="shared" si="1031"/>
        <v>40.699999999999996</v>
      </c>
      <c r="L1224">
        <v>2.6</v>
      </c>
      <c r="M1224">
        <v>0.6</v>
      </c>
      <c r="N1224">
        <v>0.3</v>
      </c>
      <c r="O1224">
        <f t="shared" si="1020"/>
        <v>3.5</v>
      </c>
      <c r="P1224">
        <v>0</v>
      </c>
      <c r="Q1224">
        <v>1.3</v>
      </c>
      <c r="R1224">
        <v>1.2</v>
      </c>
      <c r="S1224">
        <f t="shared" si="1021"/>
        <v>2.5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0.1</v>
      </c>
      <c r="AA1224">
        <f t="shared" si="1022"/>
        <v>0.1</v>
      </c>
      <c r="AB1224">
        <v>0.1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 s="5">
        <f t="shared" si="1023"/>
        <v>0.1</v>
      </c>
      <c r="AK1224">
        <v>0</v>
      </c>
      <c r="AL1224">
        <v>0.53100000000000003</v>
      </c>
      <c r="AM1224">
        <f t="shared" si="1024"/>
        <v>0.46899999999999992</v>
      </c>
      <c r="AN1224">
        <v>20</v>
      </c>
      <c r="AO1224" t="s">
        <v>13</v>
      </c>
      <c r="AP1224" s="3">
        <f t="shared" si="1017"/>
        <v>37.66478342749528</v>
      </c>
      <c r="AQ1224" t="s">
        <v>13</v>
      </c>
      <c r="AR1224">
        <f t="shared" si="1016"/>
        <v>2.1321961620469087E-3</v>
      </c>
      <c r="AS1224">
        <f t="shared" si="1015"/>
        <v>0.46799999999999997</v>
      </c>
      <c r="AT1224">
        <f t="shared" si="1018"/>
        <v>18</v>
      </c>
      <c r="AU1224">
        <f t="shared" si="1019"/>
        <v>0</v>
      </c>
      <c r="AV1224">
        <f t="shared" si="1025"/>
        <v>10</v>
      </c>
      <c r="AW1224">
        <f t="shared" si="1026"/>
        <v>0</v>
      </c>
      <c r="AX1224" s="3">
        <f t="shared" si="1027"/>
        <v>27.66478342749528</v>
      </c>
      <c r="AY1224">
        <f t="shared" si="1028"/>
        <v>9</v>
      </c>
      <c r="AZ1224">
        <f t="shared" si="1029"/>
        <v>0</v>
      </c>
      <c r="BA1224" s="3">
        <f t="shared" si="1030"/>
        <v>28.66478342749528</v>
      </c>
    </row>
    <row r="1225" spans="1:53" x14ac:dyDescent="0.2">
      <c r="A1225">
        <v>1992</v>
      </c>
      <c r="B1225" t="s">
        <v>112</v>
      </c>
      <c r="C1225" t="s">
        <v>99</v>
      </c>
      <c r="D1225">
        <v>15.3</v>
      </c>
      <c r="E1225">
        <v>15.7</v>
      </c>
      <c r="F1225">
        <v>1.6</v>
      </c>
      <c r="G1225">
        <v>6.8</v>
      </c>
      <c r="H1225">
        <v>0.9</v>
      </c>
      <c r="I1225">
        <v>17.100000000000001</v>
      </c>
      <c r="J1225">
        <v>0.8</v>
      </c>
      <c r="K1225">
        <f t="shared" si="1031"/>
        <v>58.199999999999996</v>
      </c>
      <c r="L1225">
        <v>2.8</v>
      </c>
      <c r="M1225">
        <v>0.7</v>
      </c>
      <c r="N1225">
        <v>0.3</v>
      </c>
      <c r="O1225">
        <f t="shared" si="1020"/>
        <v>3.8</v>
      </c>
      <c r="P1225">
        <v>0</v>
      </c>
      <c r="Q1225">
        <v>0.5</v>
      </c>
      <c r="R1225">
        <v>1.2</v>
      </c>
      <c r="S1225">
        <f t="shared" si="1021"/>
        <v>1.7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f t="shared" si="1022"/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 s="5">
        <f t="shared" si="1023"/>
        <v>0</v>
      </c>
      <c r="AK1225">
        <v>0.1</v>
      </c>
      <c r="AL1225">
        <v>0.36</v>
      </c>
      <c r="AM1225">
        <f t="shared" si="1024"/>
        <v>0.63700000000000001</v>
      </c>
      <c r="AN1225">
        <v>80</v>
      </c>
      <c r="AO1225" t="s">
        <v>13</v>
      </c>
      <c r="AP1225" s="3">
        <f t="shared" si="1017"/>
        <v>220.38567493112947</v>
      </c>
      <c r="AQ1225" t="s">
        <v>13</v>
      </c>
      <c r="AR1225">
        <f t="shared" si="1016"/>
        <v>0</v>
      </c>
      <c r="AS1225">
        <f t="shared" si="1015"/>
        <v>0.63700000000000001</v>
      </c>
      <c r="AT1225">
        <f t="shared" si="1018"/>
        <v>140</v>
      </c>
      <c r="AU1225">
        <f t="shared" si="1019"/>
        <v>0</v>
      </c>
      <c r="AV1225">
        <f t="shared" si="1025"/>
        <v>76</v>
      </c>
      <c r="AW1225">
        <f t="shared" si="1026"/>
        <v>0</v>
      </c>
      <c r="AX1225" s="3">
        <f t="shared" si="1027"/>
        <v>144.38567493112947</v>
      </c>
      <c r="AY1225">
        <f t="shared" si="1028"/>
        <v>70</v>
      </c>
      <c r="AZ1225">
        <f t="shared" si="1029"/>
        <v>0</v>
      </c>
      <c r="BA1225" s="3">
        <f t="shared" si="1030"/>
        <v>150.38567493112947</v>
      </c>
    </row>
    <row r="1226" spans="1:53" x14ac:dyDescent="0.2">
      <c r="A1226">
        <v>1993</v>
      </c>
      <c r="B1226" t="s">
        <v>112</v>
      </c>
      <c r="C1226" t="s">
        <v>99</v>
      </c>
      <c r="D1226">
        <v>16</v>
      </c>
      <c r="E1226">
        <v>2.1</v>
      </c>
      <c r="F1226">
        <v>2.4</v>
      </c>
      <c r="G1226">
        <v>7.7</v>
      </c>
      <c r="H1226">
        <v>0.8</v>
      </c>
      <c r="I1226">
        <v>14.7</v>
      </c>
      <c r="J1226">
        <v>0.8</v>
      </c>
      <c r="K1226">
        <f t="shared" si="1031"/>
        <v>44.5</v>
      </c>
      <c r="L1226">
        <v>2.1</v>
      </c>
      <c r="M1226">
        <v>0.4</v>
      </c>
      <c r="N1226">
        <v>0.2</v>
      </c>
      <c r="O1226">
        <f t="shared" si="1020"/>
        <v>2.7</v>
      </c>
      <c r="P1226">
        <v>0</v>
      </c>
      <c r="Q1226">
        <v>0.7</v>
      </c>
      <c r="R1226">
        <v>2.5</v>
      </c>
      <c r="S1226">
        <f t="shared" si="1021"/>
        <v>3.2</v>
      </c>
      <c r="T1226">
        <v>0</v>
      </c>
      <c r="U1226">
        <v>0.1</v>
      </c>
      <c r="V1226">
        <v>0</v>
      </c>
      <c r="W1226">
        <v>0</v>
      </c>
      <c r="X1226">
        <v>0</v>
      </c>
      <c r="Y1226">
        <v>0</v>
      </c>
      <c r="Z1226">
        <v>0.1</v>
      </c>
      <c r="AA1226">
        <f t="shared" si="1022"/>
        <v>0.2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 s="5">
        <f t="shared" si="1023"/>
        <v>0</v>
      </c>
      <c r="AK1226">
        <v>0</v>
      </c>
      <c r="AL1226">
        <v>0.49399999999999999</v>
      </c>
      <c r="AM1226">
        <f t="shared" si="1024"/>
        <v>0.50599999999999989</v>
      </c>
      <c r="AN1226">
        <v>20</v>
      </c>
      <c r="AO1226" t="s">
        <v>13</v>
      </c>
      <c r="AP1226" s="3">
        <f t="shared" si="1017"/>
        <v>40.485829959514163</v>
      </c>
      <c r="AQ1226" t="s">
        <v>13</v>
      </c>
      <c r="AR1226">
        <f t="shared" si="1016"/>
        <v>0</v>
      </c>
      <c r="AS1226">
        <f t="shared" si="1015"/>
        <v>0.50600000000000012</v>
      </c>
      <c r="AT1226">
        <f t="shared" si="1018"/>
        <v>20</v>
      </c>
      <c r="AU1226">
        <f t="shared" si="1019"/>
        <v>0</v>
      </c>
      <c r="AV1226">
        <f t="shared" si="1025"/>
        <v>11</v>
      </c>
      <c r="AW1226">
        <f t="shared" si="1026"/>
        <v>0</v>
      </c>
      <c r="AX1226" s="3">
        <f t="shared" si="1027"/>
        <v>29.485829959514163</v>
      </c>
      <c r="AY1226">
        <f t="shared" si="1028"/>
        <v>10</v>
      </c>
      <c r="AZ1226">
        <f t="shared" si="1029"/>
        <v>0</v>
      </c>
      <c r="BA1226" s="3">
        <f t="shared" si="1030"/>
        <v>30.485829959514163</v>
      </c>
    </row>
    <row r="1227" spans="1:53" x14ac:dyDescent="0.2">
      <c r="A1227">
        <v>1994</v>
      </c>
      <c r="B1227" t="s">
        <v>112</v>
      </c>
      <c r="C1227" t="s">
        <v>99</v>
      </c>
      <c r="D1227">
        <v>17.7</v>
      </c>
      <c r="E1227">
        <v>6.3</v>
      </c>
      <c r="F1227">
        <v>3.9</v>
      </c>
      <c r="G1227">
        <v>9.1999999999999993</v>
      </c>
      <c r="H1227">
        <v>0.5</v>
      </c>
      <c r="I1227">
        <v>4.9000000000000004</v>
      </c>
      <c r="J1227">
        <v>1.7</v>
      </c>
      <c r="K1227">
        <f t="shared" si="1031"/>
        <v>44.199999999999996</v>
      </c>
      <c r="L1227">
        <v>1.2</v>
      </c>
      <c r="M1227">
        <v>0.9</v>
      </c>
      <c r="N1227">
        <v>0.2</v>
      </c>
      <c r="O1227">
        <f t="shared" si="1020"/>
        <v>2.3000000000000003</v>
      </c>
      <c r="P1227">
        <v>0</v>
      </c>
      <c r="Q1227">
        <v>0.1</v>
      </c>
      <c r="R1227">
        <v>3</v>
      </c>
      <c r="S1227">
        <f t="shared" si="1021"/>
        <v>3.1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0.1</v>
      </c>
      <c r="AA1227">
        <f t="shared" si="1022"/>
        <v>0.1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 s="5">
        <f t="shared" si="1023"/>
        <v>0</v>
      </c>
      <c r="AK1227">
        <v>0</v>
      </c>
      <c r="AL1227">
        <v>0.502</v>
      </c>
      <c r="AM1227">
        <f t="shared" si="1024"/>
        <v>0.49699999999999994</v>
      </c>
      <c r="AN1227">
        <v>150</v>
      </c>
      <c r="AO1227" t="s">
        <v>13</v>
      </c>
      <c r="AP1227" s="3">
        <f t="shared" si="1017"/>
        <v>298.21073558648106</v>
      </c>
      <c r="AQ1227" t="s">
        <v>13</v>
      </c>
      <c r="AR1227">
        <f t="shared" si="1016"/>
        <v>0</v>
      </c>
      <c r="AS1227">
        <f t="shared" si="1015"/>
        <v>0.49699999999999994</v>
      </c>
      <c r="AT1227">
        <f t="shared" si="1018"/>
        <v>148</v>
      </c>
      <c r="AU1227">
        <f t="shared" si="1019"/>
        <v>0</v>
      </c>
      <c r="AV1227">
        <f t="shared" si="1025"/>
        <v>82</v>
      </c>
      <c r="AW1227">
        <f t="shared" si="1026"/>
        <v>0</v>
      </c>
      <c r="AX1227" s="3">
        <f t="shared" si="1027"/>
        <v>216.21073558648106</v>
      </c>
      <c r="AY1227">
        <f t="shared" si="1028"/>
        <v>74</v>
      </c>
      <c r="AZ1227">
        <f t="shared" si="1029"/>
        <v>0</v>
      </c>
      <c r="BA1227" s="3">
        <f t="shared" si="1030"/>
        <v>224.21073558648106</v>
      </c>
    </row>
    <row r="1228" spans="1:53" x14ac:dyDescent="0.2">
      <c r="A1228">
        <v>1995</v>
      </c>
      <c r="B1228" t="s">
        <v>112</v>
      </c>
      <c r="C1228" t="s">
        <v>99</v>
      </c>
      <c r="D1228">
        <v>15</v>
      </c>
      <c r="E1228">
        <v>0</v>
      </c>
      <c r="F1228">
        <v>4.3</v>
      </c>
      <c r="G1228">
        <v>3.1</v>
      </c>
      <c r="H1228">
        <v>2</v>
      </c>
      <c r="I1228">
        <v>1.6</v>
      </c>
      <c r="J1228">
        <v>0.8</v>
      </c>
      <c r="K1228">
        <f t="shared" si="1031"/>
        <v>26.800000000000004</v>
      </c>
      <c r="L1228">
        <v>0.3</v>
      </c>
      <c r="M1228">
        <v>0.4</v>
      </c>
      <c r="N1228">
        <v>0</v>
      </c>
      <c r="O1228">
        <f t="shared" si="1020"/>
        <v>0.7</v>
      </c>
      <c r="P1228">
        <v>0</v>
      </c>
      <c r="Q1228">
        <v>0.1</v>
      </c>
      <c r="R1228">
        <v>3.8</v>
      </c>
      <c r="S1228">
        <f t="shared" si="1021"/>
        <v>3.9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0.1</v>
      </c>
      <c r="Z1228">
        <v>0</v>
      </c>
      <c r="AA1228">
        <f t="shared" si="1022"/>
        <v>0.1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0.1</v>
      </c>
      <c r="AI1228">
        <v>0</v>
      </c>
      <c r="AJ1228" s="5">
        <f t="shared" si="1023"/>
        <v>0.1</v>
      </c>
      <c r="AK1228">
        <v>0.3</v>
      </c>
      <c r="AL1228">
        <v>0.68099999999999994</v>
      </c>
      <c r="AM1228">
        <f t="shared" si="1024"/>
        <v>0.31600000000000006</v>
      </c>
      <c r="AN1228">
        <v>266</v>
      </c>
      <c r="AO1228" t="s">
        <v>13</v>
      </c>
      <c r="AP1228" s="3">
        <f t="shared" si="1017"/>
        <v>388.88888888888891</v>
      </c>
      <c r="AQ1228" t="s">
        <v>13</v>
      </c>
      <c r="AR1228">
        <f t="shared" si="1016"/>
        <v>3.164556962025316E-3</v>
      </c>
      <c r="AS1228">
        <f t="shared" si="1015"/>
        <v>0.31500000000000006</v>
      </c>
      <c r="AT1228">
        <f t="shared" si="1018"/>
        <v>123</v>
      </c>
      <c r="AU1228">
        <f t="shared" si="1019"/>
        <v>0</v>
      </c>
      <c r="AV1228">
        <f t="shared" si="1025"/>
        <v>70</v>
      </c>
      <c r="AW1228">
        <f t="shared" si="1026"/>
        <v>0</v>
      </c>
      <c r="AX1228" s="3">
        <f t="shared" si="1027"/>
        <v>318.88888888888891</v>
      </c>
      <c r="AY1228">
        <f t="shared" si="1028"/>
        <v>61</v>
      </c>
      <c r="AZ1228">
        <f t="shared" si="1029"/>
        <v>0</v>
      </c>
      <c r="BA1228" s="3">
        <f t="shared" si="1030"/>
        <v>327.88888888888891</v>
      </c>
    </row>
    <row r="1229" spans="1:53" x14ac:dyDescent="0.2">
      <c r="A1229">
        <v>1996</v>
      </c>
      <c r="B1229" t="s">
        <v>112</v>
      </c>
      <c r="C1229" t="s">
        <v>99</v>
      </c>
      <c r="D1229">
        <v>8.6</v>
      </c>
      <c r="E1229">
        <v>0.1</v>
      </c>
      <c r="F1229">
        <v>3.9</v>
      </c>
      <c r="G1229">
        <v>2.5</v>
      </c>
      <c r="H1229">
        <v>1.2</v>
      </c>
      <c r="I1229">
        <v>0.7</v>
      </c>
      <c r="J1229">
        <v>0</v>
      </c>
      <c r="K1229">
        <f t="shared" si="1031"/>
        <v>17</v>
      </c>
      <c r="L1229">
        <v>0.4</v>
      </c>
      <c r="M1229">
        <v>0</v>
      </c>
      <c r="N1229">
        <v>1.8</v>
      </c>
      <c r="O1229">
        <f t="shared" si="1020"/>
        <v>2.2000000000000002</v>
      </c>
      <c r="P1229">
        <v>0</v>
      </c>
      <c r="Q1229">
        <v>0</v>
      </c>
      <c r="R1229">
        <v>3.1</v>
      </c>
      <c r="S1229">
        <f t="shared" si="1021"/>
        <v>3.1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f t="shared" si="1022"/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 s="5">
        <f t="shared" si="1023"/>
        <v>0</v>
      </c>
      <c r="AK1229">
        <v>0</v>
      </c>
      <c r="AL1229">
        <v>0.77599999999999991</v>
      </c>
      <c r="AM1229">
        <f t="shared" si="1024"/>
        <v>0.22299999999999998</v>
      </c>
      <c r="AN1229">
        <v>219</v>
      </c>
      <c r="AO1229" t="s">
        <v>13</v>
      </c>
      <c r="AP1229" s="3">
        <f t="shared" si="1017"/>
        <v>281.85328185328183</v>
      </c>
      <c r="AQ1229" t="s">
        <v>13</v>
      </c>
      <c r="AR1229">
        <f t="shared" si="1016"/>
        <v>0</v>
      </c>
      <c r="AS1229">
        <f t="shared" si="1015"/>
        <v>0.223</v>
      </c>
      <c r="AT1229">
        <f t="shared" si="1018"/>
        <v>63</v>
      </c>
      <c r="AU1229">
        <f t="shared" si="1019"/>
        <v>0</v>
      </c>
      <c r="AV1229">
        <f t="shared" si="1025"/>
        <v>39</v>
      </c>
      <c r="AW1229">
        <f t="shared" si="1026"/>
        <v>0</v>
      </c>
      <c r="AX1229" s="3">
        <f t="shared" si="1027"/>
        <v>242.85328185328183</v>
      </c>
      <c r="AY1229">
        <f t="shared" si="1028"/>
        <v>31</v>
      </c>
      <c r="AZ1229">
        <f t="shared" si="1029"/>
        <v>0</v>
      </c>
      <c r="BA1229" s="3">
        <f t="shared" si="1030"/>
        <v>250.85328185328183</v>
      </c>
    </row>
    <row r="1230" spans="1:53" x14ac:dyDescent="0.2">
      <c r="A1230">
        <v>1997</v>
      </c>
      <c r="B1230" t="s">
        <v>112</v>
      </c>
      <c r="C1230" t="s">
        <v>99</v>
      </c>
      <c r="D1230">
        <v>14.1</v>
      </c>
      <c r="E1230">
        <v>3.6</v>
      </c>
      <c r="F1230">
        <v>5.0999999999999996</v>
      </c>
      <c r="G1230">
        <v>5</v>
      </c>
      <c r="H1230">
        <v>1.6</v>
      </c>
      <c r="I1230">
        <v>0.1</v>
      </c>
      <c r="J1230">
        <v>0</v>
      </c>
      <c r="K1230">
        <f t="shared" si="1031"/>
        <v>29.5</v>
      </c>
      <c r="L1230">
        <v>1.8</v>
      </c>
      <c r="M1230">
        <v>0.5</v>
      </c>
      <c r="N1230">
        <v>1.2</v>
      </c>
      <c r="O1230">
        <f t="shared" si="1020"/>
        <v>3.5</v>
      </c>
      <c r="P1230">
        <v>0</v>
      </c>
      <c r="Q1230">
        <v>0.1</v>
      </c>
      <c r="R1230">
        <v>2.9</v>
      </c>
      <c r="S1230">
        <f t="shared" si="1021"/>
        <v>3</v>
      </c>
      <c r="T1230">
        <v>0.1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f t="shared" si="1022"/>
        <v>0.1</v>
      </c>
      <c r="AB1230">
        <v>0.2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 s="5">
        <f t="shared" si="1023"/>
        <v>0.2</v>
      </c>
      <c r="AK1230">
        <v>0</v>
      </c>
      <c r="AL1230">
        <v>0.63700000000000001</v>
      </c>
      <c r="AM1230">
        <f t="shared" si="1024"/>
        <v>0.36300000000000004</v>
      </c>
      <c r="AN1230">
        <v>558</v>
      </c>
      <c r="AO1230" t="s">
        <v>13</v>
      </c>
      <c r="AP1230" s="3">
        <f t="shared" si="1017"/>
        <v>875.98116169544744</v>
      </c>
      <c r="AQ1230" t="s">
        <v>13</v>
      </c>
      <c r="AR1230">
        <f t="shared" si="1016"/>
        <v>5.5096418732782362E-3</v>
      </c>
      <c r="AS1230">
        <f t="shared" si="1015"/>
        <v>0.36099999999999999</v>
      </c>
      <c r="AT1230">
        <f t="shared" si="1018"/>
        <v>316</v>
      </c>
      <c r="AU1230">
        <f t="shared" si="1019"/>
        <v>2</v>
      </c>
      <c r="AV1230">
        <f t="shared" si="1025"/>
        <v>187</v>
      </c>
      <c r="AW1230">
        <f t="shared" si="1026"/>
        <v>2</v>
      </c>
      <c r="AX1230" s="3">
        <f t="shared" si="1027"/>
        <v>686.98116169544744</v>
      </c>
      <c r="AY1230">
        <f t="shared" si="1028"/>
        <v>158</v>
      </c>
      <c r="AZ1230">
        <f t="shared" si="1029"/>
        <v>3</v>
      </c>
      <c r="BA1230" s="3">
        <f t="shared" si="1030"/>
        <v>714.98116169544744</v>
      </c>
    </row>
    <row r="1231" spans="1:53" x14ac:dyDescent="0.2">
      <c r="A1231">
        <v>1998</v>
      </c>
      <c r="B1231" t="s">
        <v>112</v>
      </c>
      <c r="C1231" t="s">
        <v>99</v>
      </c>
      <c r="D1231">
        <v>17.399999999999999</v>
      </c>
      <c r="E1231">
        <v>1.8</v>
      </c>
      <c r="F1231">
        <v>4.9000000000000004</v>
      </c>
      <c r="G1231">
        <v>5.6</v>
      </c>
      <c r="H1231">
        <v>3</v>
      </c>
      <c r="I1231">
        <v>0</v>
      </c>
      <c r="J1231">
        <v>1.8</v>
      </c>
      <c r="K1231">
        <f t="shared" si="1031"/>
        <v>34.5</v>
      </c>
      <c r="L1231">
        <v>0</v>
      </c>
      <c r="M1231">
        <v>0</v>
      </c>
      <c r="N1231">
        <v>0.5</v>
      </c>
      <c r="O1231">
        <f t="shared" si="1020"/>
        <v>0.5</v>
      </c>
      <c r="P1231">
        <v>0</v>
      </c>
      <c r="Q1231">
        <v>0</v>
      </c>
      <c r="R1231">
        <v>4</v>
      </c>
      <c r="S1231">
        <f t="shared" si="1021"/>
        <v>4</v>
      </c>
      <c r="T1231">
        <v>0</v>
      </c>
      <c r="U1231">
        <v>0</v>
      </c>
      <c r="V1231">
        <v>0.1</v>
      </c>
      <c r="W1231">
        <v>0</v>
      </c>
      <c r="X1231">
        <v>0</v>
      </c>
      <c r="Y1231">
        <v>0</v>
      </c>
      <c r="Z1231">
        <v>0</v>
      </c>
      <c r="AA1231">
        <f t="shared" si="1022"/>
        <v>0.1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 s="5">
        <f t="shared" si="1023"/>
        <v>0</v>
      </c>
      <c r="AK1231">
        <v>0.1</v>
      </c>
      <c r="AL1231">
        <v>0.60899999999999999</v>
      </c>
      <c r="AM1231">
        <f t="shared" si="1024"/>
        <v>0.39100000000000001</v>
      </c>
      <c r="AN1231">
        <v>824</v>
      </c>
      <c r="AO1231" t="s">
        <v>13</v>
      </c>
      <c r="AP1231" s="3">
        <f t="shared" si="1017"/>
        <v>1353.0377668308704</v>
      </c>
      <c r="AQ1231" t="s">
        <v>13</v>
      </c>
      <c r="AR1231">
        <f t="shared" si="1016"/>
        <v>0</v>
      </c>
      <c r="AS1231">
        <f t="shared" si="1015"/>
        <v>0.39100000000000001</v>
      </c>
      <c r="AT1231">
        <f t="shared" si="1018"/>
        <v>529</v>
      </c>
      <c r="AU1231">
        <f t="shared" si="1019"/>
        <v>0</v>
      </c>
      <c r="AV1231">
        <f t="shared" si="1025"/>
        <v>296</v>
      </c>
      <c r="AW1231">
        <f t="shared" si="1026"/>
        <v>0</v>
      </c>
      <c r="AX1231" s="3">
        <f t="shared" si="1027"/>
        <v>1057.0377668308704</v>
      </c>
      <c r="AY1231">
        <f t="shared" si="1028"/>
        <v>265</v>
      </c>
      <c r="AZ1231">
        <f t="shared" si="1029"/>
        <v>0</v>
      </c>
      <c r="BA1231" s="3">
        <f t="shared" si="1030"/>
        <v>1088.0377668308704</v>
      </c>
    </row>
    <row r="1232" spans="1:53" x14ac:dyDescent="0.2">
      <c r="A1232">
        <v>1999</v>
      </c>
      <c r="B1232" t="s">
        <v>112</v>
      </c>
      <c r="C1232" t="s">
        <v>99</v>
      </c>
      <c r="D1232">
        <v>12.6</v>
      </c>
      <c r="E1232">
        <v>1.1000000000000001</v>
      </c>
      <c r="F1232">
        <v>7.9</v>
      </c>
      <c r="G1232">
        <v>5.5</v>
      </c>
      <c r="H1232">
        <v>6.8</v>
      </c>
      <c r="I1232">
        <v>0</v>
      </c>
      <c r="J1232">
        <v>0.9</v>
      </c>
      <c r="K1232">
        <f t="shared" si="1031"/>
        <v>34.799999999999997</v>
      </c>
      <c r="L1232">
        <v>0.3</v>
      </c>
      <c r="M1232">
        <v>0</v>
      </c>
      <c r="N1232">
        <v>0.3</v>
      </c>
      <c r="O1232">
        <f t="shared" si="1020"/>
        <v>0.6</v>
      </c>
      <c r="P1232">
        <v>0</v>
      </c>
      <c r="Q1232">
        <v>0</v>
      </c>
      <c r="R1232">
        <v>3.4</v>
      </c>
      <c r="S1232">
        <f t="shared" si="1021"/>
        <v>3.4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f t="shared" si="1022"/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 s="5">
        <f t="shared" si="1023"/>
        <v>0</v>
      </c>
      <c r="AK1232">
        <v>0</v>
      </c>
      <c r="AL1232">
        <v>0.61299999999999999</v>
      </c>
      <c r="AM1232">
        <f t="shared" si="1024"/>
        <v>0.38799999999999996</v>
      </c>
      <c r="AN1232">
        <v>453</v>
      </c>
      <c r="AO1232" t="s">
        <v>13</v>
      </c>
      <c r="AP1232" s="3">
        <f t="shared" si="1017"/>
        <v>740.19607843137248</v>
      </c>
      <c r="AQ1232" t="s">
        <v>13</v>
      </c>
      <c r="AR1232">
        <f t="shared" si="1016"/>
        <v>0</v>
      </c>
      <c r="AS1232">
        <f t="shared" si="1015"/>
        <v>0.38799999999999996</v>
      </c>
      <c r="AT1232">
        <f t="shared" si="1018"/>
        <v>287</v>
      </c>
      <c r="AU1232">
        <f t="shared" si="1019"/>
        <v>0</v>
      </c>
      <c r="AV1232">
        <f t="shared" si="1025"/>
        <v>158</v>
      </c>
      <c r="AW1232">
        <f t="shared" si="1026"/>
        <v>0</v>
      </c>
      <c r="AX1232" s="3">
        <f t="shared" si="1027"/>
        <v>582.19607843137248</v>
      </c>
      <c r="AY1232">
        <f t="shared" si="1028"/>
        <v>144</v>
      </c>
      <c r="AZ1232">
        <f t="shared" si="1029"/>
        <v>0</v>
      </c>
      <c r="BA1232" s="3">
        <f t="shared" si="1030"/>
        <v>596.19607843137248</v>
      </c>
    </row>
    <row r="1233" spans="1:53" x14ac:dyDescent="0.2">
      <c r="A1233">
        <v>2000</v>
      </c>
      <c r="B1233" t="s">
        <v>112</v>
      </c>
      <c r="C1233" t="s">
        <v>99</v>
      </c>
      <c r="D1233">
        <v>7.3</v>
      </c>
      <c r="E1233">
        <v>0</v>
      </c>
      <c r="F1233">
        <v>0</v>
      </c>
      <c r="G1233">
        <v>0</v>
      </c>
      <c r="H1233">
        <v>6.5</v>
      </c>
      <c r="I1233">
        <v>0</v>
      </c>
      <c r="J1233">
        <v>0</v>
      </c>
      <c r="K1233">
        <f t="shared" si="1031"/>
        <v>13.8</v>
      </c>
      <c r="L1233">
        <v>0</v>
      </c>
      <c r="M1233">
        <v>0</v>
      </c>
      <c r="N1233">
        <v>0</v>
      </c>
      <c r="O1233">
        <f t="shared" si="1020"/>
        <v>0</v>
      </c>
      <c r="P1233">
        <v>0</v>
      </c>
      <c r="Q1233">
        <v>0</v>
      </c>
      <c r="R1233">
        <v>6.9</v>
      </c>
      <c r="S1233">
        <f t="shared" si="1021"/>
        <v>6.9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f t="shared" si="1022"/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 s="5">
        <f t="shared" si="1023"/>
        <v>0</v>
      </c>
      <c r="AK1233">
        <v>0</v>
      </c>
      <c r="AL1233">
        <v>0.79299999999999993</v>
      </c>
      <c r="AM1233">
        <f t="shared" si="1024"/>
        <v>0.20699999999999999</v>
      </c>
      <c r="AN1233">
        <v>105</v>
      </c>
      <c r="AO1233" t="s">
        <v>13</v>
      </c>
      <c r="AP1233" s="3">
        <f t="shared" si="1017"/>
        <v>132.40857503152586</v>
      </c>
      <c r="AQ1233" t="s">
        <v>13</v>
      </c>
      <c r="AR1233">
        <f t="shared" si="1016"/>
        <v>0</v>
      </c>
      <c r="AS1233">
        <f t="shared" si="1015"/>
        <v>0.20700000000000002</v>
      </c>
      <c r="AT1233">
        <f t="shared" si="1018"/>
        <v>27</v>
      </c>
      <c r="AU1233">
        <f t="shared" si="1019"/>
        <v>0</v>
      </c>
      <c r="AV1233">
        <f t="shared" si="1025"/>
        <v>18</v>
      </c>
      <c r="AW1233">
        <f t="shared" si="1026"/>
        <v>0</v>
      </c>
      <c r="AX1233" s="3">
        <f t="shared" si="1027"/>
        <v>114.40857503152586</v>
      </c>
      <c r="AY1233">
        <f t="shared" si="1028"/>
        <v>14</v>
      </c>
      <c r="AZ1233">
        <f t="shared" si="1029"/>
        <v>0</v>
      </c>
      <c r="BA1233" s="3">
        <f t="shared" si="1030"/>
        <v>118.40857503152586</v>
      </c>
    </row>
    <row r="1234" spans="1:53" x14ac:dyDescent="0.2">
      <c r="A1234">
        <v>2001</v>
      </c>
      <c r="B1234" t="s">
        <v>112</v>
      </c>
      <c r="C1234" t="s">
        <v>99</v>
      </c>
      <c r="D1234">
        <v>4.3</v>
      </c>
      <c r="E1234">
        <v>0</v>
      </c>
      <c r="F1234">
        <v>2</v>
      </c>
      <c r="G1234">
        <v>0</v>
      </c>
      <c r="H1234">
        <v>0</v>
      </c>
      <c r="I1234">
        <v>0</v>
      </c>
      <c r="J1234">
        <v>1.6</v>
      </c>
      <c r="K1234">
        <f t="shared" si="1031"/>
        <v>7.9</v>
      </c>
      <c r="L1234">
        <v>0</v>
      </c>
      <c r="M1234">
        <v>0</v>
      </c>
      <c r="N1234">
        <v>0.6</v>
      </c>
      <c r="O1234">
        <f t="shared" si="1020"/>
        <v>0.6</v>
      </c>
      <c r="P1234">
        <v>0</v>
      </c>
      <c r="Q1234">
        <v>0</v>
      </c>
      <c r="R1234">
        <v>3.5</v>
      </c>
      <c r="S1234">
        <f t="shared" si="1021"/>
        <v>3.5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f t="shared" si="1022"/>
        <v>0</v>
      </c>
      <c r="AB1234">
        <v>0</v>
      </c>
      <c r="AC1234">
        <v>0</v>
      </c>
      <c r="AD1234">
        <v>0</v>
      </c>
      <c r="AE1234">
        <v>0</v>
      </c>
      <c r="AF1234">
        <v>0.6</v>
      </c>
      <c r="AG1234">
        <v>0</v>
      </c>
      <c r="AH1234">
        <v>0</v>
      </c>
      <c r="AI1234">
        <v>0</v>
      </c>
      <c r="AJ1234" s="5">
        <f t="shared" si="1023"/>
        <v>0.6</v>
      </c>
      <c r="AK1234">
        <v>0</v>
      </c>
      <c r="AL1234">
        <v>0.875</v>
      </c>
      <c r="AM1234">
        <f t="shared" si="1024"/>
        <v>0.126</v>
      </c>
      <c r="AN1234">
        <v>409</v>
      </c>
      <c r="AO1234" t="s">
        <v>13</v>
      </c>
      <c r="AP1234" s="3">
        <f t="shared" si="1017"/>
        <v>467.96338672768877</v>
      </c>
      <c r="AQ1234" t="s">
        <v>13</v>
      </c>
      <c r="AR1234">
        <f t="shared" si="1016"/>
        <v>4.7619047619047616E-2</v>
      </c>
      <c r="AS1234">
        <f t="shared" si="1015"/>
        <v>0.12</v>
      </c>
      <c r="AT1234">
        <f t="shared" si="1018"/>
        <v>56</v>
      </c>
      <c r="AU1234">
        <f t="shared" si="1019"/>
        <v>3</v>
      </c>
      <c r="AV1234">
        <f t="shared" si="1025"/>
        <v>38</v>
      </c>
      <c r="AW1234">
        <f t="shared" si="1026"/>
        <v>3</v>
      </c>
      <c r="AX1234" s="3">
        <f t="shared" si="1027"/>
        <v>426.96338672768877</v>
      </c>
      <c r="AY1234">
        <f t="shared" si="1028"/>
        <v>28</v>
      </c>
      <c r="AZ1234">
        <f t="shared" si="1029"/>
        <v>3</v>
      </c>
      <c r="BA1234" s="3">
        <f t="shared" si="1030"/>
        <v>436.96338672768877</v>
      </c>
    </row>
    <row r="1235" spans="1:53" x14ac:dyDescent="0.2">
      <c r="A1235">
        <v>2002</v>
      </c>
      <c r="B1235" t="s">
        <v>112</v>
      </c>
      <c r="C1235" t="s">
        <v>99</v>
      </c>
      <c r="D1235">
        <v>13</v>
      </c>
      <c r="E1235">
        <v>0.6</v>
      </c>
      <c r="F1235">
        <v>1.4</v>
      </c>
      <c r="G1235">
        <v>3.8</v>
      </c>
      <c r="H1235">
        <v>2.2999999999999998</v>
      </c>
      <c r="I1235">
        <v>0.3</v>
      </c>
      <c r="J1235">
        <v>1</v>
      </c>
      <c r="K1235">
        <f t="shared" si="1031"/>
        <v>22.400000000000002</v>
      </c>
      <c r="L1235">
        <v>0.2</v>
      </c>
      <c r="M1235">
        <v>0</v>
      </c>
      <c r="N1235">
        <v>2</v>
      </c>
      <c r="O1235">
        <f t="shared" si="1020"/>
        <v>2.2000000000000002</v>
      </c>
      <c r="P1235">
        <v>0</v>
      </c>
      <c r="Q1235">
        <v>0</v>
      </c>
      <c r="R1235">
        <v>2.7</v>
      </c>
      <c r="S1235">
        <f t="shared" si="1021"/>
        <v>2.7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f t="shared" si="1022"/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 s="5">
        <f t="shared" si="1023"/>
        <v>0</v>
      </c>
      <c r="AK1235">
        <v>0</v>
      </c>
      <c r="AL1235">
        <v>0.72699999999999998</v>
      </c>
      <c r="AM1235">
        <f t="shared" si="1024"/>
        <v>0.27300000000000002</v>
      </c>
      <c r="AN1235">
        <v>251</v>
      </c>
      <c r="AO1235" t="s">
        <v>13</v>
      </c>
      <c r="AP1235" s="3">
        <f t="shared" si="1017"/>
        <v>345.25447042640991</v>
      </c>
      <c r="AQ1235" t="s">
        <v>13</v>
      </c>
      <c r="AR1235">
        <f t="shared" si="1016"/>
        <v>0</v>
      </c>
      <c r="AS1235">
        <f t="shared" si="1015"/>
        <v>0.27300000000000002</v>
      </c>
      <c r="AT1235">
        <f t="shared" si="1018"/>
        <v>94</v>
      </c>
      <c r="AU1235">
        <f t="shared" si="1019"/>
        <v>0</v>
      </c>
      <c r="AV1235">
        <f t="shared" si="1025"/>
        <v>56</v>
      </c>
      <c r="AW1235">
        <f t="shared" si="1026"/>
        <v>0</v>
      </c>
      <c r="AX1235" s="3">
        <f t="shared" si="1027"/>
        <v>289.25447042640991</v>
      </c>
      <c r="AY1235">
        <f t="shared" si="1028"/>
        <v>47</v>
      </c>
      <c r="AZ1235">
        <f t="shared" si="1029"/>
        <v>0</v>
      </c>
      <c r="BA1235" s="3">
        <f t="shared" si="1030"/>
        <v>298.25447042640991</v>
      </c>
    </row>
    <row r="1236" spans="1:53" x14ac:dyDescent="0.2">
      <c r="A1236">
        <v>2003</v>
      </c>
      <c r="B1236" t="s">
        <v>112</v>
      </c>
      <c r="C1236" t="s">
        <v>99</v>
      </c>
      <c r="D1236">
        <v>14.6</v>
      </c>
      <c r="E1236">
        <v>2.1</v>
      </c>
      <c r="F1236">
        <v>3.1</v>
      </c>
      <c r="G1236">
        <v>0.8</v>
      </c>
      <c r="H1236">
        <v>1.7</v>
      </c>
      <c r="I1236">
        <v>0</v>
      </c>
      <c r="J1236">
        <v>0</v>
      </c>
      <c r="K1236">
        <f t="shared" si="1031"/>
        <v>22.3</v>
      </c>
      <c r="L1236">
        <v>0</v>
      </c>
      <c r="M1236">
        <v>0</v>
      </c>
      <c r="N1236">
        <v>2.9</v>
      </c>
      <c r="O1236">
        <f t="shared" si="1020"/>
        <v>2.9</v>
      </c>
      <c r="P1236">
        <v>0</v>
      </c>
      <c r="Q1236">
        <v>0</v>
      </c>
      <c r="R1236">
        <v>2.6</v>
      </c>
      <c r="S1236">
        <f t="shared" si="1021"/>
        <v>2.6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f t="shared" si="1022"/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 s="5">
        <f t="shared" si="1023"/>
        <v>0</v>
      </c>
      <c r="AK1236">
        <v>0</v>
      </c>
      <c r="AL1236">
        <v>0.72199999999999998</v>
      </c>
      <c r="AM1236">
        <f t="shared" si="1024"/>
        <v>0.27800000000000002</v>
      </c>
      <c r="AN1236">
        <v>358</v>
      </c>
      <c r="AO1236" t="s">
        <v>13</v>
      </c>
      <c r="AP1236" s="3">
        <f t="shared" si="1017"/>
        <v>495.84487534626038</v>
      </c>
      <c r="AQ1236" t="s">
        <v>13</v>
      </c>
      <c r="AR1236">
        <f t="shared" si="1016"/>
        <v>0</v>
      </c>
      <c r="AS1236">
        <f t="shared" si="1015"/>
        <v>0.27800000000000002</v>
      </c>
      <c r="AT1236">
        <f t="shared" si="1018"/>
        <v>138</v>
      </c>
      <c r="AU1236">
        <f t="shared" si="1019"/>
        <v>0</v>
      </c>
      <c r="AV1236">
        <f t="shared" si="1025"/>
        <v>83</v>
      </c>
      <c r="AW1236">
        <f t="shared" si="1026"/>
        <v>0</v>
      </c>
      <c r="AX1236" s="3">
        <f t="shared" si="1027"/>
        <v>412.84487534626038</v>
      </c>
      <c r="AY1236">
        <f t="shared" si="1028"/>
        <v>69</v>
      </c>
      <c r="AZ1236">
        <f t="shared" si="1029"/>
        <v>0</v>
      </c>
      <c r="BA1236" s="3">
        <f t="shared" si="1030"/>
        <v>426.84487534626038</v>
      </c>
    </row>
    <row r="1237" spans="1:53" x14ac:dyDescent="0.2">
      <c r="A1237">
        <v>2004</v>
      </c>
      <c r="B1237" t="s">
        <v>112</v>
      </c>
      <c r="C1237" t="s">
        <v>99</v>
      </c>
      <c r="D1237">
        <v>13.6</v>
      </c>
      <c r="E1237">
        <v>8.4</v>
      </c>
      <c r="F1237">
        <v>2.2999999999999998</v>
      </c>
      <c r="G1237">
        <v>2.7</v>
      </c>
      <c r="H1237">
        <v>1.6</v>
      </c>
      <c r="I1237">
        <v>0.1</v>
      </c>
      <c r="J1237">
        <v>0.6</v>
      </c>
      <c r="K1237">
        <f t="shared" si="1031"/>
        <v>29.300000000000004</v>
      </c>
      <c r="L1237">
        <v>0</v>
      </c>
      <c r="M1237">
        <v>0</v>
      </c>
      <c r="N1237">
        <v>2.9</v>
      </c>
      <c r="O1237">
        <f t="shared" si="1020"/>
        <v>2.9</v>
      </c>
      <c r="P1237">
        <v>0</v>
      </c>
      <c r="Q1237">
        <v>0</v>
      </c>
      <c r="R1237">
        <v>3</v>
      </c>
      <c r="S1237">
        <f t="shared" si="1021"/>
        <v>3</v>
      </c>
      <c r="T1237">
        <v>0</v>
      </c>
      <c r="U1237">
        <v>0.1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f t="shared" si="1022"/>
        <v>0.1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 s="5">
        <f t="shared" si="1023"/>
        <v>0</v>
      </c>
      <c r="AK1237">
        <v>0.3</v>
      </c>
      <c r="AL1237">
        <v>0.64400000000000002</v>
      </c>
      <c r="AM1237">
        <f t="shared" si="1024"/>
        <v>0.35300000000000004</v>
      </c>
      <c r="AN1237">
        <v>301</v>
      </c>
      <c r="AO1237" t="s">
        <v>13</v>
      </c>
      <c r="AP1237" s="3">
        <f t="shared" si="1017"/>
        <v>465.22411128284386</v>
      </c>
      <c r="AQ1237" t="s">
        <v>13</v>
      </c>
      <c r="AR1237">
        <f t="shared" si="1016"/>
        <v>0</v>
      </c>
      <c r="AS1237">
        <f t="shared" si="1015"/>
        <v>0.35300000000000004</v>
      </c>
      <c r="AT1237">
        <f t="shared" si="1018"/>
        <v>164</v>
      </c>
      <c r="AU1237">
        <f t="shared" si="1019"/>
        <v>0</v>
      </c>
      <c r="AV1237">
        <f t="shared" si="1025"/>
        <v>96</v>
      </c>
      <c r="AW1237">
        <f t="shared" si="1026"/>
        <v>0</v>
      </c>
      <c r="AX1237" s="3">
        <f t="shared" si="1027"/>
        <v>369.22411128284386</v>
      </c>
      <c r="AY1237">
        <f t="shared" si="1028"/>
        <v>82</v>
      </c>
      <c r="AZ1237">
        <f t="shared" si="1029"/>
        <v>0</v>
      </c>
      <c r="BA1237" s="3">
        <f t="shared" si="1030"/>
        <v>383.22411128284386</v>
      </c>
    </row>
    <row r="1238" spans="1:53" x14ac:dyDescent="0.2">
      <c r="A1238">
        <v>2005</v>
      </c>
      <c r="B1238" t="s">
        <v>112</v>
      </c>
      <c r="C1238" t="s">
        <v>99</v>
      </c>
      <c r="D1238">
        <v>15.4</v>
      </c>
      <c r="E1238">
        <v>2</v>
      </c>
      <c r="F1238">
        <v>4.5</v>
      </c>
      <c r="G1238">
        <v>3.1</v>
      </c>
      <c r="H1238">
        <v>4.3</v>
      </c>
      <c r="I1238">
        <v>0</v>
      </c>
      <c r="J1238">
        <v>1.1000000000000001</v>
      </c>
      <c r="K1238">
        <f t="shared" si="1031"/>
        <v>30.400000000000002</v>
      </c>
      <c r="L1238">
        <v>0</v>
      </c>
      <c r="M1238">
        <v>0</v>
      </c>
      <c r="N1238">
        <v>6.4</v>
      </c>
      <c r="O1238">
        <f t="shared" si="1020"/>
        <v>6.4</v>
      </c>
      <c r="P1238">
        <v>0</v>
      </c>
      <c r="Q1238">
        <v>0</v>
      </c>
      <c r="R1238">
        <v>3.7</v>
      </c>
      <c r="S1238">
        <f t="shared" si="1021"/>
        <v>3.7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f t="shared" si="1022"/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 s="5">
        <f t="shared" si="1023"/>
        <v>0</v>
      </c>
      <c r="AK1238">
        <v>0.1</v>
      </c>
      <c r="AL1238">
        <v>0.59399999999999997</v>
      </c>
      <c r="AM1238">
        <f t="shared" si="1024"/>
        <v>0.40500000000000003</v>
      </c>
      <c r="AN1238">
        <v>488</v>
      </c>
      <c r="AO1238" t="s">
        <v>13</v>
      </c>
      <c r="AP1238" s="3">
        <f t="shared" si="1017"/>
        <v>820.1680672268908</v>
      </c>
      <c r="AQ1238" t="s">
        <v>13</v>
      </c>
      <c r="AR1238">
        <f t="shared" si="1016"/>
        <v>0</v>
      </c>
      <c r="AS1238">
        <f t="shared" si="1015"/>
        <v>0.40500000000000008</v>
      </c>
      <c r="AT1238">
        <f t="shared" si="1018"/>
        <v>332</v>
      </c>
      <c r="AU1238">
        <f t="shared" si="1019"/>
        <v>0</v>
      </c>
      <c r="AV1238">
        <f t="shared" si="1025"/>
        <v>208</v>
      </c>
      <c r="AW1238">
        <f t="shared" si="1026"/>
        <v>0</v>
      </c>
      <c r="AX1238" s="3">
        <f t="shared" si="1027"/>
        <v>612.1680672268908</v>
      </c>
      <c r="AY1238">
        <f t="shared" si="1028"/>
        <v>166</v>
      </c>
      <c r="AZ1238">
        <f t="shared" si="1029"/>
        <v>0</v>
      </c>
      <c r="BA1238" s="3">
        <f t="shared" si="1030"/>
        <v>654.1680672268908</v>
      </c>
    </row>
    <row r="1239" spans="1:53" x14ac:dyDescent="0.2">
      <c r="A1239">
        <v>2006</v>
      </c>
      <c r="B1239" t="s">
        <v>112</v>
      </c>
      <c r="C1239" t="s">
        <v>99</v>
      </c>
      <c r="D1239">
        <v>11.6</v>
      </c>
      <c r="E1239">
        <v>2.5</v>
      </c>
      <c r="F1239">
        <v>3.9</v>
      </c>
      <c r="G1239">
        <v>2.6</v>
      </c>
      <c r="H1239">
        <v>2.9</v>
      </c>
      <c r="I1239">
        <v>0</v>
      </c>
      <c r="J1239">
        <v>1.9</v>
      </c>
      <c r="K1239">
        <f t="shared" si="1031"/>
        <v>25.4</v>
      </c>
      <c r="L1239">
        <v>0</v>
      </c>
      <c r="M1239">
        <v>0</v>
      </c>
      <c r="N1239">
        <v>2.1</v>
      </c>
      <c r="O1239">
        <f t="shared" si="1020"/>
        <v>2.1</v>
      </c>
      <c r="P1239">
        <v>0</v>
      </c>
      <c r="Q1239">
        <v>0</v>
      </c>
      <c r="R1239">
        <v>4.4000000000000004</v>
      </c>
      <c r="S1239">
        <f t="shared" si="1021"/>
        <v>4.4000000000000004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f t="shared" si="1022"/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 s="5">
        <f t="shared" si="1023"/>
        <v>0</v>
      </c>
      <c r="AK1239">
        <v>0</v>
      </c>
      <c r="AL1239">
        <v>0.68200000000000005</v>
      </c>
      <c r="AM1239">
        <f t="shared" si="1024"/>
        <v>0.31900000000000001</v>
      </c>
      <c r="AN1239">
        <v>536</v>
      </c>
      <c r="AO1239" t="s">
        <v>13</v>
      </c>
      <c r="AP1239" s="3">
        <f t="shared" si="1017"/>
        <v>787.07782672540372</v>
      </c>
      <c r="AQ1239" t="s">
        <v>13</v>
      </c>
      <c r="AR1239">
        <f t="shared" si="1016"/>
        <v>0</v>
      </c>
      <c r="AS1239">
        <f t="shared" si="1015"/>
        <v>0.31900000000000001</v>
      </c>
      <c r="AT1239">
        <f t="shared" si="1018"/>
        <v>251</v>
      </c>
      <c r="AU1239">
        <f t="shared" si="1019"/>
        <v>0</v>
      </c>
      <c r="AV1239">
        <f t="shared" si="1025"/>
        <v>151</v>
      </c>
      <c r="AW1239">
        <f t="shared" si="1026"/>
        <v>0</v>
      </c>
      <c r="AX1239" s="3">
        <f t="shared" si="1027"/>
        <v>636.07782672540372</v>
      </c>
      <c r="AY1239">
        <f t="shared" si="1028"/>
        <v>126</v>
      </c>
      <c r="AZ1239">
        <f t="shared" si="1029"/>
        <v>0</v>
      </c>
      <c r="BA1239" s="3">
        <f t="shared" si="1030"/>
        <v>661.07782672540372</v>
      </c>
    </row>
    <row r="1240" spans="1:53" x14ac:dyDescent="0.2">
      <c r="A1240">
        <v>2007</v>
      </c>
      <c r="B1240" t="s">
        <v>112</v>
      </c>
      <c r="C1240" t="s">
        <v>99</v>
      </c>
      <c r="D1240">
        <v>16.2</v>
      </c>
      <c r="E1240">
        <v>3.3</v>
      </c>
      <c r="F1240">
        <v>5.9</v>
      </c>
      <c r="G1240">
        <v>4.9000000000000004</v>
      </c>
      <c r="H1240">
        <v>5.3</v>
      </c>
      <c r="I1240">
        <v>0.1</v>
      </c>
      <c r="J1240">
        <v>1.3</v>
      </c>
      <c r="K1240">
        <f t="shared" si="1031"/>
        <v>36.999999999999993</v>
      </c>
      <c r="L1240">
        <v>0</v>
      </c>
      <c r="M1240">
        <v>0</v>
      </c>
      <c r="N1240">
        <v>1.7</v>
      </c>
      <c r="O1240">
        <f t="shared" si="1020"/>
        <v>1.7</v>
      </c>
      <c r="P1240">
        <v>0</v>
      </c>
      <c r="Q1240">
        <v>0</v>
      </c>
      <c r="R1240">
        <v>5</v>
      </c>
      <c r="S1240">
        <f t="shared" si="1021"/>
        <v>5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f t="shared" si="1022"/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 s="5">
        <f t="shared" si="1023"/>
        <v>0</v>
      </c>
      <c r="AK1240">
        <v>0</v>
      </c>
      <c r="AL1240">
        <v>0.56299999999999994</v>
      </c>
      <c r="AM1240">
        <f t="shared" si="1024"/>
        <v>0.43699999999999994</v>
      </c>
      <c r="AN1240">
        <v>193</v>
      </c>
      <c r="AO1240" t="s">
        <v>13</v>
      </c>
      <c r="AP1240" s="3">
        <f t="shared" si="1017"/>
        <v>342.80639431616339</v>
      </c>
      <c r="AQ1240" t="s">
        <v>13</v>
      </c>
      <c r="AR1240">
        <f t="shared" si="1016"/>
        <v>0</v>
      </c>
      <c r="AS1240">
        <f t="shared" si="1015"/>
        <v>0.43699999999999994</v>
      </c>
      <c r="AT1240">
        <f t="shared" si="1018"/>
        <v>150</v>
      </c>
      <c r="AU1240">
        <f t="shared" si="1019"/>
        <v>0</v>
      </c>
      <c r="AV1240">
        <f t="shared" si="1025"/>
        <v>86</v>
      </c>
      <c r="AW1240">
        <f t="shared" si="1026"/>
        <v>0</v>
      </c>
      <c r="AX1240" s="3">
        <f t="shared" si="1027"/>
        <v>256.80639431616339</v>
      </c>
      <c r="AY1240">
        <f t="shared" si="1028"/>
        <v>75</v>
      </c>
      <c r="AZ1240">
        <f t="shared" si="1029"/>
        <v>0</v>
      </c>
      <c r="BA1240" s="3">
        <f t="shared" si="1030"/>
        <v>267.80639431616339</v>
      </c>
    </row>
    <row r="1241" spans="1:53" x14ac:dyDescent="0.2">
      <c r="A1241">
        <v>2008</v>
      </c>
      <c r="B1241" t="s">
        <v>112</v>
      </c>
      <c r="C1241" t="s">
        <v>99</v>
      </c>
      <c r="D1241">
        <v>9.9</v>
      </c>
      <c r="E1241">
        <v>0.5</v>
      </c>
      <c r="F1241">
        <v>2.4</v>
      </c>
      <c r="G1241">
        <v>2.6</v>
      </c>
      <c r="H1241">
        <v>2.7</v>
      </c>
      <c r="I1241">
        <v>0</v>
      </c>
      <c r="J1241">
        <v>0.8</v>
      </c>
      <c r="K1241">
        <f t="shared" si="1031"/>
        <v>18.900000000000002</v>
      </c>
      <c r="L1241">
        <v>0</v>
      </c>
      <c r="M1241">
        <v>0</v>
      </c>
      <c r="N1241">
        <v>3.4</v>
      </c>
      <c r="O1241">
        <f t="shared" si="1020"/>
        <v>3.4</v>
      </c>
      <c r="P1241">
        <v>0</v>
      </c>
      <c r="Q1241">
        <v>0</v>
      </c>
      <c r="R1241">
        <v>2.8</v>
      </c>
      <c r="S1241">
        <f t="shared" si="1021"/>
        <v>2.8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f t="shared" si="1022"/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 s="5">
        <f t="shared" si="1023"/>
        <v>0</v>
      </c>
      <c r="AK1241">
        <v>0</v>
      </c>
      <c r="AL1241">
        <v>0.74900000000000011</v>
      </c>
      <c r="AM1241">
        <f t="shared" si="1024"/>
        <v>0.251</v>
      </c>
      <c r="AN1241">
        <v>264</v>
      </c>
      <c r="AO1241" t="s">
        <v>13</v>
      </c>
      <c r="AP1241" s="3">
        <f t="shared" si="1017"/>
        <v>352.46995994659545</v>
      </c>
      <c r="AQ1241" t="s">
        <v>13</v>
      </c>
      <c r="AR1241">
        <f t="shared" si="1016"/>
        <v>0</v>
      </c>
      <c r="AS1241">
        <f t="shared" si="1015"/>
        <v>0.251</v>
      </c>
      <c r="AT1241">
        <f t="shared" si="1018"/>
        <v>88</v>
      </c>
      <c r="AU1241">
        <f t="shared" si="1019"/>
        <v>0</v>
      </c>
      <c r="AV1241">
        <f t="shared" si="1025"/>
        <v>55</v>
      </c>
      <c r="AW1241">
        <f t="shared" si="1026"/>
        <v>0</v>
      </c>
      <c r="AX1241" s="3">
        <f t="shared" si="1027"/>
        <v>297.46995994659545</v>
      </c>
      <c r="AY1241">
        <f t="shared" si="1028"/>
        <v>44</v>
      </c>
      <c r="AZ1241">
        <f t="shared" si="1029"/>
        <v>0</v>
      </c>
      <c r="BA1241" s="3">
        <f t="shared" si="1030"/>
        <v>308.46995994659545</v>
      </c>
    </row>
    <row r="1242" spans="1:53" x14ac:dyDescent="0.2">
      <c r="A1242">
        <v>2009</v>
      </c>
      <c r="B1242" t="s">
        <v>112</v>
      </c>
      <c r="C1242" t="s">
        <v>99</v>
      </c>
      <c r="D1242">
        <v>12.1</v>
      </c>
      <c r="E1242">
        <v>10.199999999999999</v>
      </c>
      <c r="F1242">
        <v>4.5</v>
      </c>
      <c r="G1242">
        <v>2</v>
      </c>
      <c r="H1242">
        <v>7.2</v>
      </c>
      <c r="I1242">
        <v>0</v>
      </c>
      <c r="J1242">
        <v>1.1000000000000001</v>
      </c>
      <c r="K1242">
        <f t="shared" si="1031"/>
        <v>37.1</v>
      </c>
      <c r="L1242">
        <v>0</v>
      </c>
      <c r="M1242">
        <v>0</v>
      </c>
      <c r="N1242">
        <v>6.5</v>
      </c>
      <c r="O1242">
        <f t="shared" si="1020"/>
        <v>6.5</v>
      </c>
      <c r="P1242">
        <v>0</v>
      </c>
      <c r="Q1242">
        <v>0</v>
      </c>
      <c r="R1242">
        <v>5.7</v>
      </c>
      <c r="S1242">
        <f t="shared" si="1021"/>
        <v>5.7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f t="shared" si="1022"/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 s="5">
        <f t="shared" si="1023"/>
        <v>0</v>
      </c>
      <c r="AK1242">
        <v>0</v>
      </c>
      <c r="AL1242">
        <v>0.50600000000000001</v>
      </c>
      <c r="AM1242">
        <f t="shared" si="1024"/>
        <v>0.49300000000000005</v>
      </c>
      <c r="AN1242">
        <v>550</v>
      </c>
      <c r="AO1242" t="s">
        <v>13</v>
      </c>
      <c r="AP1242" s="3">
        <f t="shared" si="1017"/>
        <v>1084.812623274162</v>
      </c>
      <c r="AQ1242" t="s">
        <v>13</v>
      </c>
      <c r="AR1242">
        <f t="shared" si="1016"/>
        <v>0</v>
      </c>
      <c r="AS1242">
        <f t="shared" si="1015"/>
        <v>0.49300000000000005</v>
      </c>
      <c r="AT1242">
        <f t="shared" si="1018"/>
        <v>535</v>
      </c>
      <c r="AU1242">
        <f t="shared" si="1019"/>
        <v>0</v>
      </c>
      <c r="AV1242">
        <f t="shared" si="1025"/>
        <v>334</v>
      </c>
      <c r="AW1242">
        <f t="shared" si="1026"/>
        <v>0</v>
      </c>
      <c r="AX1242" s="3">
        <f t="shared" si="1027"/>
        <v>750.81262327416198</v>
      </c>
      <c r="AY1242">
        <f t="shared" si="1028"/>
        <v>267</v>
      </c>
      <c r="AZ1242">
        <f t="shared" si="1029"/>
        <v>0</v>
      </c>
      <c r="BA1242" s="3">
        <f t="shared" si="1030"/>
        <v>817.81262327416198</v>
      </c>
    </row>
    <row r="1243" spans="1:53" x14ac:dyDescent="0.2">
      <c r="A1243">
        <v>2010</v>
      </c>
      <c r="B1243" t="s">
        <v>112</v>
      </c>
      <c r="C1243" t="s">
        <v>99</v>
      </c>
      <c r="D1243">
        <v>7.2</v>
      </c>
      <c r="E1243">
        <v>0.3</v>
      </c>
      <c r="F1243">
        <v>8.8000000000000007</v>
      </c>
      <c r="G1243">
        <v>3</v>
      </c>
      <c r="H1243">
        <v>4.7</v>
      </c>
      <c r="I1243">
        <v>0.7</v>
      </c>
      <c r="J1243">
        <v>2.2000000000000002</v>
      </c>
      <c r="K1243">
        <f t="shared" si="1031"/>
        <v>26.9</v>
      </c>
      <c r="L1243">
        <v>0</v>
      </c>
      <c r="M1243">
        <v>0</v>
      </c>
      <c r="N1243">
        <v>2.6</v>
      </c>
      <c r="O1243">
        <f t="shared" si="1020"/>
        <v>2.6</v>
      </c>
      <c r="P1243">
        <v>0</v>
      </c>
      <c r="Q1243">
        <v>0</v>
      </c>
      <c r="R1243">
        <v>5.0999999999999996</v>
      </c>
      <c r="S1243">
        <f t="shared" si="1021"/>
        <v>5.0999999999999996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f t="shared" si="1022"/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0.1</v>
      </c>
      <c r="AI1243">
        <v>0</v>
      </c>
      <c r="AJ1243" s="5">
        <f t="shared" si="1023"/>
        <v>0.1</v>
      </c>
      <c r="AK1243">
        <v>0</v>
      </c>
      <c r="AL1243">
        <v>0.65099999999999991</v>
      </c>
      <c r="AM1243">
        <f t="shared" si="1024"/>
        <v>0.34700000000000003</v>
      </c>
      <c r="AN1243">
        <v>185</v>
      </c>
      <c r="AO1243" t="s">
        <v>13</v>
      </c>
      <c r="AP1243" s="3">
        <f t="shared" si="1017"/>
        <v>283.30781010719755</v>
      </c>
      <c r="AQ1243" t="s">
        <v>13</v>
      </c>
      <c r="AR1243">
        <f t="shared" si="1016"/>
        <v>2.881844380403458E-3</v>
      </c>
      <c r="AS1243">
        <f t="shared" si="1015"/>
        <v>0.34600000000000003</v>
      </c>
      <c r="AT1243">
        <f t="shared" si="1018"/>
        <v>98</v>
      </c>
      <c r="AU1243">
        <f t="shared" si="1019"/>
        <v>0</v>
      </c>
      <c r="AV1243">
        <f t="shared" si="1025"/>
        <v>60</v>
      </c>
      <c r="AW1243">
        <f t="shared" si="1026"/>
        <v>0</v>
      </c>
      <c r="AX1243" s="3">
        <f t="shared" si="1027"/>
        <v>223.30781010719755</v>
      </c>
      <c r="AY1243">
        <f t="shared" si="1028"/>
        <v>49</v>
      </c>
      <c r="AZ1243">
        <f t="shared" si="1029"/>
        <v>0</v>
      </c>
      <c r="BA1243" s="3">
        <f t="shared" si="1030"/>
        <v>234.30781010719755</v>
      </c>
    </row>
    <row r="1244" spans="1:53" x14ac:dyDescent="0.2">
      <c r="A1244">
        <v>2011</v>
      </c>
      <c r="B1244" t="s">
        <v>112</v>
      </c>
      <c r="C1244" t="s">
        <v>99</v>
      </c>
      <c r="D1244">
        <v>13.7</v>
      </c>
      <c r="E1244">
        <v>1.9</v>
      </c>
      <c r="F1244">
        <v>3</v>
      </c>
      <c r="G1244">
        <v>3.4</v>
      </c>
      <c r="H1244">
        <v>3.5</v>
      </c>
      <c r="I1244">
        <v>0.2</v>
      </c>
      <c r="J1244">
        <v>3.8</v>
      </c>
      <c r="K1244">
        <f t="shared" si="1031"/>
        <v>29.5</v>
      </c>
      <c r="L1244">
        <v>0</v>
      </c>
      <c r="M1244">
        <v>0</v>
      </c>
      <c r="N1244">
        <v>4.0999999999999996</v>
      </c>
      <c r="O1244">
        <f t="shared" si="1020"/>
        <v>4.0999999999999996</v>
      </c>
      <c r="P1244">
        <v>0</v>
      </c>
      <c r="Q1244">
        <v>0</v>
      </c>
      <c r="R1244">
        <v>4.3</v>
      </c>
      <c r="S1244">
        <f t="shared" si="1021"/>
        <v>4.3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0.6</v>
      </c>
      <c r="Z1244">
        <v>0</v>
      </c>
      <c r="AA1244">
        <f t="shared" si="1022"/>
        <v>0.6</v>
      </c>
      <c r="AB1244">
        <v>0.1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 s="5">
        <f t="shared" si="1023"/>
        <v>0.1</v>
      </c>
      <c r="AK1244">
        <v>0</v>
      </c>
      <c r="AL1244">
        <v>0.61399999999999999</v>
      </c>
      <c r="AM1244">
        <f t="shared" si="1024"/>
        <v>0.38599999999999995</v>
      </c>
      <c r="AN1244">
        <v>302</v>
      </c>
      <c r="AO1244" t="s">
        <v>13</v>
      </c>
      <c r="AP1244" s="3">
        <f t="shared" si="1017"/>
        <v>491.85667752442987</v>
      </c>
      <c r="AQ1244" t="s">
        <v>13</v>
      </c>
      <c r="AR1244">
        <f t="shared" si="1016"/>
        <v>2.5906735751295342E-3</v>
      </c>
      <c r="AS1244">
        <f t="shared" si="1015"/>
        <v>0.38500000000000001</v>
      </c>
      <c r="AT1244">
        <f t="shared" si="1018"/>
        <v>189</v>
      </c>
      <c r="AU1244">
        <f t="shared" si="1019"/>
        <v>0</v>
      </c>
      <c r="AV1244">
        <f t="shared" si="1025"/>
        <v>117</v>
      </c>
      <c r="AW1244">
        <f t="shared" si="1026"/>
        <v>0</v>
      </c>
      <c r="AX1244" s="3">
        <f t="shared" si="1027"/>
        <v>374.85667752442987</v>
      </c>
      <c r="AY1244">
        <f t="shared" si="1028"/>
        <v>95</v>
      </c>
      <c r="AZ1244">
        <f t="shared" si="1029"/>
        <v>0</v>
      </c>
      <c r="BA1244" s="3">
        <f t="shared" si="1030"/>
        <v>396.85667752442987</v>
      </c>
    </row>
    <row r="1245" spans="1:53" x14ac:dyDescent="0.2">
      <c r="A1245">
        <v>2012</v>
      </c>
      <c r="B1245" t="s">
        <v>112</v>
      </c>
      <c r="C1245" t="s">
        <v>99</v>
      </c>
      <c r="D1245">
        <v>12.6</v>
      </c>
      <c r="E1245">
        <v>3.4</v>
      </c>
      <c r="F1245">
        <v>2.6</v>
      </c>
      <c r="G1245">
        <v>2.7</v>
      </c>
      <c r="H1245">
        <v>2.8</v>
      </c>
      <c r="I1245">
        <v>0.2</v>
      </c>
      <c r="J1245">
        <v>2.4</v>
      </c>
      <c r="K1245">
        <f t="shared" si="1031"/>
        <v>26.7</v>
      </c>
      <c r="L1245">
        <v>0</v>
      </c>
      <c r="M1245">
        <v>0</v>
      </c>
      <c r="N1245">
        <v>4.5999999999999996</v>
      </c>
      <c r="O1245">
        <f t="shared" si="1020"/>
        <v>4.5999999999999996</v>
      </c>
      <c r="P1245">
        <v>0</v>
      </c>
      <c r="Q1245">
        <v>0</v>
      </c>
      <c r="R1245">
        <v>5.8</v>
      </c>
      <c r="S1245">
        <f t="shared" si="1021"/>
        <v>5.8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f t="shared" si="1022"/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 s="5">
        <f t="shared" si="1023"/>
        <v>0</v>
      </c>
      <c r="AK1245">
        <v>0</v>
      </c>
      <c r="AL1245">
        <v>0.63</v>
      </c>
      <c r="AM1245">
        <f t="shared" si="1024"/>
        <v>0.371</v>
      </c>
      <c r="AN1245">
        <v>223</v>
      </c>
      <c r="AO1245" t="s">
        <v>13</v>
      </c>
      <c r="AP1245" s="3">
        <f t="shared" si="1017"/>
        <v>354.53100158982511</v>
      </c>
      <c r="AQ1245" t="s">
        <v>13</v>
      </c>
      <c r="AR1245">
        <f t="shared" si="1016"/>
        <v>0</v>
      </c>
      <c r="AS1245">
        <f t="shared" si="1015"/>
        <v>0.37099999999999994</v>
      </c>
      <c r="AT1245">
        <f t="shared" si="1018"/>
        <v>132</v>
      </c>
      <c r="AU1245">
        <f t="shared" si="1019"/>
        <v>0</v>
      </c>
      <c r="AV1245">
        <f t="shared" si="1025"/>
        <v>84</v>
      </c>
      <c r="AW1245">
        <f t="shared" si="1026"/>
        <v>0</v>
      </c>
      <c r="AX1245" s="3">
        <f t="shared" si="1027"/>
        <v>270.53100158982511</v>
      </c>
      <c r="AY1245">
        <f t="shared" si="1028"/>
        <v>66</v>
      </c>
      <c r="AZ1245">
        <f t="shared" si="1029"/>
        <v>0</v>
      </c>
      <c r="BA1245" s="3">
        <f t="shared" si="1030"/>
        <v>288.53100158982511</v>
      </c>
    </row>
    <row r="1246" spans="1:53" x14ac:dyDescent="0.2">
      <c r="A1246">
        <v>2013</v>
      </c>
      <c r="B1246" t="s">
        <v>112</v>
      </c>
      <c r="C1246" t="s">
        <v>99</v>
      </c>
      <c r="D1246">
        <v>10.5</v>
      </c>
      <c r="E1246">
        <v>3.8</v>
      </c>
      <c r="F1246">
        <v>3.9</v>
      </c>
      <c r="G1246">
        <v>1</v>
      </c>
      <c r="H1246">
        <v>4.5</v>
      </c>
      <c r="I1246">
        <v>0</v>
      </c>
      <c r="J1246">
        <v>1</v>
      </c>
      <c r="K1246">
        <f t="shared" si="1031"/>
        <v>24.7</v>
      </c>
      <c r="L1246">
        <v>0</v>
      </c>
      <c r="M1246">
        <v>0</v>
      </c>
      <c r="N1246">
        <v>1.5</v>
      </c>
      <c r="O1246">
        <f t="shared" si="1020"/>
        <v>1.5</v>
      </c>
      <c r="P1246">
        <v>0</v>
      </c>
      <c r="Q1246">
        <v>0</v>
      </c>
      <c r="R1246">
        <v>8.5</v>
      </c>
      <c r="S1246">
        <f t="shared" si="1021"/>
        <v>8.5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f t="shared" si="1022"/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 s="5">
        <f t="shared" si="1023"/>
        <v>0</v>
      </c>
      <c r="AK1246">
        <v>0</v>
      </c>
      <c r="AL1246">
        <v>0.65300000000000002</v>
      </c>
      <c r="AM1246">
        <f t="shared" si="1024"/>
        <v>0.34700000000000003</v>
      </c>
      <c r="AN1246">
        <v>240</v>
      </c>
      <c r="AO1246" t="s">
        <v>13</v>
      </c>
      <c r="AP1246" s="3">
        <f t="shared" si="1017"/>
        <v>367.53445635528328</v>
      </c>
      <c r="AQ1246" t="s">
        <v>13</v>
      </c>
      <c r="AR1246">
        <f t="shared" si="1016"/>
        <v>0</v>
      </c>
      <c r="AS1246">
        <f t="shared" si="1015"/>
        <v>0.34700000000000003</v>
      </c>
      <c r="AT1246">
        <f t="shared" si="1018"/>
        <v>128</v>
      </c>
      <c r="AU1246">
        <f t="shared" si="1019"/>
        <v>0</v>
      </c>
      <c r="AV1246">
        <f t="shared" si="1025"/>
        <v>82</v>
      </c>
      <c r="AW1246">
        <f t="shared" si="1026"/>
        <v>0</v>
      </c>
      <c r="AX1246" s="3">
        <f t="shared" si="1027"/>
        <v>285.53445635528328</v>
      </c>
      <c r="AY1246">
        <f t="shared" si="1028"/>
        <v>64</v>
      </c>
      <c r="AZ1246">
        <f t="shared" si="1029"/>
        <v>0</v>
      </c>
      <c r="BA1246" s="3">
        <f t="shared" si="1030"/>
        <v>303.53445635528328</v>
      </c>
    </row>
    <row r="1247" spans="1:53" x14ac:dyDescent="0.2">
      <c r="A1247">
        <v>2014</v>
      </c>
      <c r="B1247" t="s">
        <v>112</v>
      </c>
      <c r="C1247" t="s">
        <v>99</v>
      </c>
      <c r="D1247">
        <v>13.9</v>
      </c>
      <c r="E1247">
        <v>2</v>
      </c>
      <c r="F1247">
        <v>7.1</v>
      </c>
      <c r="G1247">
        <v>1.9</v>
      </c>
      <c r="H1247">
        <v>3.4</v>
      </c>
      <c r="I1247">
        <v>0.7</v>
      </c>
      <c r="J1247">
        <v>4.5</v>
      </c>
      <c r="K1247">
        <f t="shared" si="1031"/>
        <v>33.5</v>
      </c>
      <c r="L1247">
        <v>0</v>
      </c>
      <c r="M1247">
        <v>0</v>
      </c>
      <c r="N1247">
        <v>1.4</v>
      </c>
      <c r="O1247">
        <f t="shared" si="1020"/>
        <v>1.4</v>
      </c>
      <c r="P1247">
        <v>0</v>
      </c>
      <c r="Q1247">
        <v>0</v>
      </c>
      <c r="R1247">
        <v>5</v>
      </c>
      <c r="S1247">
        <f t="shared" si="1021"/>
        <v>5</v>
      </c>
      <c r="T1247">
        <v>0</v>
      </c>
      <c r="U1247">
        <v>0.1</v>
      </c>
      <c r="V1247">
        <v>0</v>
      </c>
      <c r="W1247">
        <v>0</v>
      </c>
      <c r="X1247">
        <v>0</v>
      </c>
      <c r="Y1247">
        <v>0</v>
      </c>
      <c r="Z1247">
        <v>0.3</v>
      </c>
      <c r="AA1247">
        <f t="shared" si="1022"/>
        <v>0.4</v>
      </c>
      <c r="AB1247">
        <v>0.1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 s="5">
        <f t="shared" si="1023"/>
        <v>0.1</v>
      </c>
      <c r="AK1247">
        <v>0</v>
      </c>
      <c r="AL1247">
        <v>0.59299999999999997</v>
      </c>
      <c r="AM1247">
        <f t="shared" si="1024"/>
        <v>0.40399999999999997</v>
      </c>
      <c r="AN1247">
        <v>192</v>
      </c>
      <c r="AO1247" t="s">
        <v>13</v>
      </c>
      <c r="AP1247" s="3">
        <f t="shared" si="1017"/>
        <v>322.14765100671138</v>
      </c>
      <c r="AQ1247" t="s">
        <v>13</v>
      </c>
      <c r="AR1247">
        <f t="shared" si="1016"/>
        <v>2.4752475247524753E-3</v>
      </c>
      <c r="AS1247">
        <f t="shared" si="1015"/>
        <v>0.40299999999999997</v>
      </c>
      <c r="AT1247">
        <f t="shared" si="1018"/>
        <v>130</v>
      </c>
      <c r="AU1247">
        <f t="shared" si="1019"/>
        <v>0</v>
      </c>
      <c r="AV1247">
        <f t="shared" si="1025"/>
        <v>76</v>
      </c>
      <c r="AW1247">
        <f t="shared" si="1026"/>
        <v>0</v>
      </c>
      <c r="AX1247" s="3">
        <f t="shared" si="1027"/>
        <v>246.14765100671138</v>
      </c>
      <c r="AY1247">
        <f t="shared" si="1028"/>
        <v>65</v>
      </c>
      <c r="AZ1247">
        <f t="shared" si="1029"/>
        <v>0</v>
      </c>
      <c r="BA1247" s="3">
        <f t="shared" si="1030"/>
        <v>257.14765100671138</v>
      </c>
    </row>
    <row r="1248" spans="1:53" x14ac:dyDescent="0.2">
      <c r="A1248">
        <v>2015</v>
      </c>
      <c r="B1248" t="s">
        <v>112</v>
      </c>
      <c r="C1248" t="s">
        <v>99</v>
      </c>
      <c r="D1248">
        <v>4</v>
      </c>
      <c r="E1248">
        <v>3.2</v>
      </c>
      <c r="F1248">
        <v>4.7</v>
      </c>
      <c r="G1248">
        <v>0.4</v>
      </c>
      <c r="H1248">
        <v>3.8</v>
      </c>
      <c r="I1248">
        <v>0.3</v>
      </c>
      <c r="J1248">
        <v>2.8</v>
      </c>
      <c r="K1248">
        <f t="shared" si="1031"/>
        <v>19.200000000000003</v>
      </c>
      <c r="L1248">
        <v>0</v>
      </c>
      <c r="M1248">
        <v>0.1</v>
      </c>
      <c r="N1248">
        <v>2.2000000000000002</v>
      </c>
      <c r="O1248">
        <f t="shared" si="1020"/>
        <v>2.3000000000000003</v>
      </c>
      <c r="P1248">
        <v>0</v>
      </c>
      <c r="Q1248">
        <v>0</v>
      </c>
      <c r="R1248">
        <v>9.4</v>
      </c>
      <c r="S1248">
        <f t="shared" si="1021"/>
        <v>9.4</v>
      </c>
      <c r="T1248">
        <v>0.3</v>
      </c>
      <c r="U1248">
        <v>0.5</v>
      </c>
      <c r="V1248">
        <v>0</v>
      </c>
      <c r="W1248">
        <v>0</v>
      </c>
      <c r="X1248">
        <v>0</v>
      </c>
      <c r="Y1248">
        <v>0</v>
      </c>
      <c r="Z1248">
        <v>0.1</v>
      </c>
      <c r="AA1248">
        <f t="shared" si="1022"/>
        <v>0.9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 s="5">
        <f t="shared" si="1023"/>
        <v>0</v>
      </c>
      <c r="AK1248">
        <v>0.3</v>
      </c>
      <c r="AL1248">
        <v>0.68</v>
      </c>
      <c r="AM1248">
        <f t="shared" si="1024"/>
        <v>0.318</v>
      </c>
      <c r="AN1248">
        <v>331</v>
      </c>
      <c r="AO1248" t="s">
        <v>13</v>
      </c>
      <c r="AP1248" s="3">
        <f t="shared" si="1017"/>
        <v>485.33724340175957</v>
      </c>
      <c r="AQ1248" t="s">
        <v>13</v>
      </c>
      <c r="AR1248">
        <f t="shared" si="1016"/>
        <v>0</v>
      </c>
      <c r="AS1248">
        <f t="shared" si="1015"/>
        <v>0.31800000000000006</v>
      </c>
      <c r="AT1248">
        <f t="shared" si="1018"/>
        <v>154</v>
      </c>
      <c r="AU1248">
        <f t="shared" si="1019"/>
        <v>0</v>
      </c>
      <c r="AV1248">
        <f t="shared" si="1025"/>
        <v>108</v>
      </c>
      <c r="AW1248">
        <f t="shared" si="1026"/>
        <v>0</v>
      </c>
      <c r="AX1248" s="3">
        <f t="shared" si="1027"/>
        <v>377.33724340175957</v>
      </c>
      <c r="AY1248">
        <f t="shared" si="1028"/>
        <v>77</v>
      </c>
      <c r="AZ1248">
        <f t="shared" si="1029"/>
        <v>0</v>
      </c>
      <c r="BA1248" s="3">
        <f t="shared" si="1030"/>
        <v>408.33724340175957</v>
      </c>
    </row>
    <row r="1249" spans="1:53" x14ac:dyDescent="0.2">
      <c r="A1249">
        <v>2016</v>
      </c>
      <c r="B1249" t="s">
        <v>112</v>
      </c>
      <c r="C1249" t="s">
        <v>99</v>
      </c>
      <c r="D1249">
        <v>13.5</v>
      </c>
      <c r="E1249">
        <v>5</v>
      </c>
      <c r="F1249">
        <v>8.1</v>
      </c>
      <c r="G1249">
        <v>1.9</v>
      </c>
      <c r="H1249">
        <v>3.9</v>
      </c>
      <c r="I1249">
        <v>0.8</v>
      </c>
      <c r="J1249">
        <v>0.8</v>
      </c>
      <c r="K1249">
        <f t="shared" si="1031"/>
        <v>33.999999999999993</v>
      </c>
      <c r="L1249">
        <v>0</v>
      </c>
      <c r="M1249">
        <v>0.2</v>
      </c>
      <c r="N1249">
        <v>3.5</v>
      </c>
      <c r="O1249">
        <f t="shared" si="1020"/>
        <v>3.7</v>
      </c>
      <c r="P1249">
        <v>0</v>
      </c>
      <c r="Q1249">
        <v>0</v>
      </c>
      <c r="R1249">
        <v>7.1</v>
      </c>
      <c r="S1249">
        <f t="shared" si="1021"/>
        <v>7.1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f t="shared" si="1022"/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 s="5">
        <f t="shared" si="1023"/>
        <v>0</v>
      </c>
      <c r="AK1249">
        <v>0</v>
      </c>
      <c r="AL1249">
        <v>0.55200000000000005</v>
      </c>
      <c r="AM1249">
        <f t="shared" si="1024"/>
        <v>0.4479999999999999</v>
      </c>
      <c r="AN1249">
        <v>370</v>
      </c>
      <c r="AO1249" t="s">
        <v>13</v>
      </c>
      <c r="AP1249" s="3">
        <f t="shared" si="1017"/>
        <v>670.28985507246375</v>
      </c>
      <c r="AQ1249" t="s">
        <v>13</v>
      </c>
      <c r="AR1249">
        <f t="shared" si="1016"/>
        <v>0</v>
      </c>
      <c r="AS1249">
        <f t="shared" si="1015"/>
        <v>0.44799999999999995</v>
      </c>
      <c r="AT1249">
        <f t="shared" si="1018"/>
        <v>300</v>
      </c>
      <c r="AU1249">
        <f t="shared" si="1019"/>
        <v>0</v>
      </c>
      <c r="AV1249">
        <f t="shared" si="1025"/>
        <v>186</v>
      </c>
      <c r="AW1249">
        <f t="shared" si="1026"/>
        <v>0</v>
      </c>
      <c r="AX1249" s="3">
        <f t="shared" si="1027"/>
        <v>484.28985507246375</v>
      </c>
      <c r="AY1249">
        <f t="shared" si="1028"/>
        <v>150</v>
      </c>
      <c r="AZ1249">
        <f t="shared" si="1029"/>
        <v>0</v>
      </c>
      <c r="BA1249" s="3">
        <f t="shared" si="1030"/>
        <v>520.28985507246375</v>
      </c>
    </row>
    <row r="1250" spans="1:53" x14ac:dyDescent="0.2">
      <c r="A1250">
        <v>2017</v>
      </c>
      <c r="B1250" t="s">
        <v>112</v>
      </c>
      <c r="C1250" t="s">
        <v>99</v>
      </c>
      <c r="D1250">
        <v>7.9</v>
      </c>
      <c r="E1250">
        <v>0.7</v>
      </c>
      <c r="F1250">
        <v>7.2</v>
      </c>
      <c r="G1250">
        <v>1.6</v>
      </c>
      <c r="H1250">
        <v>7.1</v>
      </c>
      <c r="I1250">
        <v>0.6</v>
      </c>
      <c r="J1250">
        <v>3.8</v>
      </c>
      <c r="K1250">
        <f t="shared" si="1031"/>
        <v>28.900000000000002</v>
      </c>
      <c r="L1250">
        <v>0</v>
      </c>
      <c r="M1250">
        <v>0</v>
      </c>
      <c r="N1250">
        <v>1.7</v>
      </c>
      <c r="O1250">
        <f t="shared" si="1020"/>
        <v>1.7</v>
      </c>
      <c r="P1250">
        <v>0</v>
      </c>
      <c r="Q1250">
        <v>1.1000000000000001</v>
      </c>
      <c r="R1250">
        <v>7</v>
      </c>
      <c r="S1250">
        <f t="shared" si="1021"/>
        <v>8.1</v>
      </c>
      <c r="T1250">
        <v>0</v>
      </c>
      <c r="U1250">
        <v>0.1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f t="shared" si="1022"/>
        <v>0.1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0.1</v>
      </c>
      <c r="AI1250">
        <v>0</v>
      </c>
      <c r="AJ1250" s="5">
        <f t="shared" si="1023"/>
        <v>0.1</v>
      </c>
      <c r="AK1250">
        <v>1.2</v>
      </c>
      <c r="AL1250">
        <v>0.6</v>
      </c>
      <c r="AM1250">
        <f t="shared" si="1024"/>
        <v>0.38900000000000001</v>
      </c>
      <c r="AN1250">
        <v>605</v>
      </c>
      <c r="AO1250" t="s">
        <v>13</v>
      </c>
      <c r="AP1250" s="3">
        <f t="shared" si="1017"/>
        <v>990.18003273322427</v>
      </c>
      <c r="AQ1250" t="s">
        <v>13</v>
      </c>
      <c r="AR1250">
        <f t="shared" si="1016"/>
        <v>2.5706940874035988E-3</v>
      </c>
      <c r="AS1250">
        <f t="shared" ref="AS1250:AS1313" si="1032">SUM(K1250,O1250,S1250,AA1250)/100</f>
        <v>0.38800000000000007</v>
      </c>
      <c r="AT1250">
        <f t="shared" si="1018"/>
        <v>384</v>
      </c>
      <c r="AU1250">
        <f t="shared" si="1019"/>
        <v>1</v>
      </c>
      <c r="AV1250">
        <f t="shared" si="1025"/>
        <v>241</v>
      </c>
      <c r="AW1250">
        <f t="shared" si="1026"/>
        <v>1</v>
      </c>
      <c r="AX1250" s="3">
        <f t="shared" si="1027"/>
        <v>748.18003273322427</v>
      </c>
      <c r="AY1250">
        <f t="shared" si="1028"/>
        <v>192</v>
      </c>
      <c r="AZ1250">
        <f t="shared" si="1029"/>
        <v>1</v>
      </c>
      <c r="BA1250" s="3">
        <f t="shared" si="1030"/>
        <v>797.18003273322427</v>
      </c>
    </row>
    <row r="1251" spans="1:53" x14ac:dyDescent="0.2">
      <c r="A1251">
        <v>2018</v>
      </c>
      <c r="B1251" t="s">
        <v>112</v>
      </c>
      <c r="C1251" t="s">
        <v>99</v>
      </c>
      <c r="D1251">
        <v>5.7</v>
      </c>
      <c r="E1251">
        <v>0.6</v>
      </c>
      <c r="F1251">
        <v>2.4</v>
      </c>
      <c r="G1251">
        <v>4.2</v>
      </c>
      <c r="H1251">
        <v>6.1</v>
      </c>
      <c r="I1251">
        <v>1.3</v>
      </c>
      <c r="J1251">
        <v>4.5</v>
      </c>
      <c r="K1251">
        <f t="shared" si="1031"/>
        <v>24.8</v>
      </c>
      <c r="L1251">
        <v>0</v>
      </c>
      <c r="M1251">
        <v>0</v>
      </c>
      <c r="N1251">
        <v>2.7</v>
      </c>
      <c r="O1251">
        <f t="shared" si="1020"/>
        <v>2.7</v>
      </c>
      <c r="P1251">
        <v>0</v>
      </c>
      <c r="Q1251">
        <v>0</v>
      </c>
      <c r="R1251">
        <v>7.1</v>
      </c>
      <c r="S1251">
        <f t="shared" si="1021"/>
        <v>7.1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f t="shared" si="1022"/>
        <v>0</v>
      </c>
      <c r="AB1251">
        <v>0</v>
      </c>
      <c r="AC1251">
        <v>0</v>
      </c>
      <c r="AD1251">
        <v>0</v>
      </c>
      <c r="AE1251">
        <v>0</v>
      </c>
      <c r="AF1251">
        <v>0.1</v>
      </c>
      <c r="AG1251">
        <v>0</v>
      </c>
      <c r="AH1251">
        <v>0</v>
      </c>
      <c r="AI1251">
        <v>0</v>
      </c>
      <c r="AJ1251" s="5">
        <f t="shared" si="1023"/>
        <v>0.1</v>
      </c>
      <c r="AK1251">
        <v>0.3</v>
      </c>
      <c r="AL1251">
        <v>0.64900000000000002</v>
      </c>
      <c r="AM1251">
        <f t="shared" si="1024"/>
        <v>0.34700000000000003</v>
      </c>
      <c r="AN1251">
        <v>420</v>
      </c>
      <c r="AO1251" t="s">
        <v>13</v>
      </c>
      <c r="AP1251" s="3">
        <f t="shared" si="1017"/>
        <v>643.1852986217458</v>
      </c>
      <c r="AQ1251" t="s">
        <v>13</v>
      </c>
      <c r="AR1251">
        <f t="shared" si="1016"/>
        <v>2.881844380403458E-3</v>
      </c>
      <c r="AS1251">
        <f t="shared" si="1032"/>
        <v>0.34600000000000003</v>
      </c>
      <c r="AT1251">
        <f t="shared" si="1018"/>
        <v>223</v>
      </c>
      <c r="AU1251">
        <f t="shared" si="1019"/>
        <v>1</v>
      </c>
      <c r="AV1251">
        <f t="shared" si="1025"/>
        <v>143</v>
      </c>
      <c r="AW1251">
        <f t="shared" si="1026"/>
        <v>1</v>
      </c>
      <c r="AX1251" s="3">
        <f t="shared" si="1027"/>
        <v>499.1852986217458</v>
      </c>
      <c r="AY1251">
        <f t="shared" si="1028"/>
        <v>111</v>
      </c>
      <c r="AZ1251">
        <f t="shared" si="1029"/>
        <v>1</v>
      </c>
      <c r="BA1251" s="3">
        <f t="shared" si="1030"/>
        <v>531.1852986217458</v>
      </c>
    </row>
    <row r="1252" spans="1:53" x14ac:dyDescent="0.2">
      <c r="A1252">
        <v>2019</v>
      </c>
      <c r="B1252" t="s">
        <v>112</v>
      </c>
      <c r="C1252" t="s">
        <v>99</v>
      </c>
      <c r="D1252">
        <v>4.7</v>
      </c>
      <c r="E1252">
        <v>5.5</v>
      </c>
      <c r="F1252">
        <v>3.5</v>
      </c>
      <c r="G1252">
        <v>2.6</v>
      </c>
      <c r="H1252">
        <v>5.2</v>
      </c>
      <c r="I1252">
        <v>0.8</v>
      </c>
      <c r="J1252">
        <v>2.2000000000000002</v>
      </c>
      <c r="K1252">
        <f t="shared" si="1031"/>
        <v>24.5</v>
      </c>
      <c r="L1252">
        <v>0</v>
      </c>
      <c r="M1252">
        <v>0</v>
      </c>
      <c r="N1252">
        <v>4.4000000000000004</v>
      </c>
      <c r="O1252">
        <f t="shared" ref="O1252:O1296" si="1033">SUM(L1252:N1252)</f>
        <v>4.4000000000000004</v>
      </c>
      <c r="P1252">
        <v>0</v>
      </c>
      <c r="Q1252">
        <v>0</v>
      </c>
      <c r="R1252">
        <v>6.5</v>
      </c>
      <c r="S1252">
        <f t="shared" ref="S1252:S1296" si="1034">SUM(P1252:R1252)</f>
        <v>6.5</v>
      </c>
      <c r="T1252">
        <v>0.1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f t="shared" ref="AA1252:AA1296" si="1035">SUM(T1252:Z1252)</f>
        <v>0.1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 s="5">
        <f t="shared" ref="AJ1252:AJ1296" si="1036">SUM(AB1252:AI1252)</f>
        <v>0</v>
      </c>
      <c r="AK1252">
        <v>0.1</v>
      </c>
      <c r="AL1252">
        <v>0.64500000000000002</v>
      </c>
      <c r="AM1252">
        <f t="shared" si="1024"/>
        <v>0.35499999999999998</v>
      </c>
      <c r="AN1252">
        <v>266</v>
      </c>
      <c r="AO1252" t="s">
        <v>13</v>
      </c>
      <c r="AP1252" s="3">
        <f t="shared" si="1017"/>
        <v>412.40310077519376</v>
      </c>
      <c r="AQ1252" t="s">
        <v>13</v>
      </c>
      <c r="AR1252">
        <f t="shared" ref="AR1252:AR1315" si="1037">(AJ1252/100)/AM1252</f>
        <v>0</v>
      </c>
      <c r="AS1252">
        <f t="shared" si="1032"/>
        <v>0.35499999999999998</v>
      </c>
      <c r="AT1252">
        <f t="shared" si="1018"/>
        <v>146</v>
      </c>
      <c r="AU1252">
        <f t="shared" si="1019"/>
        <v>0</v>
      </c>
      <c r="AV1252">
        <f t="shared" si="1025"/>
        <v>96</v>
      </c>
      <c r="AW1252">
        <f t="shared" si="1026"/>
        <v>0</v>
      </c>
      <c r="AX1252" s="3">
        <f t="shared" si="1027"/>
        <v>316.40310077519376</v>
      </c>
      <c r="AY1252">
        <f t="shared" si="1028"/>
        <v>73</v>
      </c>
      <c r="AZ1252">
        <f t="shared" si="1029"/>
        <v>0</v>
      </c>
      <c r="BA1252" s="3">
        <f t="shared" si="1030"/>
        <v>339.40310077519376</v>
      </c>
    </row>
    <row r="1253" spans="1:53" x14ac:dyDescent="0.2">
      <c r="A1253">
        <v>2020</v>
      </c>
      <c r="B1253" t="s">
        <v>112</v>
      </c>
      <c r="C1253" t="s">
        <v>99</v>
      </c>
      <c r="D1253">
        <v>6.6</v>
      </c>
      <c r="E1253">
        <v>2.6</v>
      </c>
      <c r="F1253">
        <v>4.5</v>
      </c>
      <c r="G1253">
        <v>2.4</v>
      </c>
      <c r="H1253">
        <v>2.7</v>
      </c>
      <c r="I1253">
        <v>0.3</v>
      </c>
      <c r="J1253">
        <v>1.7</v>
      </c>
      <c r="K1253">
        <f t="shared" si="1031"/>
        <v>20.799999999999997</v>
      </c>
      <c r="L1253">
        <v>0</v>
      </c>
      <c r="M1253">
        <v>0</v>
      </c>
      <c r="N1253">
        <v>1.4</v>
      </c>
      <c r="O1253">
        <f t="shared" si="1033"/>
        <v>1.4</v>
      </c>
      <c r="P1253">
        <v>0</v>
      </c>
      <c r="Q1253">
        <v>0</v>
      </c>
      <c r="R1253">
        <v>3.8</v>
      </c>
      <c r="S1253">
        <f t="shared" si="1034"/>
        <v>3.8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0.1</v>
      </c>
      <c r="AA1253">
        <f t="shared" si="1035"/>
        <v>0.1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 s="5">
        <f t="shared" si="1036"/>
        <v>0</v>
      </c>
      <c r="AK1253">
        <v>1.4</v>
      </c>
      <c r="AL1253">
        <v>0.72499999999999998</v>
      </c>
      <c r="AM1253">
        <f t="shared" si="1024"/>
        <v>0.26099999999999995</v>
      </c>
      <c r="AN1253">
        <v>350</v>
      </c>
      <c r="AO1253" t="s">
        <v>13</v>
      </c>
      <c r="AP1253" s="3">
        <f t="shared" si="1017"/>
        <v>473.61299052774012</v>
      </c>
      <c r="AQ1253" t="s">
        <v>13</v>
      </c>
      <c r="AR1253">
        <f t="shared" si="1037"/>
        <v>0</v>
      </c>
      <c r="AS1253">
        <f t="shared" si="1032"/>
        <v>0.26099999999999995</v>
      </c>
      <c r="AT1253">
        <f t="shared" si="1018"/>
        <v>124</v>
      </c>
      <c r="AU1253">
        <f t="shared" si="1019"/>
        <v>0</v>
      </c>
      <c r="AV1253">
        <f t="shared" si="1025"/>
        <v>74</v>
      </c>
      <c r="AW1253">
        <f t="shared" si="1026"/>
        <v>0</v>
      </c>
      <c r="AX1253" s="3">
        <f t="shared" si="1027"/>
        <v>399.61299052774012</v>
      </c>
      <c r="AY1253">
        <f t="shared" si="1028"/>
        <v>62</v>
      </c>
      <c r="AZ1253">
        <f t="shared" si="1029"/>
        <v>0</v>
      </c>
      <c r="BA1253" s="3">
        <f t="shared" si="1030"/>
        <v>411.61299052774012</v>
      </c>
    </row>
    <row r="1254" spans="1:53" x14ac:dyDescent="0.2">
      <c r="A1254">
        <v>2021</v>
      </c>
      <c r="B1254" t="s">
        <v>112</v>
      </c>
      <c r="C1254" t="s">
        <v>99</v>
      </c>
      <c r="D1254">
        <v>7.5</v>
      </c>
      <c r="E1254">
        <v>4.9000000000000004</v>
      </c>
      <c r="F1254">
        <v>3.1</v>
      </c>
      <c r="G1254">
        <v>3.1</v>
      </c>
      <c r="H1254">
        <v>2.7</v>
      </c>
      <c r="I1254">
        <v>0.8</v>
      </c>
      <c r="J1254">
        <v>1.8</v>
      </c>
      <c r="K1254">
        <f t="shared" si="1031"/>
        <v>23.900000000000002</v>
      </c>
      <c r="L1254">
        <v>0</v>
      </c>
      <c r="M1254">
        <v>0</v>
      </c>
      <c r="N1254">
        <v>1.7</v>
      </c>
      <c r="O1254">
        <f t="shared" si="1033"/>
        <v>1.7</v>
      </c>
      <c r="P1254">
        <v>0</v>
      </c>
      <c r="Q1254">
        <v>0</v>
      </c>
      <c r="R1254">
        <v>4.5999999999999996</v>
      </c>
      <c r="S1254">
        <f t="shared" si="1034"/>
        <v>4.5999999999999996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f t="shared" si="1035"/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 s="5">
        <f t="shared" si="1036"/>
        <v>0</v>
      </c>
      <c r="AK1254">
        <v>0</v>
      </c>
      <c r="AL1254">
        <v>0.69799999999999995</v>
      </c>
      <c r="AM1254">
        <f t="shared" si="1024"/>
        <v>0.30200000000000005</v>
      </c>
      <c r="AN1254">
        <v>325</v>
      </c>
      <c r="AO1254" t="s">
        <v>13</v>
      </c>
      <c r="AP1254" s="3">
        <f t="shared" si="1017"/>
        <v>465.61604584527225</v>
      </c>
      <c r="AQ1254" t="s">
        <v>13</v>
      </c>
      <c r="AR1254">
        <f t="shared" si="1037"/>
        <v>0</v>
      </c>
      <c r="AS1254">
        <f t="shared" si="1032"/>
        <v>0.30200000000000005</v>
      </c>
      <c r="AT1254">
        <f t="shared" si="1018"/>
        <v>141</v>
      </c>
      <c r="AU1254">
        <f t="shared" si="1019"/>
        <v>0</v>
      </c>
      <c r="AV1254">
        <f t="shared" si="1025"/>
        <v>85</v>
      </c>
      <c r="AW1254">
        <f t="shared" si="1026"/>
        <v>0</v>
      </c>
      <c r="AX1254" s="3">
        <f t="shared" si="1027"/>
        <v>380.61604584527225</v>
      </c>
      <c r="AY1254">
        <f t="shared" si="1028"/>
        <v>70</v>
      </c>
      <c r="AZ1254">
        <f t="shared" si="1029"/>
        <v>0</v>
      </c>
      <c r="BA1254" s="3">
        <f t="shared" si="1030"/>
        <v>395.61604584527225</v>
      </c>
    </row>
    <row r="1255" spans="1:53" x14ac:dyDescent="0.2">
      <c r="A1255">
        <v>2022</v>
      </c>
      <c r="B1255" t="s">
        <v>112</v>
      </c>
      <c r="C1255" t="s">
        <v>99</v>
      </c>
      <c r="D1255">
        <v>8.8000000000000007</v>
      </c>
      <c r="E1255">
        <v>6.1</v>
      </c>
      <c r="F1255">
        <v>3.8</v>
      </c>
      <c r="G1255">
        <v>1.8</v>
      </c>
      <c r="H1255">
        <v>2.6</v>
      </c>
      <c r="I1255">
        <v>0.6</v>
      </c>
      <c r="J1255">
        <v>2.8</v>
      </c>
      <c r="K1255">
        <f t="shared" si="1031"/>
        <v>26.500000000000004</v>
      </c>
      <c r="L1255">
        <v>0</v>
      </c>
      <c r="M1255">
        <v>0</v>
      </c>
      <c r="N1255">
        <v>6.1</v>
      </c>
      <c r="O1255">
        <f t="shared" si="1033"/>
        <v>6.1</v>
      </c>
      <c r="P1255">
        <v>0</v>
      </c>
      <c r="Q1255">
        <v>0</v>
      </c>
      <c r="R1255">
        <v>8.8000000000000007</v>
      </c>
      <c r="S1255">
        <f t="shared" si="1034"/>
        <v>8.8000000000000007</v>
      </c>
      <c r="T1255">
        <v>0.1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0.2</v>
      </c>
      <c r="AA1255">
        <f t="shared" si="1035"/>
        <v>0.30000000000000004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0.1</v>
      </c>
      <c r="AI1255">
        <v>0</v>
      </c>
      <c r="AJ1255" s="5">
        <f t="shared" si="1036"/>
        <v>0.1</v>
      </c>
      <c r="AK1255">
        <v>0</v>
      </c>
      <c r="AL1255">
        <v>0.58099999999999996</v>
      </c>
      <c r="AM1255">
        <f t="shared" si="1024"/>
        <v>0.41799999999999998</v>
      </c>
      <c r="AN1255">
        <v>739</v>
      </c>
      <c r="AO1255" t="s">
        <v>13</v>
      </c>
      <c r="AP1255" s="3">
        <f t="shared" si="1017"/>
        <v>1269.7594501718211</v>
      </c>
      <c r="AQ1255" t="s">
        <v>13</v>
      </c>
      <c r="AR1255">
        <f t="shared" si="1037"/>
        <v>2.3923444976076558E-3</v>
      </c>
      <c r="AS1255">
        <f t="shared" si="1032"/>
        <v>0.41700000000000004</v>
      </c>
      <c r="AT1255">
        <f t="shared" si="1018"/>
        <v>529</v>
      </c>
      <c r="AU1255">
        <f t="shared" si="1019"/>
        <v>1</v>
      </c>
      <c r="AV1255">
        <f t="shared" si="1025"/>
        <v>361</v>
      </c>
      <c r="AW1255">
        <f t="shared" si="1026"/>
        <v>1</v>
      </c>
      <c r="AX1255" s="3">
        <f t="shared" si="1027"/>
        <v>907.75945017182107</v>
      </c>
      <c r="AY1255">
        <f t="shared" si="1028"/>
        <v>265</v>
      </c>
      <c r="AZ1255">
        <f t="shared" si="1029"/>
        <v>1</v>
      </c>
      <c r="BA1255" s="3">
        <f t="shared" si="1030"/>
        <v>1003.7594501718211</v>
      </c>
    </row>
    <row r="1256" spans="1:53" x14ac:dyDescent="0.2">
      <c r="A1256">
        <v>2023</v>
      </c>
      <c r="B1256" t="s">
        <v>112</v>
      </c>
      <c r="C1256" t="s">
        <v>99</v>
      </c>
      <c r="D1256">
        <v>2.5</v>
      </c>
      <c r="E1256">
        <v>1.9</v>
      </c>
      <c r="F1256">
        <v>1.6</v>
      </c>
      <c r="G1256">
        <v>1.9</v>
      </c>
      <c r="H1256">
        <v>1.9</v>
      </c>
      <c r="I1256">
        <v>0.9</v>
      </c>
      <c r="J1256">
        <v>1.7</v>
      </c>
      <c r="K1256">
        <f t="shared" si="1031"/>
        <v>12.4</v>
      </c>
      <c r="L1256">
        <v>0</v>
      </c>
      <c r="M1256">
        <v>0</v>
      </c>
      <c r="N1256">
        <v>2.4</v>
      </c>
      <c r="O1256">
        <f t="shared" si="1033"/>
        <v>2.4</v>
      </c>
      <c r="P1256">
        <v>0</v>
      </c>
      <c r="Q1256">
        <v>0.5</v>
      </c>
      <c r="R1256">
        <v>4.7</v>
      </c>
      <c r="S1256">
        <f t="shared" si="1034"/>
        <v>5.2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f t="shared" si="1035"/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 s="5">
        <f t="shared" si="1036"/>
        <v>0</v>
      </c>
      <c r="AK1256">
        <v>0</v>
      </c>
      <c r="AL1256">
        <v>0.8</v>
      </c>
      <c r="AM1256">
        <f t="shared" si="1024"/>
        <v>0.19999999999999996</v>
      </c>
      <c r="AN1256">
        <v>355</v>
      </c>
      <c r="AO1256" t="s">
        <v>13</v>
      </c>
      <c r="AP1256" s="3">
        <f t="shared" si="1017"/>
        <v>443.75</v>
      </c>
      <c r="AQ1256" t="s">
        <v>13</v>
      </c>
      <c r="AR1256">
        <f t="shared" si="1037"/>
        <v>0</v>
      </c>
      <c r="AS1256">
        <f t="shared" si="1032"/>
        <v>0.2</v>
      </c>
      <c r="AT1256">
        <f t="shared" si="1018"/>
        <v>89</v>
      </c>
      <c r="AU1256">
        <f t="shared" si="1019"/>
        <v>0</v>
      </c>
      <c r="AV1256">
        <f t="shared" si="1025"/>
        <v>61</v>
      </c>
      <c r="AW1256">
        <f t="shared" si="1026"/>
        <v>0</v>
      </c>
      <c r="AX1256" s="3">
        <f t="shared" si="1027"/>
        <v>382.75</v>
      </c>
      <c r="AY1256">
        <f t="shared" si="1028"/>
        <v>44</v>
      </c>
      <c r="AZ1256">
        <f t="shared" si="1029"/>
        <v>0</v>
      </c>
      <c r="BA1256" s="3">
        <f t="shared" si="1030"/>
        <v>399.75</v>
      </c>
    </row>
    <row r="1257" spans="1:53" x14ac:dyDescent="0.2">
      <c r="A1257">
        <v>1979</v>
      </c>
      <c r="B1257" t="s">
        <v>113</v>
      </c>
      <c r="C1257" t="s">
        <v>99</v>
      </c>
      <c r="D1257">
        <v>21.2</v>
      </c>
      <c r="E1257">
        <v>0.6</v>
      </c>
      <c r="F1257">
        <v>0.7</v>
      </c>
      <c r="G1257">
        <v>11.9</v>
      </c>
      <c r="H1257">
        <v>0</v>
      </c>
      <c r="I1257">
        <v>8.3000000000000007</v>
      </c>
      <c r="J1257">
        <v>0</v>
      </c>
      <c r="K1257">
        <f t="shared" si="1031"/>
        <v>42.7</v>
      </c>
      <c r="L1257">
        <v>11.3</v>
      </c>
      <c r="M1257">
        <v>7.4</v>
      </c>
      <c r="N1257">
        <v>0.1</v>
      </c>
      <c r="O1257">
        <f t="shared" si="1033"/>
        <v>18.800000000000004</v>
      </c>
      <c r="P1257">
        <v>0.5</v>
      </c>
      <c r="Q1257">
        <v>2.1</v>
      </c>
      <c r="R1257">
        <v>1.4</v>
      </c>
      <c r="S1257">
        <f t="shared" si="1034"/>
        <v>4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f t="shared" si="1035"/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0.1</v>
      </c>
      <c r="AI1257">
        <v>0</v>
      </c>
      <c r="AJ1257" s="5">
        <f t="shared" si="1036"/>
        <v>0.1</v>
      </c>
      <c r="AK1257">
        <v>0</v>
      </c>
      <c r="AL1257">
        <v>0.34399999999999997</v>
      </c>
      <c r="AM1257">
        <f t="shared" ref="AM1257:AM1320" si="1038">SUM(AB1257:AI1257,T1257:Z1257,P1257:R1257,L1257:N1257,D1257:J1257)/100</f>
        <v>0.65600000000000014</v>
      </c>
      <c r="AN1257">
        <v>200</v>
      </c>
      <c r="AO1257" t="s">
        <v>13</v>
      </c>
      <c r="AP1257" s="3">
        <f t="shared" si="1017"/>
        <v>581.39534883720955</v>
      </c>
      <c r="AQ1257" t="s">
        <v>13</v>
      </c>
      <c r="AR1257">
        <f t="shared" si="1037"/>
        <v>1.5243902439024386E-3</v>
      </c>
      <c r="AS1257">
        <f t="shared" si="1032"/>
        <v>0.65500000000000003</v>
      </c>
      <c r="AT1257">
        <f t="shared" si="1018"/>
        <v>381</v>
      </c>
      <c r="AU1257">
        <f t="shared" si="1019"/>
        <v>1</v>
      </c>
      <c r="AV1257">
        <f t="shared" si="1025"/>
        <v>257</v>
      </c>
      <c r="AW1257">
        <f t="shared" si="1026"/>
        <v>2</v>
      </c>
      <c r="AX1257" s="3">
        <f t="shared" si="1027"/>
        <v>322.39534883720955</v>
      </c>
      <c r="AY1257">
        <f t="shared" si="1028"/>
        <v>190</v>
      </c>
      <c r="AZ1257">
        <f t="shared" si="1029"/>
        <v>2</v>
      </c>
      <c r="BA1257" s="3">
        <f t="shared" si="1030"/>
        <v>389.39534883720955</v>
      </c>
    </row>
    <row r="1258" spans="1:53" x14ac:dyDescent="0.2">
      <c r="A1258">
        <v>1980</v>
      </c>
      <c r="B1258" t="s">
        <v>113</v>
      </c>
      <c r="C1258" t="s">
        <v>99</v>
      </c>
      <c r="D1258">
        <v>28.3</v>
      </c>
      <c r="E1258">
        <v>5.7</v>
      </c>
      <c r="F1258">
        <v>1.1000000000000001</v>
      </c>
      <c r="G1258">
        <v>8.5</v>
      </c>
      <c r="H1258">
        <v>0</v>
      </c>
      <c r="I1258">
        <v>7.4</v>
      </c>
      <c r="J1258">
        <v>0.2</v>
      </c>
      <c r="K1258">
        <f t="shared" si="1031"/>
        <v>51.2</v>
      </c>
      <c r="L1258">
        <v>8.6999999999999993</v>
      </c>
      <c r="M1258">
        <v>4.5999999999999996</v>
      </c>
      <c r="N1258">
        <v>0</v>
      </c>
      <c r="O1258">
        <f t="shared" si="1033"/>
        <v>13.299999999999999</v>
      </c>
      <c r="P1258">
        <v>0</v>
      </c>
      <c r="Q1258">
        <v>1.2</v>
      </c>
      <c r="R1258">
        <v>0.5</v>
      </c>
      <c r="S1258">
        <f t="shared" si="1034"/>
        <v>1.7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0.2</v>
      </c>
      <c r="Z1258">
        <v>0</v>
      </c>
      <c r="AA1258">
        <f t="shared" si="1035"/>
        <v>0.2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 s="5">
        <f t="shared" si="1036"/>
        <v>0</v>
      </c>
      <c r="AK1258">
        <v>0</v>
      </c>
      <c r="AL1258">
        <v>0.33600000000000002</v>
      </c>
      <c r="AM1258">
        <f t="shared" si="1038"/>
        <v>0.66400000000000003</v>
      </c>
      <c r="AN1258">
        <v>200</v>
      </c>
      <c r="AO1258" t="s">
        <v>13</v>
      </c>
      <c r="AP1258" s="3">
        <f t="shared" si="1017"/>
        <v>595.2380952380953</v>
      </c>
      <c r="AQ1258" t="s">
        <v>13</v>
      </c>
      <c r="AR1258">
        <f t="shared" si="1037"/>
        <v>0</v>
      </c>
      <c r="AS1258">
        <f t="shared" si="1032"/>
        <v>0.66400000000000003</v>
      </c>
      <c r="AT1258">
        <f t="shared" si="1018"/>
        <v>395</v>
      </c>
      <c r="AU1258">
        <f t="shared" si="1019"/>
        <v>0</v>
      </c>
      <c r="AV1258">
        <f t="shared" si="1025"/>
        <v>243</v>
      </c>
      <c r="AW1258">
        <f t="shared" si="1026"/>
        <v>0</v>
      </c>
      <c r="AX1258" s="3">
        <f t="shared" si="1027"/>
        <v>352.2380952380953</v>
      </c>
      <c r="AY1258">
        <f t="shared" si="1028"/>
        <v>198</v>
      </c>
      <c r="AZ1258">
        <f t="shared" si="1029"/>
        <v>0</v>
      </c>
      <c r="BA1258" s="3">
        <f t="shared" si="1030"/>
        <v>397.2380952380953</v>
      </c>
    </row>
    <row r="1259" spans="1:53" x14ac:dyDescent="0.2">
      <c r="A1259">
        <v>1981</v>
      </c>
      <c r="B1259" t="s">
        <v>113</v>
      </c>
      <c r="C1259" t="s">
        <v>99</v>
      </c>
      <c r="D1259">
        <v>31.6</v>
      </c>
      <c r="E1259">
        <v>1.6</v>
      </c>
      <c r="F1259">
        <v>1</v>
      </c>
      <c r="G1259">
        <v>13.9</v>
      </c>
      <c r="H1259">
        <v>0</v>
      </c>
      <c r="I1259">
        <v>5.8</v>
      </c>
      <c r="J1259">
        <v>0.1</v>
      </c>
      <c r="K1259">
        <f t="shared" si="1031"/>
        <v>54</v>
      </c>
      <c r="L1259">
        <v>8.3000000000000007</v>
      </c>
      <c r="M1259">
        <v>4.5999999999999996</v>
      </c>
      <c r="N1259">
        <v>0.3</v>
      </c>
      <c r="O1259">
        <f t="shared" si="1033"/>
        <v>13.200000000000001</v>
      </c>
      <c r="P1259">
        <v>0.4</v>
      </c>
      <c r="Q1259">
        <v>1.2</v>
      </c>
      <c r="R1259">
        <v>1.5</v>
      </c>
      <c r="S1259">
        <f t="shared" si="1034"/>
        <v>3.1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0.8</v>
      </c>
      <c r="Z1259">
        <v>0.1</v>
      </c>
      <c r="AA1259">
        <f t="shared" si="1035"/>
        <v>0.9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0.4</v>
      </c>
      <c r="AI1259">
        <v>0</v>
      </c>
      <c r="AJ1259" s="5">
        <f t="shared" si="1036"/>
        <v>0.4</v>
      </c>
      <c r="AK1259">
        <v>0</v>
      </c>
      <c r="AL1259">
        <v>0.28399999999999997</v>
      </c>
      <c r="AM1259">
        <f t="shared" si="1038"/>
        <v>0.71599999999999997</v>
      </c>
      <c r="AN1259">
        <v>1000</v>
      </c>
      <c r="AO1259" t="s">
        <v>13</v>
      </c>
      <c r="AP1259" s="3">
        <f t="shared" si="1017"/>
        <v>3521.1267605633798</v>
      </c>
      <c r="AQ1259" t="s">
        <v>13</v>
      </c>
      <c r="AR1259">
        <f t="shared" si="1037"/>
        <v>5.5865921787709499E-3</v>
      </c>
      <c r="AS1259">
        <f t="shared" si="1032"/>
        <v>0.71200000000000008</v>
      </c>
      <c r="AT1259">
        <f t="shared" si="1018"/>
        <v>2507</v>
      </c>
      <c r="AU1259">
        <f t="shared" si="1019"/>
        <v>14</v>
      </c>
      <c r="AV1259">
        <f t="shared" si="1025"/>
        <v>1556</v>
      </c>
      <c r="AW1259">
        <f t="shared" si="1026"/>
        <v>27</v>
      </c>
      <c r="AX1259" s="3">
        <f t="shared" si="1027"/>
        <v>1938.1267605633798</v>
      </c>
      <c r="AY1259">
        <f t="shared" si="1028"/>
        <v>1254</v>
      </c>
      <c r="AZ1259">
        <f t="shared" si="1029"/>
        <v>31</v>
      </c>
      <c r="BA1259" s="3">
        <f t="shared" si="1030"/>
        <v>2236.1267605633798</v>
      </c>
    </row>
    <row r="1260" spans="1:53" x14ac:dyDescent="0.2">
      <c r="A1260">
        <v>1982</v>
      </c>
      <c r="B1260" t="s">
        <v>113</v>
      </c>
      <c r="C1260" t="s">
        <v>99</v>
      </c>
      <c r="D1260">
        <v>29.1</v>
      </c>
      <c r="E1260">
        <v>3.5</v>
      </c>
      <c r="F1260">
        <v>1.6</v>
      </c>
      <c r="G1260">
        <v>14.7</v>
      </c>
      <c r="H1260">
        <v>0</v>
      </c>
      <c r="I1260">
        <v>6.1</v>
      </c>
      <c r="J1260">
        <v>0.1</v>
      </c>
      <c r="K1260">
        <f t="shared" si="1031"/>
        <v>55.100000000000009</v>
      </c>
      <c r="L1260">
        <v>7.1</v>
      </c>
      <c r="M1260">
        <v>4.5</v>
      </c>
      <c r="N1260">
        <v>0</v>
      </c>
      <c r="O1260">
        <f t="shared" si="1033"/>
        <v>11.6</v>
      </c>
      <c r="P1260">
        <v>0.1</v>
      </c>
      <c r="Q1260">
        <v>1.3</v>
      </c>
      <c r="R1260">
        <v>0.9</v>
      </c>
      <c r="S1260">
        <f t="shared" si="1034"/>
        <v>2.3000000000000003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0.5</v>
      </c>
      <c r="Z1260">
        <v>0.1</v>
      </c>
      <c r="AA1260">
        <f t="shared" si="1035"/>
        <v>0.6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0.1</v>
      </c>
      <c r="AI1260">
        <v>0</v>
      </c>
      <c r="AJ1260" s="5">
        <f t="shared" si="1036"/>
        <v>0.1</v>
      </c>
      <c r="AK1260">
        <v>0</v>
      </c>
      <c r="AL1260">
        <v>0.3</v>
      </c>
      <c r="AM1260">
        <f t="shared" si="1038"/>
        <v>0.69699999999999984</v>
      </c>
      <c r="AN1260">
        <v>1000</v>
      </c>
      <c r="AO1260" t="s">
        <v>13</v>
      </c>
      <c r="AP1260" s="3">
        <f t="shared" si="1017"/>
        <v>3300.3300330032985</v>
      </c>
      <c r="AQ1260" t="s">
        <v>13</v>
      </c>
      <c r="AR1260">
        <f t="shared" si="1037"/>
        <v>1.434720229555237E-3</v>
      </c>
      <c r="AS1260">
        <f t="shared" si="1032"/>
        <v>0.69599999999999995</v>
      </c>
      <c r="AT1260">
        <f t="shared" si="1018"/>
        <v>2297</v>
      </c>
      <c r="AU1260">
        <f t="shared" si="1019"/>
        <v>3</v>
      </c>
      <c r="AV1260">
        <f t="shared" si="1025"/>
        <v>1388</v>
      </c>
      <c r="AW1260">
        <f t="shared" si="1026"/>
        <v>6</v>
      </c>
      <c r="AX1260" s="3">
        <f t="shared" si="1027"/>
        <v>1906.3300330032985</v>
      </c>
      <c r="AY1260">
        <f t="shared" si="1028"/>
        <v>1149</v>
      </c>
      <c r="AZ1260">
        <f t="shared" si="1029"/>
        <v>6</v>
      </c>
      <c r="BA1260" s="3">
        <f t="shared" si="1030"/>
        <v>2145.3300330032985</v>
      </c>
    </row>
    <row r="1261" spans="1:53" x14ac:dyDescent="0.2">
      <c r="A1261">
        <v>1983</v>
      </c>
      <c r="B1261" t="s">
        <v>113</v>
      </c>
      <c r="C1261" t="s">
        <v>99</v>
      </c>
      <c r="D1261">
        <v>41.4</v>
      </c>
      <c r="E1261">
        <v>2.7</v>
      </c>
      <c r="F1261">
        <v>0.4</v>
      </c>
      <c r="G1261">
        <v>11.1</v>
      </c>
      <c r="H1261">
        <v>0</v>
      </c>
      <c r="I1261">
        <v>5.7</v>
      </c>
      <c r="J1261">
        <v>0</v>
      </c>
      <c r="K1261">
        <f t="shared" si="1031"/>
        <v>61.300000000000004</v>
      </c>
      <c r="L1261">
        <v>7.9</v>
      </c>
      <c r="M1261">
        <v>2.2999999999999998</v>
      </c>
      <c r="N1261">
        <v>0.1</v>
      </c>
      <c r="O1261">
        <f t="shared" si="1033"/>
        <v>10.299999999999999</v>
      </c>
      <c r="P1261">
        <v>0</v>
      </c>
      <c r="Q1261">
        <v>0.6</v>
      </c>
      <c r="R1261">
        <v>0.4</v>
      </c>
      <c r="S1261">
        <f t="shared" si="1034"/>
        <v>1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f t="shared" si="1035"/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0.1</v>
      </c>
      <c r="AI1261">
        <v>0</v>
      </c>
      <c r="AJ1261" s="5">
        <f t="shared" si="1036"/>
        <v>0.1</v>
      </c>
      <c r="AK1261">
        <v>0</v>
      </c>
      <c r="AL1261">
        <v>0.27300000000000002</v>
      </c>
      <c r="AM1261">
        <f t="shared" si="1038"/>
        <v>0.72699999999999998</v>
      </c>
      <c r="AN1261">
        <v>500</v>
      </c>
      <c r="AO1261" t="s">
        <v>13</v>
      </c>
      <c r="AP1261" s="3">
        <f t="shared" si="1017"/>
        <v>1831.5018315018315</v>
      </c>
      <c r="AQ1261" t="s">
        <v>13</v>
      </c>
      <c r="AR1261">
        <f t="shared" si="1037"/>
        <v>1.375515818431912E-3</v>
      </c>
      <c r="AS1261">
        <f t="shared" si="1032"/>
        <v>0.72600000000000009</v>
      </c>
      <c r="AT1261">
        <f t="shared" si="1018"/>
        <v>1330</v>
      </c>
      <c r="AU1261">
        <f t="shared" si="1019"/>
        <v>2</v>
      </c>
      <c r="AV1261">
        <f t="shared" si="1025"/>
        <v>768</v>
      </c>
      <c r="AW1261">
        <f t="shared" si="1026"/>
        <v>4</v>
      </c>
      <c r="AX1261" s="3">
        <f t="shared" si="1027"/>
        <v>1059.5018315018315</v>
      </c>
      <c r="AY1261">
        <f t="shared" si="1028"/>
        <v>665</v>
      </c>
      <c r="AZ1261">
        <f t="shared" si="1029"/>
        <v>5</v>
      </c>
      <c r="BA1261" s="3">
        <f t="shared" si="1030"/>
        <v>1161.5018315018315</v>
      </c>
    </row>
    <row r="1262" spans="1:53" x14ac:dyDescent="0.2">
      <c r="A1262">
        <v>1984</v>
      </c>
      <c r="B1262" t="s">
        <v>113</v>
      </c>
      <c r="C1262" t="s">
        <v>99</v>
      </c>
      <c r="D1262">
        <v>30.1</v>
      </c>
      <c r="E1262">
        <v>4.0999999999999996</v>
      </c>
      <c r="F1262">
        <v>0.1</v>
      </c>
      <c r="G1262">
        <v>13.7</v>
      </c>
      <c r="H1262">
        <v>0</v>
      </c>
      <c r="I1262">
        <v>6.7</v>
      </c>
      <c r="J1262">
        <v>0</v>
      </c>
      <c r="K1262">
        <f t="shared" si="1031"/>
        <v>54.7</v>
      </c>
      <c r="L1262">
        <v>3.9</v>
      </c>
      <c r="M1262">
        <v>2.7</v>
      </c>
      <c r="N1262">
        <v>0</v>
      </c>
      <c r="O1262">
        <f t="shared" si="1033"/>
        <v>6.6</v>
      </c>
      <c r="P1262">
        <v>0</v>
      </c>
      <c r="Q1262">
        <v>0.8</v>
      </c>
      <c r="R1262">
        <v>1</v>
      </c>
      <c r="S1262">
        <f t="shared" si="1034"/>
        <v>1.8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0.1</v>
      </c>
      <c r="Z1262">
        <v>0</v>
      </c>
      <c r="AA1262">
        <f t="shared" si="1035"/>
        <v>0.1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 s="5">
        <f t="shared" si="1036"/>
        <v>0</v>
      </c>
      <c r="AK1262">
        <v>0</v>
      </c>
      <c r="AL1262">
        <v>0.36700000000000005</v>
      </c>
      <c r="AM1262">
        <f t="shared" si="1038"/>
        <v>0.63200000000000001</v>
      </c>
      <c r="AN1262">
        <v>1500</v>
      </c>
      <c r="AO1262" t="s">
        <v>13</v>
      </c>
      <c r="AP1262" s="3">
        <f t="shared" si="1017"/>
        <v>4076.086956521739</v>
      </c>
      <c r="AQ1262" t="s">
        <v>13</v>
      </c>
      <c r="AR1262">
        <f t="shared" si="1037"/>
        <v>0</v>
      </c>
      <c r="AS1262">
        <f t="shared" si="1032"/>
        <v>0.63200000000000001</v>
      </c>
      <c r="AT1262">
        <f t="shared" si="1018"/>
        <v>2576</v>
      </c>
      <c r="AU1262">
        <f t="shared" si="1019"/>
        <v>0</v>
      </c>
      <c r="AV1262">
        <f t="shared" si="1025"/>
        <v>1461</v>
      </c>
      <c r="AW1262">
        <f t="shared" si="1026"/>
        <v>0</v>
      </c>
      <c r="AX1262" s="3">
        <f t="shared" si="1027"/>
        <v>2615.086956521739</v>
      </c>
      <c r="AY1262">
        <f t="shared" si="1028"/>
        <v>1288</v>
      </c>
      <c r="AZ1262">
        <f t="shared" si="1029"/>
        <v>0</v>
      </c>
      <c r="BA1262" s="3">
        <f t="shared" si="1030"/>
        <v>2788.086956521739</v>
      </c>
    </row>
    <row r="1263" spans="1:53" x14ac:dyDescent="0.2">
      <c r="A1263">
        <v>1985</v>
      </c>
      <c r="B1263" t="s">
        <v>113</v>
      </c>
      <c r="C1263" t="s">
        <v>99</v>
      </c>
      <c r="D1263">
        <v>19.8</v>
      </c>
      <c r="E1263">
        <v>13.7</v>
      </c>
      <c r="F1263">
        <v>0</v>
      </c>
      <c r="G1263">
        <v>16</v>
      </c>
      <c r="H1263">
        <v>0</v>
      </c>
      <c r="I1263">
        <v>1.4</v>
      </c>
      <c r="J1263">
        <v>0</v>
      </c>
      <c r="K1263">
        <f t="shared" si="1031"/>
        <v>50.9</v>
      </c>
      <c r="L1263">
        <v>0.9</v>
      </c>
      <c r="M1263">
        <v>3.7</v>
      </c>
      <c r="N1263">
        <v>0</v>
      </c>
      <c r="O1263">
        <f t="shared" si="1033"/>
        <v>4.6000000000000005</v>
      </c>
      <c r="P1263">
        <v>0</v>
      </c>
      <c r="Q1263">
        <v>1.9</v>
      </c>
      <c r="R1263">
        <v>0.7</v>
      </c>
      <c r="S1263">
        <f t="shared" si="1034"/>
        <v>2.5999999999999996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0.2</v>
      </c>
      <c r="Z1263">
        <v>0.2</v>
      </c>
      <c r="AA1263">
        <f t="shared" si="1035"/>
        <v>0.4</v>
      </c>
      <c r="AB1263">
        <v>0</v>
      </c>
      <c r="AC1263">
        <v>0</v>
      </c>
      <c r="AD1263">
        <v>0</v>
      </c>
      <c r="AE1263">
        <v>0</v>
      </c>
      <c r="AF1263">
        <v>0.2</v>
      </c>
      <c r="AG1263">
        <v>0</v>
      </c>
      <c r="AH1263">
        <v>1.1000000000000001</v>
      </c>
      <c r="AI1263">
        <v>0</v>
      </c>
      <c r="AJ1263" s="5">
        <f t="shared" si="1036"/>
        <v>1.3</v>
      </c>
      <c r="AK1263">
        <v>0.2</v>
      </c>
      <c r="AL1263">
        <v>0.4</v>
      </c>
      <c r="AM1263">
        <f t="shared" si="1038"/>
        <v>0.59800000000000009</v>
      </c>
      <c r="AN1263">
        <v>1200</v>
      </c>
      <c r="AO1263" t="s">
        <v>13</v>
      </c>
      <c r="AP1263" s="3">
        <f t="shared" si="1017"/>
        <v>2985.0746268656721</v>
      </c>
      <c r="AQ1263" t="s">
        <v>13</v>
      </c>
      <c r="AR1263">
        <f t="shared" si="1037"/>
        <v>2.1739130434782608E-2</v>
      </c>
      <c r="AS1263">
        <f t="shared" si="1032"/>
        <v>0.58499999999999996</v>
      </c>
      <c r="AT1263">
        <f t="shared" si="1018"/>
        <v>1746</v>
      </c>
      <c r="AU1263">
        <f t="shared" si="1019"/>
        <v>39</v>
      </c>
      <c r="AV1263">
        <f t="shared" si="1025"/>
        <v>987</v>
      </c>
      <c r="AW1263">
        <f t="shared" si="1026"/>
        <v>63</v>
      </c>
      <c r="AX1263" s="3">
        <f t="shared" si="1027"/>
        <v>1935.0746268656721</v>
      </c>
      <c r="AY1263">
        <f t="shared" si="1028"/>
        <v>873</v>
      </c>
      <c r="AZ1263">
        <f t="shared" si="1029"/>
        <v>66</v>
      </c>
      <c r="BA1263" s="3">
        <f t="shared" si="1030"/>
        <v>2046.0746268656721</v>
      </c>
    </row>
    <row r="1264" spans="1:53" x14ac:dyDescent="0.2">
      <c r="A1264">
        <v>1986</v>
      </c>
      <c r="B1264" t="s">
        <v>113</v>
      </c>
      <c r="C1264" t="s">
        <v>99</v>
      </c>
      <c r="D1264">
        <v>15.8</v>
      </c>
      <c r="E1264">
        <v>8.1999999999999993</v>
      </c>
      <c r="F1264">
        <v>0.6</v>
      </c>
      <c r="G1264">
        <v>8.1</v>
      </c>
      <c r="H1264">
        <v>0.8</v>
      </c>
      <c r="I1264">
        <v>6.2</v>
      </c>
      <c r="J1264">
        <v>0</v>
      </c>
      <c r="K1264">
        <f t="shared" si="1031"/>
        <v>39.700000000000003</v>
      </c>
      <c r="L1264">
        <v>0.9</v>
      </c>
      <c r="M1264">
        <v>3.3</v>
      </c>
      <c r="N1264">
        <v>0</v>
      </c>
      <c r="O1264">
        <f t="shared" si="1033"/>
        <v>4.2</v>
      </c>
      <c r="P1264">
        <v>0</v>
      </c>
      <c r="Q1264">
        <v>0.7</v>
      </c>
      <c r="R1264">
        <v>1.2</v>
      </c>
      <c r="S1264">
        <f t="shared" si="1034"/>
        <v>1.9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0.2</v>
      </c>
      <c r="Z1264">
        <v>1.6</v>
      </c>
      <c r="AA1264">
        <f t="shared" si="1035"/>
        <v>1.8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 s="5">
        <f t="shared" si="1036"/>
        <v>0</v>
      </c>
      <c r="AK1264">
        <v>0</v>
      </c>
      <c r="AL1264">
        <v>0.52400000000000002</v>
      </c>
      <c r="AM1264">
        <f t="shared" si="1038"/>
        <v>0.47600000000000003</v>
      </c>
      <c r="AN1264">
        <v>1000</v>
      </c>
      <c r="AO1264" t="s">
        <v>13</v>
      </c>
      <c r="AP1264" s="3">
        <f t="shared" ref="AP1264:AP1327" si="1039">AN1264/(1-AM1264)</f>
        <v>1908.3969465648854</v>
      </c>
      <c r="AQ1264" t="s">
        <v>13</v>
      </c>
      <c r="AR1264">
        <f t="shared" si="1037"/>
        <v>0</v>
      </c>
      <c r="AS1264">
        <f t="shared" si="1032"/>
        <v>0.47600000000000003</v>
      </c>
      <c r="AT1264">
        <f t="shared" ref="AT1264:AT1327" si="1040">ROUND(AS1264*AP1264,0)</f>
        <v>908</v>
      </c>
      <c r="AU1264">
        <f t="shared" ref="AU1264:AU1327" si="1041">ROUND((AJ1264/100)*AP1264,0)</f>
        <v>0</v>
      </c>
      <c r="AV1264">
        <f t="shared" si="1025"/>
        <v>530</v>
      </c>
      <c r="AW1264">
        <f t="shared" si="1026"/>
        <v>0</v>
      </c>
      <c r="AX1264" s="3">
        <f t="shared" si="1027"/>
        <v>1378.3969465648854</v>
      </c>
      <c r="AY1264">
        <f t="shared" si="1028"/>
        <v>454</v>
      </c>
      <c r="AZ1264">
        <f t="shared" si="1029"/>
        <v>0</v>
      </c>
      <c r="BA1264" s="3">
        <f t="shared" si="1030"/>
        <v>1454.3969465648854</v>
      </c>
    </row>
    <row r="1265" spans="1:53" x14ac:dyDescent="0.2">
      <c r="A1265">
        <v>1987</v>
      </c>
      <c r="B1265" t="s">
        <v>113</v>
      </c>
      <c r="C1265" t="s">
        <v>99</v>
      </c>
      <c r="D1265">
        <v>10.6</v>
      </c>
      <c r="E1265">
        <v>3.2</v>
      </c>
      <c r="F1265">
        <v>1</v>
      </c>
      <c r="G1265">
        <v>7.4</v>
      </c>
      <c r="H1265">
        <v>0</v>
      </c>
      <c r="I1265">
        <v>2.7</v>
      </c>
      <c r="J1265">
        <v>0.2</v>
      </c>
      <c r="K1265">
        <f t="shared" ref="K1265:K1328" si="1042">SUM(D1265:J1265)</f>
        <v>25.1</v>
      </c>
      <c r="L1265">
        <v>3.5</v>
      </c>
      <c r="M1265">
        <v>2.2999999999999998</v>
      </c>
      <c r="N1265">
        <v>0</v>
      </c>
      <c r="O1265">
        <f t="shared" si="1033"/>
        <v>5.8</v>
      </c>
      <c r="P1265">
        <v>0</v>
      </c>
      <c r="Q1265">
        <v>1</v>
      </c>
      <c r="R1265">
        <v>1</v>
      </c>
      <c r="S1265">
        <f t="shared" si="1034"/>
        <v>2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0.3</v>
      </c>
      <c r="Z1265">
        <v>0.1</v>
      </c>
      <c r="AA1265">
        <f t="shared" si="1035"/>
        <v>0.4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 s="5">
        <f t="shared" si="1036"/>
        <v>0</v>
      </c>
      <c r="AK1265">
        <v>0.1</v>
      </c>
      <c r="AL1265">
        <v>0.66900000000000004</v>
      </c>
      <c r="AM1265">
        <f t="shared" si="1038"/>
        <v>0.33300000000000002</v>
      </c>
      <c r="AN1265">
        <v>500</v>
      </c>
      <c r="AO1265" t="s">
        <v>13</v>
      </c>
      <c r="AP1265" s="3">
        <f t="shared" si="1039"/>
        <v>749.62518740629685</v>
      </c>
      <c r="AQ1265" t="s">
        <v>13</v>
      </c>
      <c r="AR1265">
        <f t="shared" si="1037"/>
        <v>0</v>
      </c>
      <c r="AS1265">
        <f t="shared" si="1032"/>
        <v>0.33300000000000002</v>
      </c>
      <c r="AT1265">
        <f t="shared" si="1040"/>
        <v>250</v>
      </c>
      <c r="AU1265">
        <f t="shared" si="1041"/>
        <v>0</v>
      </c>
      <c r="AV1265">
        <f t="shared" si="1025"/>
        <v>156</v>
      </c>
      <c r="AW1265">
        <f t="shared" si="1026"/>
        <v>0</v>
      </c>
      <c r="AX1265" s="3">
        <f t="shared" si="1027"/>
        <v>593.62518740629685</v>
      </c>
      <c r="AY1265">
        <f t="shared" si="1028"/>
        <v>125</v>
      </c>
      <c r="AZ1265">
        <f t="shared" si="1029"/>
        <v>0</v>
      </c>
      <c r="BA1265" s="3">
        <f t="shared" si="1030"/>
        <v>624.62518740629685</v>
      </c>
    </row>
    <row r="1266" spans="1:53" x14ac:dyDescent="0.2">
      <c r="A1266">
        <v>1988</v>
      </c>
      <c r="B1266" t="s">
        <v>113</v>
      </c>
      <c r="C1266" t="s">
        <v>99</v>
      </c>
      <c r="D1266">
        <v>11.3</v>
      </c>
      <c r="E1266">
        <v>4.4000000000000004</v>
      </c>
      <c r="F1266">
        <v>1.3</v>
      </c>
      <c r="G1266">
        <v>7.6</v>
      </c>
      <c r="H1266">
        <v>1.1000000000000001</v>
      </c>
      <c r="I1266">
        <v>4.9000000000000004</v>
      </c>
      <c r="J1266">
        <v>1.1000000000000001</v>
      </c>
      <c r="K1266">
        <f t="shared" si="1042"/>
        <v>31.700000000000003</v>
      </c>
      <c r="L1266">
        <v>1.4</v>
      </c>
      <c r="M1266">
        <v>1.8</v>
      </c>
      <c r="N1266">
        <v>0</v>
      </c>
      <c r="O1266">
        <f t="shared" si="1033"/>
        <v>3.2</v>
      </c>
      <c r="P1266">
        <v>0</v>
      </c>
      <c r="Q1266">
        <v>0.2</v>
      </c>
      <c r="R1266">
        <v>4.8</v>
      </c>
      <c r="S1266">
        <f t="shared" si="1034"/>
        <v>5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0.3</v>
      </c>
      <c r="Z1266">
        <v>0.3</v>
      </c>
      <c r="AA1266">
        <f t="shared" si="1035"/>
        <v>0.6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 s="5">
        <f t="shared" si="1036"/>
        <v>0</v>
      </c>
      <c r="AK1266">
        <v>0.1</v>
      </c>
      <c r="AL1266">
        <v>0.59399999999999997</v>
      </c>
      <c r="AM1266">
        <f t="shared" si="1038"/>
        <v>0.40500000000000003</v>
      </c>
      <c r="AN1266">
        <v>400</v>
      </c>
      <c r="AO1266" t="s">
        <v>13</v>
      </c>
      <c r="AP1266" s="3">
        <f t="shared" si="1039"/>
        <v>672.26890756302521</v>
      </c>
      <c r="AQ1266" t="s">
        <v>13</v>
      </c>
      <c r="AR1266">
        <f t="shared" si="1037"/>
        <v>0</v>
      </c>
      <c r="AS1266">
        <f t="shared" si="1032"/>
        <v>0.40500000000000008</v>
      </c>
      <c r="AT1266">
        <f t="shared" si="1040"/>
        <v>272</v>
      </c>
      <c r="AU1266">
        <f t="shared" si="1041"/>
        <v>0</v>
      </c>
      <c r="AV1266">
        <f t="shared" si="1025"/>
        <v>166</v>
      </c>
      <c r="AW1266">
        <f t="shared" si="1026"/>
        <v>0</v>
      </c>
      <c r="AX1266" s="3">
        <f t="shared" si="1027"/>
        <v>506.26890756302521</v>
      </c>
      <c r="AY1266">
        <f t="shared" si="1028"/>
        <v>136</v>
      </c>
      <c r="AZ1266">
        <f t="shared" si="1029"/>
        <v>0</v>
      </c>
      <c r="BA1266" s="3">
        <f t="shared" si="1030"/>
        <v>536.26890756302521</v>
      </c>
    </row>
    <row r="1267" spans="1:53" x14ac:dyDescent="0.2">
      <c r="A1267">
        <v>1989</v>
      </c>
      <c r="B1267" t="s">
        <v>113</v>
      </c>
      <c r="C1267" t="s">
        <v>99</v>
      </c>
      <c r="D1267">
        <v>10.1</v>
      </c>
      <c r="E1267">
        <v>7.6</v>
      </c>
      <c r="F1267">
        <v>0.4</v>
      </c>
      <c r="G1267">
        <v>9.6</v>
      </c>
      <c r="H1267">
        <v>0.5</v>
      </c>
      <c r="I1267">
        <v>2.5</v>
      </c>
      <c r="J1267">
        <v>1.1000000000000001</v>
      </c>
      <c r="K1267">
        <f t="shared" si="1042"/>
        <v>31.799999999999997</v>
      </c>
      <c r="L1267">
        <v>1.7</v>
      </c>
      <c r="M1267">
        <v>1.1000000000000001</v>
      </c>
      <c r="N1267">
        <v>0.1</v>
      </c>
      <c r="O1267">
        <f t="shared" si="1033"/>
        <v>2.9</v>
      </c>
      <c r="P1267">
        <v>0</v>
      </c>
      <c r="Q1267">
        <v>0.9</v>
      </c>
      <c r="R1267">
        <v>1.5</v>
      </c>
      <c r="S1267">
        <f t="shared" si="1034"/>
        <v>2.4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0.1</v>
      </c>
      <c r="AA1267">
        <f t="shared" si="1035"/>
        <v>0.1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 s="5">
        <f t="shared" si="1036"/>
        <v>0</v>
      </c>
      <c r="AK1267">
        <v>0</v>
      </c>
      <c r="AL1267">
        <v>0.628</v>
      </c>
      <c r="AM1267">
        <f t="shared" si="1038"/>
        <v>0.37200000000000005</v>
      </c>
      <c r="AN1267">
        <v>450</v>
      </c>
      <c r="AO1267" t="s">
        <v>13</v>
      </c>
      <c r="AP1267" s="3">
        <f t="shared" si="1039"/>
        <v>716.56050955414025</v>
      </c>
      <c r="AQ1267" t="s">
        <v>13</v>
      </c>
      <c r="AR1267">
        <f t="shared" si="1037"/>
        <v>0</v>
      </c>
      <c r="AS1267">
        <f t="shared" si="1032"/>
        <v>0.37199999999999994</v>
      </c>
      <c r="AT1267">
        <f t="shared" si="1040"/>
        <v>267</v>
      </c>
      <c r="AU1267">
        <f t="shared" si="1041"/>
        <v>0</v>
      </c>
      <c r="AV1267">
        <f t="shared" si="1025"/>
        <v>153</v>
      </c>
      <c r="AW1267">
        <f t="shared" si="1026"/>
        <v>0</v>
      </c>
      <c r="AX1267" s="3">
        <f t="shared" si="1027"/>
        <v>563.56050955414025</v>
      </c>
      <c r="AY1267">
        <f t="shared" si="1028"/>
        <v>133</v>
      </c>
      <c r="AZ1267">
        <f t="shared" si="1029"/>
        <v>0</v>
      </c>
      <c r="BA1267" s="3">
        <f t="shared" si="1030"/>
        <v>583.56050955414025</v>
      </c>
    </row>
    <row r="1268" spans="1:53" x14ac:dyDescent="0.2">
      <c r="A1268">
        <v>1990</v>
      </c>
      <c r="B1268" t="s">
        <v>113</v>
      </c>
      <c r="C1268" t="s">
        <v>99</v>
      </c>
      <c r="D1268">
        <v>19</v>
      </c>
      <c r="E1268">
        <v>2.2999999999999998</v>
      </c>
      <c r="F1268">
        <v>2</v>
      </c>
      <c r="G1268">
        <v>9.1</v>
      </c>
      <c r="H1268">
        <v>0.8</v>
      </c>
      <c r="I1268">
        <v>6.2</v>
      </c>
      <c r="J1268">
        <v>0.8</v>
      </c>
      <c r="K1268">
        <f t="shared" si="1042"/>
        <v>40.199999999999996</v>
      </c>
      <c r="L1268">
        <v>2.2999999999999998</v>
      </c>
      <c r="M1268">
        <v>1.5</v>
      </c>
      <c r="N1268">
        <v>0.1</v>
      </c>
      <c r="O1268">
        <f t="shared" si="1033"/>
        <v>3.9</v>
      </c>
      <c r="P1268">
        <v>0</v>
      </c>
      <c r="Q1268">
        <v>0.7</v>
      </c>
      <c r="R1268">
        <v>1</v>
      </c>
      <c r="S1268">
        <f t="shared" si="1034"/>
        <v>1.7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f t="shared" si="1035"/>
        <v>0</v>
      </c>
      <c r="AB1268">
        <v>0</v>
      </c>
      <c r="AC1268">
        <v>0</v>
      </c>
      <c r="AD1268">
        <v>0</v>
      </c>
      <c r="AE1268">
        <v>0</v>
      </c>
      <c r="AF1268">
        <v>0.1</v>
      </c>
      <c r="AG1268">
        <v>0</v>
      </c>
      <c r="AH1268">
        <v>0</v>
      </c>
      <c r="AI1268">
        <v>0</v>
      </c>
      <c r="AJ1268" s="5">
        <f t="shared" si="1036"/>
        <v>0.1</v>
      </c>
      <c r="AK1268">
        <v>0</v>
      </c>
      <c r="AL1268">
        <v>0.53900000000000003</v>
      </c>
      <c r="AM1268">
        <f t="shared" si="1038"/>
        <v>0.45899999999999996</v>
      </c>
      <c r="AN1268">
        <v>200</v>
      </c>
      <c r="AO1268" t="s">
        <v>13</v>
      </c>
      <c r="AP1268" s="3">
        <f t="shared" si="1039"/>
        <v>369.68576709796668</v>
      </c>
      <c r="AQ1268" t="s">
        <v>13</v>
      </c>
      <c r="AR1268">
        <f t="shared" si="1037"/>
        <v>2.1786492374727671E-3</v>
      </c>
      <c r="AS1268">
        <f t="shared" si="1032"/>
        <v>0.45799999999999996</v>
      </c>
      <c r="AT1268">
        <f t="shared" si="1040"/>
        <v>169</v>
      </c>
      <c r="AU1268">
        <f t="shared" si="1041"/>
        <v>0</v>
      </c>
      <c r="AV1268">
        <f t="shared" si="1025"/>
        <v>95</v>
      </c>
      <c r="AW1268">
        <f t="shared" si="1026"/>
        <v>0</v>
      </c>
      <c r="AX1268" s="3">
        <f t="shared" si="1027"/>
        <v>274.68576709796668</v>
      </c>
      <c r="AY1268">
        <f t="shared" si="1028"/>
        <v>85</v>
      </c>
      <c r="AZ1268">
        <f t="shared" si="1029"/>
        <v>0</v>
      </c>
      <c r="BA1268" s="3">
        <f t="shared" si="1030"/>
        <v>284.68576709796668</v>
      </c>
    </row>
    <row r="1269" spans="1:53" x14ac:dyDescent="0.2">
      <c r="A1269">
        <v>1991</v>
      </c>
      <c r="B1269" t="s">
        <v>113</v>
      </c>
      <c r="C1269" t="s">
        <v>99</v>
      </c>
      <c r="D1269">
        <v>19.399999999999999</v>
      </c>
      <c r="E1269">
        <v>2.4</v>
      </c>
      <c r="F1269">
        <v>3.2</v>
      </c>
      <c r="G1269">
        <v>9.6999999999999993</v>
      </c>
      <c r="H1269">
        <v>0.5</v>
      </c>
      <c r="I1269">
        <v>4.9000000000000004</v>
      </c>
      <c r="J1269">
        <v>0.6</v>
      </c>
      <c r="K1269">
        <f t="shared" si="1042"/>
        <v>40.699999999999996</v>
      </c>
      <c r="L1269">
        <v>2.6</v>
      </c>
      <c r="M1269">
        <v>0.6</v>
      </c>
      <c r="N1269">
        <v>0.3</v>
      </c>
      <c r="O1269">
        <f t="shared" si="1033"/>
        <v>3.5</v>
      </c>
      <c r="P1269">
        <v>0</v>
      </c>
      <c r="Q1269">
        <v>1.3</v>
      </c>
      <c r="R1269">
        <v>1.2</v>
      </c>
      <c r="S1269">
        <f t="shared" si="1034"/>
        <v>2.5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0.1</v>
      </c>
      <c r="AA1269">
        <f t="shared" si="1035"/>
        <v>0.1</v>
      </c>
      <c r="AB1269">
        <v>0.1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 s="5">
        <f t="shared" si="1036"/>
        <v>0.1</v>
      </c>
      <c r="AK1269">
        <v>0</v>
      </c>
      <c r="AL1269">
        <v>0.53100000000000003</v>
      </c>
      <c r="AM1269">
        <f t="shared" si="1038"/>
        <v>0.46899999999999992</v>
      </c>
      <c r="AN1269">
        <v>120</v>
      </c>
      <c r="AO1269" t="s">
        <v>13</v>
      </c>
      <c r="AP1269" s="3">
        <f t="shared" si="1039"/>
        <v>225.98870056497168</v>
      </c>
      <c r="AQ1269" t="s">
        <v>13</v>
      </c>
      <c r="AR1269">
        <f t="shared" si="1037"/>
        <v>2.1321961620469087E-3</v>
      </c>
      <c r="AS1269">
        <f t="shared" si="1032"/>
        <v>0.46799999999999997</v>
      </c>
      <c r="AT1269">
        <f t="shared" si="1040"/>
        <v>106</v>
      </c>
      <c r="AU1269">
        <f t="shared" si="1041"/>
        <v>0</v>
      </c>
      <c r="AV1269">
        <f t="shared" si="1025"/>
        <v>60</v>
      </c>
      <c r="AW1269">
        <f t="shared" si="1026"/>
        <v>0</v>
      </c>
      <c r="AX1269" s="3">
        <f t="shared" si="1027"/>
        <v>165.98870056497168</v>
      </c>
      <c r="AY1269">
        <f t="shared" si="1028"/>
        <v>53</v>
      </c>
      <c r="AZ1269">
        <f t="shared" si="1029"/>
        <v>0</v>
      </c>
      <c r="BA1269" s="3">
        <f t="shared" si="1030"/>
        <v>172.98870056497168</v>
      </c>
    </row>
    <row r="1270" spans="1:53" x14ac:dyDescent="0.2">
      <c r="A1270">
        <v>1992</v>
      </c>
      <c r="B1270" t="s">
        <v>113</v>
      </c>
      <c r="C1270" t="s">
        <v>99</v>
      </c>
      <c r="D1270">
        <v>15.3</v>
      </c>
      <c r="E1270">
        <v>15.7</v>
      </c>
      <c r="F1270">
        <v>1.6</v>
      </c>
      <c r="G1270">
        <v>6.8</v>
      </c>
      <c r="H1270">
        <v>0.9</v>
      </c>
      <c r="I1270">
        <v>17.100000000000001</v>
      </c>
      <c r="J1270">
        <v>0.8</v>
      </c>
      <c r="K1270">
        <f t="shared" si="1042"/>
        <v>58.199999999999996</v>
      </c>
      <c r="L1270">
        <v>2.8</v>
      </c>
      <c r="M1270">
        <v>0.7</v>
      </c>
      <c r="N1270">
        <v>0.3</v>
      </c>
      <c r="O1270">
        <f t="shared" si="1033"/>
        <v>3.8</v>
      </c>
      <c r="P1270">
        <v>0</v>
      </c>
      <c r="Q1270">
        <v>0.5</v>
      </c>
      <c r="R1270">
        <v>1.2</v>
      </c>
      <c r="S1270">
        <f t="shared" si="1034"/>
        <v>1.7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f t="shared" si="1035"/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 s="5">
        <f t="shared" si="1036"/>
        <v>0</v>
      </c>
      <c r="AK1270">
        <v>0.1</v>
      </c>
      <c r="AL1270">
        <v>0.36</v>
      </c>
      <c r="AM1270">
        <f t="shared" si="1038"/>
        <v>0.63700000000000001</v>
      </c>
      <c r="AN1270">
        <v>600</v>
      </c>
      <c r="AO1270" t="s">
        <v>13</v>
      </c>
      <c r="AP1270" s="3">
        <f t="shared" si="1039"/>
        <v>1652.8925619834711</v>
      </c>
      <c r="AQ1270" t="s">
        <v>13</v>
      </c>
      <c r="AR1270">
        <f t="shared" si="1037"/>
        <v>0</v>
      </c>
      <c r="AS1270">
        <f t="shared" si="1032"/>
        <v>0.63700000000000001</v>
      </c>
      <c r="AT1270">
        <f t="shared" si="1040"/>
        <v>1053</v>
      </c>
      <c r="AU1270">
        <f t="shared" si="1041"/>
        <v>0</v>
      </c>
      <c r="AV1270">
        <f t="shared" si="1025"/>
        <v>572</v>
      </c>
      <c r="AW1270">
        <f t="shared" si="1026"/>
        <v>0</v>
      </c>
      <c r="AX1270" s="3">
        <f t="shared" si="1027"/>
        <v>1080.8925619834711</v>
      </c>
      <c r="AY1270">
        <f t="shared" si="1028"/>
        <v>526</v>
      </c>
      <c r="AZ1270">
        <f t="shared" si="1029"/>
        <v>0</v>
      </c>
      <c r="BA1270" s="3">
        <f t="shared" si="1030"/>
        <v>1126.8925619834711</v>
      </c>
    </row>
    <row r="1271" spans="1:53" x14ac:dyDescent="0.2">
      <c r="A1271">
        <v>1993</v>
      </c>
      <c r="B1271" t="s">
        <v>113</v>
      </c>
      <c r="C1271" t="s">
        <v>99</v>
      </c>
      <c r="D1271">
        <v>16</v>
      </c>
      <c r="E1271">
        <v>2.1</v>
      </c>
      <c r="F1271">
        <v>2.4</v>
      </c>
      <c r="G1271">
        <v>7.7</v>
      </c>
      <c r="H1271">
        <v>0.8</v>
      </c>
      <c r="I1271">
        <v>14.7</v>
      </c>
      <c r="J1271">
        <v>0.8</v>
      </c>
      <c r="K1271">
        <f t="shared" si="1042"/>
        <v>44.5</v>
      </c>
      <c r="L1271">
        <v>2.1</v>
      </c>
      <c r="M1271">
        <v>0.4</v>
      </c>
      <c r="N1271">
        <v>0.2</v>
      </c>
      <c r="O1271">
        <f t="shared" si="1033"/>
        <v>2.7</v>
      </c>
      <c r="P1271">
        <v>0</v>
      </c>
      <c r="Q1271">
        <v>0.7</v>
      </c>
      <c r="R1271">
        <v>2.5</v>
      </c>
      <c r="S1271">
        <f t="shared" si="1034"/>
        <v>3.2</v>
      </c>
      <c r="T1271">
        <v>0</v>
      </c>
      <c r="U1271">
        <v>0.1</v>
      </c>
      <c r="V1271">
        <v>0</v>
      </c>
      <c r="W1271">
        <v>0</v>
      </c>
      <c r="X1271">
        <v>0</v>
      </c>
      <c r="Y1271">
        <v>0</v>
      </c>
      <c r="Z1271">
        <v>0.1</v>
      </c>
      <c r="AA1271">
        <f t="shared" si="1035"/>
        <v>0.2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 s="5">
        <f t="shared" si="1036"/>
        <v>0</v>
      </c>
      <c r="AK1271">
        <v>0</v>
      </c>
      <c r="AL1271">
        <v>0.49399999999999999</v>
      </c>
      <c r="AM1271">
        <f t="shared" si="1038"/>
        <v>0.50599999999999989</v>
      </c>
      <c r="AN1271">
        <v>250</v>
      </c>
      <c r="AO1271" t="s">
        <v>13</v>
      </c>
      <c r="AP1271" s="3">
        <f t="shared" si="1039"/>
        <v>506.07287449392703</v>
      </c>
      <c r="AQ1271" t="s">
        <v>13</v>
      </c>
      <c r="AR1271">
        <f t="shared" si="1037"/>
        <v>0</v>
      </c>
      <c r="AS1271">
        <f t="shared" si="1032"/>
        <v>0.50600000000000012</v>
      </c>
      <c r="AT1271">
        <f t="shared" si="1040"/>
        <v>256</v>
      </c>
      <c r="AU1271">
        <f t="shared" si="1041"/>
        <v>0</v>
      </c>
      <c r="AV1271">
        <f t="shared" si="1025"/>
        <v>143</v>
      </c>
      <c r="AW1271">
        <f t="shared" si="1026"/>
        <v>0</v>
      </c>
      <c r="AX1271" s="3">
        <f t="shared" si="1027"/>
        <v>363.07287449392703</v>
      </c>
      <c r="AY1271">
        <f t="shared" si="1028"/>
        <v>128</v>
      </c>
      <c r="AZ1271">
        <f t="shared" si="1029"/>
        <v>0</v>
      </c>
      <c r="BA1271" s="3">
        <f t="shared" si="1030"/>
        <v>378.07287449392703</v>
      </c>
    </row>
    <row r="1272" spans="1:53" x14ac:dyDescent="0.2">
      <c r="A1272">
        <v>1994</v>
      </c>
      <c r="B1272" t="s">
        <v>113</v>
      </c>
      <c r="C1272" t="s">
        <v>99</v>
      </c>
      <c r="D1272">
        <v>17.7</v>
      </c>
      <c r="E1272">
        <v>6.3</v>
      </c>
      <c r="F1272">
        <v>3.9</v>
      </c>
      <c r="G1272">
        <v>9.1999999999999993</v>
      </c>
      <c r="H1272">
        <v>0.5</v>
      </c>
      <c r="I1272">
        <v>4.9000000000000004</v>
      </c>
      <c r="J1272">
        <v>1.7</v>
      </c>
      <c r="K1272">
        <f t="shared" si="1042"/>
        <v>44.199999999999996</v>
      </c>
      <c r="L1272">
        <v>1.2</v>
      </c>
      <c r="M1272">
        <v>0.9</v>
      </c>
      <c r="N1272">
        <v>0.2</v>
      </c>
      <c r="O1272">
        <f t="shared" si="1033"/>
        <v>2.3000000000000003</v>
      </c>
      <c r="P1272">
        <v>0</v>
      </c>
      <c r="Q1272">
        <v>0.1</v>
      </c>
      <c r="R1272">
        <v>3</v>
      </c>
      <c r="S1272">
        <f t="shared" si="1034"/>
        <v>3.1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0.1</v>
      </c>
      <c r="AA1272">
        <f t="shared" si="1035"/>
        <v>0.1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 s="5">
        <f t="shared" si="1036"/>
        <v>0</v>
      </c>
      <c r="AK1272">
        <v>0</v>
      </c>
      <c r="AL1272">
        <v>0.502</v>
      </c>
      <c r="AM1272">
        <f t="shared" si="1038"/>
        <v>0.49699999999999994</v>
      </c>
      <c r="AN1272">
        <v>250</v>
      </c>
      <c r="AO1272" t="s">
        <v>13</v>
      </c>
      <c r="AP1272" s="3">
        <f t="shared" si="1039"/>
        <v>497.01789264413509</v>
      </c>
      <c r="AQ1272" t="s">
        <v>13</v>
      </c>
      <c r="AR1272">
        <f t="shared" si="1037"/>
        <v>0</v>
      </c>
      <c r="AS1272">
        <f t="shared" si="1032"/>
        <v>0.49699999999999994</v>
      </c>
      <c r="AT1272">
        <f t="shared" si="1040"/>
        <v>247</v>
      </c>
      <c r="AU1272">
        <f t="shared" si="1041"/>
        <v>0</v>
      </c>
      <c r="AV1272">
        <f t="shared" si="1025"/>
        <v>137</v>
      </c>
      <c r="AW1272">
        <f t="shared" si="1026"/>
        <v>0</v>
      </c>
      <c r="AX1272" s="3">
        <f t="shared" si="1027"/>
        <v>360.01789264413509</v>
      </c>
      <c r="AY1272">
        <f t="shared" si="1028"/>
        <v>124</v>
      </c>
      <c r="AZ1272">
        <f t="shared" si="1029"/>
        <v>0</v>
      </c>
      <c r="BA1272" s="3">
        <f t="shared" si="1030"/>
        <v>373.01789264413509</v>
      </c>
    </row>
    <row r="1273" spans="1:53" x14ac:dyDescent="0.2">
      <c r="A1273">
        <v>1995</v>
      </c>
      <c r="B1273" t="s">
        <v>113</v>
      </c>
      <c r="C1273" t="s">
        <v>99</v>
      </c>
      <c r="D1273">
        <v>15</v>
      </c>
      <c r="E1273">
        <v>0</v>
      </c>
      <c r="F1273">
        <v>4.3</v>
      </c>
      <c r="G1273">
        <v>3.1</v>
      </c>
      <c r="H1273">
        <v>2</v>
      </c>
      <c r="I1273">
        <v>1.6</v>
      </c>
      <c r="J1273">
        <v>0.8</v>
      </c>
      <c r="K1273">
        <f t="shared" si="1042"/>
        <v>26.800000000000004</v>
      </c>
      <c r="L1273">
        <v>0.3</v>
      </c>
      <c r="M1273">
        <v>0.4</v>
      </c>
      <c r="N1273">
        <v>0</v>
      </c>
      <c r="O1273">
        <f t="shared" si="1033"/>
        <v>0.7</v>
      </c>
      <c r="P1273">
        <v>0</v>
      </c>
      <c r="Q1273">
        <v>0.1</v>
      </c>
      <c r="R1273">
        <v>3.8</v>
      </c>
      <c r="S1273">
        <f t="shared" si="1034"/>
        <v>3.9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0.1</v>
      </c>
      <c r="Z1273">
        <v>0</v>
      </c>
      <c r="AA1273">
        <f t="shared" si="1035"/>
        <v>0.1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0.1</v>
      </c>
      <c r="AI1273">
        <v>0</v>
      </c>
      <c r="AJ1273" s="5">
        <f t="shared" si="1036"/>
        <v>0.1</v>
      </c>
      <c r="AK1273">
        <v>0.3</v>
      </c>
      <c r="AL1273">
        <v>0.68099999999999994</v>
      </c>
      <c r="AM1273">
        <f t="shared" si="1038"/>
        <v>0.31600000000000006</v>
      </c>
      <c r="AN1273">
        <v>600</v>
      </c>
      <c r="AO1273" t="s">
        <v>13</v>
      </c>
      <c r="AP1273" s="3">
        <f t="shared" si="1039"/>
        <v>877.19298245614038</v>
      </c>
      <c r="AQ1273" t="s">
        <v>13</v>
      </c>
      <c r="AR1273">
        <f t="shared" si="1037"/>
        <v>3.164556962025316E-3</v>
      </c>
      <c r="AS1273">
        <f t="shared" si="1032"/>
        <v>0.31500000000000006</v>
      </c>
      <c r="AT1273">
        <f t="shared" si="1040"/>
        <v>276</v>
      </c>
      <c r="AU1273">
        <f t="shared" si="1041"/>
        <v>1</v>
      </c>
      <c r="AV1273">
        <f t="shared" si="1025"/>
        <v>159</v>
      </c>
      <c r="AW1273">
        <f t="shared" si="1026"/>
        <v>1</v>
      </c>
      <c r="AX1273" s="3">
        <f t="shared" si="1027"/>
        <v>717.19298245614038</v>
      </c>
      <c r="AY1273">
        <f t="shared" si="1028"/>
        <v>138</v>
      </c>
      <c r="AZ1273">
        <f t="shared" si="1029"/>
        <v>1</v>
      </c>
      <c r="BA1273" s="3">
        <f t="shared" si="1030"/>
        <v>738.19298245614038</v>
      </c>
    </row>
    <row r="1274" spans="1:53" x14ac:dyDescent="0.2">
      <c r="A1274">
        <v>1996</v>
      </c>
      <c r="B1274" t="s">
        <v>113</v>
      </c>
      <c r="C1274" t="s">
        <v>99</v>
      </c>
      <c r="D1274">
        <v>8.6</v>
      </c>
      <c r="E1274">
        <v>0.1</v>
      </c>
      <c r="F1274">
        <v>3.9</v>
      </c>
      <c r="G1274">
        <v>2.5</v>
      </c>
      <c r="H1274">
        <v>1.2</v>
      </c>
      <c r="I1274">
        <v>0.7</v>
      </c>
      <c r="J1274">
        <v>0</v>
      </c>
      <c r="K1274">
        <f t="shared" si="1042"/>
        <v>17</v>
      </c>
      <c r="L1274">
        <v>0.4</v>
      </c>
      <c r="M1274">
        <v>0</v>
      </c>
      <c r="N1274">
        <v>1.8</v>
      </c>
      <c r="O1274">
        <f t="shared" si="1033"/>
        <v>2.2000000000000002</v>
      </c>
      <c r="P1274">
        <v>0</v>
      </c>
      <c r="Q1274">
        <v>0</v>
      </c>
      <c r="R1274">
        <v>3.1</v>
      </c>
      <c r="S1274">
        <f t="shared" si="1034"/>
        <v>3.1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f t="shared" si="1035"/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 s="5">
        <f t="shared" si="1036"/>
        <v>0</v>
      </c>
      <c r="AK1274">
        <v>0</v>
      </c>
      <c r="AL1274">
        <v>0.77599999999999991</v>
      </c>
      <c r="AM1274">
        <f t="shared" si="1038"/>
        <v>0.22299999999999998</v>
      </c>
      <c r="AN1274">
        <v>288</v>
      </c>
      <c r="AO1274" t="s">
        <v>13</v>
      </c>
      <c r="AP1274" s="3">
        <f t="shared" si="1039"/>
        <v>370.65637065637065</v>
      </c>
      <c r="AQ1274" t="s">
        <v>13</v>
      </c>
      <c r="AR1274">
        <f t="shared" si="1037"/>
        <v>0</v>
      </c>
      <c r="AS1274">
        <f t="shared" si="1032"/>
        <v>0.223</v>
      </c>
      <c r="AT1274">
        <f t="shared" si="1040"/>
        <v>83</v>
      </c>
      <c r="AU1274">
        <f t="shared" si="1041"/>
        <v>0</v>
      </c>
      <c r="AV1274">
        <f t="shared" si="1025"/>
        <v>51</v>
      </c>
      <c r="AW1274">
        <f t="shared" si="1026"/>
        <v>0</v>
      </c>
      <c r="AX1274" s="3">
        <f t="shared" si="1027"/>
        <v>319.65637065637065</v>
      </c>
      <c r="AY1274">
        <f t="shared" si="1028"/>
        <v>41</v>
      </c>
      <c r="AZ1274">
        <f t="shared" si="1029"/>
        <v>0</v>
      </c>
      <c r="BA1274" s="3">
        <f t="shared" si="1030"/>
        <v>329.65637065637065</v>
      </c>
    </row>
    <row r="1275" spans="1:53" x14ac:dyDescent="0.2">
      <c r="A1275">
        <v>1997</v>
      </c>
      <c r="B1275" t="s">
        <v>113</v>
      </c>
      <c r="C1275" t="s">
        <v>99</v>
      </c>
      <c r="D1275">
        <v>14.1</v>
      </c>
      <c r="E1275">
        <v>3.6</v>
      </c>
      <c r="F1275">
        <v>5.0999999999999996</v>
      </c>
      <c r="G1275">
        <v>5</v>
      </c>
      <c r="H1275">
        <v>1.6</v>
      </c>
      <c r="I1275">
        <v>0.1</v>
      </c>
      <c r="J1275">
        <v>0</v>
      </c>
      <c r="K1275">
        <f t="shared" si="1042"/>
        <v>29.5</v>
      </c>
      <c r="L1275">
        <v>1.8</v>
      </c>
      <c r="M1275">
        <v>0.5</v>
      </c>
      <c r="N1275">
        <v>1.2</v>
      </c>
      <c r="O1275">
        <f t="shared" si="1033"/>
        <v>3.5</v>
      </c>
      <c r="P1275">
        <v>0</v>
      </c>
      <c r="Q1275">
        <v>0.1</v>
      </c>
      <c r="R1275">
        <v>2.9</v>
      </c>
      <c r="S1275">
        <f t="shared" si="1034"/>
        <v>3</v>
      </c>
      <c r="T1275">
        <v>0.1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f t="shared" si="1035"/>
        <v>0.1</v>
      </c>
      <c r="AB1275">
        <v>0.2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 s="5">
        <f t="shared" si="1036"/>
        <v>0.2</v>
      </c>
      <c r="AK1275">
        <v>0</v>
      </c>
      <c r="AL1275">
        <v>0.63700000000000001</v>
      </c>
      <c r="AM1275">
        <f t="shared" si="1038"/>
        <v>0.36300000000000004</v>
      </c>
      <c r="AN1275">
        <v>523</v>
      </c>
      <c r="AO1275" t="s">
        <v>13</v>
      </c>
      <c r="AP1275" s="3">
        <f t="shared" si="1039"/>
        <v>821.03610675039249</v>
      </c>
      <c r="AQ1275" t="s">
        <v>13</v>
      </c>
      <c r="AR1275">
        <f t="shared" si="1037"/>
        <v>5.5096418732782362E-3</v>
      </c>
      <c r="AS1275">
        <f t="shared" si="1032"/>
        <v>0.36099999999999999</v>
      </c>
      <c r="AT1275">
        <f t="shared" si="1040"/>
        <v>296</v>
      </c>
      <c r="AU1275">
        <f t="shared" si="1041"/>
        <v>2</v>
      </c>
      <c r="AV1275">
        <f t="shared" si="1025"/>
        <v>175</v>
      </c>
      <c r="AW1275">
        <f t="shared" si="1026"/>
        <v>2</v>
      </c>
      <c r="AX1275" s="3">
        <f t="shared" si="1027"/>
        <v>644.03610675039249</v>
      </c>
      <c r="AY1275">
        <f t="shared" si="1028"/>
        <v>148</v>
      </c>
      <c r="AZ1275">
        <f t="shared" si="1029"/>
        <v>3</v>
      </c>
      <c r="BA1275" s="3">
        <f t="shared" si="1030"/>
        <v>670.03610675039249</v>
      </c>
    </row>
    <row r="1276" spans="1:53" x14ac:dyDescent="0.2">
      <c r="A1276">
        <v>1998</v>
      </c>
      <c r="B1276" t="s">
        <v>113</v>
      </c>
      <c r="C1276" t="s">
        <v>99</v>
      </c>
      <c r="D1276">
        <v>17.399999999999999</v>
      </c>
      <c r="E1276">
        <v>1.8</v>
      </c>
      <c r="F1276">
        <v>4.9000000000000004</v>
      </c>
      <c r="G1276">
        <v>5.6</v>
      </c>
      <c r="H1276">
        <v>3</v>
      </c>
      <c r="I1276">
        <v>0</v>
      </c>
      <c r="J1276">
        <v>1.8</v>
      </c>
      <c r="K1276">
        <f t="shared" si="1042"/>
        <v>34.5</v>
      </c>
      <c r="L1276">
        <v>0</v>
      </c>
      <c r="M1276">
        <v>0</v>
      </c>
      <c r="N1276">
        <v>0.5</v>
      </c>
      <c r="O1276">
        <f t="shared" si="1033"/>
        <v>0.5</v>
      </c>
      <c r="P1276">
        <v>0</v>
      </c>
      <c r="Q1276">
        <v>0</v>
      </c>
      <c r="R1276">
        <v>4</v>
      </c>
      <c r="S1276">
        <f t="shared" si="1034"/>
        <v>4</v>
      </c>
      <c r="T1276">
        <v>0</v>
      </c>
      <c r="U1276">
        <v>0</v>
      </c>
      <c r="V1276">
        <v>0.1</v>
      </c>
      <c r="W1276">
        <v>0</v>
      </c>
      <c r="X1276">
        <v>0</v>
      </c>
      <c r="Y1276">
        <v>0</v>
      </c>
      <c r="Z1276">
        <v>0</v>
      </c>
      <c r="AA1276">
        <f t="shared" si="1035"/>
        <v>0.1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 s="5">
        <f t="shared" si="1036"/>
        <v>0</v>
      </c>
      <c r="AK1276">
        <v>0.1</v>
      </c>
      <c r="AL1276">
        <v>0.60899999999999999</v>
      </c>
      <c r="AM1276">
        <f t="shared" si="1038"/>
        <v>0.39100000000000001</v>
      </c>
      <c r="AN1276">
        <v>1430</v>
      </c>
      <c r="AO1276" t="s">
        <v>13</v>
      </c>
      <c r="AP1276" s="3">
        <f t="shared" si="1039"/>
        <v>2348.1116584564861</v>
      </c>
      <c r="AQ1276" t="s">
        <v>13</v>
      </c>
      <c r="AR1276">
        <f t="shared" si="1037"/>
        <v>0</v>
      </c>
      <c r="AS1276">
        <f t="shared" si="1032"/>
        <v>0.39100000000000001</v>
      </c>
      <c r="AT1276">
        <f t="shared" si="1040"/>
        <v>918</v>
      </c>
      <c r="AU1276">
        <f t="shared" si="1041"/>
        <v>0</v>
      </c>
      <c r="AV1276">
        <f t="shared" si="1025"/>
        <v>513</v>
      </c>
      <c r="AW1276">
        <f t="shared" si="1026"/>
        <v>0</v>
      </c>
      <c r="AX1276" s="3">
        <f t="shared" si="1027"/>
        <v>1835.1116584564861</v>
      </c>
      <c r="AY1276">
        <f t="shared" si="1028"/>
        <v>459</v>
      </c>
      <c r="AZ1276">
        <f t="shared" si="1029"/>
        <v>0</v>
      </c>
      <c r="BA1276" s="3">
        <f t="shared" si="1030"/>
        <v>1889.1116584564861</v>
      </c>
    </row>
    <row r="1277" spans="1:53" x14ac:dyDescent="0.2">
      <c r="A1277">
        <v>1999</v>
      </c>
      <c r="B1277" t="s">
        <v>113</v>
      </c>
      <c r="C1277" t="s">
        <v>99</v>
      </c>
      <c r="D1277">
        <v>12.6</v>
      </c>
      <c r="E1277">
        <v>1.1000000000000001</v>
      </c>
      <c r="F1277">
        <v>7.9</v>
      </c>
      <c r="G1277">
        <v>5.5</v>
      </c>
      <c r="H1277">
        <v>6.8</v>
      </c>
      <c r="I1277">
        <v>0</v>
      </c>
      <c r="J1277">
        <v>0.9</v>
      </c>
      <c r="K1277">
        <f t="shared" si="1042"/>
        <v>34.799999999999997</v>
      </c>
      <c r="L1277">
        <v>0.3</v>
      </c>
      <c r="M1277">
        <v>0</v>
      </c>
      <c r="N1277">
        <v>0.3</v>
      </c>
      <c r="O1277">
        <f t="shared" si="1033"/>
        <v>0.6</v>
      </c>
      <c r="P1277">
        <v>0</v>
      </c>
      <c r="Q1277">
        <v>0</v>
      </c>
      <c r="R1277">
        <v>3.4</v>
      </c>
      <c r="S1277">
        <f t="shared" si="1034"/>
        <v>3.4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f t="shared" si="1035"/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 s="5">
        <f t="shared" si="1036"/>
        <v>0</v>
      </c>
      <c r="AK1277">
        <v>0</v>
      </c>
      <c r="AL1277">
        <v>0.61299999999999999</v>
      </c>
      <c r="AM1277">
        <f t="shared" si="1038"/>
        <v>0.38799999999999996</v>
      </c>
      <c r="AN1277">
        <v>879</v>
      </c>
      <c r="AO1277" t="s">
        <v>13</v>
      </c>
      <c r="AP1277" s="3">
        <f t="shared" si="1039"/>
        <v>1436.2745098039213</v>
      </c>
      <c r="AQ1277" t="s">
        <v>13</v>
      </c>
      <c r="AR1277">
        <f t="shared" si="1037"/>
        <v>0</v>
      </c>
      <c r="AS1277">
        <f t="shared" si="1032"/>
        <v>0.38799999999999996</v>
      </c>
      <c r="AT1277">
        <f t="shared" si="1040"/>
        <v>557</v>
      </c>
      <c r="AU1277">
        <f t="shared" si="1041"/>
        <v>0</v>
      </c>
      <c r="AV1277">
        <f t="shared" si="1025"/>
        <v>307</v>
      </c>
      <c r="AW1277">
        <f t="shared" si="1026"/>
        <v>0</v>
      </c>
      <c r="AX1277" s="3">
        <f t="shared" si="1027"/>
        <v>1129.2745098039213</v>
      </c>
      <c r="AY1277">
        <f t="shared" si="1028"/>
        <v>279</v>
      </c>
      <c r="AZ1277">
        <f t="shared" si="1029"/>
        <v>0</v>
      </c>
      <c r="BA1277" s="3">
        <f t="shared" si="1030"/>
        <v>1157.2745098039213</v>
      </c>
    </row>
    <row r="1278" spans="1:53" x14ac:dyDescent="0.2">
      <c r="A1278">
        <v>2000</v>
      </c>
      <c r="B1278" t="s">
        <v>113</v>
      </c>
      <c r="C1278" t="s">
        <v>99</v>
      </c>
      <c r="D1278">
        <v>7.3</v>
      </c>
      <c r="E1278">
        <v>0</v>
      </c>
      <c r="F1278">
        <v>0</v>
      </c>
      <c r="G1278">
        <v>0</v>
      </c>
      <c r="H1278">
        <v>6.5</v>
      </c>
      <c r="I1278">
        <v>0</v>
      </c>
      <c r="J1278">
        <v>0</v>
      </c>
      <c r="K1278">
        <f t="shared" si="1042"/>
        <v>13.8</v>
      </c>
      <c r="L1278">
        <v>0</v>
      </c>
      <c r="M1278">
        <v>0</v>
      </c>
      <c r="N1278">
        <v>0</v>
      </c>
      <c r="O1278">
        <f t="shared" si="1033"/>
        <v>0</v>
      </c>
      <c r="P1278">
        <v>0</v>
      </c>
      <c r="Q1278">
        <v>0</v>
      </c>
      <c r="R1278">
        <v>6.9</v>
      </c>
      <c r="S1278">
        <f t="shared" si="1034"/>
        <v>6.9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f t="shared" si="1035"/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 s="5">
        <f t="shared" si="1036"/>
        <v>0</v>
      </c>
      <c r="AK1278">
        <v>0</v>
      </c>
      <c r="AL1278">
        <v>0.79299999999999993</v>
      </c>
      <c r="AM1278">
        <f t="shared" si="1038"/>
        <v>0.20699999999999999</v>
      </c>
      <c r="AN1278">
        <v>391</v>
      </c>
      <c r="AO1278" t="s">
        <v>13</v>
      </c>
      <c r="AP1278" s="3">
        <f t="shared" si="1039"/>
        <v>493.06431273644387</v>
      </c>
      <c r="AQ1278" t="s">
        <v>13</v>
      </c>
      <c r="AR1278">
        <f t="shared" si="1037"/>
        <v>0</v>
      </c>
      <c r="AS1278">
        <f t="shared" si="1032"/>
        <v>0.20700000000000002</v>
      </c>
      <c r="AT1278">
        <f t="shared" si="1040"/>
        <v>102</v>
      </c>
      <c r="AU1278">
        <f t="shared" si="1041"/>
        <v>0</v>
      </c>
      <c r="AV1278">
        <f t="shared" si="1025"/>
        <v>68</v>
      </c>
      <c r="AW1278">
        <f t="shared" si="1026"/>
        <v>0</v>
      </c>
      <c r="AX1278" s="3">
        <f t="shared" si="1027"/>
        <v>425.06431273644387</v>
      </c>
      <c r="AY1278">
        <f t="shared" si="1028"/>
        <v>51</v>
      </c>
      <c r="AZ1278">
        <f t="shared" si="1029"/>
        <v>0</v>
      </c>
      <c r="BA1278" s="3">
        <f t="shared" si="1030"/>
        <v>442.06431273644387</v>
      </c>
    </row>
    <row r="1279" spans="1:53" x14ac:dyDescent="0.2">
      <c r="A1279">
        <v>2001</v>
      </c>
      <c r="B1279" t="s">
        <v>113</v>
      </c>
      <c r="C1279" t="s">
        <v>99</v>
      </c>
      <c r="D1279">
        <v>4.3</v>
      </c>
      <c r="E1279">
        <v>0</v>
      </c>
      <c r="F1279">
        <v>2</v>
      </c>
      <c r="G1279">
        <v>0</v>
      </c>
      <c r="H1279">
        <v>0</v>
      </c>
      <c r="I1279">
        <v>0</v>
      </c>
      <c r="J1279">
        <v>1.6</v>
      </c>
      <c r="K1279">
        <f t="shared" si="1042"/>
        <v>7.9</v>
      </c>
      <c r="L1279">
        <v>0</v>
      </c>
      <c r="M1279">
        <v>0</v>
      </c>
      <c r="N1279">
        <v>0.6</v>
      </c>
      <c r="O1279">
        <f t="shared" si="1033"/>
        <v>0.6</v>
      </c>
      <c r="P1279">
        <v>0</v>
      </c>
      <c r="Q1279">
        <v>0</v>
      </c>
      <c r="R1279">
        <v>3.5</v>
      </c>
      <c r="S1279">
        <f t="shared" si="1034"/>
        <v>3.5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f t="shared" si="1035"/>
        <v>0</v>
      </c>
      <c r="AB1279">
        <v>0</v>
      </c>
      <c r="AC1279">
        <v>0</v>
      </c>
      <c r="AD1279">
        <v>0</v>
      </c>
      <c r="AE1279">
        <v>0</v>
      </c>
      <c r="AF1279">
        <v>0.6</v>
      </c>
      <c r="AG1279">
        <v>0</v>
      </c>
      <c r="AH1279">
        <v>0</v>
      </c>
      <c r="AI1279">
        <v>0</v>
      </c>
      <c r="AJ1279" s="5">
        <f t="shared" si="1036"/>
        <v>0.6</v>
      </c>
      <c r="AK1279">
        <v>0</v>
      </c>
      <c r="AL1279">
        <v>0.875</v>
      </c>
      <c r="AM1279">
        <f t="shared" si="1038"/>
        <v>0.126</v>
      </c>
      <c r="AN1279">
        <v>237</v>
      </c>
      <c r="AO1279" t="s">
        <v>13</v>
      </c>
      <c r="AP1279" s="3">
        <f t="shared" si="1039"/>
        <v>271.16704805491992</v>
      </c>
      <c r="AQ1279" t="s">
        <v>13</v>
      </c>
      <c r="AR1279">
        <f t="shared" si="1037"/>
        <v>4.7619047619047616E-2</v>
      </c>
      <c r="AS1279">
        <f t="shared" si="1032"/>
        <v>0.12</v>
      </c>
      <c r="AT1279">
        <f t="shared" si="1040"/>
        <v>33</v>
      </c>
      <c r="AU1279">
        <f t="shared" si="1041"/>
        <v>2</v>
      </c>
      <c r="AV1279">
        <f t="shared" si="1025"/>
        <v>22</v>
      </c>
      <c r="AW1279">
        <f t="shared" si="1026"/>
        <v>2</v>
      </c>
      <c r="AX1279" s="3">
        <f t="shared" si="1027"/>
        <v>247.16704805491992</v>
      </c>
      <c r="AY1279">
        <f t="shared" si="1028"/>
        <v>16</v>
      </c>
      <c r="AZ1279">
        <f t="shared" si="1029"/>
        <v>2</v>
      </c>
      <c r="BA1279" s="3">
        <f t="shared" si="1030"/>
        <v>253.16704805491992</v>
      </c>
    </row>
    <row r="1280" spans="1:53" x14ac:dyDescent="0.2">
      <c r="A1280">
        <v>2002</v>
      </c>
      <c r="B1280" t="s">
        <v>113</v>
      </c>
      <c r="C1280" t="s">
        <v>99</v>
      </c>
      <c r="D1280">
        <v>13</v>
      </c>
      <c r="E1280">
        <v>0.6</v>
      </c>
      <c r="F1280">
        <v>1.4</v>
      </c>
      <c r="G1280">
        <v>3.8</v>
      </c>
      <c r="H1280">
        <v>2.2999999999999998</v>
      </c>
      <c r="I1280">
        <v>0.3</v>
      </c>
      <c r="J1280">
        <v>1</v>
      </c>
      <c r="K1280">
        <f t="shared" si="1042"/>
        <v>22.400000000000002</v>
      </c>
      <c r="L1280">
        <v>0.2</v>
      </c>
      <c r="M1280">
        <v>0</v>
      </c>
      <c r="N1280">
        <v>2</v>
      </c>
      <c r="O1280">
        <f t="shared" si="1033"/>
        <v>2.2000000000000002</v>
      </c>
      <c r="P1280">
        <v>0</v>
      </c>
      <c r="Q1280">
        <v>0</v>
      </c>
      <c r="R1280">
        <v>2.7</v>
      </c>
      <c r="S1280">
        <f t="shared" si="1034"/>
        <v>2.7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f t="shared" si="1035"/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 s="5">
        <f t="shared" si="1036"/>
        <v>0</v>
      </c>
      <c r="AK1280">
        <v>0</v>
      </c>
      <c r="AL1280">
        <v>0.72699999999999998</v>
      </c>
      <c r="AM1280">
        <f t="shared" si="1038"/>
        <v>0.27300000000000002</v>
      </c>
      <c r="AN1280">
        <v>308</v>
      </c>
      <c r="AO1280" t="s">
        <v>13</v>
      </c>
      <c r="AP1280" s="3">
        <f t="shared" si="1039"/>
        <v>423.65887207702889</v>
      </c>
      <c r="AQ1280" t="s">
        <v>13</v>
      </c>
      <c r="AR1280">
        <f t="shared" si="1037"/>
        <v>0</v>
      </c>
      <c r="AS1280">
        <f t="shared" si="1032"/>
        <v>0.27300000000000002</v>
      </c>
      <c r="AT1280">
        <f t="shared" si="1040"/>
        <v>116</v>
      </c>
      <c r="AU1280">
        <f t="shared" si="1041"/>
        <v>0</v>
      </c>
      <c r="AV1280">
        <f t="shared" si="1025"/>
        <v>68</v>
      </c>
      <c r="AW1280">
        <f t="shared" si="1026"/>
        <v>0</v>
      </c>
      <c r="AX1280" s="3">
        <f t="shared" si="1027"/>
        <v>355.65887207702889</v>
      </c>
      <c r="AY1280">
        <f t="shared" si="1028"/>
        <v>58</v>
      </c>
      <c r="AZ1280">
        <f t="shared" si="1029"/>
        <v>0</v>
      </c>
      <c r="BA1280" s="3">
        <f t="shared" si="1030"/>
        <v>365.65887207702889</v>
      </c>
    </row>
    <row r="1281" spans="1:53" x14ac:dyDescent="0.2">
      <c r="A1281">
        <v>2003</v>
      </c>
      <c r="B1281" t="s">
        <v>113</v>
      </c>
      <c r="C1281" t="s">
        <v>99</v>
      </c>
      <c r="D1281">
        <v>14.6</v>
      </c>
      <c r="E1281">
        <v>2.1</v>
      </c>
      <c r="F1281">
        <v>3.1</v>
      </c>
      <c r="G1281">
        <v>0.8</v>
      </c>
      <c r="H1281">
        <v>1.7</v>
      </c>
      <c r="I1281">
        <v>0</v>
      </c>
      <c r="J1281">
        <v>0</v>
      </c>
      <c r="K1281">
        <f t="shared" si="1042"/>
        <v>22.3</v>
      </c>
      <c r="L1281">
        <v>0</v>
      </c>
      <c r="M1281">
        <v>0</v>
      </c>
      <c r="N1281">
        <v>2.9</v>
      </c>
      <c r="O1281">
        <f t="shared" si="1033"/>
        <v>2.9</v>
      </c>
      <c r="P1281">
        <v>0</v>
      </c>
      <c r="Q1281">
        <v>0</v>
      </c>
      <c r="R1281">
        <v>2.6</v>
      </c>
      <c r="S1281">
        <f t="shared" si="1034"/>
        <v>2.6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f t="shared" si="1035"/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 s="5">
        <f t="shared" si="1036"/>
        <v>0</v>
      </c>
      <c r="AK1281">
        <v>0</v>
      </c>
      <c r="AL1281">
        <v>0.72199999999999998</v>
      </c>
      <c r="AM1281">
        <f t="shared" si="1038"/>
        <v>0.27800000000000002</v>
      </c>
      <c r="AN1281">
        <v>440</v>
      </c>
      <c r="AO1281" t="s">
        <v>13</v>
      </c>
      <c r="AP1281" s="3">
        <f t="shared" si="1039"/>
        <v>609.41828254847644</v>
      </c>
      <c r="AQ1281" t="s">
        <v>13</v>
      </c>
      <c r="AR1281">
        <f t="shared" si="1037"/>
        <v>0</v>
      </c>
      <c r="AS1281">
        <f t="shared" si="1032"/>
        <v>0.27800000000000002</v>
      </c>
      <c r="AT1281">
        <f t="shared" si="1040"/>
        <v>169</v>
      </c>
      <c r="AU1281">
        <f t="shared" si="1041"/>
        <v>0</v>
      </c>
      <c r="AV1281">
        <f t="shared" si="1025"/>
        <v>101</v>
      </c>
      <c r="AW1281">
        <f t="shared" si="1026"/>
        <v>0</v>
      </c>
      <c r="AX1281" s="3">
        <f t="shared" si="1027"/>
        <v>508.41828254847644</v>
      </c>
      <c r="AY1281">
        <f t="shared" si="1028"/>
        <v>85</v>
      </c>
      <c r="AZ1281">
        <f t="shared" si="1029"/>
        <v>0</v>
      </c>
      <c r="BA1281" s="3">
        <f t="shared" si="1030"/>
        <v>524.41828254847644</v>
      </c>
    </row>
    <row r="1282" spans="1:53" x14ac:dyDescent="0.2">
      <c r="A1282">
        <v>2004</v>
      </c>
      <c r="B1282" t="s">
        <v>113</v>
      </c>
      <c r="C1282" t="s">
        <v>99</v>
      </c>
      <c r="D1282">
        <v>13.6</v>
      </c>
      <c r="E1282">
        <v>8.4</v>
      </c>
      <c r="F1282">
        <v>2.2999999999999998</v>
      </c>
      <c r="G1282">
        <v>2.7</v>
      </c>
      <c r="H1282">
        <v>1.6</v>
      </c>
      <c r="I1282">
        <v>0.1</v>
      </c>
      <c r="J1282">
        <v>0.6</v>
      </c>
      <c r="K1282">
        <f t="shared" si="1042"/>
        <v>29.300000000000004</v>
      </c>
      <c r="L1282">
        <v>0</v>
      </c>
      <c r="M1282">
        <v>0</v>
      </c>
      <c r="N1282">
        <v>2.9</v>
      </c>
      <c r="O1282">
        <f t="shared" si="1033"/>
        <v>2.9</v>
      </c>
      <c r="P1282">
        <v>0</v>
      </c>
      <c r="Q1282">
        <v>0</v>
      </c>
      <c r="R1282">
        <v>3</v>
      </c>
      <c r="S1282">
        <f t="shared" si="1034"/>
        <v>3</v>
      </c>
      <c r="T1282">
        <v>0</v>
      </c>
      <c r="U1282">
        <v>0.1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f t="shared" si="1035"/>
        <v>0.1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 s="5">
        <f t="shared" si="1036"/>
        <v>0</v>
      </c>
      <c r="AK1282">
        <v>0.3</v>
      </c>
      <c r="AL1282">
        <v>0.64400000000000002</v>
      </c>
      <c r="AM1282">
        <f t="shared" si="1038"/>
        <v>0.35300000000000004</v>
      </c>
      <c r="AN1282">
        <v>495</v>
      </c>
      <c r="AO1282" t="s">
        <v>13</v>
      </c>
      <c r="AP1282" s="3">
        <f t="shared" si="1039"/>
        <v>765.0695517774343</v>
      </c>
      <c r="AQ1282" t="s">
        <v>13</v>
      </c>
      <c r="AR1282">
        <f t="shared" si="1037"/>
        <v>0</v>
      </c>
      <c r="AS1282">
        <f t="shared" si="1032"/>
        <v>0.35300000000000004</v>
      </c>
      <c r="AT1282">
        <f t="shared" si="1040"/>
        <v>270</v>
      </c>
      <c r="AU1282">
        <f t="shared" si="1041"/>
        <v>0</v>
      </c>
      <c r="AV1282">
        <f t="shared" si="1025"/>
        <v>158</v>
      </c>
      <c r="AW1282">
        <f t="shared" si="1026"/>
        <v>0</v>
      </c>
      <c r="AX1282" s="3">
        <f t="shared" si="1027"/>
        <v>607.0695517774343</v>
      </c>
      <c r="AY1282">
        <f t="shared" si="1028"/>
        <v>135</v>
      </c>
      <c r="AZ1282">
        <f t="shared" si="1029"/>
        <v>0</v>
      </c>
      <c r="BA1282" s="3">
        <f t="shared" si="1030"/>
        <v>630.0695517774343</v>
      </c>
    </row>
    <row r="1283" spans="1:53" x14ac:dyDescent="0.2">
      <c r="A1283">
        <v>2005</v>
      </c>
      <c r="B1283" t="s">
        <v>113</v>
      </c>
      <c r="C1283" t="s">
        <v>99</v>
      </c>
      <c r="D1283">
        <v>15.4</v>
      </c>
      <c r="E1283">
        <v>2</v>
      </c>
      <c r="F1283">
        <v>4.5</v>
      </c>
      <c r="G1283">
        <v>3.1</v>
      </c>
      <c r="H1283">
        <v>4.3</v>
      </c>
      <c r="I1283">
        <v>0</v>
      </c>
      <c r="J1283">
        <v>1.1000000000000001</v>
      </c>
      <c r="K1283">
        <f t="shared" si="1042"/>
        <v>30.400000000000002</v>
      </c>
      <c r="L1283">
        <v>0</v>
      </c>
      <c r="M1283">
        <v>0</v>
      </c>
      <c r="N1283">
        <v>6.4</v>
      </c>
      <c r="O1283">
        <f t="shared" si="1033"/>
        <v>6.4</v>
      </c>
      <c r="P1283">
        <v>0</v>
      </c>
      <c r="Q1283">
        <v>0</v>
      </c>
      <c r="R1283">
        <v>3.7</v>
      </c>
      <c r="S1283">
        <f t="shared" si="1034"/>
        <v>3.7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f t="shared" si="1035"/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 s="5">
        <f t="shared" si="1036"/>
        <v>0</v>
      </c>
      <c r="AK1283">
        <v>0.1</v>
      </c>
      <c r="AL1283">
        <v>0.59399999999999997</v>
      </c>
      <c r="AM1283">
        <f t="shared" si="1038"/>
        <v>0.40500000000000003</v>
      </c>
      <c r="AN1283">
        <v>121</v>
      </c>
      <c r="AO1283" t="s">
        <v>13</v>
      </c>
      <c r="AP1283" s="3">
        <f t="shared" si="1039"/>
        <v>203.36134453781514</v>
      </c>
      <c r="AQ1283" t="s">
        <v>13</v>
      </c>
      <c r="AR1283">
        <f t="shared" si="1037"/>
        <v>0</v>
      </c>
      <c r="AS1283">
        <f t="shared" si="1032"/>
        <v>0.40500000000000008</v>
      </c>
      <c r="AT1283">
        <f t="shared" si="1040"/>
        <v>82</v>
      </c>
      <c r="AU1283">
        <f t="shared" si="1041"/>
        <v>0</v>
      </c>
      <c r="AV1283">
        <f t="shared" ref="AV1283:AV1346" si="1043">ROUND((((K1283*0.5)+O1283+S1283+AA1283)/100)*AP1283,0)</f>
        <v>51</v>
      </c>
      <c r="AW1283">
        <f t="shared" ref="AW1283:AW1346" si="1044">ROUND((AU1283/(AP1283-AT1283))*(AP1283-AV1283),0)</f>
        <v>0</v>
      </c>
      <c r="AX1283" s="3">
        <f t="shared" ref="AX1283:AX1346" si="1045">AP1283-AV1283-AW1283</f>
        <v>152.36134453781514</v>
      </c>
      <c r="AY1283">
        <f t="shared" ref="AY1283:AY1346" si="1046">ROUND((0.5*AS1283)*AP1283,0)</f>
        <v>41</v>
      </c>
      <c r="AZ1283">
        <f t="shared" ref="AZ1283:AZ1346" si="1047">ROUND((AU1283/(AP1283-AT1283))*(AP1283-AY1283),0)</f>
        <v>0</v>
      </c>
      <c r="BA1283" s="3">
        <f t="shared" ref="BA1283:BA1346" si="1048">AP1283-AZ1283-AY1283</f>
        <v>162.36134453781514</v>
      </c>
    </row>
    <row r="1284" spans="1:53" x14ac:dyDescent="0.2">
      <c r="A1284">
        <v>2006</v>
      </c>
      <c r="B1284" t="s">
        <v>113</v>
      </c>
      <c r="C1284" t="s">
        <v>99</v>
      </c>
      <c r="D1284">
        <v>11.6</v>
      </c>
      <c r="E1284">
        <v>2.5</v>
      </c>
      <c r="F1284">
        <v>3.9</v>
      </c>
      <c r="G1284">
        <v>2.6</v>
      </c>
      <c r="H1284">
        <v>2.9</v>
      </c>
      <c r="I1284">
        <v>0</v>
      </c>
      <c r="J1284">
        <v>1.9</v>
      </c>
      <c r="K1284">
        <f t="shared" si="1042"/>
        <v>25.4</v>
      </c>
      <c r="L1284">
        <v>0</v>
      </c>
      <c r="M1284">
        <v>0</v>
      </c>
      <c r="N1284">
        <v>2.1</v>
      </c>
      <c r="O1284">
        <f t="shared" si="1033"/>
        <v>2.1</v>
      </c>
      <c r="P1284">
        <v>0</v>
      </c>
      <c r="Q1284">
        <v>0</v>
      </c>
      <c r="R1284">
        <v>4.4000000000000004</v>
      </c>
      <c r="S1284">
        <f t="shared" si="1034"/>
        <v>4.4000000000000004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f t="shared" si="1035"/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 s="5">
        <f t="shared" si="1036"/>
        <v>0</v>
      </c>
      <c r="AK1284">
        <v>0</v>
      </c>
      <c r="AL1284">
        <v>0.68200000000000005</v>
      </c>
      <c r="AM1284">
        <f t="shared" si="1038"/>
        <v>0.31900000000000001</v>
      </c>
      <c r="AN1284">
        <v>76</v>
      </c>
      <c r="AO1284" t="s">
        <v>13</v>
      </c>
      <c r="AP1284" s="3">
        <f t="shared" si="1039"/>
        <v>111.60058737151247</v>
      </c>
      <c r="AQ1284" t="s">
        <v>13</v>
      </c>
      <c r="AR1284">
        <f t="shared" si="1037"/>
        <v>0</v>
      </c>
      <c r="AS1284">
        <f t="shared" si="1032"/>
        <v>0.31900000000000001</v>
      </c>
      <c r="AT1284">
        <f t="shared" si="1040"/>
        <v>36</v>
      </c>
      <c r="AU1284">
        <f t="shared" si="1041"/>
        <v>0</v>
      </c>
      <c r="AV1284">
        <f t="shared" si="1043"/>
        <v>21</v>
      </c>
      <c r="AW1284">
        <f t="shared" si="1044"/>
        <v>0</v>
      </c>
      <c r="AX1284" s="3">
        <f t="shared" si="1045"/>
        <v>90.600587371512475</v>
      </c>
      <c r="AY1284">
        <f t="shared" si="1046"/>
        <v>18</v>
      </c>
      <c r="AZ1284">
        <f t="shared" si="1047"/>
        <v>0</v>
      </c>
      <c r="BA1284" s="3">
        <f t="shared" si="1048"/>
        <v>93.600587371512475</v>
      </c>
    </row>
    <row r="1285" spans="1:53" x14ac:dyDescent="0.2">
      <c r="A1285">
        <v>2007</v>
      </c>
      <c r="B1285" t="s">
        <v>113</v>
      </c>
      <c r="C1285" t="s">
        <v>99</v>
      </c>
      <c r="D1285">
        <v>16.2</v>
      </c>
      <c r="E1285">
        <v>3.3</v>
      </c>
      <c r="F1285">
        <v>5.9</v>
      </c>
      <c r="G1285">
        <v>4.9000000000000004</v>
      </c>
      <c r="H1285">
        <v>5.3</v>
      </c>
      <c r="I1285">
        <v>0.1</v>
      </c>
      <c r="J1285">
        <v>1.3</v>
      </c>
      <c r="K1285">
        <f t="shared" si="1042"/>
        <v>36.999999999999993</v>
      </c>
      <c r="L1285">
        <v>0</v>
      </c>
      <c r="M1285">
        <v>0</v>
      </c>
      <c r="N1285">
        <v>1.7</v>
      </c>
      <c r="O1285">
        <f t="shared" si="1033"/>
        <v>1.7</v>
      </c>
      <c r="P1285">
        <v>0</v>
      </c>
      <c r="Q1285">
        <v>0</v>
      </c>
      <c r="R1285">
        <v>5</v>
      </c>
      <c r="S1285">
        <f t="shared" si="1034"/>
        <v>5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f t="shared" si="1035"/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 s="5">
        <f t="shared" si="1036"/>
        <v>0</v>
      </c>
      <c r="AK1285">
        <v>0</v>
      </c>
      <c r="AL1285">
        <v>0.56299999999999994</v>
      </c>
      <c r="AM1285">
        <f t="shared" si="1038"/>
        <v>0.43699999999999994</v>
      </c>
      <c r="AN1285">
        <v>234</v>
      </c>
      <c r="AO1285" t="s">
        <v>13</v>
      </c>
      <c r="AP1285" s="3">
        <f t="shared" si="1039"/>
        <v>415.63055062166961</v>
      </c>
      <c r="AQ1285" t="s">
        <v>13</v>
      </c>
      <c r="AR1285">
        <f t="shared" si="1037"/>
        <v>0</v>
      </c>
      <c r="AS1285">
        <f t="shared" si="1032"/>
        <v>0.43699999999999994</v>
      </c>
      <c r="AT1285">
        <f t="shared" si="1040"/>
        <v>182</v>
      </c>
      <c r="AU1285">
        <f t="shared" si="1041"/>
        <v>0</v>
      </c>
      <c r="AV1285">
        <f t="shared" si="1043"/>
        <v>105</v>
      </c>
      <c r="AW1285">
        <f t="shared" si="1044"/>
        <v>0</v>
      </c>
      <c r="AX1285" s="3">
        <f t="shared" si="1045"/>
        <v>310.63055062166961</v>
      </c>
      <c r="AY1285">
        <f t="shared" si="1046"/>
        <v>91</v>
      </c>
      <c r="AZ1285">
        <f t="shared" si="1047"/>
        <v>0</v>
      </c>
      <c r="BA1285" s="3">
        <f t="shared" si="1048"/>
        <v>324.63055062166961</v>
      </c>
    </row>
    <row r="1286" spans="1:53" x14ac:dyDescent="0.2">
      <c r="A1286">
        <v>2008</v>
      </c>
      <c r="B1286" t="s">
        <v>113</v>
      </c>
      <c r="C1286" t="s">
        <v>99</v>
      </c>
      <c r="D1286">
        <v>9.9</v>
      </c>
      <c r="E1286">
        <v>0.5</v>
      </c>
      <c r="F1286">
        <v>2.4</v>
      </c>
      <c r="G1286">
        <v>2.6</v>
      </c>
      <c r="H1286">
        <v>2.7</v>
      </c>
      <c r="I1286">
        <v>0</v>
      </c>
      <c r="J1286">
        <v>0.8</v>
      </c>
      <c r="K1286">
        <f t="shared" si="1042"/>
        <v>18.900000000000002</v>
      </c>
      <c r="L1286">
        <v>0</v>
      </c>
      <c r="M1286">
        <v>0</v>
      </c>
      <c r="N1286">
        <v>3.4</v>
      </c>
      <c r="O1286">
        <f t="shared" si="1033"/>
        <v>3.4</v>
      </c>
      <c r="P1286">
        <v>0</v>
      </c>
      <c r="Q1286">
        <v>0</v>
      </c>
      <c r="R1286">
        <v>2.8</v>
      </c>
      <c r="S1286">
        <f t="shared" si="1034"/>
        <v>2.8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f t="shared" si="1035"/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 s="5">
        <f t="shared" si="1036"/>
        <v>0</v>
      </c>
      <c r="AK1286">
        <v>0</v>
      </c>
      <c r="AL1286">
        <v>0.74900000000000011</v>
      </c>
      <c r="AM1286">
        <f t="shared" si="1038"/>
        <v>0.251</v>
      </c>
      <c r="AN1286">
        <v>380</v>
      </c>
      <c r="AO1286" t="s">
        <v>13</v>
      </c>
      <c r="AP1286" s="3">
        <f t="shared" si="1039"/>
        <v>507.34312416555406</v>
      </c>
      <c r="AQ1286" t="s">
        <v>13</v>
      </c>
      <c r="AR1286">
        <f t="shared" si="1037"/>
        <v>0</v>
      </c>
      <c r="AS1286">
        <f t="shared" si="1032"/>
        <v>0.251</v>
      </c>
      <c r="AT1286">
        <f t="shared" si="1040"/>
        <v>127</v>
      </c>
      <c r="AU1286">
        <f t="shared" si="1041"/>
        <v>0</v>
      </c>
      <c r="AV1286">
        <f t="shared" si="1043"/>
        <v>79</v>
      </c>
      <c r="AW1286">
        <f t="shared" si="1044"/>
        <v>0</v>
      </c>
      <c r="AX1286" s="3">
        <f t="shared" si="1045"/>
        <v>428.34312416555406</v>
      </c>
      <c r="AY1286">
        <f t="shared" si="1046"/>
        <v>64</v>
      </c>
      <c r="AZ1286">
        <f t="shared" si="1047"/>
        <v>0</v>
      </c>
      <c r="BA1286" s="3">
        <f t="shared" si="1048"/>
        <v>443.34312416555406</v>
      </c>
    </row>
    <row r="1287" spans="1:53" x14ac:dyDescent="0.2">
      <c r="A1287">
        <v>2009</v>
      </c>
      <c r="B1287" t="s">
        <v>113</v>
      </c>
      <c r="C1287" t="s">
        <v>99</v>
      </c>
      <c r="D1287">
        <v>12.1</v>
      </c>
      <c r="E1287">
        <v>10.199999999999999</v>
      </c>
      <c r="F1287">
        <v>4.5</v>
      </c>
      <c r="G1287">
        <v>2</v>
      </c>
      <c r="H1287">
        <v>7.2</v>
      </c>
      <c r="I1287">
        <v>0</v>
      </c>
      <c r="J1287">
        <v>1.1000000000000001</v>
      </c>
      <c r="K1287">
        <f t="shared" si="1042"/>
        <v>37.1</v>
      </c>
      <c r="L1287">
        <v>0</v>
      </c>
      <c r="M1287">
        <v>0</v>
      </c>
      <c r="N1287">
        <v>6.5</v>
      </c>
      <c r="O1287">
        <f t="shared" si="1033"/>
        <v>6.5</v>
      </c>
      <c r="P1287">
        <v>0</v>
      </c>
      <c r="Q1287">
        <v>0</v>
      </c>
      <c r="R1287">
        <v>5.7</v>
      </c>
      <c r="S1287">
        <f t="shared" si="1034"/>
        <v>5.7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f t="shared" si="1035"/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 s="5">
        <f t="shared" si="1036"/>
        <v>0</v>
      </c>
      <c r="AK1287">
        <v>0</v>
      </c>
      <c r="AL1287">
        <v>0.50600000000000001</v>
      </c>
      <c r="AM1287">
        <f t="shared" si="1038"/>
        <v>0.49300000000000005</v>
      </c>
      <c r="AN1287">
        <v>80</v>
      </c>
      <c r="AO1287" t="s">
        <v>13</v>
      </c>
      <c r="AP1287" s="3">
        <f t="shared" si="1039"/>
        <v>157.79092702169629</v>
      </c>
      <c r="AQ1287" t="s">
        <v>13</v>
      </c>
      <c r="AR1287">
        <f t="shared" si="1037"/>
        <v>0</v>
      </c>
      <c r="AS1287">
        <f t="shared" si="1032"/>
        <v>0.49300000000000005</v>
      </c>
      <c r="AT1287">
        <f t="shared" si="1040"/>
        <v>78</v>
      </c>
      <c r="AU1287">
        <f t="shared" si="1041"/>
        <v>0</v>
      </c>
      <c r="AV1287">
        <f t="shared" si="1043"/>
        <v>49</v>
      </c>
      <c r="AW1287">
        <f t="shared" si="1044"/>
        <v>0</v>
      </c>
      <c r="AX1287" s="3">
        <f t="shared" si="1045"/>
        <v>108.79092702169629</v>
      </c>
      <c r="AY1287">
        <f t="shared" si="1046"/>
        <v>39</v>
      </c>
      <c r="AZ1287">
        <f t="shared" si="1047"/>
        <v>0</v>
      </c>
      <c r="BA1287" s="3">
        <f t="shared" si="1048"/>
        <v>118.79092702169629</v>
      </c>
    </row>
    <row r="1288" spans="1:53" x14ac:dyDescent="0.2">
      <c r="A1288">
        <v>2010</v>
      </c>
      <c r="B1288" t="s">
        <v>113</v>
      </c>
      <c r="C1288" t="s">
        <v>99</v>
      </c>
      <c r="D1288">
        <v>7.2</v>
      </c>
      <c r="E1288">
        <v>0.3</v>
      </c>
      <c r="F1288">
        <v>8.8000000000000007</v>
      </c>
      <c r="G1288">
        <v>3</v>
      </c>
      <c r="H1288">
        <v>4.7</v>
      </c>
      <c r="I1288">
        <v>0.7</v>
      </c>
      <c r="J1288">
        <v>2.2000000000000002</v>
      </c>
      <c r="K1288">
        <f t="shared" si="1042"/>
        <v>26.9</v>
      </c>
      <c r="L1288">
        <v>0</v>
      </c>
      <c r="M1288">
        <v>0</v>
      </c>
      <c r="N1288">
        <v>2.6</v>
      </c>
      <c r="O1288">
        <f t="shared" si="1033"/>
        <v>2.6</v>
      </c>
      <c r="P1288">
        <v>0</v>
      </c>
      <c r="Q1288">
        <v>0</v>
      </c>
      <c r="R1288">
        <v>5.0999999999999996</v>
      </c>
      <c r="S1288">
        <f t="shared" si="1034"/>
        <v>5.0999999999999996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f t="shared" si="1035"/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0.1</v>
      </c>
      <c r="AI1288">
        <v>0</v>
      </c>
      <c r="AJ1288" s="5">
        <f t="shared" si="1036"/>
        <v>0.1</v>
      </c>
      <c r="AK1288">
        <v>0</v>
      </c>
      <c r="AL1288">
        <v>0.65099999999999991</v>
      </c>
      <c r="AM1288">
        <f t="shared" si="1038"/>
        <v>0.34700000000000003</v>
      </c>
      <c r="AN1288">
        <v>355</v>
      </c>
      <c r="AO1288" t="s">
        <v>13</v>
      </c>
      <c r="AP1288" s="3">
        <f t="shared" si="1039"/>
        <v>543.64471669218983</v>
      </c>
      <c r="AQ1288" t="s">
        <v>13</v>
      </c>
      <c r="AR1288">
        <f t="shared" si="1037"/>
        <v>2.881844380403458E-3</v>
      </c>
      <c r="AS1288">
        <f t="shared" si="1032"/>
        <v>0.34600000000000003</v>
      </c>
      <c r="AT1288">
        <f t="shared" si="1040"/>
        <v>188</v>
      </c>
      <c r="AU1288">
        <f t="shared" si="1041"/>
        <v>1</v>
      </c>
      <c r="AV1288">
        <f t="shared" si="1043"/>
        <v>115</v>
      </c>
      <c r="AW1288">
        <f t="shared" si="1044"/>
        <v>1</v>
      </c>
      <c r="AX1288" s="3">
        <f t="shared" si="1045"/>
        <v>427.64471669218983</v>
      </c>
      <c r="AY1288">
        <f t="shared" si="1046"/>
        <v>94</v>
      </c>
      <c r="AZ1288">
        <f t="shared" si="1047"/>
        <v>1</v>
      </c>
      <c r="BA1288" s="3">
        <f t="shared" si="1048"/>
        <v>448.64471669218983</v>
      </c>
    </row>
    <row r="1289" spans="1:53" x14ac:dyDescent="0.2">
      <c r="A1289">
        <v>2011</v>
      </c>
      <c r="B1289" t="s">
        <v>113</v>
      </c>
      <c r="C1289" t="s">
        <v>99</v>
      </c>
      <c r="D1289">
        <v>13.7</v>
      </c>
      <c r="E1289">
        <v>1.9</v>
      </c>
      <c r="F1289">
        <v>3</v>
      </c>
      <c r="G1289">
        <v>3.4</v>
      </c>
      <c r="H1289">
        <v>3.5</v>
      </c>
      <c r="I1289">
        <v>0.2</v>
      </c>
      <c r="J1289">
        <v>3.8</v>
      </c>
      <c r="K1289">
        <f t="shared" si="1042"/>
        <v>29.5</v>
      </c>
      <c r="L1289">
        <v>0</v>
      </c>
      <c r="M1289">
        <v>0</v>
      </c>
      <c r="N1289">
        <v>4.0999999999999996</v>
      </c>
      <c r="O1289">
        <f t="shared" si="1033"/>
        <v>4.0999999999999996</v>
      </c>
      <c r="P1289">
        <v>0</v>
      </c>
      <c r="Q1289">
        <v>0</v>
      </c>
      <c r="R1289">
        <v>4.3</v>
      </c>
      <c r="S1289">
        <f t="shared" si="1034"/>
        <v>4.3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0.6</v>
      </c>
      <c r="Z1289">
        <v>0</v>
      </c>
      <c r="AA1289">
        <f t="shared" si="1035"/>
        <v>0.6</v>
      </c>
      <c r="AB1289">
        <v>0.1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 s="5">
        <f t="shared" si="1036"/>
        <v>0.1</v>
      </c>
      <c r="AK1289">
        <v>0</v>
      </c>
      <c r="AL1289">
        <v>0.61399999999999999</v>
      </c>
      <c r="AM1289">
        <f t="shared" si="1038"/>
        <v>0.38599999999999995</v>
      </c>
      <c r="AN1289">
        <v>263</v>
      </c>
      <c r="AO1289" t="s">
        <v>13</v>
      </c>
      <c r="AP1289" s="3">
        <f t="shared" si="1039"/>
        <v>428.33876221498366</v>
      </c>
      <c r="AQ1289" t="s">
        <v>13</v>
      </c>
      <c r="AR1289">
        <f t="shared" si="1037"/>
        <v>2.5906735751295342E-3</v>
      </c>
      <c r="AS1289">
        <f t="shared" si="1032"/>
        <v>0.38500000000000001</v>
      </c>
      <c r="AT1289">
        <f t="shared" si="1040"/>
        <v>165</v>
      </c>
      <c r="AU1289">
        <f t="shared" si="1041"/>
        <v>0</v>
      </c>
      <c r="AV1289">
        <f t="shared" si="1043"/>
        <v>102</v>
      </c>
      <c r="AW1289">
        <f t="shared" si="1044"/>
        <v>0</v>
      </c>
      <c r="AX1289" s="3">
        <f t="shared" si="1045"/>
        <v>326.33876221498366</v>
      </c>
      <c r="AY1289">
        <f t="shared" si="1046"/>
        <v>82</v>
      </c>
      <c r="AZ1289">
        <f t="shared" si="1047"/>
        <v>0</v>
      </c>
      <c r="BA1289" s="3">
        <f t="shared" si="1048"/>
        <v>346.33876221498366</v>
      </c>
    </row>
    <row r="1290" spans="1:53" x14ac:dyDescent="0.2">
      <c r="A1290">
        <v>2012</v>
      </c>
      <c r="B1290" t="s">
        <v>113</v>
      </c>
      <c r="C1290" t="s">
        <v>99</v>
      </c>
      <c r="D1290">
        <v>12.6</v>
      </c>
      <c r="E1290">
        <v>3.4</v>
      </c>
      <c r="F1290">
        <v>2.6</v>
      </c>
      <c r="G1290">
        <v>2.7</v>
      </c>
      <c r="H1290">
        <v>2.8</v>
      </c>
      <c r="I1290">
        <v>0.2</v>
      </c>
      <c r="J1290">
        <v>2.4</v>
      </c>
      <c r="K1290">
        <f t="shared" si="1042"/>
        <v>26.7</v>
      </c>
      <c r="L1290">
        <v>0</v>
      </c>
      <c r="M1290">
        <v>0</v>
      </c>
      <c r="N1290">
        <v>4.5999999999999996</v>
      </c>
      <c r="O1290">
        <f t="shared" si="1033"/>
        <v>4.5999999999999996</v>
      </c>
      <c r="P1290">
        <v>0</v>
      </c>
      <c r="Q1290">
        <v>0</v>
      </c>
      <c r="R1290">
        <v>5.8</v>
      </c>
      <c r="S1290">
        <f t="shared" si="1034"/>
        <v>5.8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f t="shared" si="1035"/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 s="5">
        <f t="shared" si="1036"/>
        <v>0</v>
      </c>
      <c r="AK1290">
        <v>0</v>
      </c>
      <c r="AL1290">
        <v>0.63</v>
      </c>
      <c r="AM1290">
        <f t="shared" si="1038"/>
        <v>0.371</v>
      </c>
      <c r="AN1290">
        <v>138</v>
      </c>
      <c r="AO1290" t="s">
        <v>13</v>
      </c>
      <c r="AP1290" s="3">
        <f t="shared" si="1039"/>
        <v>219.39586645468998</v>
      </c>
      <c r="AQ1290" t="s">
        <v>13</v>
      </c>
      <c r="AR1290">
        <f t="shared" si="1037"/>
        <v>0</v>
      </c>
      <c r="AS1290">
        <f t="shared" si="1032"/>
        <v>0.37099999999999994</v>
      </c>
      <c r="AT1290">
        <f t="shared" si="1040"/>
        <v>81</v>
      </c>
      <c r="AU1290">
        <f t="shared" si="1041"/>
        <v>0</v>
      </c>
      <c r="AV1290">
        <f t="shared" si="1043"/>
        <v>52</v>
      </c>
      <c r="AW1290">
        <f t="shared" si="1044"/>
        <v>0</v>
      </c>
      <c r="AX1290" s="3">
        <f t="shared" si="1045"/>
        <v>167.39586645468998</v>
      </c>
      <c r="AY1290">
        <f t="shared" si="1046"/>
        <v>41</v>
      </c>
      <c r="AZ1290">
        <f t="shared" si="1047"/>
        <v>0</v>
      </c>
      <c r="BA1290" s="3">
        <f t="shared" si="1048"/>
        <v>178.39586645468998</v>
      </c>
    </row>
    <row r="1291" spans="1:53" x14ac:dyDescent="0.2">
      <c r="A1291">
        <v>2013</v>
      </c>
      <c r="B1291" t="s">
        <v>113</v>
      </c>
      <c r="C1291" t="s">
        <v>99</v>
      </c>
      <c r="D1291">
        <v>10.5</v>
      </c>
      <c r="E1291">
        <v>3.8</v>
      </c>
      <c r="F1291">
        <v>3.9</v>
      </c>
      <c r="G1291">
        <v>1</v>
      </c>
      <c r="H1291">
        <v>4.5</v>
      </c>
      <c r="I1291">
        <v>0</v>
      </c>
      <c r="J1291">
        <v>1</v>
      </c>
      <c r="K1291">
        <f t="shared" si="1042"/>
        <v>24.7</v>
      </c>
      <c r="L1291">
        <v>0</v>
      </c>
      <c r="M1291">
        <v>0</v>
      </c>
      <c r="N1291">
        <v>1.5</v>
      </c>
      <c r="O1291">
        <f t="shared" si="1033"/>
        <v>1.5</v>
      </c>
      <c r="P1291">
        <v>0</v>
      </c>
      <c r="Q1291">
        <v>0</v>
      </c>
      <c r="R1291">
        <v>8.5</v>
      </c>
      <c r="S1291">
        <f t="shared" si="1034"/>
        <v>8.5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f t="shared" si="1035"/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 s="5">
        <f t="shared" si="1036"/>
        <v>0</v>
      </c>
      <c r="AK1291">
        <v>0</v>
      </c>
      <c r="AL1291">
        <v>0.65300000000000002</v>
      </c>
      <c r="AM1291">
        <f t="shared" si="1038"/>
        <v>0.34700000000000003</v>
      </c>
      <c r="AN1291">
        <v>350</v>
      </c>
      <c r="AO1291" t="s">
        <v>13</v>
      </c>
      <c r="AP1291" s="3">
        <f t="shared" si="1039"/>
        <v>535.98774885145485</v>
      </c>
      <c r="AQ1291" t="s">
        <v>13</v>
      </c>
      <c r="AR1291">
        <f t="shared" si="1037"/>
        <v>0</v>
      </c>
      <c r="AS1291">
        <f t="shared" si="1032"/>
        <v>0.34700000000000003</v>
      </c>
      <c r="AT1291">
        <f t="shared" si="1040"/>
        <v>186</v>
      </c>
      <c r="AU1291">
        <f t="shared" si="1041"/>
        <v>0</v>
      </c>
      <c r="AV1291">
        <f t="shared" si="1043"/>
        <v>120</v>
      </c>
      <c r="AW1291">
        <f t="shared" si="1044"/>
        <v>0</v>
      </c>
      <c r="AX1291" s="3">
        <f t="shared" si="1045"/>
        <v>415.98774885145485</v>
      </c>
      <c r="AY1291">
        <f t="shared" si="1046"/>
        <v>93</v>
      </c>
      <c r="AZ1291">
        <f t="shared" si="1047"/>
        <v>0</v>
      </c>
      <c r="BA1291" s="3">
        <f t="shared" si="1048"/>
        <v>442.98774885145485</v>
      </c>
    </row>
    <row r="1292" spans="1:53" x14ac:dyDescent="0.2">
      <c r="A1292">
        <v>2014</v>
      </c>
      <c r="B1292" t="s">
        <v>113</v>
      </c>
      <c r="C1292" t="s">
        <v>99</v>
      </c>
      <c r="D1292">
        <v>13.9</v>
      </c>
      <c r="E1292">
        <v>2</v>
      </c>
      <c r="F1292">
        <v>7.1</v>
      </c>
      <c r="G1292">
        <v>1.9</v>
      </c>
      <c r="H1292">
        <v>3.4</v>
      </c>
      <c r="I1292">
        <v>0.7</v>
      </c>
      <c r="J1292">
        <v>4.5</v>
      </c>
      <c r="K1292">
        <f t="shared" si="1042"/>
        <v>33.5</v>
      </c>
      <c r="L1292">
        <v>0</v>
      </c>
      <c r="M1292">
        <v>0</v>
      </c>
      <c r="N1292">
        <v>1.4</v>
      </c>
      <c r="O1292">
        <f t="shared" si="1033"/>
        <v>1.4</v>
      </c>
      <c r="P1292">
        <v>0</v>
      </c>
      <c r="Q1292">
        <v>0</v>
      </c>
      <c r="R1292">
        <v>5</v>
      </c>
      <c r="S1292">
        <f t="shared" si="1034"/>
        <v>5</v>
      </c>
      <c r="T1292">
        <v>0</v>
      </c>
      <c r="U1292">
        <v>0.1</v>
      </c>
      <c r="V1292">
        <v>0</v>
      </c>
      <c r="W1292">
        <v>0</v>
      </c>
      <c r="X1292">
        <v>0</v>
      </c>
      <c r="Y1292">
        <v>0</v>
      </c>
      <c r="Z1292">
        <v>0.3</v>
      </c>
      <c r="AA1292">
        <f t="shared" si="1035"/>
        <v>0.4</v>
      </c>
      <c r="AB1292">
        <v>0.1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 s="5">
        <f t="shared" si="1036"/>
        <v>0.1</v>
      </c>
      <c r="AK1292">
        <v>0</v>
      </c>
      <c r="AL1292">
        <v>0.59299999999999997</v>
      </c>
      <c r="AM1292">
        <f t="shared" si="1038"/>
        <v>0.40399999999999997</v>
      </c>
      <c r="AN1292">
        <v>653</v>
      </c>
      <c r="AO1292" t="s">
        <v>13</v>
      </c>
      <c r="AP1292" s="3">
        <f t="shared" si="1039"/>
        <v>1095.6375838926174</v>
      </c>
      <c r="AQ1292" t="s">
        <v>13</v>
      </c>
      <c r="AR1292">
        <f t="shared" si="1037"/>
        <v>2.4752475247524753E-3</v>
      </c>
      <c r="AS1292">
        <f t="shared" si="1032"/>
        <v>0.40299999999999997</v>
      </c>
      <c r="AT1292">
        <f t="shared" si="1040"/>
        <v>442</v>
      </c>
      <c r="AU1292">
        <f t="shared" si="1041"/>
        <v>1</v>
      </c>
      <c r="AV1292">
        <f t="shared" si="1043"/>
        <v>258</v>
      </c>
      <c r="AW1292">
        <f t="shared" si="1044"/>
        <v>1</v>
      </c>
      <c r="AX1292" s="3">
        <f t="shared" si="1045"/>
        <v>836.63758389261739</v>
      </c>
      <c r="AY1292">
        <f t="shared" si="1046"/>
        <v>221</v>
      </c>
      <c r="AZ1292">
        <f t="shared" si="1047"/>
        <v>1</v>
      </c>
      <c r="BA1292" s="3">
        <f t="shared" si="1048"/>
        <v>873.63758389261739</v>
      </c>
    </row>
    <row r="1293" spans="1:53" x14ac:dyDescent="0.2">
      <c r="A1293">
        <v>2015</v>
      </c>
      <c r="B1293" t="s">
        <v>113</v>
      </c>
      <c r="C1293" t="s">
        <v>99</v>
      </c>
      <c r="D1293">
        <v>4</v>
      </c>
      <c r="E1293">
        <v>3.2</v>
      </c>
      <c r="F1293">
        <v>4.7</v>
      </c>
      <c r="G1293">
        <v>0.4</v>
      </c>
      <c r="H1293">
        <v>3.8</v>
      </c>
      <c r="I1293">
        <v>0.3</v>
      </c>
      <c r="J1293">
        <v>2.8</v>
      </c>
      <c r="K1293">
        <f t="shared" si="1042"/>
        <v>19.200000000000003</v>
      </c>
      <c r="L1293">
        <v>0</v>
      </c>
      <c r="M1293">
        <v>0.1</v>
      </c>
      <c r="N1293">
        <v>2.2000000000000002</v>
      </c>
      <c r="O1293">
        <f t="shared" si="1033"/>
        <v>2.3000000000000003</v>
      </c>
      <c r="P1293">
        <v>0</v>
      </c>
      <c r="Q1293">
        <v>0</v>
      </c>
      <c r="R1293">
        <v>9.4</v>
      </c>
      <c r="S1293">
        <f t="shared" si="1034"/>
        <v>9.4</v>
      </c>
      <c r="T1293">
        <v>0.3</v>
      </c>
      <c r="U1293">
        <v>0.5</v>
      </c>
      <c r="V1293">
        <v>0</v>
      </c>
      <c r="W1293">
        <v>0</v>
      </c>
      <c r="X1293">
        <v>0</v>
      </c>
      <c r="Y1293">
        <v>0</v>
      </c>
      <c r="Z1293">
        <v>0.1</v>
      </c>
      <c r="AA1293">
        <f t="shared" si="1035"/>
        <v>0.9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 s="5">
        <f t="shared" si="1036"/>
        <v>0</v>
      </c>
      <c r="AK1293">
        <v>0.3</v>
      </c>
      <c r="AL1293">
        <v>0.68</v>
      </c>
      <c r="AM1293">
        <f t="shared" si="1038"/>
        <v>0.318</v>
      </c>
      <c r="AN1293">
        <v>768</v>
      </c>
      <c r="AO1293" t="s">
        <v>13</v>
      </c>
      <c r="AP1293" s="3">
        <f t="shared" si="1039"/>
        <v>1126.0997067448682</v>
      </c>
      <c r="AQ1293" t="s">
        <v>13</v>
      </c>
      <c r="AR1293">
        <f t="shared" si="1037"/>
        <v>0</v>
      </c>
      <c r="AS1293">
        <f t="shared" si="1032"/>
        <v>0.31800000000000006</v>
      </c>
      <c r="AT1293">
        <f t="shared" si="1040"/>
        <v>358</v>
      </c>
      <c r="AU1293">
        <f t="shared" si="1041"/>
        <v>0</v>
      </c>
      <c r="AV1293">
        <f t="shared" si="1043"/>
        <v>250</v>
      </c>
      <c r="AW1293">
        <f t="shared" si="1044"/>
        <v>0</v>
      </c>
      <c r="AX1293" s="3">
        <f t="shared" si="1045"/>
        <v>876.09970674486817</v>
      </c>
      <c r="AY1293">
        <f t="shared" si="1046"/>
        <v>179</v>
      </c>
      <c r="AZ1293">
        <f t="shared" si="1047"/>
        <v>0</v>
      </c>
      <c r="BA1293" s="3">
        <f t="shared" si="1048"/>
        <v>947.09970674486817</v>
      </c>
    </row>
    <row r="1294" spans="1:53" x14ac:dyDescent="0.2">
      <c r="A1294">
        <v>2016</v>
      </c>
      <c r="B1294" t="s">
        <v>113</v>
      </c>
      <c r="C1294" t="s">
        <v>99</v>
      </c>
      <c r="D1294">
        <v>13.5</v>
      </c>
      <c r="E1294">
        <v>5</v>
      </c>
      <c r="F1294">
        <v>8.1</v>
      </c>
      <c r="G1294">
        <v>1.9</v>
      </c>
      <c r="H1294">
        <v>3.9</v>
      </c>
      <c r="I1294">
        <v>0.8</v>
      </c>
      <c r="J1294">
        <v>0.8</v>
      </c>
      <c r="K1294">
        <f t="shared" si="1042"/>
        <v>33.999999999999993</v>
      </c>
      <c r="L1294">
        <v>0</v>
      </c>
      <c r="M1294">
        <v>0.2</v>
      </c>
      <c r="N1294">
        <v>3.5</v>
      </c>
      <c r="O1294">
        <f t="shared" si="1033"/>
        <v>3.7</v>
      </c>
      <c r="P1294">
        <v>0</v>
      </c>
      <c r="Q1294">
        <v>0</v>
      </c>
      <c r="R1294">
        <v>7.1</v>
      </c>
      <c r="S1294">
        <f t="shared" si="1034"/>
        <v>7.1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f t="shared" si="1035"/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 s="5">
        <f t="shared" si="1036"/>
        <v>0</v>
      </c>
      <c r="AK1294">
        <v>0</v>
      </c>
      <c r="AL1294">
        <v>0.55200000000000005</v>
      </c>
      <c r="AM1294">
        <f t="shared" si="1038"/>
        <v>0.4479999999999999</v>
      </c>
      <c r="AN1294">
        <v>615</v>
      </c>
      <c r="AO1294" t="s">
        <v>13</v>
      </c>
      <c r="AP1294" s="3">
        <f t="shared" si="1039"/>
        <v>1114.1304347826085</v>
      </c>
      <c r="AQ1294" t="s">
        <v>13</v>
      </c>
      <c r="AR1294">
        <f t="shared" si="1037"/>
        <v>0</v>
      </c>
      <c r="AS1294">
        <f t="shared" si="1032"/>
        <v>0.44799999999999995</v>
      </c>
      <c r="AT1294">
        <f t="shared" si="1040"/>
        <v>499</v>
      </c>
      <c r="AU1294">
        <f t="shared" si="1041"/>
        <v>0</v>
      </c>
      <c r="AV1294">
        <f t="shared" si="1043"/>
        <v>310</v>
      </c>
      <c r="AW1294">
        <f t="shared" si="1044"/>
        <v>0</v>
      </c>
      <c r="AX1294" s="3">
        <f t="shared" si="1045"/>
        <v>804.13043478260852</v>
      </c>
      <c r="AY1294">
        <f t="shared" si="1046"/>
        <v>250</v>
      </c>
      <c r="AZ1294">
        <f t="shared" si="1047"/>
        <v>0</v>
      </c>
      <c r="BA1294" s="3">
        <f t="shared" si="1048"/>
        <v>864.13043478260852</v>
      </c>
    </row>
    <row r="1295" spans="1:53" x14ac:dyDescent="0.2">
      <c r="A1295">
        <v>2017</v>
      </c>
      <c r="B1295" t="s">
        <v>113</v>
      </c>
      <c r="C1295" t="s">
        <v>99</v>
      </c>
      <c r="D1295">
        <v>7.9</v>
      </c>
      <c r="E1295">
        <v>0.7</v>
      </c>
      <c r="F1295">
        <v>7.2</v>
      </c>
      <c r="G1295">
        <v>1.6</v>
      </c>
      <c r="H1295">
        <v>7.1</v>
      </c>
      <c r="I1295">
        <v>0.6</v>
      </c>
      <c r="J1295">
        <v>3.8</v>
      </c>
      <c r="K1295">
        <f t="shared" si="1042"/>
        <v>28.900000000000002</v>
      </c>
      <c r="L1295">
        <v>0</v>
      </c>
      <c r="M1295">
        <v>0</v>
      </c>
      <c r="N1295">
        <v>1.7</v>
      </c>
      <c r="O1295">
        <f t="shared" si="1033"/>
        <v>1.7</v>
      </c>
      <c r="P1295">
        <v>0</v>
      </c>
      <c r="Q1295">
        <v>1.1000000000000001</v>
      </c>
      <c r="R1295">
        <v>7</v>
      </c>
      <c r="S1295">
        <f t="shared" si="1034"/>
        <v>8.1</v>
      </c>
      <c r="T1295">
        <v>0</v>
      </c>
      <c r="U1295">
        <v>0.1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f t="shared" si="1035"/>
        <v>0.1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0.1</v>
      </c>
      <c r="AI1295">
        <v>0</v>
      </c>
      <c r="AJ1295" s="5">
        <f t="shared" si="1036"/>
        <v>0.1</v>
      </c>
      <c r="AK1295">
        <v>1.2</v>
      </c>
      <c r="AL1295">
        <v>0.6</v>
      </c>
      <c r="AM1295">
        <f t="shared" si="1038"/>
        <v>0.38900000000000001</v>
      </c>
      <c r="AN1295">
        <v>1561</v>
      </c>
      <c r="AO1295" t="s">
        <v>13</v>
      </c>
      <c r="AP1295" s="3">
        <f t="shared" si="1039"/>
        <v>2554.8281505728314</v>
      </c>
      <c r="AQ1295" t="s">
        <v>13</v>
      </c>
      <c r="AR1295">
        <f t="shared" si="1037"/>
        <v>2.5706940874035988E-3</v>
      </c>
      <c r="AS1295">
        <f t="shared" si="1032"/>
        <v>0.38800000000000007</v>
      </c>
      <c r="AT1295">
        <f t="shared" si="1040"/>
        <v>991</v>
      </c>
      <c r="AU1295">
        <f t="shared" si="1041"/>
        <v>3</v>
      </c>
      <c r="AV1295">
        <f t="shared" si="1043"/>
        <v>622</v>
      </c>
      <c r="AW1295">
        <f t="shared" si="1044"/>
        <v>4</v>
      </c>
      <c r="AX1295" s="3">
        <f t="shared" si="1045"/>
        <v>1928.8281505728314</v>
      </c>
      <c r="AY1295">
        <f t="shared" si="1046"/>
        <v>496</v>
      </c>
      <c r="AZ1295">
        <f t="shared" si="1047"/>
        <v>4</v>
      </c>
      <c r="BA1295" s="3">
        <f t="shared" si="1048"/>
        <v>2054.8281505728314</v>
      </c>
    </row>
    <row r="1296" spans="1:53" x14ac:dyDescent="0.2">
      <c r="A1296">
        <v>2018</v>
      </c>
      <c r="B1296" t="s">
        <v>113</v>
      </c>
      <c r="C1296" t="s">
        <v>99</v>
      </c>
      <c r="D1296">
        <v>5.7</v>
      </c>
      <c r="E1296">
        <v>0.6</v>
      </c>
      <c r="F1296">
        <v>2.4</v>
      </c>
      <c r="G1296">
        <v>4.2</v>
      </c>
      <c r="H1296">
        <v>6.1</v>
      </c>
      <c r="I1296">
        <v>1.3</v>
      </c>
      <c r="J1296">
        <v>4.5</v>
      </c>
      <c r="K1296">
        <f t="shared" si="1042"/>
        <v>24.8</v>
      </c>
      <c r="L1296">
        <v>0</v>
      </c>
      <c r="M1296">
        <v>0</v>
      </c>
      <c r="N1296">
        <v>2.7</v>
      </c>
      <c r="O1296">
        <f t="shared" si="1033"/>
        <v>2.7</v>
      </c>
      <c r="P1296">
        <v>0</v>
      </c>
      <c r="Q1296">
        <v>0</v>
      </c>
      <c r="R1296">
        <v>7.1</v>
      </c>
      <c r="S1296">
        <f t="shared" si="1034"/>
        <v>7.1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f t="shared" si="1035"/>
        <v>0</v>
      </c>
      <c r="AB1296">
        <v>0</v>
      </c>
      <c r="AC1296">
        <v>0</v>
      </c>
      <c r="AD1296">
        <v>0</v>
      </c>
      <c r="AE1296">
        <v>0</v>
      </c>
      <c r="AF1296">
        <v>0.1</v>
      </c>
      <c r="AG1296">
        <v>0</v>
      </c>
      <c r="AH1296">
        <v>0</v>
      </c>
      <c r="AI1296">
        <v>0</v>
      </c>
      <c r="AJ1296" s="5">
        <f t="shared" si="1036"/>
        <v>0.1</v>
      </c>
      <c r="AK1296">
        <v>0.3</v>
      </c>
      <c r="AL1296">
        <v>0.64900000000000002</v>
      </c>
      <c r="AM1296">
        <f t="shared" si="1038"/>
        <v>0.34700000000000003</v>
      </c>
      <c r="AN1296">
        <v>918</v>
      </c>
      <c r="AO1296" t="s">
        <v>13</v>
      </c>
      <c r="AP1296" s="3">
        <f t="shared" si="1039"/>
        <v>1405.8192955589586</v>
      </c>
      <c r="AQ1296" t="s">
        <v>13</v>
      </c>
      <c r="AR1296">
        <f t="shared" si="1037"/>
        <v>2.881844380403458E-3</v>
      </c>
      <c r="AS1296">
        <f t="shared" si="1032"/>
        <v>0.34600000000000003</v>
      </c>
      <c r="AT1296">
        <f t="shared" si="1040"/>
        <v>486</v>
      </c>
      <c r="AU1296">
        <f t="shared" si="1041"/>
        <v>1</v>
      </c>
      <c r="AV1296">
        <f t="shared" si="1043"/>
        <v>312</v>
      </c>
      <c r="AW1296">
        <f t="shared" si="1044"/>
        <v>1</v>
      </c>
      <c r="AX1296" s="3">
        <f t="shared" si="1045"/>
        <v>1092.8192955589586</v>
      </c>
      <c r="AY1296">
        <f t="shared" si="1046"/>
        <v>243</v>
      </c>
      <c r="AZ1296">
        <f t="shared" si="1047"/>
        <v>1</v>
      </c>
      <c r="BA1296" s="3">
        <f t="shared" si="1048"/>
        <v>1161.8192955589586</v>
      </c>
    </row>
    <row r="1297" spans="1:53" x14ac:dyDescent="0.2">
      <c r="A1297">
        <v>2019</v>
      </c>
      <c r="B1297" t="s">
        <v>113</v>
      </c>
      <c r="C1297" t="s">
        <v>99</v>
      </c>
      <c r="D1297">
        <v>4.7</v>
      </c>
      <c r="E1297">
        <v>5.5</v>
      </c>
      <c r="F1297">
        <v>3.5</v>
      </c>
      <c r="G1297">
        <v>2.6</v>
      </c>
      <c r="H1297">
        <v>5.2</v>
      </c>
      <c r="I1297">
        <v>0.8</v>
      </c>
      <c r="J1297">
        <v>2.2000000000000002</v>
      </c>
      <c r="K1297">
        <f t="shared" si="1042"/>
        <v>24.5</v>
      </c>
      <c r="L1297">
        <v>0</v>
      </c>
      <c r="M1297">
        <v>0</v>
      </c>
      <c r="N1297">
        <v>4.4000000000000004</v>
      </c>
      <c r="O1297">
        <f t="shared" ref="O1297:O1332" si="1049">SUM(L1297:N1297)</f>
        <v>4.4000000000000004</v>
      </c>
      <c r="P1297">
        <v>0</v>
      </c>
      <c r="Q1297">
        <v>0</v>
      </c>
      <c r="R1297">
        <v>6.5</v>
      </c>
      <c r="S1297">
        <f t="shared" ref="S1297:S1332" si="1050">SUM(P1297:R1297)</f>
        <v>6.5</v>
      </c>
      <c r="T1297">
        <v>0.1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f t="shared" ref="AA1297:AA1332" si="1051">SUM(T1297:Z1297)</f>
        <v>0.1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 s="5">
        <f t="shared" ref="AJ1297:AJ1332" si="1052">SUM(AB1297:AI1297)</f>
        <v>0</v>
      </c>
      <c r="AK1297">
        <v>0.1</v>
      </c>
      <c r="AL1297">
        <v>0.64500000000000002</v>
      </c>
      <c r="AM1297">
        <f t="shared" si="1038"/>
        <v>0.35499999999999998</v>
      </c>
      <c r="AN1297">
        <v>986</v>
      </c>
      <c r="AO1297" t="s">
        <v>13</v>
      </c>
      <c r="AP1297" s="3">
        <f t="shared" si="1039"/>
        <v>1528.6821705426355</v>
      </c>
      <c r="AQ1297" t="s">
        <v>13</v>
      </c>
      <c r="AR1297">
        <f t="shared" si="1037"/>
        <v>0</v>
      </c>
      <c r="AS1297">
        <f t="shared" si="1032"/>
        <v>0.35499999999999998</v>
      </c>
      <c r="AT1297">
        <f t="shared" si="1040"/>
        <v>543</v>
      </c>
      <c r="AU1297">
        <f t="shared" si="1041"/>
        <v>0</v>
      </c>
      <c r="AV1297">
        <f t="shared" si="1043"/>
        <v>355</v>
      </c>
      <c r="AW1297">
        <f t="shared" si="1044"/>
        <v>0</v>
      </c>
      <c r="AX1297" s="3">
        <f t="shared" si="1045"/>
        <v>1173.6821705426355</v>
      </c>
      <c r="AY1297">
        <f t="shared" si="1046"/>
        <v>271</v>
      </c>
      <c r="AZ1297">
        <f t="shared" si="1047"/>
        <v>0</v>
      </c>
      <c r="BA1297" s="3">
        <f t="shared" si="1048"/>
        <v>1257.6821705426355</v>
      </c>
    </row>
    <row r="1298" spans="1:53" x14ac:dyDescent="0.2">
      <c r="A1298">
        <v>2020</v>
      </c>
      <c r="B1298" t="s">
        <v>113</v>
      </c>
      <c r="C1298" t="s">
        <v>99</v>
      </c>
      <c r="D1298">
        <v>6.6</v>
      </c>
      <c r="E1298">
        <v>2.6</v>
      </c>
      <c r="F1298">
        <v>4.5</v>
      </c>
      <c r="G1298">
        <v>2.4</v>
      </c>
      <c r="H1298">
        <v>2.7</v>
      </c>
      <c r="I1298">
        <v>0.3</v>
      </c>
      <c r="J1298">
        <v>1.7</v>
      </c>
      <c r="K1298">
        <f t="shared" si="1042"/>
        <v>20.799999999999997</v>
      </c>
      <c r="L1298">
        <v>0</v>
      </c>
      <c r="M1298">
        <v>0</v>
      </c>
      <c r="N1298">
        <v>1.4</v>
      </c>
      <c r="O1298">
        <f t="shared" si="1049"/>
        <v>1.4</v>
      </c>
      <c r="P1298">
        <v>0</v>
      </c>
      <c r="Q1298">
        <v>0</v>
      </c>
      <c r="R1298">
        <v>3.8</v>
      </c>
      <c r="S1298">
        <f t="shared" si="1050"/>
        <v>3.8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0.1</v>
      </c>
      <c r="AA1298">
        <f t="shared" si="1051"/>
        <v>0.1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 s="5">
        <f t="shared" si="1052"/>
        <v>0</v>
      </c>
      <c r="AK1298">
        <v>1.4</v>
      </c>
      <c r="AL1298">
        <v>0.72499999999999998</v>
      </c>
      <c r="AM1298">
        <f t="shared" si="1038"/>
        <v>0.26099999999999995</v>
      </c>
      <c r="AN1298">
        <v>761</v>
      </c>
      <c r="AO1298" t="s">
        <v>13</v>
      </c>
      <c r="AP1298" s="3">
        <f t="shared" si="1039"/>
        <v>1029.7699594046007</v>
      </c>
      <c r="AQ1298" t="s">
        <v>13</v>
      </c>
      <c r="AR1298">
        <f t="shared" si="1037"/>
        <v>0</v>
      </c>
      <c r="AS1298">
        <f t="shared" si="1032"/>
        <v>0.26099999999999995</v>
      </c>
      <c r="AT1298">
        <f t="shared" si="1040"/>
        <v>269</v>
      </c>
      <c r="AU1298">
        <f t="shared" si="1041"/>
        <v>0</v>
      </c>
      <c r="AV1298">
        <f t="shared" si="1043"/>
        <v>162</v>
      </c>
      <c r="AW1298">
        <f t="shared" si="1044"/>
        <v>0</v>
      </c>
      <c r="AX1298" s="3">
        <f t="shared" si="1045"/>
        <v>867.76995940460074</v>
      </c>
      <c r="AY1298">
        <f t="shared" si="1046"/>
        <v>134</v>
      </c>
      <c r="AZ1298">
        <f t="shared" si="1047"/>
        <v>0</v>
      </c>
      <c r="BA1298" s="3">
        <f t="shared" si="1048"/>
        <v>895.76995940460074</v>
      </c>
    </row>
    <row r="1299" spans="1:53" x14ac:dyDescent="0.2">
      <c r="A1299">
        <v>2021</v>
      </c>
      <c r="B1299" t="s">
        <v>113</v>
      </c>
      <c r="C1299" t="s">
        <v>99</v>
      </c>
      <c r="D1299">
        <v>7.5</v>
      </c>
      <c r="E1299">
        <v>4.9000000000000004</v>
      </c>
      <c r="F1299">
        <v>3.1</v>
      </c>
      <c r="G1299">
        <v>3.1</v>
      </c>
      <c r="H1299">
        <v>2.7</v>
      </c>
      <c r="I1299">
        <v>0.8</v>
      </c>
      <c r="J1299">
        <v>1.8</v>
      </c>
      <c r="K1299">
        <f t="shared" si="1042"/>
        <v>23.900000000000002</v>
      </c>
      <c r="L1299">
        <v>0</v>
      </c>
      <c r="M1299">
        <v>0</v>
      </c>
      <c r="N1299">
        <v>1.7</v>
      </c>
      <c r="O1299">
        <f t="shared" si="1049"/>
        <v>1.7</v>
      </c>
      <c r="P1299">
        <v>0</v>
      </c>
      <c r="Q1299">
        <v>0</v>
      </c>
      <c r="R1299">
        <v>4.5999999999999996</v>
      </c>
      <c r="S1299">
        <f t="shared" si="1050"/>
        <v>4.5999999999999996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f t="shared" si="1051"/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 s="5">
        <f t="shared" si="1052"/>
        <v>0</v>
      </c>
      <c r="AK1299">
        <v>0</v>
      </c>
      <c r="AL1299">
        <v>0.69799999999999995</v>
      </c>
      <c r="AM1299">
        <f t="shared" si="1038"/>
        <v>0.30200000000000005</v>
      </c>
      <c r="AN1299">
        <v>1285</v>
      </c>
      <c r="AO1299" t="s">
        <v>13</v>
      </c>
      <c r="AP1299" s="3">
        <f t="shared" si="1039"/>
        <v>1840.974212034384</v>
      </c>
      <c r="AQ1299" t="s">
        <v>13</v>
      </c>
      <c r="AR1299">
        <f t="shared" si="1037"/>
        <v>0</v>
      </c>
      <c r="AS1299">
        <f t="shared" si="1032"/>
        <v>0.30200000000000005</v>
      </c>
      <c r="AT1299">
        <f t="shared" si="1040"/>
        <v>556</v>
      </c>
      <c r="AU1299">
        <f t="shared" si="1041"/>
        <v>0</v>
      </c>
      <c r="AV1299">
        <f t="shared" si="1043"/>
        <v>336</v>
      </c>
      <c r="AW1299">
        <f t="shared" si="1044"/>
        <v>0</v>
      </c>
      <c r="AX1299" s="3">
        <f t="shared" si="1045"/>
        <v>1504.974212034384</v>
      </c>
      <c r="AY1299">
        <f t="shared" si="1046"/>
        <v>278</v>
      </c>
      <c r="AZ1299">
        <f t="shared" si="1047"/>
        <v>0</v>
      </c>
      <c r="BA1299" s="3">
        <f t="shared" si="1048"/>
        <v>1562.974212034384</v>
      </c>
    </row>
    <row r="1300" spans="1:53" x14ac:dyDescent="0.2">
      <c r="A1300">
        <v>2022</v>
      </c>
      <c r="B1300" t="s">
        <v>113</v>
      </c>
      <c r="C1300" t="s">
        <v>99</v>
      </c>
      <c r="D1300">
        <v>8.8000000000000007</v>
      </c>
      <c r="E1300">
        <v>6.1</v>
      </c>
      <c r="F1300">
        <v>3.8</v>
      </c>
      <c r="G1300">
        <v>1.8</v>
      </c>
      <c r="H1300">
        <v>2.6</v>
      </c>
      <c r="I1300">
        <v>0.6</v>
      </c>
      <c r="J1300">
        <v>2.8</v>
      </c>
      <c r="K1300">
        <f t="shared" si="1042"/>
        <v>26.500000000000004</v>
      </c>
      <c r="L1300">
        <v>0</v>
      </c>
      <c r="M1300">
        <v>0</v>
      </c>
      <c r="N1300">
        <v>6.1</v>
      </c>
      <c r="O1300">
        <f t="shared" si="1049"/>
        <v>6.1</v>
      </c>
      <c r="P1300">
        <v>0</v>
      </c>
      <c r="Q1300">
        <v>0</v>
      </c>
      <c r="R1300">
        <v>8.8000000000000007</v>
      </c>
      <c r="S1300">
        <f t="shared" si="1050"/>
        <v>8.8000000000000007</v>
      </c>
      <c r="T1300">
        <v>0.1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0.2</v>
      </c>
      <c r="AA1300">
        <f t="shared" si="1051"/>
        <v>0.30000000000000004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0.1</v>
      </c>
      <c r="AI1300">
        <v>0</v>
      </c>
      <c r="AJ1300" s="5">
        <f t="shared" si="1052"/>
        <v>0.1</v>
      </c>
      <c r="AK1300">
        <v>0</v>
      </c>
      <c r="AL1300">
        <v>0.58099999999999996</v>
      </c>
      <c r="AM1300">
        <f t="shared" si="1038"/>
        <v>0.41799999999999998</v>
      </c>
      <c r="AN1300">
        <v>1460</v>
      </c>
      <c r="AO1300" t="s">
        <v>13</v>
      </c>
      <c r="AP1300" s="3">
        <f t="shared" si="1039"/>
        <v>2508.5910652920961</v>
      </c>
      <c r="AQ1300" t="s">
        <v>13</v>
      </c>
      <c r="AR1300">
        <f t="shared" si="1037"/>
        <v>2.3923444976076558E-3</v>
      </c>
      <c r="AS1300">
        <f t="shared" si="1032"/>
        <v>0.41700000000000004</v>
      </c>
      <c r="AT1300">
        <f t="shared" si="1040"/>
        <v>1046</v>
      </c>
      <c r="AU1300">
        <f t="shared" si="1041"/>
        <v>3</v>
      </c>
      <c r="AV1300">
        <f t="shared" si="1043"/>
        <v>714</v>
      </c>
      <c r="AW1300">
        <f t="shared" si="1044"/>
        <v>4</v>
      </c>
      <c r="AX1300" s="3">
        <f t="shared" si="1045"/>
        <v>1790.5910652920961</v>
      </c>
      <c r="AY1300">
        <f t="shared" si="1046"/>
        <v>523</v>
      </c>
      <c r="AZ1300">
        <f t="shared" si="1047"/>
        <v>4</v>
      </c>
      <c r="BA1300" s="3">
        <f t="shared" si="1048"/>
        <v>1981.5910652920961</v>
      </c>
    </row>
    <row r="1301" spans="1:53" x14ac:dyDescent="0.2">
      <c r="A1301">
        <v>2023</v>
      </c>
      <c r="B1301" t="s">
        <v>113</v>
      </c>
      <c r="C1301" t="s">
        <v>99</v>
      </c>
      <c r="D1301">
        <v>2.5</v>
      </c>
      <c r="E1301">
        <v>1.9</v>
      </c>
      <c r="F1301">
        <v>1.6</v>
      </c>
      <c r="G1301">
        <v>1.9</v>
      </c>
      <c r="H1301">
        <v>1.9</v>
      </c>
      <c r="I1301">
        <v>0.9</v>
      </c>
      <c r="J1301">
        <v>1.7</v>
      </c>
      <c r="K1301">
        <f t="shared" si="1042"/>
        <v>12.4</v>
      </c>
      <c r="L1301">
        <v>0</v>
      </c>
      <c r="M1301">
        <v>0</v>
      </c>
      <c r="N1301">
        <v>2.4</v>
      </c>
      <c r="O1301">
        <f t="shared" si="1049"/>
        <v>2.4</v>
      </c>
      <c r="P1301">
        <v>0</v>
      </c>
      <c r="Q1301">
        <v>0.5</v>
      </c>
      <c r="R1301">
        <v>4.7</v>
      </c>
      <c r="S1301">
        <f t="shared" si="1050"/>
        <v>5.2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f t="shared" si="1051"/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 s="5">
        <f t="shared" si="1052"/>
        <v>0</v>
      </c>
      <c r="AK1301">
        <v>0</v>
      </c>
      <c r="AL1301">
        <v>0.8</v>
      </c>
      <c r="AM1301">
        <f t="shared" si="1038"/>
        <v>0.19999999999999996</v>
      </c>
      <c r="AN1301">
        <v>904</v>
      </c>
      <c r="AO1301" t="s">
        <v>13</v>
      </c>
      <c r="AP1301" s="3">
        <f t="shared" si="1039"/>
        <v>1130</v>
      </c>
      <c r="AQ1301" t="s">
        <v>13</v>
      </c>
      <c r="AR1301">
        <f t="shared" si="1037"/>
        <v>0</v>
      </c>
      <c r="AS1301">
        <f t="shared" si="1032"/>
        <v>0.2</v>
      </c>
      <c r="AT1301">
        <f t="shared" si="1040"/>
        <v>226</v>
      </c>
      <c r="AU1301">
        <f t="shared" si="1041"/>
        <v>0</v>
      </c>
      <c r="AV1301">
        <f t="shared" si="1043"/>
        <v>156</v>
      </c>
      <c r="AW1301">
        <f t="shared" si="1044"/>
        <v>0</v>
      </c>
      <c r="AX1301" s="3">
        <f t="shared" si="1045"/>
        <v>974</v>
      </c>
      <c r="AY1301">
        <f t="shared" si="1046"/>
        <v>113</v>
      </c>
      <c r="AZ1301">
        <f t="shared" si="1047"/>
        <v>0</v>
      </c>
      <c r="BA1301" s="3">
        <f t="shared" si="1048"/>
        <v>1017</v>
      </c>
    </row>
    <row r="1302" spans="1:53" x14ac:dyDescent="0.2">
      <c r="A1302">
        <v>1993</v>
      </c>
      <c r="B1302" t="s">
        <v>114</v>
      </c>
      <c r="C1302" t="s">
        <v>99</v>
      </c>
      <c r="D1302">
        <v>16</v>
      </c>
      <c r="E1302">
        <v>2.1</v>
      </c>
      <c r="F1302">
        <v>2.4</v>
      </c>
      <c r="G1302">
        <v>7.7</v>
      </c>
      <c r="H1302">
        <v>0.8</v>
      </c>
      <c r="I1302">
        <v>14.7</v>
      </c>
      <c r="J1302">
        <v>0.8</v>
      </c>
      <c r="K1302">
        <f t="shared" si="1042"/>
        <v>44.5</v>
      </c>
      <c r="L1302">
        <v>2.1</v>
      </c>
      <c r="M1302">
        <v>0.4</v>
      </c>
      <c r="N1302">
        <v>0.2</v>
      </c>
      <c r="O1302">
        <f t="shared" si="1049"/>
        <v>2.7</v>
      </c>
      <c r="P1302">
        <v>0</v>
      </c>
      <c r="Q1302">
        <v>0.7</v>
      </c>
      <c r="R1302">
        <v>2.5</v>
      </c>
      <c r="S1302">
        <f t="shared" si="1050"/>
        <v>3.2</v>
      </c>
      <c r="T1302">
        <v>0</v>
      </c>
      <c r="U1302">
        <v>0.1</v>
      </c>
      <c r="V1302">
        <v>0</v>
      </c>
      <c r="W1302">
        <v>0</v>
      </c>
      <c r="X1302">
        <v>0</v>
      </c>
      <c r="Y1302">
        <v>0</v>
      </c>
      <c r="Z1302">
        <v>0.1</v>
      </c>
      <c r="AA1302">
        <f t="shared" si="1051"/>
        <v>0.2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 s="5">
        <f t="shared" si="1052"/>
        <v>0</v>
      </c>
      <c r="AK1302">
        <v>0</v>
      </c>
      <c r="AL1302">
        <v>0.49399999999999999</v>
      </c>
      <c r="AM1302">
        <f t="shared" si="1038"/>
        <v>0.50599999999999989</v>
      </c>
      <c r="AN1302">
        <v>377</v>
      </c>
      <c r="AO1302" t="s">
        <v>13</v>
      </c>
      <c r="AP1302" s="3">
        <f t="shared" si="1039"/>
        <v>763.15789473684197</v>
      </c>
      <c r="AQ1302" t="s">
        <v>13</v>
      </c>
      <c r="AR1302">
        <f t="shared" si="1037"/>
        <v>0</v>
      </c>
      <c r="AS1302">
        <f t="shared" si="1032"/>
        <v>0.50600000000000012</v>
      </c>
      <c r="AT1302">
        <f t="shared" si="1040"/>
        <v>386</v>
      </c>
      <c r="AU1302">
        <f t="shared" si="1041"/>
        <v>0</v>
      </c>
      <c r="AV1302">
        <f t="shared" si="1043"/>
        <v>216</v>
      </c>
      <c r="AW1302">
        <f t="shared" si="1044"/>
        <v>0</v>
      </c>
      <c r="AX1302" s="3">
        <f t="shared" si="1045"/>
        <v>547.15789473684197</v>
      </c>
      <c r="AY1302">
        <f t="shared" si="1046"/>
        <v>193</v>
      </c>
      <c r="AZ1302">
        <f t="shared" si="1047"/>
        <v>0</v>
      </c>
      <c r="BA1302" s="3">
        <f t="shared" si="1048"/>
        <v>570.15789473684197</v>
      </c>
    </row>
    <row r="1303" spans="1:53" x14ac:dyDescent="0.2">
      <c r="A1303">
        <v>1994</v>
      </c>
      <c r="B1303" t="s">
        <v>114</v>
      </c>
      <c r="C1303" t="s">
        <v>99</v>
      </c>
      <c r="D1303">
        <v>17.7</v>
      </c>
      <c r="E1303">
        <v>6.3</v>
      </c>
      <c r="F1303">
        <v>3.9</v>
      </c>
      <c r="G1303">
        <v>9.1999999999999993</v>
      </c>
      <c r="H1303">
        <v>0.5</v>
      </c>
      <c r="I1303">
        <v>4.9000000000000004</v>
      </c>
      <c r="J1303">
        <v>1.7</v>
      </c>
      <c r="K1303">
        <f t="shared" si="1042"/>
        <v>44.199999999999996</v>
      </c>
      <c r="L1303">
        <v>1.2</v>
      </c>
      <c r="M1303">
        <v>0.9</v>
      </c>
      <c r="N1303">
        <v>0.2</v>
      </c>
      <c r="O1303">
        <f t="shared" si="1049"/>
        <v>2.3000000000000003</v>
      </c>
      <c r="P1303">
        <v>0</v>
      </c>
      <c r="Q1303">
        <v>0.1</v>
      </c>
      <c r="R1303">
        <v>3</v>
      </c>
      <c r="S1303">
        <f t="shared" si="1050"/>
        <v>3.1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0.1</v>
      </c>
      <c r="AA1303">
        <f t="shared" si="1051"/>
        <v>0.1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 s="5">
        <f t="shared" si="1052"/>
        <v>0</v>
      </c>
      <c r="AK1303">
        <v>0</v>
      </c>
      <c r="AL1303">
        <v>0.502</v>
      </c>
      <c r="AM1303">
        <f t="shared" si="1038"/>
        <v>0.49699999999999994</v>
      </c>
      <c r="AN1303">
        <v>691</v>
      </c>
      <c r="AO1303" t="s">
        <v>13</v>
      </c>
      <c r="AP1303" s="3">
        <f t="shared" si="1039"/>
        <v>1373.7574552683893</v>
      </c>
      <c r="AQ1303" t="s">
        <v>13</v>
      </c>
      <c r="AR1303">
        <f t="shared" si="1037"/>
        <v>0</v>
      </c>
      <c r="AS1303">
        <f t="shared" si="1032"/>
        <v>0.49699999999999994</v>
      </c>
      <c r="AT1303">
        <f t="shared" si="1040"/>
        <v>683</v>
      </c>
      <c r="AU1303">
        <f t="shared" si="1041"/>
        <v>0</v>
      </c>
      <c r="AV1303">
        <f t="shared" si="1043"/>
        <v>379</v>
      </c>
      <c r="AW1303">
        <f t="shared" si="1044"/>
        <v>0</v>
      </c>
      <c r="AX1303" s="3">
        <f t="shared" si="1045"/>
        <v>994.75745526838932</v>
      </c>
      <c r="AY1303">
        <f t="shared" si="1046"/>
        <v>341</v>
      </c>
      <c r="AZ1303">
        <f t="shared" si="1047"/>
        <v>0</v>
      </c>
      <c r="BA1303" s="3">
        <f t="shared" si="1048"/>
        <v>1032.7574552683893</v>
      </c>
    </row>
    <row r="1304" spans="1:53" x14ac:dyDescent="0.2">
      <c r="A1304">
        <v>1995</v>
      </c>
      <c r="B1304" t="s">
        <v>114</v>
      </c>
      <c r="C1304" t="s">
        <v>99</v>
      </c>
      <c r="D1304">
        <v>15</v>
      </c>
      <c r="E1304">
        <v>0</v>
      </c>
      <c r="F1304">
        <v>4.3</v>
      </c>
      <c r="G1304">
        <v>3.1</v>
      </c>
      <c r="H1304">
        <v>2</v>
      </c>
      <c r="I1304">
        <v>1.6</v>
      </c>
      <c r="J1304">
        <v>0.8</v>
      </c>
      <c r="K1304">
        <f t="shared" si="1042"/>
        <v>26.800000000000004</v>
      </c>
      <c r="L1304">
        <v>0.3</v>
      </c>
      <c r="M1304">
        <v>0.4</v>
      </c>
      <c r="N1304">
        <v>0</v>
      </c>
      <c r="O1304">
        <f t="shared" si="1049"/>
        <v>0.7</v>
      </c>
      <c r="P1304">
        <v>0</v>
      </c>
      <c r="Q1304">
        <v>0.1</v>
      </c>
      <c r="R1304">
        <v>3.8</v>
      </c>
      <c r="S1304">
        <f t="shared" si="1050"/>
        <v>3.9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0.1</v>
      </c>
      <c r="Z1304">
        <v>0</v>
      </c>
      <c r="AA1304">
        <f t="shared" si="1051"/>
        <v>0.1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0.1</v>
      </c>
      <c r="AI1304">
        <v>0</v>
      </c>
      <c r="AJ1304" s="5">
        <f t="shared" si="1052"/>
        <v>0.1</v>
      </c>
      <c r="AK1304">
        <v>0.3</v>
      </c>
      <c r="AL1304">
        <v>0.68099999999999994</v>
      </c>
      <c r="AM1304">
        <f t="shared" si="1038"/>
        <v>0.31600000000000006</v>
      </c>
      <c r="AN1304">
        <v>291</v>
      </c>
      <c r="AO1304" t="s">
        <v>13</v>
      </c>
      <c r="AP1304" s="3">
        <f t="shared" si="1039"/>
        <v>425.43859649122811</v>
      </c>
      <c r="AQ1304" t="s">
        <v>13</v>
      </c>
      <c r="AR1304">
        <f t="shared" si="1037"/>
        <v>3.164556962025316E-3</v>
      </c>
      <c r="AS1304">
        <f t="shared" si="1032"/>
        <v>0.31500000000000006</v>
      </c>
      <c r="AT1304">
        <f t="shared" si="1040"/>
        <v>134</v>
      </c>
      <c r="AU1304">
        <f t="shared" si="1041"/>
        <v>0</v>
      </c>
      <c r="AV1304">
        <f t="shared" si="1043"/>
        <v>77</v>
      </c>
      <c r="AW1304">
        <f t="shared" si="1044"/>
        <v>0</v>
      </c>
      <c r="AX1304" s="3">
        <f t="shared" si="1045"/>
        <v>348.43859649122811</v>
      </c>
      <c r="AY1304">
        <f t="shared" si="1046"/>
        <v>67</v>
      </c>
      <c r="AZ1304">
        <f t="shared" si="1047"/>
        <v>0</v>
      </c>
      <c r="BA1304" s="3">
        <f t="shared" si="1048"/>
        <v>358.43859649122811</v>
      </c>
    </row>
    <row r="1305" spans="1:53" x14ac:dyDescent="0.2">
      <c r="A1305">
        <v>1996</v>
      </c>
      <c r="B1305" t="s">
        <v>114</v>
      </c>
      <c r="C1305" t="s">
        <v>99</v>
      </c>
      <c r="D1305">
        <v>8.6</v>
      </c>
      <c r="E1305">
        <v>0.1</v>
      </c>
      <c r="F1305">
        <v>3.9</v>
      </c>
      <c r="G1305">
        <v>2.5</v>
      </c>
      <c r="H1305">
        <v>1.2</v>
      </c>
      <c r="I1305">
        <v>0.7</v>
      </c>
      <c r="J1305">
        <v>0</v>
      </c>
      <c r="K1305">
        <f t="shared" si="1042"/>
        <v>17</v>
      </c>
      <c r="L1305">
        <v>0.4</v>
      </c>
      <c r="M1305">
        <v>0</v>
      </c>
      <c r="N1305">
        <v>1.8</v>
      </c>
      <c r="O1305">
        <f t="shared" si="1049"/>
        <v>2.2000000000000002</v>
      </c>
      <c r="P1305">
        <v>0</v>
      </c>
      <c r="Q1305">
        <v>0</v>
      </c>
      <c r="R1305">
        <v>3.1</v>
      </c>
      <c r="S1305">
        <f t="shared" si="1050"/>
        <v>3.1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f t="shared" si="1051"/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 s="5">
        <f t="shared" si="1052"/>
        <v>0</v>
      </c>
      <c r="AK1305">
        <v>0</v>
      </c>
      <c r="AL1305">
        <v>0.77599999999999991</v>
      </c>
      <c r="AM1305">
        <f t="shared" si="1038"/>
        <v>0.22299999999999998</v>
      </c>
      <c r="AN1305">
        <v>528</v>
      </c>
      <c r="AO1305" t="s">
        <v>13</v>
      </c>
      <c r="AP1305" s="3">
        <f t="shared" si="1039"/>
        <v>679.53667953667957</v>
      </c>
      <c r="AQ1305" t="s">
        <v>13</v>
      </c>
      <c r="AR1305">
        <f t="shared" si="1037"/>
        <v>0</v>
      </c>
      <c r="AS1305">
        <f t="shared" si="1032"/>
        <v>0.223</v>
      </c>
      <c r="AT1305">
        <f t="shared" si="1040"/>
        <v>152</v>
      </c>
      <c r="AU1305">
        <f t="shared" si="1041"/>
        <v>0</v>
      </c>
      <c r="AV1305">
        <f t="shared" si="1043"/>
        <v>94</v>
      </c>
      <c r="AW1305">
        <f t="shared" si="1044"/>
        <v>0</v>
      </c>
      <c r="AX1305" s="3">
        <f t="shared" si="1045"/>
        <v>585.53667953667957</v>
      </c>
      <c r="AY1305">
        <f t="shared" si="1046"/>
        <v>76</v>
      </c>
      <c r="AZ1305">
        <f t="shared" si="1047"/>
        <v>0</v>
      </c>
      <c r="BA1305" s="3">
        <f t="shared" si="1048"/>
        <v>603.53667953667957</v>
      </c>
    </row>
    <row r="1306" spans="1:53" x14ac:dyDescent="0.2">
      <c r="A1306">
        <v>1997</v>
      </c>
      <c r="B1306" t="s">
        <v>114</v>
      </c>
      <c r="C1306" t="s">
        <v>99</v>
      </c>
      <c r="D1306">
        <v>14.1</v>
      </c>
      <c r="E1306">
        <v>3.6</v>
      </c>
      <c r="F1306">
        <v>5.0999999999999996</v>
      </c>
      <c r="G1306">
        <v>5</v>
      </c>
      <c r="H1306">
        <v>1.6</v>
      </c>
      <c r="I1306">
        <v>0.1</v>
      </c>
      <c r="J1306">
        <v>0</v>
      </c>
      <c r="K1306">
        <f t="shared" si="1042"/>
        <v>29.5</v>
      </c>
      <c r="L1306">
        <v>1.8</v>
      </c>
      <c r="M1306">
        <v>0.5</v>
      </c>
      <c r="N1306">
        <v>1.2</v>
      </c>
      <c r="O1306">
        <f t="shared" si="1049"/>
        <v>3.5</v>
      </c>
      <c r="P1306">
        <v>0</v>
      </c>
      <c r="Q1306">
        <v>0.1</v>
      </c>
      <c r="R1306">
        <v>2.9</v>
      </c>
      <c r="S1306">
        <f t="shared" si="1050"/>
        <v>3</v>
      </c>
      <c r="T1306">
        <v>0.1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f t="shared" si="1051"/>
        <v>0.1</v>
      </c>
      <c r="AB1306">
        <v>0.2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 s="5">
        <f t="shared" si="1052"/>
        <v>0.2</v>
      </c>
      <c r="AK1306">
        <v>0</v>
      </c>
      <c r="AL1306">
        <v>0.63700000000000001</v>
      </c>
      <c r="AM1306">
        <f t="shared" si="1038"/>
        <v>0.36300000000000004</v>
      </c>
      <c r="AN1306">
        <v>275</v>
      </c>
      <c r="AO1306" t="s">
        <v>13</v>
      </c>
      <c r="AP1306" s="3">
        <f t="shared" si="1039"/>
        <v>431.7111459968603</v>
      </c>
      <c r="AQ1306" t="s">
        <v>13</v>
      </c>
      <c r="AR1306">
        <f t="shared" si="1037"/>
        <v>5.5096418732782362E-3</v>
      </c>
      <c r="AS1306">
        <f t="shared" si="1032"/>
        <v>0.36099999999999999</v>
      </c>
      <c r="AT1306">
        <f t="shared" si="1040"/>
        <v>156</v>
      </c>
      <c r="AU1306">
        <f t="shared" si="1041"/>
        <v>1</v>
      </c>
      <c r="AV1306">
        <f t="shared" si="1043"/>
        <v>92</v>
      </c>
      <c r="AW1306">
        <f t="shared" si="1044"/>
        <v>1</v>
      </c>
      <c r="AX1306" s="3">
        <f t="shared" si="1045"/>
        <v>338.7111459968603</v>
      </c>
      <c r="AY1306">
        <f t="shared" si="1046"/>
        <v>78</v>
      </c>
      <c r="AZ1306">
        <f t="shared" si="1047"/>
        <v>1</v>
      </c>
      <c r="BA1306" s="3">
        <f t="shared" si="1048"/>
        <v>352.7111459968603</v>
      </c>
    </row>
    <row r="1307" spans="1:53" x14ac:dyDescent="0.2">
      <c r="A1307">
        <v>1998</v>
      </c>
      <c r="B1307" t="s">
        <v>114</v>
      </c>
      <c r="C1307" t="s">
        <v>99</v>
      </c>
      <c r="D1307">
        <v>17.399999999999999</v>
      </c>
      <c r="E1307">
        <v>1.8</v>
      </c>
      <c r="F1307">
        <v>4.9000000000000004</v>
      </c>
      <c r="G1307">
        <v>5.6</v>
      </c>
      <c r="H1307">
        <v>3</v>
      </c>
      <c r="I1307">
        <v>0</v>
      </c>
      <c r="J1307">
        <v>1.8</v>
      </c>
      <c r="K1307">
        <f t="shared" si="1042"/>
        <v>34.5</v>
      </c>
      <c r="L1307">
        <v>0</v>
      </c>
      <c r="M1307">
        <v>0</v>
      </c>
      <c r="N1307">
        <v>0.5</v>
      </c>
      <c r="O1307">
        <f t="shared" si="1049"/>
        <v>0.5</v>
      </c>
      <c r="P1307">
        <v>0</v>
      </c>
      <c r="Q1307">
        <v>0</v>
      </c>
      <c r="R1307">
        <v>4</v>
      </c>
      <c r="S1307">
        <f t="shared" si="1050"/>
        <v>4</v>
      </c>
      <c r="T1307">
        <v>0</v>
      </c>
      <c r="U1307">
        <v>0</v>
      </c>
      <c r="V1307">
        <v>0.1</v>
      </c>
      <c r="W1307">
        <v>0</v>
      </c>
      <c r="X1307">
        <v>0</v>
      </c>
      <c r="Y1307">
        <v>0</v>
      </c>
      <c r="Z1307">
        <v>0</v>
      </c>
      <c r="AA1307">
        <f t="shared" si="1051"/>
        <v>0.1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 s="5">
        <f t="shared" si="1052"/>
        <v>0</v>
      </c>
      <c r="AK1307">
        <v>0.1</v>
      </c>
      <c r="AL1307">
        <v>0.60899999999999999</v>
      </c>
      <c r="AM1307">
        <f t="shared" si="1038"/>
        <v>0.39100000000000001</v>
      </c>
      <c r="AN1307">
        <v>306</v>
      </c>
      <c r="AO1307" t="s">
        <v>13</v>
      </c>
      <c r="AP1307" s="3">
        <f t="shared" si="1039"/>
        <v>502.46305418719214</v>
      </c>
      <c r="AQ1307" t="s">
        <v>13</v>
      </c>
      <c r="AR1307">
        <f t="shared" si="1037"/>
        <v>0</v>
      </c>
      <c r="AS1307">
        <f t="shared" si="1032"/>
        <v>0.39100000000000001</v>
      </c>
      <c r="AT1307">
        <f t="shared" si="1040"/>
        <v>196</v>
      </c>
      <c r="AU1307">
        <f t="shared" si="1041"/>
        <v>0</v>
      </c>
      <c r="AV1307">
        <f t="shared" si="1043"/>
        <v>110</v>
      </c>
      <c r="AW1307">
        <f t="shared" si="1044"/>
        <v>0</v>
      </c>
      <c r="AX1307" s="3">
        <f t="shared" si="1045"/>
        <v>392.46305418719214</v>
      </c>
      <c r="AY1307">
        <f t="shared" si="1046"/>
        <v>98</v>
      </c>
      <c r="AZ1307">
        <f t="shared" si="1047"/>
        <v>0</v>
      </c>
      <c r="BA1307" s="3">
        <f t="shared" si="1048"/>
        <v>404.46305418719214</v>
      </c>
    </row>
    <row r="1308" spans="1:53" x14ac:dyDescent="0.2">
      <c r="A1308">
        <v>1999</v>
      </c>
      <c r="B1308" t="s">
        <v>114</v>
      </c>
      <c r="C1308" t="s">
        <v>99</v>
      </c>
      <c r="D1308">
        <v>12.6</v>
      </c>
      <c r="E1308">
        <v>1.1000000000000001</v>
      </c>
      <c r="F1308">
        <v>7.9</v>
      </c>
      <c r="G1308">
        <v>5.5</v>
      </c>
      <c r="H1308">
        <v>6.8</v>
      </c>
      <c r="I1308">
        <v>0</v>
      </c>
      <c r="J1308">
        <v>0.9</v>
      </c>
      <c r="K1308">
        <f t="shared" si="1042"/>
        <v>34.799999999999997</v>
      </c>
      <c r="L1308">
        <v>0.3</v>
      </c>
      <c r="M1308">
        <v>0</v>
      </c>
      <c r="N1308">
        <v>0.3</v>
      </c>
      <c r="O1308">
        <f t="shared" si="1049"/>
        <v>0.6</v>
      </c>
      <c r="P1308">
        <v>0</v>
      </c>
      <c r="Q1308">
        <v>0</v>
      </c>
      <c r="R1308">
        <v>3.4</v>
      </c>
      <c r="S1308">
        <f t="shared" si="1050"/>
        <v>3.4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f t="shared" si="1051"/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 s="5">
        <f t="shared" si="1052"/>
        <v>0</v>
      </c>
      <c r="AK1308">
        <v>0</v>
      </c>
      <c r="AL1308">
        <v>0.61299999999999999</v>
      </c>
      <c r="AM1308">
        <f t="shared" si="1038"/>
        <v>0.38799999999999996</v>
      </c>
      <c r="AN1308">
        <v>160</v>
      </c>
      <c r="AO1308" t="s">
        <v>13</v>
      </c>
      <c r="AP1308" s="3">
        <f t="shared" si="1039"/>
        <v>261.43790849673201</v>
      </c>
      <c r="AQ1308" t="s">
        <v>13</v>
      </c>
      <c r="AR1308">
        <f t="shared" si="1037"/>
        <v>0</v>
      </c>
      <c r="AS1308">
        <f t="shared" si="1032"/>
        <v>0.38799999999999996</v>
      </c>
      <c r="AT1308">
        <f t="shared" si="1040"/>
        <v>101</v>
      </c>
      <c r="AU1308">
        <f t="shared" si="1041"/>
        <v>0</v>
      </c>
      <c r="AV1308">
        <f t="shared" si="1043"/>
        <v>56</v>
      </c>
      <c r="AW1308">
        <f t="shared" si="1044"/>
        <v>0</v>
      </c>
      <c r="AX1308" s="3">
        <f t="shared" si="1045"/>
        <v>205.43790849673201</v>
      </c>
      <c r="AY1308">
        <f t="shared" si="1046"/>
        <v>51</v>
      </c>
      <c r="AZ1308">
        <f t="shared" si="1047"/>
        <v>0</v>
      </c>
      <c r="BA1308" s="3">
        <f t="shared" si="1048"/>
        <v>210.43790849673201</v>
      </c>
    </row>
    <row r="1309" spans="1:53" x14ac:dyDescent="0.2">
      <c r="A1309">
        <v>2000</v>
      </c>
      <c r="B1309" t="s">
        <v>114</v>
      </c>
      <c r="C1309" t="s">
        <v>99</v>
      </c>
      <c r="D1309">
        <v>7.3</v>
      </c>
      <c r="E1309">
        <v>0</v>
      </c>
      <c r="F1309">
        <v>0</v>
      </c>
      <c r="G1309">
        <v>0</v>
      </c>
      <c r="H1309">
        <v>6.5</v>
      </c>
      <c r="I1309">
        <v>0</v>
      </c>
      <c r="J1309">
        <v>0</v>
      </c>
      <c r="K1309">
        <f t="shared" si="1042"/>
        <v>13.8</v>
      </c>
      <c r="L1309">
        <v>0</v>
      </c>
      <c r="M1309">
        <v>0</v>
      </c>
      <c r="N1309">
        <v>0</v>
      </c>
      <c r="O1309">
        <f t="shared" si="1049"/>
        <v>0</v>
      </c>
      <c r="P1309">
        <v>0</v>
      </c>
      <c r="Q1309">
        <v>0</v>
      </c>
      <c r="R1309">
        <v>6.9</v>
      </c>
      <c r="S1309">
        <f t="shared" si="1050"/>
        <v>6.9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f t="shared" si="1051"/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 s="5">
        <f t="shared" si="1052"/>
        <v>0</v>
      </c>
      <c r="AK1309">
        <v>0</v>
      </c>
      <c r="AL1309">
        <v>0.79299999999999993</v>
      </c>
      <c r="AM1309">
        <f t="shared" si="1038"/>
        <v>0.20699999999999999</v>
      </c>
      <c r="AN1309">
        <v>143</v>
      </c>
      <c r="AO1309" t="s">
        <v>13</v>
      </c>
      <c r="AP1309" s="3">
        <f t="shared" si="1039"/>
        <v>180.32786885245901</v>
      </c>
      <c r="AQ1309" t="s">
        <v>13</v>
      </c>
      <c r="AR1309">
        <f t="shared" si="1037"/>
        <v>0</v>
      </c>
      <c r="AS1309">
        <f t="shared" si="1032"/>
        <v>0.20700000000000002</v>
      </c>
      <c r="AT1309">
        <f t="shared" si="1040"/>
        <v>37</v>
      </c>
      <c r="AU1309">
        <f t="shared" si="1041"/>
        <v>0</v>
      </c>
      <c r="AV1309">
        <f t="shared" si="1043"/>
        <v>25</v>
      </c>
      <c r="AW1309">
        <f t="shared" si="1044"/>
        <v>0</v>
      </c>
      <c r="AX1309" s="3">
        <f t="shared" si="1045"/>
        <v>155.32786885245901</v>
      </c>
      <c r="AY1309">
        <f t="shared" si="1046"/>
        <v>19</v>
      </c>
      <c r="AZ1309">
        <f t="shared" si="1047"/>
        <v>0</v>
      </c>
      <c r="BA1309" s="3">
        <f t="shared" si="1048"/>
        <v>161.32786885245901</v>
      </c>
    </row>
    <row r="1310" spans="1:53" x14ac:dyDescent="0.2">
      <c r="A1310">
        <v>2001</v>
      </c>
      <c r="B1310" t="s">
        <v>114</v>
      </c>
      <c r="C1310" t="s">
        <v>99</v>
      </c>
      <c r="D1310">
        <v>4.3</v>
      </c>
      <c r="E1310">
        <v>0</v>
      </c>
      <c r="F1310">
        <v>2</v>
      </c>
      <c r="G1310">
        <v>0</v>
      </c>
      <c r="H1310">
        <v>0</v>
      </c>
      <c r="I1310">
        <v>0</v>
      </c>
      <c r="J1310">
        <v>1.6</v>
      </c>
      <c r="K1310">
        <f t="shared" si="1042"/>
        <v>7.9</v>
      </c>
      <c r="L1310">
        <v>0</v>
      </c>
      <c r="M1310">
        <v>0</v>
      </c>
      <c r="N1310">
        <v>0.6</v>
      </c>
      <c r="O1310">
        <f t="shared" si="1049"/>
        <v>0.6</v>
      </c>
      <c r="P1310">
        <v>0</v>
      </c>
      <c r="Q1310">
        <v>0</v>
      </c>
      <c r="R1310">
        <v>3.5</v>
      </c>
      <c r="S1310">
        <f t="shared" si="1050"/>
        <v>3.5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f t="shared" si="1051"/>
        <v>0</v>
      </c>
      <c r="AB1310">
        <v>0</v>
      </c>
      <c r="AC1310">
        <v>0</v>
      </c>
      <c r="AD1310">
        <v>0</v>
      </c>
      <c r="AE1310">
        <v>0</v>
      </c>
      <c r="AF1310">
        <v>0.6</v>
      </c>
      <c r="AG1310">
        <v>0</v>
      </c>
      <c r="AH1310">
        <v>0</v>
      </c>
      <c r="AI1310">
        <v>0</v>
      </c>
      <c r="AJ1310" s="5">
        <f t="shared" si="1052"/>
        <v>0.6</v>
      </c>
      <c r="AK1310">
        <v>0</v>
      </c>
      <c r="AL1310">
        <v>0.875</v>
      </c>
      <c r="AM1310">
        <f t="shared" si="1038"/>
        <v>0.126</v>
      </c>
      <c r="AN1310">
        <v>263</v>
      </c>
      <c r="AO1310" t="s">
        <v>13</v>
      </c>
      <c r="AP1310" s="3">
        <f t="shared" si="1039"/>
        <v>300.91533180778032</v>
      </c>
      <c r="AQ1310" t="s">
        <v>13</v>
      </c>
      <c r="AR1310">
        <f t="shared" si="1037"/>
        <v>4.7619047619047616E-2</v>
      </c>
      <c r="AS1310">
        <f t="shared" si="1032"/>
        <v>0.12</v>
      </c>
      <c r="AT1310">
        <f t="shared" si="1040"/>
        <v>36</v>
      </c>
      <c r="AU1310">
        <f t="shared" si="1041"/>
        <v>2</v>
      </c>
      <c r="AV1310">
        <f t="shared" si="1043"/>
        <v>24</v>
      </c>
      <c r="AW1310">
        <f t="shared" si="1044"/>
        <v>2</v>
      </c>
      <c r="AX1310" s="3">
        <f t="shared" si="1045"/>
        <v>274.91533180778032</v>
      </c>
      <c r="AY1310">
        <f t="shared" si="1046"/>
        <v>18</v>
      </c>
      <c r="AZ1310">
        <f t="shared" si="1047"/>
        <v>2</v>
      </c>
      <c r="BA1310" s="3">
        <f t="shared" si="1048"/>
        <v>280.91533180778032</v>
      </c>
    </row>
    <row r="1311" spans="1:53" x14ac:dyDescent="0.2">
      <c r="A1311">
        <v>2002</v>
      </c>
      <c r="B1311" t="s">
        <v>114</v>
      </c>
      <c r="C1311" t="s">
        <v>99</v>
      </c>
      <c r="D1311">
        <v>13</v>
      </c>
      <c r="E1311">
        <v>0.6</v>
      </c>
      <c r="F1311">
        <v>1.4</v>
      </c>
      <c r="G1311">
        <v>3.8</v>
      </c>
      <c r="H1311">
        <v>2.2999999999999998</v>
      </c>
      <c r="I1311">
        <v>0.3</v>
      </c>
      <c r="J1311">
        <v>1</v>
      </c>
      <c r="K1311">
        <f t="shared" si="1042"/>
        <v>22.400000000000002</v>
      </c>
      <c r="L1311">
        <v>0.2</v>
      </c>
      <c r="M1311">
        <v>0</v>
      </c>
      <c r="N1311">
        <v>2</v>
      </c>
      <c r="O1311">
        <f t="shared" si="1049"/>
        <v>2.2000000000000002</v>
      </c>
      <c r="P1311">
        <v>0</v>
      </c>
      <c r="Q1311">
        <v>0</v>
      </c>
      <c r="R1311">
        <v>2.7</v>
      </c>
      <c r="S1311">
        <f t="shared" si="1050"/>
        <v>2.7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f t="shared" si="1051"/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 s="5">
        <f t="shared" si="1052"/>
        <v>0</v>
      </c>
      <c r="AK1311">
        <v>0</v>
      </c>
      <c r="AL1311">
        <v>0.72699999999999998</v>
      </c>
      <c r="AM1311">
        <f t="shared" si="1038"/>
        <v>0.27300000000000002</v>
      </c>
      <c r="AN1311">
        <v>128</v>
      </c>
      <c r="AO1311" t="s">
        <v>13</v>
      </c>
      <c r="AP1311" s="3">
        <f t="shared" si="1039"/>
        <v>176.06602475928474</v>
      </c>
      <c r="AQ1311" t="s">
        <v>13</v>
      </c>
      <c r="AR1311">
        <f t="shared" si="1037"/>
        <v>0</v>
      </c>
      <c r="AS1311">
        <f t="shared" si="1032"/>
        <v>0.27300000000000002</v>
      </c>
      <c r="AT1311">
        <f t="shared" si="1040"/>
        <v>48</v>
      </c>
      <c r="AU1311">
        <f t="shared" si="1041"/>
        <v>0</v>
      </c>
      <c r="AV1311">
        <f t="shared" si="1043"/>
        <v>28</v>
      </c>
      <c r="AW1311">
        <f t="shared" si="1044"/>
        <v>0</v>
      </c>
      <c r="AX1311" s="3">
        <f t="shared" si="1045"/>
        <v>148.06602475928474</v>
      </c>
      <c r="AY1311">
        <f t="shared" si="1046"/>
        <v>24</v>
      </c>
      <c r="AZ1311">
        <f t="shared" si="1047"/>
        <v>0</v>
      </c>
      <c r="BA1311" s="3">
        <f t="shared" si="1048"/>
        <v>152.06602475928474</v>
      </c>
    </row>
    <row r="1312" spans="1:53" x14ac:dyDescent="0.2">
      <c r="A1312">
        <v>2003</v>
      </c>
      <c r="B1312" t="s">
        <v>114</v>
      </c>
      <c r="C1312" t="s">
        <v>99</v>
      </c>
      <c r="D1312">
        <v>14.6</v>
      </c>
      <c r="E1312">
        <v>2.1</v>
      </c>
      <c r="F1312">
        <v>3.1</v>
      </c>
      <c r="G1312">
        <v>0.8</v>
      </c>
      <c r="H1312">
        <v>1.7</v>
      </c>
      <c r="I1312">
        <v>0</v>
      </c>
      <c r="J1312">
        <v>0</v>
      </c>
      <c r="K1312">
        <f t="shared" si="1042"/>
        <v>22.3</v>
      </c>
      <c r="L1312">
        <v>0</v>
      </c>
      <c r="M1312">
        <v>0</v>
      </c>
      <c r="N1312">
        <v>2.9</v>
      </c>
      <c r="O1312">
        <f t="shared" si="1049"/>
        <v>2.9</v>
      </c>
      <c r="P1312">
        <v>0</v>
      </c>
      <c r="Q1312">
        <v>0</v>
      </c>
      <c r="R1312">
        <v>2.6</v>
      </c>
      <c r="S1312">
        <f t="shared" si="1050"/>
        <v>2.6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f t="shared" si="1051"/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 s="5">
        <f t="shared" si="1052"/>
        <v>0</v>
      </c>
      <c r="AK1312">
        <v>0</v>
      </c>
      <c r="AL1312">
        <v>0.72199999999999998</v>
      </c>
      <c r="AM1312">
        <f t="shared" si="1038"/>
        <v>0.27800000000000002</v>
      </c>
      <c r="AN1312">
        <v>137</v>
      </c>
      <c r="AO1312" t="s">
        <v>13</v>
      </c>
      <c r="AP1312" s="3">
        <f t="shared" si="1039"/>
        <v>189.75069252077563</v>
      </c>
      <c r="AQ1312" t="s">
        <v>13</v>
      </c>
      <c r="AR1312">
        <f t="shared" si="1037"/>
        <v>0</v>
      </c>
      <c r="AS1312">
        <f t="shared" si="1032"/>
        <v>0.27800000000000002</v>
      </c>
      <c r="AT1312">
        <f t="shared" si="1040"/>
        <v>53</v>
      </c>
      <c r="AU1312">
        <f t="shared" si="1041"/>
        <v>0</v>
      </c>
      <c r="AV1312">
        <f t="shared" si="1043"/>
        <v>32</v>
      </c>
      <c r="AW1312">
        <f t="shared" si="1044"/>
        <v>0</v>
      </c>
      <c r="AX1312" s="3">
        <f t="shared" si="1045"/>
        <v>157.75069252077563</v>
      </c>
      <c r="AY1312">
        <f t="shared" si="1046"/>
        <v>26</v>
      </c>
      <c r="AZ1312">
        <f t="shared" si="1047"/>
        <v>0</v>
      </c>
      <c r="BA1312" s="3">
        <f t="shared" si="1048"/>
        <v>163.75069252077563</v>
      </c>
    </row>
    <row r="1313" spans="1:53" x14ac:dyDescent="0.2">
      <c r="A1313">
        <v>2004</v>
      </c>
      <c r="B1313" t="s">
        <v>114</v>
      </c>
      <c r="C1313" t="s">
        <v>99</v>
      </c>
      <c r="D1313">
        <v>13.6</v>
      </c>
      <c r="E1313">
        <v>8.4</v>
      </c>
      <c r="F1313">
        <v>2.2999999999999998</v>
      </c>
      <c r="G1313">
        <v>2.7</v>
      </c>
      <c r="H1313">
        <v>1.6</v>
      </c>
      <c r="I1313">
        <v>0.1</v>
      </c>
      <c r="J1313">
        <v>0.6</v>
      </c>
      <c r="K1313">
        <f t="shared" si="1042"/>
        <v>29.300000000000004</v>
      </c>
      <c r="L1313">
        <v>0</v>
      </c>
      <c r="M1313">
        <v>0</v>
      </c>
      <c r="N1313">
        <v>2.9</v>
      </c>
      <c r="O1313">
        <f t="shared" si="1049"/>
        <v>2.9</v>
      </c>
      <c r="P1313">
        <v>0</v>
      </c>
      <c r="Q1313">
        <v>0</v>
      </c>
      <c r="R1313">
        <v>3</v>
      </c>
      <c r="S1313">
        <f t="shared" si="1050"/>
        <v>3</v>
      </c>
      <c r="T1313">
        <v>0</v>
      </c>
      <c r="U1313">
        <v>0.1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f t="shared" si="1051"/>
        <v>0.1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 s="5">
        <f t="shared" si="1052"/>
        <v>0</v>
      </c>
      <c r="AK1313">
        <v>0.3</v>
      </c>
      <c r="AL1313">
        <v>0.64400000000000002</v>
      </c>
      <c r="AM1313">
        <f t="shared" si="1038"/>
        <v>0.35300000000000004</v>
      </c>
      <c r="AN1313">
        <v>141</v>
      </c>
      <c r="AO1313" t="s">
        <v>13</v>
      </c>
      <c r="AP1313" s="3">
        <f t="shared" si="1039"/>
        <v>217.92890262751158</v>
      </c>
      <c r="AQ1313" t="s">
        <v>13</v>
      </c>
      <c r="AR1313">
        <f t="shared" si="1037"/>
        <v>0</v>
      </c>
      <c r="AS1313">
        <f t="shared" si="1032"/>
        <v>0.35300000000000004</v>
      </c>
      <c r="AT1313">
        <f t="shared" si="1040"/>
        <v>77</v>
      </c>
      <c r="AU1313">
        <f t="shared" si="1041"/>
        <v>0</v>
      </c>
      <c r="AV1313">
        <f t="shared" si="1043"/>
        <v>45</v>
      </c>
      <c r="AW1313">
        <f t="shared" si="1044"/>
        <v>0</v>
      </c>
      <c r="AX1313" s="3">
        <f t="shared" si="1045"/>
        <v>172.92890262751158</v>
      </c>
      <c r="AY1313">
        <f t="shared" si="1046"/>
        <v>38</v>
      </c>
      <c r="AZ1313">
        <f t="shared" si="1047"/>
        <v>0</v>
      </c>
      <c r="BA1313" s="3">
        <f t="shared" si="1048"/>
        <v>179.92890262751158</v>
      </c>
    </row>
    <row r="1314" spans="1:53" x14ac:dyDescent="0.2">
      <c r="A1314">
        <v>2005</v>
      </c>
      <c r="B1314" t="s">
        <v>114</v>
      </c>
      <c r="C1314" t="s">
        <v>99</v>
      </c>
      <c r="D1314">
        <v>15.4</v>
      </c>
      <c r="E1314">
        <v>2</v>
      </c>
      <c r="F1314">
        <v>4.5</v>
      </c>
      <c r="G1314">
        <v>3.1</v>
      </c>
      <c r="H1314">
        <v>4.3</v>
      </c>
      <c r="I1314">
        <v>0</v>
      </c>
      <c r="J1314">
        <v>1.1000000000000001</v>
      </c>
      <c r="K1314">
        <f t="shared" si="1042"/>
        <v>30.400000000000002</v>
      </c>
      <c r="L1314">
        <v>0</v>
      </c>
      <c r="M1314">
        <v>0</v>
      </c>
      <c r="N1314">
        <v>6.4</v>
      </c>
      <c r="O1314">
        <f t="shared" si="1049"/>
        <v>6.4</v>
      </c>
      <c r="P1314">
        <v>0</v>
      </c>
      <c r="Q1314">
        <v>0</v>
      </c>
      <c r="R1314">
        <v>3.7</v>
      </c>
      <c r="S1314">
        <f t="shared" si="1050"/>
        <v>3.7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f t="shared" si="1051"/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 s="5">
        <f t="shared" si="1052"/>
        <v>0</v>
      </c>
      <c r="AK1314">
        <v>0.1</v>
      </c>
      <c r="AL1314">
        <v>0.59399999999999997</v>
      </c>
      <c r="AM1314">
        <f t="shared" si="1038"/>
        <v>0.40500000000000003</v>
      </c>
      <c r="AN1314">
        <v>65</v>
      </c>
      <c r="AO1314" t="s">
        <v>13</v>
      </c>
      <c r="AP1314" s="3">
        <f t="shared" si="1039"/>
        <v>109.24369747899161</v>
      </c>
      <c r="AQ1314" t="s">
        <v>13</v>
      </c>
      <c r="AR1314">
        <f t="shared" si="1037"/>
        <v>0</v>
      </c>
      <c r="AS1314">
        <f t="shared" ref="AS1314:AS1377" si="1053">SUM(K1314,O1314,S1314,AA1314)/100</f>
        <v>0.40500000000000008</v>
      </c>
      <c r="AT1314">
        <f t="shared" si="1040"/>
        <v>44</v>
      </c>
      <c r="AU1314">
        <f t="shared" si="1041"/>
        <v>0</v>
      </c>
      <c r="AV1314">
        <f t="shared" si="1043"/>
        <v>28</v>
      </c>
      <c r="AW1314">
        <f t="shared" si="1044"/>
        <v>0</v>
      </c>
      <c r="AX1314" s="3">
        <f t="shared" si="1045"/>
        <v>81.243697478991606</v>
      </c>
      <c r="AY1314">
        <f t="shared" si="1046"/>
        <v>22</v>
      </c>
      <c r="AZ1314">
        <f t="shared" si="1047"/>
        <v>0</v>
      </c>
      <c r="BA1314" s="3">
        <f t="shared" si="1048"/>
        <v>87.243697478991606</v>
      </c>
    </row>
    <row r="1315" spans="1:53" x14ac:dyDescent="0.2">
      <c r="A1315">
        <v>2006</v>
      </c>
      <c r="B1315" t="s">
        <v>114</v>
      </c>
      <c r="C1315" t="s">
        <v>99</v>
      </c>
      <c r="D1315">
        <v>11.6</v>
      </c>
      <c r="E1315">
        <v>2.5</v>
      </c>
      <c r="F1315">
        <v>3.9</v>
      </c>
      <c r="G1315">
        <v>2.6</v>
      </c>
      <c r="H1315">
        <v>2.9</v>
      </c>
      <c r="I1315">
        <v>0</v>
      </c>
      <c r="J1315">
        <v>1.9</v>
      </c>
      <c r="K1315">
        <f t="shared" si="1042"/>
        <v>25.4</v>
      </c>
      <c r="L1315">
        <v>0</v>
      </c>
      <c r="M1315">
        <v>0</v>
      </c>
      <c r="N1315">
        <v>2.1</v>
      </c>
      <c r="O1315">
        <f t="shared" si="1049"/>
        <v>2.1</v>
      </c>
      <c r="P1315">
        <v>0</v>
      </c>
      <c r="Q1315">
        <v>0</v>
      </c>
      <c r="R1315">
        <v>4.4000000000000004</v>
      </c>
      <c r="S1315">
        <f t="shared" si="1050"/>
        <v>4.4000000000000004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f t="shared" si="1051"/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 s="5">
        <f t="shared" si="1052"/>
        <v>0</v>
      </c>
      <c r="AK1315">
        <v>0</v>
      </c>
      <c r="AL1315">
        <v>0.68200000000000005</v>
      </c>
      <c r="AM1315">
        <f t="shared" si="1038"/>
        <v>0.31900000000000001</v>
      </c>
      <c r="AN1315">
        <v>104</v>
      </c>
      <c r="AO1315" t="s">
        <v>13</v>
      </c>
      <c r="AP1315" s="3">
        <f t="shared" si="1039"/>
        <v>152.71659324522759</v>
      </c>
      <c r="AQ1315" t="s">
        <v>13</v>
      </c>
      <c r="AR1315">
        <f t="shared" si="1037"/>
        <v>0</v>
      </c>
      <c r="AS1315">
        <f t="shared" si="1053"/>
        <v>0.31900000000000001</v>
      </c>
      <c r="AT1315">
        <f t="shared" si="1040"/>
        <v>49</v>
      </c>
      <c r="AU1315">
        <f t="shared" si="1041"/>
        <v>0</v>
      </c>
      <c r="AV1315">
        <f t="shared" si="1043"/>
        <v>29</v>
      </c>
      <c r="AW1315">
        <f t="shared" si="1044"/>
        <v>0</v>
      </c>
      <c r="AX1315" s="3">
        <f t="shared" si="1045"/>
        <v>123.71659324522759</v>
      </c>
      <c r="AY1315">
        <f t="shared" si="1046"/>
        <v>24</v>
      </c>
      <c r="AZ1315">
        <f t="shared" si="1047"/>
        <v>0</v>
      </c>
      <c r="BA1315" s="3">
        <f t="shared" si="1048"/>
        <v>128.71659324522759</v>
      </c>
    </row>
    <row r="1316" spans="1:53" x14ac:dyDescent="0.2">
      <c r="A1316">
        <v>2007</v>
      </c>
      <c r="B1316" t="s">
        <v>114</v>
      </c>
      <c r="C1316" t="s">
        <v>99</v>
      </c>
      <c r="D1316">
        <v>16.2</v>
      </c>
      <c r="E1316">
        <v>3.3</v>
      </c>
      <c r="F1316">
        <v>5.9</v>
      </c>
      <c r="G1316">
        <v>4.9000000000000004</v>
      </c>
      <c r="H1316">
        <v>5.3</v>
      </c>
      <c r="I1316">
        <v>0.1</v>
      </c>
      <c r="J1316">
        <v>1.3</v>
      </c>
      <c r="K1316">
        <f t="shared" si="1042"/>
        <v>36.999999999999993</v>
      </c>
      <c r="L1316">
        <v>0</v>
      </c>
      <c r="M1316">
        <v>0</v>
      </c>
      <c r="N1316">
        <v>1.7</v>
      </c>
      <c r="O1316">
        <f t="shared" si="1049"/>
        <v>1.7</v>
      </c>
      <c r="P1316">
        <v>0</v>
      </c>
      <c r="Q1316">
        <v>0</v>
      </c>
      <c r="R1316">
        <v>5</v>
      </c>
      <c r="S1316">
        <f t="shared" si="1050"/>
        <v>5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f t="shared" si="1051"/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 s="5">
        <f t="shared" si="1052"/>
        <v>0</v>
      </c>
      <c r="AK1316">
        <v>0</v>
      </c>
      <c r="AL1316">
        <v>0.56299999999999994</v>
      </c>
      <c r="AM1316">
        <f t="shared" si="1038"/>
        <v>0.43699999999999994</v>
      </c>
      <c r="AN1316">
        <v>41</v>
      </c>
      <c r="AO1316" t="s">
        <v>13</v>
      </c>
      <c r="AP1316" s="3">
        <f t="shared" si="1039"/>
        <v>72.824156305506207</v>
      </c>
      <c r="AQ1316" t="s">
        <v>13</v>
      </c>
      <c r="AR1316">
        <f t="shared" ref="AR1316:AR1379" si="1054">(AJ1316/100)/AM1316</f>
        <v>0</v>
      </c>
      <c r="AS1316">
        <f t="shared" si="1053"/>
        <v>0.43699999999999994</v>
      </c>
      <c r="AT1316">
        <f t="shared" si="1040"/>
        <v>32</v>
      </c>
      <c r="AU1316">
        <f t="shared" si="1041"/>
        <v>0</v>
      </c>
      <c r="AV1316">
        <f t="shared" si="1043"/>
        <v>18</v>
      </c>
      <c r="AW1316">
        <f t="shared" si="1044"/>
        <v>0</v>
      </c>
      <c r="AX1316" s="3">
        <f t="shared" si="1045"/>
        <v>54.824156305506207</v>
      </c>
      <c r="AY1316">
        <f t="shared" si="1046"/>
        <v>16</v>
      </c>
      <c r="AZ1316">
        <f t="shared" si="1047"/>
        <v>0</v>
      </c>
      <c r="BA1316" s="3">
        <f t="shared" si="1048"/>
        <v>56.824156305506207</v>
      </c>
    </row>
    <row r="1317" spans="1:53" x14ac:dyDescent="0.2">
      <c r="A1317">
        <v>2008</v>
      </c>
      <c r="B1317" t="s">
        <v>114</v>
      </c>
      <c r="C1317" t="s">
        <v>99</v>
      </c>
      <c r="D1317">
        <v>9.9</v>
      </c>
      <c r="E1317">
        <v>0.5</v>
      </c>
      <c r="F1317">
        <v>2.4</v>
      </c>
      <c r="G1317">
        <v>2.6</v>
      </c>
      <c r="H1317">
        <v>2.7</v>
      </c>
      <c r="I1317">
        <v>0</v>
      </c>
      <c r="J1317">
        <v>0.8</v>
      </c>
      <c r="K1317">
        <f t="shared" si="1042"/>
        <v>18.900000000000002</v>
      </c>
      <c r="L1317">
        <v>0</v>
      </c>
      <c r="M1317">
        <v>0</v>
      </c>
      <c r="N1317">
        <v>3.4</v>
      </c>
      <c r="O1317">
        <f t="shared" si="1049"/>
        <v>3.4</v>
      </c>
      <c r="P1317">
        <v>0</v>
      </c>
      <c r="Q1317">
        <v>0</v>
      </c>
      <c r="R1317">
        <v>2.8</v>
      </c>
      <c r="S1317">
        <f t="shared" si="1050"/>
        <v>2.8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f t="shared" si="1051"/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 s="5">
        <f t="shared" si="1052"/>
        <v>0</v>
      </c>
      <c r="AK1317">
        <v>0</v>
      </c>
      <c r="AL1317">
        <v>0.74900000000000011</v>
      </c>
      <c r="AM1317">
        <f t="shared" si="1038"/>
        <v>0.251</v>
      </c>
      <c r="AN1317">
        <v>74</v>
      </c>
      <c r="AO1317" t="s">
        <v>13</v>
      </c>
      <c r="AP1317" s="3">
        <f t="shared" si="1039"/>
        <v>98.798397863818423</v>
      </c>
      <c r="AQ1317" t="s">
        <v>13</v>
      </c>
      <c r="AR1317">
        <f t="shared" si="1054"/>
        <v>0</v>
      </c>
      <c r="AS1317">
        <f t="shared" si="1053"/>
        <v>0.251</v>
      </c>
      <c r="AT1317">
        <f t="shared" si="1040"/>
        <v>25</v>
      </c>
      <c r="AU1317">
        <f t="shared" si="1041"/>
        <v>0</v>
      </c>
      <c r="AV1317">
        <f t="shared" si="1043"/>
        <v>15</v>
      </c>
      <c r="AW1317">
        <f t="shared" si="1044"/>
        <v>0</v>
      </c>
      <c r="AX1317" s="3">
        <f t="shared" si="1045"/>
        <v>83.798397863818423</v>
      </c>
      <c r="AY1317">
        <f t="shared" si="1046"/>
        <v>12</v>
      </c>
      <c r="AZ1317">
        <f t="shared" si="1047"/>
        <v>0</v>
      </c>
      <c r="BA1317" s="3">
        <f t="shared" si="1048"/>
        <v>86.798397863818423</v>
      </c>
    </row>
    <row r="1318" spans="1:53" x14ac:dyDescent="0.2">
      <c r="A1318">
        <v>2009</v>
      </c>
      <c r="B1318" t="s">
        <v>114</v>
      </c>
      <c r="C1318" t="s">
        <v>99</v>
      </c>
      <c r="D1318">
        <v>12.1</v>
      </c>
      <c r="E1318">
        <v>10.199999999999999</v>
      </c>
      <c r="F1318">
        <v>4.5</v>
      </c>
      <c r="G1318">
        <v>2</v>
      </c>
      <c r="H1318">
        <v>7.2</v>
      </c>
      <c r="I1318">
        <v>0</v>
      </c>
      <c r="J1318">
        <v>1.1000000000000001</v>
      </c>
      <c r="K1318">
        <f t="shared" si="1042"/>
        <v>37.1</v>
      </c>
      <c r="L1318">
        <v>0</v>
      </c>
      <c r="M1318">
        <v>0</v>
      </c>
      <c r="N1318">
        <v>6.5</v>
      </c>
      <c r="O1318">
        <f t="shared" si="1049"/>
        <v>6.5</v>
      </c>
      <c r="P1318">
        <v>0</v>
      </c>
      <c r="Q1318">
        <v>0</v>
      </c>
      <c r="R1318">
        <v>5.7</v>
      </c>
      <c r="S1318">
        <f t="shared" si="1050"/>
        <v>5.7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f t="shared" si="1051"/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 s="5">
        <f t="shared" si="1052"/>
        <v>0</v>
      </c>
      <c r="AK1318">
        <v>0</v>
      </c>
      <c r="AL1318">
        <v>0.50600000000000001</v>
      </c>
      <c r="AM1318">
        <f t="shared" si="1038"/>
        <v>0.49300000000000005</v>
      </c>
      <c r="AN1318">
        <v>44</v>
      </c>
      <c r="AO1318" t="s">
        <v>13</v>
      </c>
      <c r="AP1318" s="3">
        <f t="shared" si="1039"/>
        <v>86.785009861932963</v>
      </c>
      <c r="AQ1318" t="s">
        <v>13</v>
      </c>
      <c r="AR1318">
        <f t="shared" si="1054"/>
        <v>0</v>
      </c>
      <c r="AS1318">
        <f t="shared" si="1053"/>
        <v>0.49300000000000005</v>
      </c>
      <c r="AT1318">
        <f t="shared" si="1040"/>
        <v>43</v>
      </c>
      <c r="AU1318">
        <f t="shared" si="1041"/>
        <v>0</v>
      </c>
      <c r="AV1318">
        <f t="shared" si="1043"/>
        <v>27</v>
      </c>
      <c r="AW1318">
        <f t="shared" si="1044"/>
        <v>0</v>
      </c>
      <c r="AX1318" s="3">
        <f t="shared" si="1045"/>
        <v>59.785009861932963</v>
      </c>
      <c r="AY1318">
        <f t="shared" si="1046"/>
        <v>21</v>
      </c>
      <c r="AZ1318">
        <f t="shared" si="1047"/>
        <v>0</v>
      </c>
      <c r="BA1318" s="3">
        <f t="shared" si="1048"/>
        <v>65.785009861932963</v>
      </c>
    </row>
    <row r="1319" spans="1:53" x14ac:dyDescent="0.2">
      <c r="A1319">
        <v>2010</v>
      </c>
      <c r="B1319" t="s">
        <v>114</v>
      </c>
      <c r="C1319" t="s">
        <v>99</v>
      </c>
      <c r="D1319">
        <v>7.2</v>
      </c>
      <c r="E1319">
        <v>0.3</v>
      </c>
      <c r="F1319">
        <v>8.8000000000000007</v>
      </c>
      <c r="G1319">
        <v>3</v>
      </c>
      <c r="H1319">
        <v>4.7</v>
      </c>
      <c r="I1319">
        <v>0.7</v>
      </c>
      <c r="J1319">
        <v>2.2000000000000002</v>
      </c>
      <c r="K1319">
        <f t="shared" si="1042"/>
        <v>26.9</v>
      </c>
      <c r="L1319">
        <v>0</v>
      </c>
      <c r="M1319">
        <v>0</v>
      </c>
      <c r="N1319">
        <v>2.6</v>
      </c>
      <c r="O1319">
        <f t="shared" si="1049"/>
        <v>2.6</v>
      </c>
      <c r="P1319">
        <v>0</v>
      </c>
      <c r="Q1319">
        <v>0</v>
      </c>
      <c r="R1319">
        <v>5.0999999999999996</v>
      </c>
      <c r="S1319">
        <f t="shared" si="1050"/>
        <v>5.0999999999999996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f t="shared" si="1051"/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0.1</v>
      </c>
      <c r="AI1319">
        <v>0</v>
      </c>
      <c r="AJ1319" s="5">
        <f t="shared" si="1052"/>
        <v>0.1</v>
      </c>
      <c r="AK1319">
        <v>0</v>
      </c>
      <c r="AL1319">
        <v>0.65099999999999991</v>
      </c>
      <c r="AM1319">
        <f t="shared" si="1038"/>
        <v>0.34700000000000003</v>
      </c>
      <c r="AN1319">
        <v>50</v>
      </c>
      <c r="AO1319" t="s">
        <v>13</v>
      </c>
      <c r="AP1319" s="3">
        <f t="shared" si="1039"/>
        <v>76.569678407350693</v>
      </c>
      <c r="AQ1319" t="s">
        <v>13</v>
      </c>
      <c r="AR1319">
        <f t="shared" si="1054"/>
        <v>2.881844380403458E-3</v>
      </c>
      <c r="AS1319">
        <f t="shared" si="1053"/>
        <v>0.34600000000000003</v>
      </c>
      <c r="AT1319">
        <f t="shared" si="1040"/>
        <v>26</v>
      </c>
      <c r="AU1319">
        <f t="shared" si="1041"/>
        <v>0</v>
      </c>
      <c r="AV1319">
        <f t="shared" si="1043"/>
        <v>16</v>
      </c>
      <c r="AW1319">
        <f t="shared" si="1044"/>
        <v>0</v>
      </c>
      <c r="AX1319" s="3">
        <f t="shared" si="1045"/>
        <v>60.569678407350693</v>
      </c>
      <c r="AY1319">
        <f t="shared" si="1046"/>
        <v>13</v>
      </c>
      <c r="AZ1319">
        <f t="shared" si="1047"/>
        <v>0</v>
      </c>
      <c r="BA1319" s="3">
        <f t="shared" si="1048"/>
        <v>63.569678407350693</v>
      </c>
    </row>
    <row r="1320" spans="1:53" x14ac:dyDescent="0.2">
      <c r="A1320">
        <v>2011</v>
      </c>
      <c r="B1320" t="s">
        <v>114</v>
      </c>
      <c r="C1320" t="s">
        <v>99</v>
      </c>
      <c r="D1320">
        <v>13.7</v>
      </c>
      <c r="E1320">
        <v>1.9</v>
      </c>
      <c r="F1320">
        <v>3</v>
      </c>
      <c r="G1320">
        <v>3.4</v>
      </c>
      <c r="H1320">
        <v>3.5</v>
      </c>
      <c r="I1320">
        <v>0.2</v>
      </c>
      <c r="J1320">
        <v>3.8</v>
      </c>
      <c r="K1320">
        <f t="shared" si="1042"/>
        <v>29.5</v>
      </c>
      <c r="L1320">
        <v>0</v>
      </c>
      <c r="M1320">
        <v>0</v>
      </c>
      <c r="N1320">
        <v>4.0999999999999996</v>
      </c>
      <c r="O1320">
        <f t="shared" si="1049"/>
        <v>4.0999999999999996</v>
      </c>
      <c r="P1320">
        <v>0</v>
      </c>
      <c r="Q1320">
        <v>0</v>
      </c>
      <c r="R1320">
        <v>4.3</v>
      </c>
      <c r="S1320">
        <f t="shared" si="1050"/>
        <v>4.3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0.6</v>
      </c>
      <c r="Z1320">
        <v>0</v>
      </c>
      <c r="AA1320">
        <f t="shared" si="1051"/>
        <v>0.6</v>
      </c>
      <c r="AB1320">
        <v>0.1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 s="5">
        <f t="shared" si="1052"/>
        <v>0.1</v>
      </c>
      <c r="AK1320">
        <v>0</v>
      </c>
      <c r="AL1320">
        <v>0.61399999999999999</v>
      </c>
      <c r="AM1320">
        <f t="shared" si="1038"/>
        <v>0.38599999999999995</v>
      </c>
      <c r="AN1320">
        <v>85</v>
      </c>
      <c r="AO1320" t="s">
        <v>13</v>
      </c>
      <c r="AP1320" s="3">
        <f t="shared" si="1039"/>
        <v>138.43648208469054</v>
      </c>
      <c r="AQ1320" t="s">
        <v>13</v>
      </c>
      <c r="AR1320">
        <f t="shared" si="1054"/>
        <v>2.5906735751295342E-3</v>
      </c>
      <c r="AS1320">
        <f t="shared" si="1053"/>
        <v>0.38500000000000001</v>
      </c>
      <c r="AT1320">
        <f t="shared" si="1040"/>
        <v>53</v>
      </c>
      <c r="AU1320">
        <f t="shared" si="1041"/>
        <v>0</v>
      </c>
      <c r="AV1320">
        <f t="shared" si="1043"/>
        <v>33</v>
      </c>
      <c r="AW1320">
        <f t="shared" si="1044"/>
        <v>0</v>
      </c>
      <c r="AX1320" s="3">
        <f t="shared" si="1045"/>
        <v>105.43648208469054</v>
      </c>
      <c r="AY1320">
        <f t="shared" si="1046"/>
        <v>27</v>
      </c>
      <c r="AZ1320">
        <f t="shared" si="1047"/>
        <v>0</v>
      </c>
      <c r="BA1320" s="3">
        <f t="shared" si="1048"/>
        <v>111.43648208469054</v>
      </c>
    </row>
    <row r="1321" spans="1:53" x14ac:dyDescent="0.2">
      <c r="A1321">
        <v>2012</v>
      </c>
      <c r="B1321" t="s">
        <v>114</v>
      </c>
      <c r="C1321" t="s">
        <v>99</v>
      </c>
      <c r="D1321">
        <v>12.6</v>
      </c>
      <c r="E1321">
        <v>3.4</v>
      </c>
      <c r="F1321">
        <v>2.6</v>
      </c>
      <c r="G1321">
        <v>2.7</v>
      </c>
      <c r="H1321">
        <v>2.8</v>
      </c>
      <c r="I1321">
        <v>0.2</v>
      </c>
      <c r="J1321">
        <v>2.4</v>
      </c>
      <c r="K1321">
        <f t="shared" si="1042"/>
        <v>26.7</v>
      </c>
      <c r="L1321">
        <v>0</v>
      </c>
      <c r="M1321">
        <v>0</v>
      </c>
      <c r="N1321">
        <v>4.5999999999999996</v>
      </c>
      <c r="O1321">
        <f t="shared" si="1049"/>
        <v>4.5999999999999996</v>
      </c>
      <c r="P1321">
        <v>0</v>
      </c>
      <c r="Q1321">
        <v>0</v>
      </c>
      <c r="R1321">
        <v>5.8</v>
      </c>
      <c r="S1321">
        <f t="shared" si="1050"/>
        <v>5.8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f t="shared" si="1051"/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 s="5">
        <f t="shared" si="1052"/>
        <v>0</v>
      </c>
      <c r="AK1321">
        <v>0</v>
      </c>
      <c r="AL1321">
        <v>0.63</v>
      </c>
      <c r="AM1321">
        <f t="shared" ref="AM1321:AM1351" si="1055">SUM(AB1321:AI1321,T1321:Z1321,P1321:R1321,L1321:N1321,D1321:J1321)/100</f>
        <v>0.371</v>
      </c>
      <c r="AN1321">
        <v>205</v>
      </c>
      <c r="AO1321" t="s">
        <v>13</v>
      </c>
      <c r="AP1321" s="3">
        <f t="shared" si="1039"/>
        <v>325.9141494435612</v>
      </c>
      <c r="AQ1321" t="s">
        <v>13</v>
      </c>
      <c r="AR1321">
        <f t="shared" si="1054"/>
        <v>0</v>
      </c>
      <c r="AS1321">
        <f t="shared" si="1053"/>
        <v>0.37099999999999994</v>
      </c>
      <c r="AT1321">
        <f t="shared" si="1040"/>
        <v>121</v>
      </c>
      <c r="AU1321">
        <f t="shared" si="1041"/>
        <v>0</v>
      </c>
      <c r="AV1321">
        <f t="shared" si="1043"/>
        <v>77</v>
      </c>
      <c r="AW1321">
        <f t="shared" si="1044"/>
        <v>0</v>
      </c>
      <c r="AX1321" s="3">
        <f t="shared" si="1045"/>
        <v>248.9141494435612</v>
      </c>
      <c r="AY1321">
        <f t="shared" si="1046"/>
        <v>60</v>
      </c>
      <c r="AZ1321">
        <f t="shared" si="1047"/>
        <v>0</v>
      </c>
      <c r="BA1321" s="3">
        <f t="shared" si="1048"/>
        <v>265.9141494435612</v>
      </c>
    </row>
    <row r="1322" spans="1:53" x14ac:dyDescent="0.2">
      <c r="A1322">
        <v>2013</v>
      </c>
      <c r="B1322" t="s">
        <v>114</v>
      </c>
      <c r="C1322" t="s">
        <v>99</v>
      </c>
      <c r="D1322">
        <v>10.5</v>
      </c>
      <c r="E1322">
        <v>3.8</v>
      </c>
      <c r="F1322">
        <v>3.9</v>
      </c>
      <c r="G1322">
        <v>1</v>
      </c>
      <c r="H1322">
        <v>4.5</v>
      </c>
      <c r="I1322">
        <v>0</v>
      </c>
      <c r="J1322">
        <v>1</v>
      </c>
      <c r="K1322">
        <f t="shared" si="1042"/>
        <v>24.7</v>
      </c>
      <c r="L1322">
        <v>0</v>
      </c>
      <c r="M1322">
        <v>0</v>
      </c>
      <c r="N1322">
        <v>1.5</v>
      </c>
      <c r="O1322">
        <f t="shared" si="1049"/>
        <v>1.5</v>
      </c>
      <c r="P1322">
        <v>0</v>
      </c>
      <c r="Q1322">
        <v>0</v>
      </c>
      <c r="R1322">
        <v>8.5</v>
      </c>
      <c r="S1322">
        <f t="shared" si="1050"/>
        <v>8.5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f t="shared" si="1051"/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 s="5">
        <f t="shared" si="1052"/>
        <v>0</v>
      </c>
      <c r="AK1322">
        <v>0</v>
      </c>
      <c r="AL1322">
        <v>0.65300000000000002</v>
      </c>
      <c r="AM1322">
        <f t="shared" si="1055"/>
        <v>0.34700000000000003</v>
      </c>
      <c r="AN1322">
        <v>596</v>
      </c>
      <c r="AO1322" t="s">
        <v>13</v>
      </c>
      <c r="AP1322" s="3">
        <f t="shared" si="1039"/>
        <v>912.71056661562022</v>
      </c>
      <c r="AQ1322" t="s">
        <v>13</v>
      </c>
      <c r="AR1322">
        <f t="shared" si="1054"/>
        <v>0</v>
      </c>
      <c r="AS1322">
        <f t="shared" si="1053"/>
        <v>0.34700000000000003</v>
      </c>
      <c r="AT1322">
        <f t="shared" si="1040"/>
        <v>317</v>
      </c>
      <c r="AU1322">
        <f t="shared" si="1041"/>
        <v>0</v>
      </c>
      <c r="AV1322">
        <f t="shared" si="1043"/>
        <v>204</v>
      </c>
      <c r="AW1322">
        <f t="shared" si="1044"/>
        <v>0</v>
      </c>
      <c r="AX1322" s="3">
        <f t="shared" si="1045"/>
        <v>708.71056661562022</v>
      </c>
      <c r="AY1322">
        <f t="shared" si="1046"/>
        <v>158</v>
      </c>
      <c r="AZ1322">
        <f t="shared" si="1047"/>
        <v>0</v>
      </c>
      <c r="BA1322" s="3">
        <f t="shared" si="1048"/>
        <v>754.71056661562022</v>
      </c>
    </row>
    <row r="1323" spans="1:53" x14ac:dyDescent="0.2">
      <c r="A1323">
        <v>2014</v>
      </c>
      <c r="B1323" t="s">
        <v>114</v>
      </c>
      <c r="C1323" t="s">
        <v>99</v>
      </c>
      <c r="D1323">
        <v>13.9</v>
      </c>
      <c r="E1323">
        <v>2</v>
      </c>
      <c r="F1323">
        <v>7.1</v>
      </c>
      <c r="G1323">
        <v>1.9</v>
      </c>
      <c r="H1323">
        <v>3.4</v>
      </c>
      <c r="I1323">
        <v>0.7</v>
      </c>
      <c r="J1323">
        <v>4.5</v>
      </c>
      <c r="K1323">
        <f t="shared" si="1042"/>
        <v>33.5</v>
      </c>
      <c r="L1323">
        <v>0</v>
      </c>
      <c r="M1323">
        <v>0</v>
      </c>
      <c r="N1323">
        <v>1.4</v>
      </c>
      <c r="O1323">
        <f t="shared" si="1049"/>
        <v>1.4</v>
      </c>
      <c r="P1323">
        <v>0</v>
      </c>
      <c r="Q1323">
        <v>0</v>
      </c>
      <c r="R1323">
        <v>5</v>
      </c>
      <c r="S1323">
        <f t="shared" si="1050"/>
        <v>5</v>
      </c>
      <c r="T1323">
        <v>0</v>
      </c>
      <c r="U1323">
        <v>0.1</v>
      </c>
      <c r="V1323">
        <v>0</v>
      </c>
      <c r="W1323">
        <v>0</v>
      </c>
      <c r="X1323">
        <v>0</v>
      </c>
      <c r="Y1323">
        <v>0</v>
      </c>
      <c r="Z1323">
        <v>0.3</v>
      </c>
      <c r="AA1323">
        <f t="shared" si="1051"/>
        <v>0.4</v>
      </c>
      <c r="AB1323">
        <v>0.1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 s="5">
        <f t="shared" si="1052"/>
        <v>0.1</v>
      </c>
      <c r="AK1323">
        <v>0</v>
      </c>
      <c r="AL1323">
        <v>0.59299999999999997</v>
      </c>
      <c r="AM1323">
        <f t="shared" si="1055"/>
        <v>0.40399999999999997</v>
      </c>
      <c r="AN1323">
        <v>289</v>
      </c>
      <c r="AO1323" t="s">
        <v>13</v>
      </c>
      <c r="AP1323" s="3">
        <f t="shared" si="1039"/>
        <v>484.89932885906035</v>
      </c>
      <c r="AQ1323" t="s">
        <v>13</v>
      </c>
      <c r="AR1323">
        <f t="shared" si="1054"/>
        <v>2.4752475247524753E-3</v>
      </c>
      <c r="AS1323">
        <f t="shared" si="1053"/>
        <v>0.40299999999999997</v>
      </c>
      <c r="AT1323">
        <f t="shared" si="1040"/>
        <v>195</v>
      </c>
      <c r="AU1323">
        <f t="shared" si="1041"/>
        <v>0</v>
      </c>
      <c r="AV1323">
        <f t="shared" si="1043"/>
        <v>114</v>
      </c>
      <c r="AW1323">
        <f t="shared" si="1044"/>
        <v>0</v>
      </c>
      <c r="AX1323" s="3">
        <f t="shared" si="1045"/>
        <v>370.89932885906035</v>
      </c>
      <c r="AY1323">
        <f t="shared" si="1046"/>
        <v>98</v>
      </c>
      <c r="AZ1323">
        <f t="shared" si="1047"/>
        <v>0</v>
      </c>
      <c r="BA1323" s="3">
        <f t="shared" si="1048"/>
        <v>386.89932885906035</v>
      </c>
    </row>
    <row r="1324" spans="1:53" x14ac:dyDescent="0.2">
      <c r="A1324">
        <v>2015</v>
      </c>
      <c r="B1324" t="s">
        <v>114</v>
      </c>
      <c r="C1324" t="s">
        <v>99</v>
      </c>
      <c r="D1324">
        <v>4</v>
      </c>
      <c r="E1324">
        <v>3.2</v>
      </c>
      <c r="F1324">
        <v>4.7</v>
      </c>
      <c r="G1324">
        <v>0.4</v>
      </c>
      <c r="H1324">
        <v>3.8</v>
      </c>
      <c r="I1324">
        <v>0.3</v>
      </c>
      <c r="J1324">
        <v>2.8</v>
      </c>
      <c r="K1324">
        <f t="shared" si="1042"/>
        <v>19.200000000000003</v>
      </c>
      <c r="L1324">
        <v>0</v>
      </c>
      <c r="M1324">
        <v>0.1</v>
      </c>
      <c r="N1324">
        <v>2.2000000000000002</v>
      </c>
      <c r="O1324">
        <f t="shared" si="1049"/>
        <v>2.3000000000000003</v>
      </c>
      <c r="P1324">
        <v>0</v>
      </c>
      <c r="Q1324">
        <v>0</v>
      </c>
      <c r="R1324">
        <v>9.4</v>
      </c>
      <c r="S1324">
        <f t="shared" si="1050"/>
        <v>9.4</v>
      </c>
      <c r="T1324">
        <v>0.3</v>
      </c>
      <c r="U1324">
        <v>0.5</v>
      </c>
      <c r="V1324">
        <v>0</v>
      </c>
      <c r="W1324">
        <v>0</v>
      </c>
      <c r="X1324">
        <v>0</v>
      </c>
      <c r="Y1324">
        <v>0</v>
      </c>
      <c r="Z1324">
        <v>0.1</v>
      </c>
      <c r="AA1324">
        <f t="shared" si="1051"/>
        <v>0.9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 s="5">
        <f t="shared" si="1052"/>
        <v>0</v>
      </c>
      <c r="AK1324">
        <v>0.3</v>
      </c>
      <c r="AL1324">
        <v>0.68</v>
      </c>
      <c r="AM1324">
        <f t="shared" si="1055"/>
        <v>0.318</v>
      </c>
      <c r="AN1324">
        <v>746</v>
      </c>
      <c r="AO1324" t="s">
        <v>13</v>
      </c>
      <c r="AP1324" s="3">
        <f t="shared" si="1039"/>
        <v>1093.8416422287391</v>
      </c>
      <c r="AQ1324" t="s">
        <v>13</v>
      </c>
      <c r="AR1324">
        <f t="shared" si="1054"/>
        <v>0</v>
      </c>
      <c r="AS1324">
        <f t="shared" si="1053"/>
        <v>0.31800000000000006</v>
      </c>
      <c r="AT1324">
        <f t="shared" si="1040"/>
        <v>348</v>
      </c>
      <c r="AU1324">
        <f t="shared" si="1041"/>
        <v>0</v>
      </c>
      <c r="AV1324">
        <f t="shared" si="1043"/>
        <v>243</v>
      </c>
      <c r="AW1324">
        <f t="shared" si="1044"/>
        <v>0</v>
      </c>
      <c r="AX1324" s="3">
        <f t="shared" si="1045"/>
        <v>850.84164222873915</v>
      </c>
      <c r="AY1324">
        <f t="shared" si="1046"/>
        <v>174</v>
      </c>
      <c r="AZ1324">
        <f t="shared" si="1047"/>
        <v>0</v>
      </c>
      <c r="BA1324" s="3">
        <f t="shared" si="1048"/>
        <v>919.84164222873915</v>
      </c>
    </row>
    <row r="1325" spans="1:53" x14ac:dyDescent="0.2">
      <c r="A1325">
        <v>2016</v>
      </c>
      <c r="B1325" t="s">
        <v>114</v>
      </c>
      <c r="C1325" t="s">
        <v>99</v>
      </c>
      <c r="D1325">
        <v>13.5</v>
      </c>
      <c r="E1325">
        <v>5</v>
      </c>
      <c r="F1325">
        <v>8.1</v>
      </c>
      <c r="G1325">
        <v>1.9</v>
      </c>
      <c r="H1325">
        <v>3.9</v>
      </c>
      <c r="I1325">
        <v>0.8</v>
      </c>
      <c r="J1325">
        <v>0.8</v>
      </c>
      <c r="K1325">
        <f t="shared" si="1042"/>
        <v>33.999999999999993</v>
      </c>
      <c r="L1325">
        <v>0</v>
      </c>
      <c r="M1325">
        <v>0.2</v>
      </c>
      <c r="N1325">
        <v>3.5</v>
      </c>
      <c r="O1325">
        <f t="shared" si="1049"/>
        <v>3.7</v>
      </c>
      <c r="P1325">
        <v>0</v>
      </c>
      <c r="Q1325">
        <v>0</v>
      </c>
      <c r="R1325">
        <v>7.1</v>
      </c>
      <c r="S1325">
        <f t="shared" si="1050"/>
        <v>7.1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f t="shared" si="1051"/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 s="5">
        <f t="shared" si="1052"/>
        <v>0</v>
      </c>
      <c r="AK1325">
        <v>0</v>
      </c>
      <c r="AL1325">
        <v>0.55200000000000005</v>
      </c>
      <c r="AM1325">
        <f t="shared" si="1055"/>
        <v>0.4479999999999999</v>
      </c>
      <c r="AN1325">
        <v>658</v>
      </c>
      <c r="AO1325" t="s">
        <v>13</v>
      </c>
      <c r="AP1325" s="3">
        <f t="shared" si="1039"/>
        <v>1192.0289855072463</v>
      </c>
      <c r="AQ1325" t="s">
        <v>13</v>
      </c>
      <c r="AR1325">
        <f t="shared" si="1054"/>
        <v>0</v>
      </c>
      <c r="AS1325">
        <f t="shared" si="1053"/>
        <v>0.44799999999999995</v>
      </c>
      <c r="AT1325">
        <f t="shared" si="1040"/>
        <v>534</v>
      </c>
      <c r="AU1325">
        <f t="shared" si="1041"/>
        <v>0</v>
      </c>
      <c r="AV1325">
        <f t="shared" si="1043"/>
        <v>331</v>
      </c>
      <c r="AW1325">
        <f t="shared" si="1044"/>
        <v>0</v>
      </c>
      <c r="AX1325" s="3">
        <f t="shared" si="1045"/>
        <v>861.02898550724626</v>
      </c>
      <c r="AY1325">
        <f t="shared" si="1046"/>
        <v>267</v>
      </c>
      <c r="AZ1325">
        <f t="shared" si="1047"/>
        <v>0</v>
      </c>
      <c r="BA1325" s="3">
        <f t="shared" si="1048"/>
        <v>925.02898550724626</v>
      </c>
    </row>
    <row r="1326" spans="1:53" x14ac:dyDescent="0.2">
      <c r="A1326">
        <v>2017</v>
      </c>
      <c r="B1326" t="s">
        <v>114</v>
      </c>
      <c r="C1326" t="s">
        <v>99</v>
      </c>
      <c r="D1326">
        <v>7.9</v>
      </c>
      <c r="E1326">
        <v>0.7</v>
      </c>
      <c r="F1326">
        <v>7.2</v>
      </c>
      <c r="G1326">
        <v>1.6</v>
      </c>
      <c r="H1326">
        <v>7.1</v>
      </c>
      <c r="I1326">
        <v>0.6</v>
      </c>
      <c r="J1326">
        <v>3.8</v>
      </c>
      <c r="K1326">
        <f t="shared" si="1042"/>
        <v>28.900000000000002</v>
      </c>
      <c r="L1326">
        <v>0</v>
      </c>
      <c r="M1326">
        <v>0</v>
      </c>
      <c r="N1326">
        <v>1.7</v>
      </c>
      <c r="O1326">
        <f t="shared" si="1049"/>
        <v>1.7</v>
      </c>
      <c r="P1326">
        <v>0</v>
      </c>
      <c r="Q1326">
        <v>1.1000000000000001</v>
      </c>
      <c r="R1326">
        <v>7</v>
      </c>
      <c r="S1326">
        <f t="shared" si="1050"/>
        <v>8.1</v>
      </c>
      <c r="T1326">
        <v>0</v>
      </c>
      <c r="U1326">
        <v>0.1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f t="shared" si="1051"/>
        <v>0.1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0.1</v>
      </c>
      <c r="AI1326">
        <v>0</v>
      </c>
      <c r="AJ1326" s="5">
        <f t="shared" si="1052"/>
        <v>0.1</v>
      </c>
      <c r="AK1326">
        <v>1.2</v>
      </c>
      <c r="AL1326">
        <v>0.6</v>
      </c>
      <c r="AM1326">
        <f t="shared" si="1055"/>
        <v>0.38900000000000001</v>
      </c>
      <c r="AN1326">
        <v>796</v>
      </c>
      <c r="AO1326" t="s">
        <v>13</v>
      </c>
      <c r="AP1326" s="3">
        <f t="shared" si="1039"/>
        <v>1302.7823240589198</v>
      </c>
      <c r="AQ1326" t="s">
        <v>13</v>
      </c>
      <c r="AR1326">
        <f t="shared" si="1054"/>
        <v>2.5706940874035988E-3</v>
      </c>
      <c r="AS1326">
        <f t="shared" si="1053"/>
        <v>0.38800000000000007</v>
      </c>
      <c r="AT1326">
        <f t="shared" si="1040"/>
        <v>505</v>
      </c>
      <c r="AU1326">
        <f t="shared" si="1041"/>
        <v>1</v>
      </c>
      <c r="AV1326">
        <f t="shared" si="1043"/>
        <v>317</v>
      </c>
      <c r="AW1326">
        <f t="shared" si="1044"/>
        <v>1</v>
      </c>
      <c r="AX1326" s="3">
        <f t="shared" si="1045"/>
        <v>984.78232405891981</v>
      </c>
      <c r="AY1326">
        <f t="shared" si="1046"/>
        <v>253</v>
      </c>
      <c r="AZ1326">
        <f t="shared" si="1047"/>
        <v>1</v>
      </c>
      <c r="BA1326" s="3">
        <f t="shared" si="1048"/>
        <v>1048.7823240589198</v>
      </c>
    </row>
    <row r="1327" spans="1:53" x14ac:dyDescent="0.2">
      <c r="A1327">
        <v>2018</v>
      </c>
      <c r="B1327" t="s">
        <v>114</v>
      </c>
      <c r="C1327" t="s">
        <v>99</v>
      </c>
      <c r="D1327">
        <v>5.7</v>
      </c>
      <c r="E1327">
        <v>0.6</v>
      </c>
      <c r="F1327">
        <v>2.4</v>
      </c>
      <c r="G1327">
        <v>4.2</v>
      </c>
      <c r="H1327">
        <v>6.1</v>
      </c>
      <c r="I1327">
        <v>1.3</v>
      </c>
      <c r="J1327">
        <v>4.5</v>
      </c>
      <c r="K1327">
        <f t="shared" si="1042"/>
        <v>24.8</v>
      </c>
      <c r="L1327">
        <v>0</v>
      </c>
      <c r="M1327">
        <v>0</v>
      </c>
      <c r="N1327">
        <v>2.7</v>
      </c>
      <c r="O1327">
        <f t="shared" si="1049"/>
        <v>2.7</v>
      </c>
      <c r="P1327">
        <v>0</v>
      </c>
      <c r="Q1327">
        <v>0</v>
      </c>
      <c r="R1327">
        <v>7.1</v>
      </c>
      <c r="S1327">
        <f t="shared" si="1050"/>
        <v>7.1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f t="shared" si="1051"/>
        <v>0</v>
      </c>
      <c r="AB1327">
        <v>0</v>
      </c>
      <c r="AC1327">
        <v>0</v>
      </c>
      <c r="AD1327">
        <v>0</v>
      </c>
      <c r="AE1327">
        <v>0</v>
      </c>
      <c r="AF1327">
        <v>0.1</v>
      </c>
      <c r="AG1327">
        <v>0</v>
      </c>
      <c r="AH1327">
        <v>0</v>
      </c>
      <c r="AI1327">
        <v>0</v>
      </c>
      <c r="AJ1327" s="5">
        <f t="shared" si="1052"/>
        <v>0.1</v>
      </c>
      <c r="AK1327">
        <v>0.3</v>
      </c>
      <c r="AL1327">
        <v>0.64900000000000002</v>
      </c>
      <c r="AM1327">
        <f t="shared" si="1055"/>
        <v>0.34700000000000003</v>
      </c>
      <c r="AN1327">
        <v>723</v>
      </c>
      <c r="AO1327" t="s">
        <v>13</v>
      </c>
      <c r="AP1327" s="3">
        <f t="shared" si="1039"/>
        <v>1107.1975497702908</v>
      </c>
      <c r="AQ1327" t="s">
        <v>13</v>
      </c>
      <c r="AR1327">
        <f t="shared" si="1054"/>
        <v>2.881844380403458E-3</v>
      </c>
      <c r="AS1327">
        <f t="shared" si="1053"/>
        <v>0.34600000000000003</v>
      </c>
      <c r="AT1327">
        <f t="shared" si="1040"/>
        <v>383</v>
      </c>
      <c r="AU1327">
        <f t="shared" si="1041"/>
        <v>1</v>
      </c>
      <c r="AV1327">
        <f t="shared" si="1043"/>
        <v>246</v>
      </c>
      <c r="AW1327">
        <f t="shared" si="1044"/>
        <v>1</v>
      </c>
      <c r="AX1327" s="3">
        <f t="shared" si="1045"/>
        <v>860.19754977029083</v>
      </c>
      <c r="AY1327">
        <f t="shared" si="1046"/>
        <v>192</v>
      </c>
      <c r="AZ1327">
        <f t="shared" si="1047"/>
        <v>1</v>
      </c>
      <c r="BA1327" s="3">
        <f t="shared" si="1048"/>
        <v>914.19754977029083</v>
      </c>
    </row>
    <row r="1328" spans="1:53" x14ac:dyDescent="0.2">
      <c r="A1328">
        <v>2019</v>
      </c>
      <c r="B1328" t="s">
        <v>114</v>
      </c>
      <c r="C1328" t="s">
        <v>99</v>
      </c>
      <c r="D1328">
        <v>4.7</v>
      </c>
      <c r="E1328">
        <v>5.5</v>
      </c>
      <c r="F1328">
        <v>3.5</v>
      </c>
      <c r="G1328">
        <v>2.6</v>
      </c>
      <c r="H1328">
        <v>5.2</v>
      </c>
      <c r="I1328">
        <v>0.8</v>
      </c>
      <c r="J1328">
        <v>2.2000000000000002</v>
      </c>
      <c r="K1328">
        <f t="shared" si="1042"/>
        <v>24.5</v>
      </c>
      <c r="L1328">
        <v>0</v>
      </c>
      <c r="M1328">
        <v>0</v>
      </c>
      <c r="N1328">
        <v>4.4000000000000004</v>
      </c>
      <c r="O1328">
        <f t="shared" si="1049"/>
        <v>4.4000000000000004</v>
      </c>
      <c r="P1328">
        <v>0</v>
      </c>
      <c r="Q1328">
        <v>0</v>
      </c>
      <c r="R1328">
        <v>6.5</v>
      </c>
      <c r="S1328">
        <f t="shared" si="1050"/>
        <v>6.5</v>
      </c>
      <c r="T1328">
        <v>0.1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f t="shared" si="1051"/>
        <v>0.1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 s="5">
        <f t="shared" si="1052"/>
        <v>0</v>
      </c>
      <c r="AK1328">
        <v>0.1</v>
      </c>
      <c r="AL1328">
        <v>0.64500000000000002</v>
      </c>
      <c r="AM1328">
        <f t="shared" si="1055"/>
        <v>0.35499999999999998</v>
      </c>
      <c r="AN1328">
        <v>379</v>
      </c>
      <c r="AO1328" t="s">
        <v>13</v>
      </c>
      <c r="AP1328" s="3">
        <f t="shared" ref="AP1328:AP1391" si="1056">AN1328/(1-AM1328)</f>
        <v>587.59689922480618</v>
      </c>
      <c r="AQ1328" t="s">
        <v>13</v>
      </c>
      <c r="AR1328">
        <f t="shared" si="1054"/>
        <v>0</v>
      </c>
      <c r="AS1328">
        <f t="shared" si="1053"/>
        <v>0.35499999999999998</v>
      </c>
      <c r="AT1328">
        <f t="shared" ref="AT1328:AT1391" si="1057">ROUND(AS1328*AP1328,0)</f>
        <v>209</v>
      </c>
      <c r="AU1328">
        <f t="shared" ref="AU1328:AU1391" si="1058">ROUND((AJ1328/100)*AP1328,0)</f>
        <v>0</v>
      </c>
      <c r="AV1328">
        <f t="shared" si="1043"/>
        <v>137</v>
      </c>
      <c r="AW1328">
        <f t="shared" si="1044"/>
        <v>0</v>
      </c>
      <c r="AX1328" s="3">
        <f t="shared" si="1045"/>
        <v>450.59689922480618</v>
      </c>
      <c r="AY1328">
        <f t="shared" si="1046"/>
        <v>104</v>
      </c>
      <c r="AZ1328">
        <f t="shared" si="1047"/>
        <v>0</v>
      </c>
      <c r="BA1328" s="3">
        <f t="shared" si="1048"/>
        <v>483.59689922480618</v>
      </c>
    </row>
    <row r="1329" spans="1:53" x14ac:dyDescent="0.2">
      <c r="A1329">
        <v>2020</v>
      </c>
      <c r="B1329" t="s">
        <v>114</v>
      </c>
      <c r="C1329" t="s">
        <v>99</v>
      </c>
      <c r="D1329">
        <v>6.6</v>
      </c>
      <c r="E1329">
        <v>2.6</v>
      </c>
      <c r="F1329">
        <v>4.5</v>
      </c>
      <c r="G1329">
        <v>2.4</v>
      </c>
      <c r="H1329">
        <v>2.7</v>
      </c>
      <c r="I1329">
        <v>0.3</v>
      </c>
      <c r="J1329">
        <v>1.7</v>
      </c>
      <c r="K1329">
        <f t="shared" ref="K1329:K1359" si="1059">SUM(D1329:J1329)</f>
        <v>20.799999999999997</v>
      </c>
      <c r="L1329">
        <v>0</v>
      </c>
      <c r="M1329">
        <v>0</v>
      </c>
      <c r="N1329">
        <v>1.4</v>
      </c>
      <c r="O1329">
        <f t="shared" si="1049"/>
        <v>1.4</v>
      </c>
      <c r="P1329">
        <v>0</v>
      </c>
      <c r="Q1329">
        <v>0</v>
      </c>
      <c r="R1329">
        <v>3.8</v>
      </c>
      <c r="S1329">
        <f t="shared" si="1050"/>
        <v>3.8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0.1</v>
      </c>
      <c r="AA1329">
        <f t="shared" si="1051"/>
        <v>0.1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 s="5">
        <f t="shared" si="1052"/>
        <v>0</v>
      </c>
      <c r="AK1329">
        <v>1.4</v>
      </c>
      <c r="AL1329">
        <v>0.72499999999999998</v>
      </c>
      <c r="AM1329">
        <f t="shared" si="1055"/>
        <v>0.26099999999999995</v>
      </c>
      <c r="AN1329">
        <v>385</v>
      </c>
      <c r="AO1329" t="s">
        <v>13</v>
      </c>
      <c r="AP1329" s="3">
        <f t="shared" si="1056"/>
        <v>520.9742895805141</v>
      </c>
      <c r="AQ1329" t="s">
        <v>13</v>
      </c>
      <c r="AR1329">
        <f t="shared" si="1054"/>
        <v>0</v>
      </c>
      <c r="AS1329">
        <f t="shared" si="1053"/>
        <v>0.26099999999999995</v>
      </c>
      <c r="AT1329">
        <f t="shared" si="1057"/>
        <v>136</v>
      </c>
      <c r="AU1329">
        <f t="shared" si="1058"/>
        <v>0</v>
      </c>
      <c r="AV1329">
        <f t="shared" si="1043"/>
        <v>82</v>
      </c>
      <c r="AW1329">
        <f t="shared" si="1044"/>
        <v>0</v>
      </c>
      <c r="AX1329" s="3">
        <f t="shared" si="1045"/>
        <v>438.9742895805141</v>
      </c>
      <c r="AY1329">
        <f t="shared" si="1046"/>
        <v>68</v>
      </c>
      <c r="AZ1329">
        <f t="shared" si="1047"/>
        <v>0</v>
      </c>
      <c r="BA1329" s="3">
        <f t="shared" si="1048"/>
        <v>452.9742895805141</v>
      </c>
    </row>
    <row r="1330" spans="1:53" x14ac:dyDescent="0.2">
      <c r="A1330">
        <v>2021</v>
      </c>
      <c r="B1330" t="s">
        <v>114</v>
      </c>
      <c r="C1330" t="s">
        <v>99</v>
      </c>
      <c r="D1330">
        <v>7.5</v>
      </c>
      <c r="E1330">
        <v>4.9000000000000004</v>
      </c>
      <c r="F1330">
        <v>3.1</v>
      </c>
      <c r="G1330">
        <v>3.1</v>
      </c>
      <c r="H1330">
        <v>2.7</v>
      </c>
      <c r="I1330">
        <v>0.8</v>
      </c>
      <c r="J1330">
        <v>1.8</v>
      </c>
      <c r="K1330">
        <f t="shared" si="1059"/>
        <v>23.900000000000002</v>
      </c>
      <c r="L1330">
        <v>0</v>
      </c>
      <c r="M1330">
        <v>0</v>
      </c>
      <c r="N1330">
        <v>1.7</v>
      </c>
      <c r="O1330">
        <f t="shared" si="1049"/>
        <v>1.7</v>
      </c>
      <c r="P1330">
        <v>0</v>
      </c>
      <c r="Q1330">
        <v>0</v>
      </c>
      <c r="R1330">
        <v>4.5999999999999996</v>
      </c>
      <c r="S1330">
        <f t="shared" si="1050"/>
        <v>4.5999999999999996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f t="shared" si="1051"/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 s="5">
        <f t="shared" si="1052"/>
        <v>0</v>
      </c>
      <c r="AK1330">
        <v>0</v>
      </c>
      <c r="AL1330">
        <v>0.69799999999999995</v>
      </c>
      <c r="AM1330">
        <f t="shared" si="1055"/>
        <v>0.30200000000000005</v>
      </c>
      <c r="AN1330">
        <v>414</v>
      </c>
      <c r="AO1330" t="s">
        <v>13</v>
      </c>
      <c r="AP1330" s="3">
        <f t="shared" si="1056"/>
        <v>593.12320916905446</v>
      </c>
      <c r="AQ1330" t="s">
        <v>13</v>
      </c>
      <c r="AR1330">
        <f t="shared" si="1054"/>
        <v>0</v>
      </c>
      <c r="AS1330">
        <f t="shared" si="1053"/>
        <v>0.30200000000000005</v>
      </c>
      <c r="AT1330">
        <f t="shared" si="1057"/>
        <v>179</v>
      </c>
      <c r="AU1330">
        <f t="shared" si="1058"/>
        <v>0</v>
      </c>
      <c r="AV1330">
        <f t="shared" si="1043"/>
        <v>108</v>
      </c>
      <c r="AW1330">
        <f t="shared" si="1044"/>
        <v>0</v>
      </c>
      <c r="AX1330" s="3">
        <f t="shared" si="1045"/>
        <v>485.12320916905446</v>
      </c>
      <c r="AY1330">
        <f t="shared" si="1046"/>
        <v>90</v>
      </c>
      <c r="AZ1330">
        <f t="shared" si="1047"/>
        <v>0</v>
      </c>
      <c r="BA1330" s="3">
        <f t="shared" si="1048"/>
        <v>503.12320916905446</v>
      </c>
    </row>
    <row r="1331" spans="1:53" x14ac:dyDescent="0.2">
      <c r="A1331">
        <v>2022</v>
      </c>
      <c r="B1331" t="s">
        <v>114</v>
      </c>
      <c r="C1331" t="s">
        <v>99</v>
      </c>
      <c r="D1331">
        <v>8.8000000000000007</v>
      </c>
      <c r="E1331">
        <v>6.1</v>
      </c>
      <c r="F1331">
        <v>3.8</v>
      </c>
      <c r="G1331">
        <v>1.8</v>
      </c>
      <c r="H1331">
        <v>2.6</v>
      </c>
      <c r="I1331">
        <v>0.6</v>
      </c>
      <c r="J1331">
        <v>2.8</v>
      </c>
      <c r="K1331">
        <f t="shared" si="1059"/>
        <v>26.500000000000004</v>
      </c>
      <c r="L1331">
        <v>0</v>
      </c>
      <c r="M1331">
        <v>0</v>
      </c>
      <c r="N1331">
        <v>6.1</v>
      </c>
      <c r="O1331">
        <f t="shared" si="1049"/>
        <v>6.1</v>
      </c>
      <c r="P1331">
        <v>0</v>
      </c>
      <c r="Q1331">
        <v>0</v>
      </c>
      <c r="R1331">
        <v>8.8000000000000007</v>
      </c>
      <c r="S1331">
        <f t="shared" si="1050"/>
        <v>8.8000000000000007</v>
      </c>
      <c r="T1331">
        <v>0.1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0.2</v>
      </c>
      <c r="AA1331">
        <f t="shared" si="1051"/>
        <v>0.30000000000000004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0.1</v>
      </c>
      <c r="AI1331">
        <v>0</v>
      </c>
      <c r="AJ1331" s="5">
        <f t="shared" si="1052"/>
        <v>0.1</v>
      </c>
      <c r="AK1331">
        <v>0</v>
      </c>
      <c r="AL1331">
        <v>0.58099999999999996</v>
      </c>
      <c r="AM1331">
        <f t="shared" si="1055"/>
        <v>0.41799999999999998</v>
      </c>
      <c r="AN1331">
        <v>113</v>
      </c>
      <c r="AO1331" t="s">
        <v>13</v>
      </c>
      <c r="AP1331" s="3">
        <f t="shared" si="1056"/>
        <v>194.15807560137455</v>
      </c>
      <c r="AQ1331" t="s">
        <v>13</v>
      </c>
      <c r="AR1331">
        <f t="shared" si="1054"/>
        <v>2.3923444976076558E-3</v>
      </c>
      <c r="AS1331">
        <f t="shared" si="1053"/>
        <v>0.41700000000000004</v>
      </c>
      <c r="AT1331">
        <f t="shared" si="1057"/>
        <v>81</v>
      </c>
      <c r="AU1331">
        <f t="shared" si="1058"/>
        <v>0</v>
      </c>
      <c r="AV1331">
        <f t="shared" si="1043"/>
        <v>55</v>
      </c>
      <c r="AW1331">
        <f t="shared" si="1044"/>
        <v>0</v>
      </c>
      <c r="AX1331" s="3">
        <f t="shared" si="1045"/>
        <v>139.15807560137455</v>
      </c>
      <c r="AY1331">
        <f t="shared" si="1046"/>
        <v>40</v>
      </c>
      <c r="AZ1331">
        <f t="shared" si="1047"/>
        <v>0</v>
      </c>
      <c r="BA1331" s="3">
        <f t="shared" si="1048"/>
        <v>154.15807560137455</v>
      </c>
    </row>
    <row r="1332" spans="1:53" x14ac:dyDescent="0.2">
      <c r="A1332">
        <v>2023</v>
      </c>
      <c r="B1332" t="s">
        <v>114</v>
      </c>
      <c r="C1332" t="s">
        <v>99</v>
      </c>
      <c r="D1332">
        <v>2.5</v>
      </c>
      <c r="E1332">
        <v>1.9</v>
      </c>
      <c r="F1332">
        <v>1.6</v>
      </c>
      <c r="G1332">
        <v>1.9</v>
      </c>
      <c r="H1332">
        <v>1.9</v>
      </c>
      <c r="I1332">
        <v>0.9</v>
      </c>
      <c r="J1332">
        <v>1.7</v>
      </c>
      <c r="K1332">
        <f t="shared" si="1059"/>
        <v>12.4</v>
      </c>
      <c r="L1332">
        <v>0</v>
      </c>
      <c r="M1332">
        <v>0</v>
      </c>
      <c r="N1332">
        <v>2.4</v>
      </c>
      <c r="O1332">
        <f t="shared" si="1049"/>
        <v>2.4</v>
      </c>
      <c r="P1332">
        <v>0</v>
      </c>
      <c r="Q1332">
        <v>0.5</v>
      </c>
      <c r="R1332">
        <v>4.7</v>
      </c>
      <c r="S1332">
        <f t="shared" si="1050"/>
        <v>5.2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f t="shared" si="1051"/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 s="5">
        <f t="shared" si="1052"/>
        <v>0</v>
      </c>
      <c r="AK1332">
        <v>0</v>
      </c>
      <c r="AL1332">
        <v>0.8</v>
      </c>
      <c r="AM1332">
        <f t="shared" si="1055"/>
        <v>0.19999999999999996</v>
      </c>
      <c r="AN1332">
        <v>308</v>
      </c>
      <c r="AO1332" t="s">
        <v>13</v>
      </c>
      <c r="AP1332" s="3">
        <f t="shared" si="1056"/>
        <v>385</v>
      </c>
      <c r="AQ1332" t="s">
        <v>13</v>
      </c>
      <c r="AR1332">
        <f t="shared" si="1054"/>
        <v>0</v>
      </c>
      <c r="AS1332">
        <f t="shared" si="1053"/>
        <v>0.2</v>
      </c>
      <c r="AT1332">
        <f t="shared" si="1057"/>
        <v>77</v>
      </c>
      <c r="AU1332">
        <f t="shared" si="1058"/>
        <v>0</v>
      </c>
      <c r="AV1332">
        <f t="shared" si="1043"/>
        <v>53</v>
      </c>
      <c r="AW1332">
        <f t="shared" si="1044"/>
        <v>0</v>
      </c>
      <c r="AX1332" s="3">
        <f t="shared" si="1045"/>
        <v>332</v>
      </c>
      <c r="AY1332">
        <f t="shared" si="1046"/>
        <v>39</v>
      </c>
      <c r="AZ1332">
        <f t="shared" si="1047"/>
        <v>0</v>
      </c>
      <c r="BA1332" s="3">
        <f t="shared" si="1048"/>
        <v>346</v>
      </c>
    </row>
    <row r="1333" spans="1:53" x14ac:dyDescent="0.2">
      <c r="A1333">
        <v>1993</v>
      </c>
      <c r="B1333" t="s">
        <v>115</v>
      </c>
      <c r="C1333" t="s">
        <v>99</v>
      </c>
      <c r="D1333">
        <v>16</v>
      </c>
      <c r="E1333">
        <v>2.1</v>
      </c>
      <c r="F1333">
        <v>2.4</v>
      </c>
      <c r="G1333">
        <v>7.7</v>
      </c>
      <c r="H1333">
        <v>0.8</v>
      </c>
      <c r="I1333">
        <v>14.7</v>
      </c>
      <c r="J1333">
        <v>0.8</v>
      </c>
      <c r="K1333">
        <f t="shared" si="1059"/>
        <v>44.5</v>
      </c>
      <c r="L1333">
        <v>2.1</v>
      </c>
      <c r="M1333">
        <v>0.4</v>
      </c>
      <c r="N1333">
        <v>0.2</v>
      </c>
      <c r="O1333">
        <f t="shared" ref="O1333:O1363" si="1060">SUM(L1333:N1333)</f>
        <v>2.7</v>
      </c>
      <c r="P1333">
        <v>0</v>
      </c>
      <c r="Q1333">
        <v>0.7</v>
      </c>
      <c r="R1333">
        <v>2.5</v>
      </c>
      <c r="S1333">
        <f t="shared" ref="S1333:S1363" si="1061">SUM(P1333:R1333)</f>
        <v>3.2</v>
      </c>
      <c r="T1333">
        <v>0</v>
      </c>
      <c r="U1333">
        <v>0.1</v>
      </c>
      <c r="V1333">
        <v>0</v>
      </c>
      <c r="W1333">
        <v>0</v>
      </c>
      <c r="X1333">
        <v>0</v>
      </c>
      <c r="Y1333">
        <v>0</v>
      </c>
      <c r="Z1333">
        <v>0.1</v>
      </c>
      <c r="AA1333">
        <f t="shared" ref="AA1333:AA1363" si="1062">SUM(T1333:Z1333)</f>
        <v>0.2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 s="5">
        <f t="shared" ref="AJ1333:AJ1363" si="1063">SUM(AB1333:AI1333)</f>
        <v>0</v>
      </c>
      <c r="AK1333">
        <v>0</v>
      </c>
      <c r="AL1333">
        <v>0.49399999999999999</v>
      </c>
      <c r="AM1333">
        <f t="shared" si="1055"/>
        <v>0.50599999999999989</v>
      </c>
      <c r="AN1333">
        <v>436</v>
      </c>
      <c r="AO1333" t="s">
        <v>13</v>
      </c>
      <c r="AP1333" s="3">
        <f t="shared" si="1056"/>
        <v>882.59109311740872</v>
      </c>
      <c r="AQ1333" t="s">
        <v>13</v>
      </c>
      <c r="AR1333">
        <f t="shared" si="1054"/>
        <v>0</v>
      </c>
      <c r="AS1333">
        <f t="shared" si="1053"/>
        <v>0.50600000000000012</v>
      </c>
      <c r="AT1333">
        <f t="shared" si="1057"/>
        <v>447</v>
      </c>
      <c r="AU1333">
        <f t="shared" si="1058"/>
        <v>0</v>
      </c>
      <c r="AV1333">
        <f t="shared" si="1043"/>
        <v>250</v>
      </c>
      <c r="AW1333">
        <f t="shared" si="1044"/>
        <v>0</v>
      </c>
      <c r="AX1333" s="3">
        <f t="shared" si="1045"/>
        <v>632.59109311740872</v>
      </c>
      <c r="AY1333">
        <f t="shared" si="1046"/>
        <v>223</v>
      </c>
      <c r="AZ1333">
        <f t="shared" si="1047"/>
        <v>0</v>
      </c>
      <c r="BA1333" s="3">
        <f t="shared" si="1048"/>
        <v>659.59109311740872</v>
      </c>
    </row>
    <row r="1334" spans="1:53" x14ac:dyDescent="0.2">
      <c r="A1334">
        <v>1994</v>
      </c>
      <c r="B1334" t="s">
        <v>115</v>
      </c>
      <c r="C1334" t="s">
        <v>99</v>
      </c>
      <c r="D1334">
        <v>17.7</v>
      </c>
      <c r="E1334">
        <v>6.3</v>
      </c>
      <c r="F1334">
        <v>3.9</v>
      </c>
      <c r="G1334">
        <v>9.1999999999999993</v>
      </c>
      <c r="H1334">
        <v>0.5</v>
      </c>
      <c r="I1334">
        <v>4.9000000000000004</v>
      </c>
      <c r="J1334">
        <v>1.7</v>
      </c>
      <c r="K1334">
        <f t="shared" si="1059"/>
        <v>44.199999999999996</v>
      </c>
      <c r="L1334">
        <v>1.2</v>
      </c>
      <c r="M1334">
        <v>0.9</v>
      </c>
      <c r="N1334">
        <v>0.2</v>
      </c>
      <c r="O1334">
        <f t="shared" si="1060"/>
        <v>2.3000000000000003</v>
      </c>
      <c r="P1334">
        <v>0</v>
      </c>
      <c r="Q1334">
        <v>0.1</v>
      </c>
      <c r="R1334">
        <v>3</v>
      </c>
      <c r="S1334">
        <f t="shared" si="1061"/>
        <v>3.1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0.1</v>
      </c>
      <c r="AA1334">
        <f t="shared" si="1062"/>
        <v>0.1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 s="5">
        <f t="shared" si="1063"/>
        <v>0</v>
      </c>
      <c r="AK1334">
        <v>0</v>
      </c>
      <c r="AL1334">
        <v>0.502</v>
      </c>
      <c r="AM1334">
        <f t="shared" si="1055"/>
        <v>0.49699999999999994</v>
      </c>
      <c r="AN1334">
        <v>841</v>
      </c>
      <c r="AO1334" t="s">
        <v>13</v>
      </c>
      <c r="AP1334" s="3">
        <f t="shared" si="1056"/>
        <v>1671.9681908548705</v>
      </c>
      <c r="AQ1334" t="s">
        <v>13</v>
      </c>
      <c r="AR1334">
        <f t="shared" si="1054"/>
        <v>0</v>
      </c>
      <c r="AS1334">
        <f t="shared" si="1053"/>
        <v>0.49699999999999994</v>
      </c>
      <c r="AT1334">
        <f t="shared" si="1057"/>
        <v>831</v>
      </c>
      <c r="AU1334">
        <f t="shared" si="1058"/>
        <v>0</v>
      </c>
      <c r="AV1334">
        <f t="shared" si="1043"/>
        <v>461</v>
      </c>
      <c r="AW1334">
        <f t="shared" si="1044"/>
        <v>0</v>
      </c>
      <c r="AX1334" s="3">
        <f t="shared" si="1045"/>
        <v>1210.9681908548705</v>
      </c>
      <c r="AY1334">
        <f t="shared" si="1046"/>
        <v>415</v>
      </c>
      <c r="AZ1334">
        <f t="shared" si="1047"/>
        <v>0</v>
      </c>
      <c r="BA1334" s="3">
        <f t="shared" si="1048"/>
        <v>1256.9681908548705</v>
      </c>
    </row>
    <row r="1335" spans="1:53" x14ac:dyDescent="0.2">
      <c r="A1335">
        <v>1995</v>
      </c>
      <c r="B1335" t="s">
        <v>115</v>
      </c>
      <c r="C1335" t="s">
        <v>99</v>
      </c>
      <c r="D1335">
        <v>15</v>
      </c>
      <c r="E1335">
        <v>0</v>
      </c>
      <c r="F1335">
        <v>4.3</v>
      </c>
      <c r="G1335">
        <v>3.1</v>
      </c>
      <c r="H1335">
        <v>2</v>
      </c>
      <c r="I1335">
        <v>1.6</v>
      </c>
      <c r="J1335">
        <v>0.8</v>
      </c>
      <c r="K1335">
        <f t="shared" si="1059"/>
        <v>26.800000000000004</v>
      </c>
      <c r="L1335">
        <v>0.3</v>
      </c>
      <c r="M1335">
        <v>0.4</v>
      </c>
      <c r="N1335">
        <v>0</v>
      </c>
      <c r="O1335">
        <f t="shared" si="1060"/>
        <v>0.7</v>
      </c>
      <c r="P1335">
        <v>0</v>
      </c>
      <c r="Q1335">
        <v>0.1</v>
      </c>
      <c r="R1335">
        <v>3.8</v>
      </c>
      <c r="S1335">
        <f t="shared" si="1061"/>
        <v>3.9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0.1</v>
      </c>
      <c r="Z1335">
        <v>0</v>
      </c>
      <c r="AA1335">
        <f t="shared" si="1062"/>
        <v>0.1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0.1</v>
      </c>
      <c r="AI1335">
        <v>0</v>
      </c>
      <c r="AJ1335" s="5">
        <f t="shared" si="1063"/>
        <v>0.1</v>
      </c>
      <c r="AK1335">
        <v>0.3</v>
      </c>
      <c r="AL1335">
        <v>0.68099999999999994</v>
      </c>
      <c r="AM1335">
        <f t="shared" si="1055"/>
        <v>0.31600000000000006</v>
      </c>
      <c r="AN1335">
        <v>323</v>
      </c>
      <c r="AO1335" t="s">
        <v>13</v>
      </c>
      <c r="AP1335" s="3">
        <f t="shared" si="1056"/>
        <v>472.22222222222229</v>
      </c>
      <c r="AQ1335" t="s">
        <v>13</v>
      </c>
      <c r="AR1335">
        <f t="shared" si="1054"/>
        <v>3.164556962025316E-3</v>
      </c>
      <c r="AS1335">
        <f t="shared" si="1053"/>
        <v>0.31500000000000006</v>
      </c>
      <c r="AT1335">
        <f t="shared" si="1057"/>
        <v>149</v>
      </c>
      <c r="AU1335">
        <f t="shared" si="1058"/>
        <v>0</v>
      </c>
      <c r="AV1335">
        <f t="shared" si="1043"/>
        <v>85</v>
      </c>
      <c r="AW1335">
        <f t="shared" si="1044"/>
        <v>0</v>
      </c>
      <c r="AX1335" s="3">
        <f t="shared" si="1045"/>
        <v>387.22222222222229</v>
      </c>
      <c r="AY1335">
        <f t="shared" si="1046"/>
        <v>74</v>
      </c>
      <c r="AZ1335">
        <f t="shared" si="1047"/>
        <v>0</v>
      </c>
      <c r="BA1335" s="3">
        <f t="shared" si="1048"/>
        <v>398.22222222222229</v>
      </c>
    </row>
    <row r="1336" spans="1:53" x14ac:dyDescent="0.2">
      <c r="A1336">
        <v>1996</v>
      </c>
      <c r="B1336" t="s">
        <v>115</v>
      </c>
      <c r="C1336" t="s">
        <v>99</v>
      </c>
      <c r="D1336">
        <v>8.6</v>
      </c>
      <c r="E1336">
        <v>0.1</v>
      </c>
      <c r="F1336">
        <v>3.9</v>
      </c>
      <c r="G1336">
        <v>2.5</v>
      </c>
      <c r="H1336">
        <v>1.2</v>
      </c>
      <c r="I1336">
        <v>0.7</v>
      </c>
      <c r="J1336">
        <v>0</v>
      </c>
      <c r="K1336">
        <f t="shared" si="1059"/>
        <v>17</v>
      </c>
      <c r="L1336">
        <v>0.4</v>
      </c>
      <c r="M1336">
        <v>0</v>
      </c>
      <c r="N1336">
        <v>1.8</v>
      </c>
      <c r="O1336">
        <f t="shared" si="1060"/>
        <v>2.2000000000000002</v>
      </c>
      <c r="P1336">
        <v>0</v>
      </c>
      <c r="Q1336">
        <v>0</v>
      </c>
      <c r="R1336">
        <v>3.1</v>
      </c>
      <c r="S1336">
        <f t="shared" si="1061"/>
        <v>3.1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f t="shared" si="1062"/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 s="5">
        <f t="shared" si="1063"/>
        <v>0</v>
      </c>
      <c r="AK1336">
        <v>0</v>
      </c>
      <c r="AL1336">
        <v>0.77599999999999991</v>
      </c>
      <c r="AM1336">
        <f t="shared" si="1055"/>
        <v>0.22299999999999998</v>
      </c>
      <c r="AN1336">
        <v>164</v>
      </c>
      <c r="AO1336" t="s">
        <v>13</v>
      </c>
      <c r="AP1336" s="3">
        <f t="shared" si="1056"/>
        <v>211.06821106821107</v>
      </c>
      <c r="AQ1336" t="s">
        <v>13</v>
      </c>
      <c r="AR1336">
        <f t="shared" si="1054"/>
        <v>0</v>
      </c>
      <c r="AS1336">
        <f t="shared" si="1053"/>
        <v>0.223</v>
      </c>
      <c r="AT1336">
        <f t="shared" si="1057"/>
        <v>47</v>
      </c>
      <c r="AU1336">
        <f t="shared" si="1058"/>
        <v>0</v>
      </c>
      <c r="AV1336">
        <f t="shared" si="1043"/>
        <v>29</v>
      </c>
      <c r="AW1336">
        <f t="shared" si="1044"/>
        <v>0</v>
      </c>
      <c r="AX1336" s="3">
        <f t="shared" si="1045"/>
        <v>182.06821106821107</v>
      </c>
      <c r="AY1336">
        <f t="shared" si="1046"/>
        <v>24</v>
      </c>
      <c r="AZ1336">
        <f t="shared" si="1047"/>
        <v>0</v>
      </c>
      <c r="BA1336" s="3">
        <f t="shared" si="1048"/>
        <v>187.06821106821107</v>
      </c>
    </row>
    <row r="1337" spans="1:53" x14ac:dyDescent="0.2">
      <c r="A1337">
        <v>1997</v>
      </c>
      <c r="B1337" t="s">
        <v>115</v>
      </c>
      <c r="C1337" t="s">
        <v>99</v>
      </c>
      <c r="D1337">
        <v>14.1</v>
      </c>
      <c r="E1337">
        <v>3.6</v>
      </c>
      <c r="F1337">
        <v>5.0999999999999996</v>
      </c>
      <c r="G1337">
        <v>5</v>
      </c>
      <c r="H1337">
        <v>1.6</v>
      </c>
      <c r="I1337">
        <v>0.1</v>
      </c>
      <c r="J1337">
        <v>0</v>
      </c>
      <c r="K1337">
        <f t="shared" si="1059"/>
        <v>29.5</v>
      </c>
      <c r="L1337">
        <v>1.8</v>
      </c>
      <c r="M1337">
        <v>0.5</v>
      </c>
      <c r="N1337">
        <v>1.2</v>
      </c>
      <c r="O1337">
        <f t="shared" si="1060"/>
        <v>3.5</v>
      </c>
      <c r="P1337">
        <v>0</v>
      </c>
      <c r="Q1337">
        <v>0.1</v>
      </c>
      <c r="R1337">
        <v>2.9</v>
      </c>
      <c r="S1337">
        <f t="shared" si="1061"/>
        <v>3</v>
      </c>
      <c r="T1337">
        <v>0.1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f t="shared" si="1062"/>
        <v>0.1</v>
      </c>
      <c r="AB1337">
        <v>0.2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 s="5">
        <f t="shared" si="1063"/>
        <v>0.2</v>
      </c>
      <c r="AK1337">
        <v>0</v>
      </c>
      <c r="AL1337">
        <v>0.63700000000000001</v>
      </c>
      <c r="AM1337">
        <f t="shared" si="1055"/>
        <v>0.36300000000000004</v>
      </c>
      <c r="AN1337">
        <v>266</v>
      </c>
      <c r="AO1337" t="s">
        <v>13</v>
      </c>
      <c r="AP1337" s="3">
        <f t="shared" si="1056"/>
        <v>417.58241758241758</v>
      </c>
      <c r="AQ1337" t="s">
        <v>13</v>
      </c>
      <c r="AR1337">
        <f t="shared" si="1054"/>
        <v>5.5096418732782362E-3</v>
      </c>
      <c r="AS1337">
        <f t="shared" si="1053"/>
        <v>0.36099999999999999</v>
      </c>
      <c r="AT1337">
        <f t="shared" si="1057"/>
        <v>151</v>
      </c>
      <c r="AU1337">
        <f t="shared" si="1058"/>
        <v>1</v>
      </c>
      <c r="AV1337">
        <f t="shared" si="1043"/>
        <v>89</v>
      </c>
      <c r="AW1337">
        <f t="shared" si="1044"/>
        <v>1</v>
      </c>
      <c r="AX1337" s="3">
        <f t="shared" si="1045"/>
        <v>327.58241758241758</v>
      </c>
      <c r="AY1337">
        <f t="shared" si="1046"/>
        <v>75</v>
      </c>
      <c r="AZ1337">
        <f t="shared" si="1047"/>
        <v>1</v>
      </c>
      <c r="BA1337" s="3">
        <f t="shared" si="1048"/>
        <v>341.58241758241758</v>
      </c>
    </row>
    <row r="1338" spans="1:53" x14ac:dyDescent="0.2">
      <c r="A1338">
        <v>1998</v>
      </c>
      <c r="B1338" t="s">
        <v>115</v>
      </c>
      <c r="C1338" t="s">
        <v>99</v>
      </c>
      <c r="D1338">
        <v>17.399999999999999</v>
      </c>
      <c r="E1338">
        <v>1.8</v>
      </c>
      <c r="F1338">
        <v>4.9000000000000004</v>
      </c>
      <c r="G1338">
        <v>5.6</v>
      </c>
      <c r="H1338">
        <v>3</v>
      </c>
      <c r="I1338">
        <v>0</v>
      </c>
      <c r="J1338">
        <v>1.8</v>
      </c>
      <c r="K1338">
        <f t="shared" si="1059"/>
        <v>34.5</v>
      </c>
      <c r="L1338">
        <v>0</v>
      </c>
      <c r="M1338">
        <v>0</v>
      </c>
      <c r="N1338">
        <v>0.5</v>
      </c>
      <c r="O1338">
        <f t="shared" si="1060"/>
        <v>0.5</v>
      </c>
      <c r="P1338">
        <v>0</v>
      </c>
      <c r="Q1338">
        <v>0</v>
      </c>
      <c r="R1338">
        <v>4</v>
      </c>
      <c r="S1338">
        <f t="shared" si="1061"/>
        <v>4</v>
      </c>
      <c r="T1338">
        <v>0</v>
      </c>
      <c r="U1338">
        <v>0</v>
      </c>
      <c r="V1338">
        <v>0.1</v>
      </c>
      <c r="W1338">
        <v>0</v>
      </c>
      <c r="X1338">
        <v>0</v>
      </c>
      <c r="Y1338">
        <v>0</v>
      </c>
      <c r="Z1338">
        <v>0</v>
      </c>
      <c r="AA1338">
        <f t="shared" si="1062"/>
        <v>0.1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 s="5">
        <f t="shared" si="1063"/>
        <v>0</v>
      </c>
      <c r="AK1338">
        <v>0.1</v>
      </c>
      <c r="AL1338">
        <v>0.60899999999999999</v>
      </c>
      <c r="AM1338">
        <f t="shared" si="1055"/>
        <v>0.39100000000000001</v>
      </c>
      <c r="AN1338">
        <v>370</v>
      </c>
      <c r="AO1338" t="s">
        <v>13</v>
      </c>
      <c r="AP1338" s="3">
        <f t="shared" si="1056"/>
        <v>607.5533661740559</v>
      </c>
      <c r="AQ1338" t="s">
        <v>13</v>
      </c>
      <c r="AR1338">
        <f t="shared" si="1054"/>
        <v>0</v>
      </c>
      <c r="AS1338">
        <f t="shared" si="1053"/>
        <v>0.39100000000000001</v>
      </c>
      <c r="AT1338">
        <f t="shared" si="1057"/>
        <v>238</v>
      </c>
      <c r="AU1338">
        <f t="shared" si="1058"/>
        <v>0</v>
      </c>
      <c r="AV1338">
        <f t="shared" si="1043"/>
        <v>133</v>
      </c>
      <c r="AW1338">
        <f t="shared" si="1044"/>
        <v>0</v>
      </c>
      <c r="AX1338" s="3">
        <f t="shared" si="1045"/>
        <v>474.5533661740559</v>
      </c>
      <c r="AY1338">
        <f t="shared" si="1046"/>
        <v>119</v>
      </c>
      <c r="AZ1338">
        <f t="shared" si="1047"/>
        <v>0</v>
      </c>
      <c r="BA1338" s="3">
        <f t="shared" si="1048"/>
        <v>488.5533661740559</v>
      </c>
    </row>
    <row r="1339" spans="1:53" x14ac:dyDescent="0.2">
      <c r="A1339">
        <v>1999</v>
      </c>
      <c r="B1339" t="s">
        <v>115</v>
      </c>
      <c r="C1339" t="s">
        <v>99</v>
      </c>
      <c r="D1339">
        <v>12.6</v>
      </c>
      <c r="E1339">
        <v>1.1000000000000001</v>
      </c>
      <c r="F1339">
        <v>7.9</v>
      </c>
      <c r="G1339">
        <v>5.5</v>
      </c>
      <c r="H1339">
        <v>6.8</v>
      </c>
      <c r="I1339">
        <v>0</v>
      </c>
      <c r="J1339">
        <v>0.9</v>
      </c>
      <c r="K1339">
        <f t="shared" si="1059"/>
        <v>34.799999999999997</v>
      </c>
      <c r="L1339">
        <v>0.3</v>
      </c>
      <c r="M1339">
        <v>0</v>
      </c>
      <c r="N1339">
        <v>0.3</v>
      </c>
      <c r="O1339">
        <f t="shared" si="1060"/>
        <v>0.6</v>
      </c>
      <c r="P1339">
        <v>0</v>
      </c>
      <c r="Q1339">
        <v>0</v>
      </c>
      <c r="R1339">
        <v>3.4</v>
      </c>
      <c r="S1339">
        <f t="shared" si="1061"/>
        <v>3.4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f t="shared" si="1062"/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 s="5">
        <f t="shared" si="1063"/>
        <v>0</v>
      </c>
      <c r="AK1339">
        <v>0</v>
      </c>
      <c r="AL1339">
        <v>0.61299999999999999</v>
      </c>
      <c r="AM1339">
        <f t="shared" si="1055"/>
        <v>0.38799999999999996</v>
      </c>
      <c r="AN1339">
        <v>234</v>
      </c>
      <c r="AO1339" t="s">
        <v>13</v>
      </c>
      <c r="AP1339" s="3">
        <f t="shared" si="1056"/>
        <v>382.35294117647055</v>
      </c>
      <c r="AQ1339" t="s">
        <v>13</v>
      </c>
      <c r="AR1339">
        <f t="shared" si="1054"/>
        <v>0</v>
      </c>
      <c r="AS1339">
        <f t="shared" si="1053"/>
        <v>0.38799999999999996</v>
      </c>
      <c r="AT1339">
        <f t="shared" si="1057"/>
        <v>148</v>
      </c>
      <c r="AU1339">
        <f t="shared" si="1058"/>
        <v>0</v>
      </c>
      <c r="AV1339">
        <f t="shared" si="1043"/>
        <v>82</v>
      </c>
      <c r="AW1339">
        <f t="shared" si="1044"/>
        <v>0</v>
      </c>
      <c r="AX1339" s="3">
        <f t="shared" si="1045"/>
        <v>300.35294117647055</v>
      </c>
      <c r="AY1339">
        <f t="shared" si="1046"/>
        <v>74</v>
      </c>
      <c r="AZ1339">
        <f t="shared" si="1047"/>
        <v>0</v>
      </c>
      <c r="BA1339" s="3">
        <f t="shared" si="1048"/>
        <v>308.35294117647055</v>
      </c>
    </row>
    <row r="1340" spans="1:53" x14ac:dyDescent="0.2">
      <c r="A1340">
        <v>2000</v>
      </c>
      <c r="B1340" t="s">
        <v>115</v>
      </c>
      <c r="C1340" t="s">
        <v>99</v>
      </c>
      <c r="D1340">
        <v>7.3</v>
      </c>
      <c r="E1340">
        <v>0</v>
      </c>
      <c r="F1340">
        <v>0</v>
      </c>
      <c r="G1340">
        <v>0</v>
      </c>
      <c r="H1340">
        <v>6.5</v>
      </c>
      <c r="I1340">
        <v>0</v>
      </c>
      <c r="J1340">
        <v>0</v>
      </c>
      <c r="K1340">
        <f t="shared" si="1059"/>
        <v>13.8</v>
      </c>
      <c r="L1340">
        <v>0</v>
      </c>
      <c r="M1340">
        <v>0</v>
      </c>
      <c r="N1340">
        <v>0</v>
      </c>
      <c r="O1340">
        <f t="shared" si="1060"/>
        <v>0</v>
      </c>
      <c r="P1340">
        <v>0</v>
      </c>
      <c r="Q1340">
        <v>0</v>
      </c>
      <c r="R1340">
        <v>6.9</v>
      </c>
      <c r="S1340">
        <f t="shared" si="1061"/>
        <v>6.9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f t="shared" si="1062"/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 s="5">
        <f t="shared" si="1063"/>
        <v>0</v>
      </c>
      <c r="AK1340">
        <v>0</v>
      </c>
      <c r="AL1340">
        <v>0.79299999999999993</v>
      </c>
      <c r="AM1340">
        <f t="shared" si="1055"/>
        <v>0.20699999999999999</v>
      </c>
      <c r="AN1340">
        <v>160</v>
      </c>
      <c r="AO1340" t="s">
        <v>13</v>
      </c>
      <c r="AP1340" s="3">
        <f t="shared" si="1056"/>
        <v>201.76544766708699</v>
      </c>
      <c r="AQ1340" t="s">
        <v>13</v>
      </c>
      <c r="AR1340">
        <f t="shared" si="1054"/>
        <v>0</v>
      </c>
      <c r="AS1340">
        <f t="shared" si="1053"/>
        <v>0.20700000000000002</v>
      </c>
      <c r="AT1340">
        <f t="shared" si="1057"/>
        <v>42</v>
      </c>
      <c r="AU1340">
        <f t="shared" si="1058"/>
        <v>0</v>
      </c>
      <c r="AV1340">
        <f t="shared" si="1043"/>
        <v>28</v>
      </c>
      <c r="AW1340">
        <f t="shared" si="1044"/>
        <v>0</v>
      </c>
      <c r="AX1340" s="3">
        <f t="shared" si="1045"/>
        <v>173.76544766708699</v>
      </c>
      <c r="AY1340">
        <f t="shared" si="1046"/>
        <v>21</v>
      </c>
      <c r="AZ1340">
        <f t="shared" si="1047"/>
        <v>0</v>
      </c>
      <c r="BA1340" s="3">
        <f t="shared" si="1048"/>
        <v>180.76544766708699</v>
      </c>
    </row>
    <row r="1341" spans="1:53" x14ac:dyDescent="0.2">
      <c r="A1341">
        <v>2001</v>
      </c>
      <c r="B1341" t="s">
        <v>115</v>
      </c>
      <c r="C1341" t="s">
        <v>99</v>
      </c>
      <c r="D1341">
        <v>4.3</v>
      </c>
      <c r="E1341">
        <v>0</v>
      </c>
      <c r="F1341">
        <v>2</v>
      </c>
      <c r="G1341">
        <v>0</v>
      </c>
      <c r="H1341">
        <v>0</v>
      </c>
      <c r="I1341">
        <v>0</v>
      </c>
      <c r="J1341">
        <v>1.6</v>
      </c>
      <c r="K1341">
        <f t="shared" si="1059"/>
        <v>7.9</v>
      </c>
      <c r="L1341">
        <v>0</v>
      </c>
      <c r="M1341">
        <v>0</v>
      </c>
      <c r="N1341">
        <v>0.6</v>
      </c>
      <c r="O1341">
        <f t="shared" si="1060"/>
        <v>0.6</v>
      </c>
      <c r="P1341">
        <v>0</v>
      </c>
      <c r="Q1341">
        <v>0</v>
      </c>
      <c r="R1341">
        <v>3.5</v>
      </c>
      <c r="S1341">
        <f t="shared" si="1061"/>
        <v>3.5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f t="shared" si="1062"/>
        <v>0</v>
      </c>
      <c r="AB1341">
        <v>0</v>
      </c>
      <c r="AC1341">
        <v>0</v>
      </c>
      <c r="AD1341">
        <v>0</v>
      </c>
      <c r="AE1341">
        <v>0</v>
      </c>
      <c r="AF1341">
        <v>0.6</v>
      </c>
      <c r="AG1341">
        <v>0</v>
      </c>
      <c r="AH1341">
        <v>0</v>
      </c>
      <c r="AI1341">
        <v>0</v>
      </c>
      <c r="AJ1341" s="5">
        <f t="shared" si="1063"/>
        <v>0.6</v>
      </c>
      <c r="AK1341">
        <v>0</v>
      </c>
      <c r="AL1341">
        <v>0.875</v>
      </c>
      <c r="AM1341">
        <f t="shared" si="1055"/>
        <v>0.126</v>
      </c>
      <c r="AN1341">
        <v>170</v>
      </c>
      <c r="AO1341" t="s">
        <v>13</v>
      </c>
      <c r="AP1341" s="3">
        <f t="shared" si="1056"/>
        <v>194.50800915331808</v>
      </c>
      <c r="AQ1341" t="s">
        <v>13</v>
      </c>
      <c r="AR1341">
        <f t="shared" si="1054"/>
        <v>4.7619047619047616E-2</v>
      </c>
      <c r="AS1341">
        <f t="shared" si="1053"/>
        <v>0.12</v>
      </c>
      <c r="AT1341">
        <f t="shared" si="1057"/>
        <v>23</v>
      </c>
      <c r="AU1341">
        <f t="shared" si="1058"/>
        <v>1</v>
      </c>
      <c r="AV1341">
        <f t="shared" si="1043"/>
        <v>16</v>
      </c>
      <c r="AW1341">
        <f t="shared" si="1044"/>
        <v>1</v>
      </c>
      <c r="AX1341" s="3">
        <f t="shared" si="1045"/>
        <v>177.50800915331808</v>
      </c>
      <c r="AY1341">
        <f t="shared" si="1046"/>
        <v>12</v>
      </c>
      <c r="AZ1341">
        <f t="shared" si="1047"/>
        <v>1</v>
      </c>
      <c r="BA1341" s="3">
        <f t="shared" si="1048"/>
        <v>181.50800915331808</v>
      </c>
    </row>
    <row r="1342" spans="1:53" x14ac:dyDescent="0.2">
      <c r="A1342">
        <v>2002</v>
      </c>
      <c r="B1342" t="s">
        <v>115</v>
      </c>
      <c r="C1342" t="s">
        <v>99</v>
      </c>
      <c r="D1342">
        <v>13</v>
      </c>
      <c r="E1342">
        <v>0.6</v>
      </c>
      <c r="F1342">
        <v>1.4</v>
      </c>
      <c r="G1342">
        <v>3.8</v>
      </c>
      <c r="H1342">
        <v>2.2999999999999998</v>
      </c>
      <c r="I1342">
        <v>0.3</v>
      </c>
      <c r="J1342">
        <v>1</v>
      </c>
      <c r="K1342">
        <f t="shared" si="1059"/>
        <v>22.400000000000002</v>
      </c>
      <c r="L1342">
        <v>0.2</v>
      </c>
      <c r="M1342">
        <v>0</v>
      </c>
      <c r="N1342">
        <v>2</v>
      </c>
      <c r="O1342">
        <f t="shared" si="1060"/>
        <v>2.2000000000000002</v>
      </c>
      <c r="P1342">
        <v>0</v>
      </c>
      <c r="Q1342">
        <v>0</v>
      </c>
      <c r="R1342">
        <v>2.7</v>
      </c>
      <c r="S1342">
        <f t="shared" si="1061"/>
        <v>2.7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f t="shared" si="1062"/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 s="5">
        <f t="shared" si="1063"/>
        <v>0</v>
      </c>
      <c r="AK1342">
        <v>0</v>
      </c>
      <c r="AL1342">
        <v>0.72699999999999998</v>
      </c>
      <c r="AM1342">
        <f t="shared" si="1055"/>
        <v>0.27300000000000002</v>
      </c>
      <c r="AN1342">
        <v>23</v>
      </c>
      <c r="AO1342" t="s">
        <v>13</v>
      </c>
      <c r="AP1342" s="3">
        <f t="shared" si="1056"/>
        <v>31.636863823933975</v>
      </c>
      <c r="AQ1342" t="s">
        <v>13</v>
      </c>
      <c r="AR1342">
        <f t="shared" si="1054"/>
        <v>0</v>
      </c>
      <c r="AS1342">
        <f t="shared" si="1053"/>
        <v>0.27300000000000002</v>
      </c>
      <c r="AT1342">
        <f t="shared" si="1057"/>
        <v>9</v>
      </c>
      <c r="AU1342">
        <f t="shared" si="1058"/>
        <v>0</v>
      </c>
      <c r="AV1342">
        <f t="shared" si="1043"/>
        <v>5</v>
      </c>
      <c r="AW1342">
        <f t="shared" si="1044"/>
        <v>0</v>
      </c>
      <c r="AX1342" s="3">
        <f t="shared" si="1045"/>
        <v>26.636863823933975</v>
      </c>
      <c r="AY1342">
        <f t="shared" si="1046"/>
        <v>4</v>
      </c>
      <c r="AZ1342">
        <f t="shared" si="1047"/>
        <v>0</v>
      </c>
      <c r="BA1342" s="3">
        <f t="shared" si="1048"/>
        <v>27.636863823933975</v>
      </c>
    </row>
    <row r="1343" spans="1:53" x14ac:dyDescent="0.2">
      <c r="A1343">
        <v>2003</v>
      </c>
      <c r="B1343" t="s">
        <v>115</v>
      </c>
      <c r="C1343" t="s">
        <v>99</v>
      </c>
      <c r="D1343">
        <v>14.6</v>
      </c>
      <c r="E1343">
        <v>2.1</v>
      </c>
      <c r="F1343">
        <v>3.1</v>
      </c>
      <c r="G1343">
        <v>0.8</v>
      </c>
      <c r="H1343">
        <v>1.7</v>
      </c>
      <c r="I1343">
        <v>0</v>
      </c>
      <c r="J1343">
        <v>0</v>
      </c>
      <c r="K1343">
        <f t="shared" si="1059"/>
        <v>22.3</v>
      </c>
      <c r="L1343">
        <v>0</v>
      </c>
      <c r="M1343">
        <v>0</v>
      </c>
      <c r="N1343">
        <v>2.9</v>
      </c>
      <c r="O1343">
        <f t="shared" si="1060"/>
        <v>2.9</v>
      </c>
      <c r="P1343">
        <v>0</v>
      </c>
      <c r="Q1343">
        <v>0</v>
      </c>
      <c r="R1343">
        <v>2.6</v>
      </c>
      <c r="S1343">
        <f t="shared" si="1061"/>
        <v>2.6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f t="shared" si="1062"/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 s="5">
        <f t="shared" si="1063"/>
        <v>0</v>
      </c>
      <c r="AK1343">
        <v>0</v>
      </c>
      <c r="AL1343">
        <v>0.72199999999999998</v>
      </c>
      <c r="AM1343">
        <f t="shared" si="1055"/>
        <v>0.27800000000000002</v>
      </c>
      <c r="AN1343">
        <v>28</v>
      </c>
      <c r="AO1343" t="s">
        <v>13</v>
      </c>
      <c r="AP1343" s="3">
        <f t="shared" si="1056"/>
        <v>38.78116343490305</v>
      </c>
      <c r="AQ1343" t="s">
        <v>13</v>
      </c>
      <c r="AR1343">
        <f t="shared" si="1054"/>
        <v>0</v>
      </c>
      <c r="AS1343">
        <f t="shared" si="1053"/>
        <v>0.27800000000000002</v>
      </c>
      <c r="AT1343">
        <f t="shared" si="1057"/>
        <v>11</v>
      </c>
      <c r="AU1343">
        <f t="shared" si="1058"/>
        <v>0</v>
      </c>
      <c r="AV1343">
        <f t="shared" si="1043"/>
        <v>6</v>
      </c>
      <c r="AW1343">
        <f t="shared" si="1044"/>
        <v>0</v>
      </c>
      <c r="AX1343" s="3">
        <f t="shared" si="1045"/>
        <v>32.78116343490305</v>
      </c>
      <c r="AY1343">
        <f t="shared" si="1046"/>
        <v>5</v>
      </c>
      <c r="AZ1343">
        <f t="shared" si="1047"/>
        <v>0</v>
      </c>
      <c r="BA1343" s="3">
        <f t="shared" si="1048"/>
        <v>33.78116343490305</v>
      </c>
    </row>
    <row r="1344" spans="1:53" x14ac:dyDescent="0.2">
      <c r="A1344">
        <v>2004</v>
      </c>
      <c r="B1344" t="s">
        <v>115</v>
      </c>
      <c r="C1344" t="s">
        <v>99</v>
      </c>
      <c r="D1344">
        <v>13.6</v>
      </c>
      <c r="E1344">
        <v>8.4</v>
      </c>
      <c r="F1344">
        <v>2.2999999999999998</v>
      </c>
      <c r="G1344">
        <v>2.7</v>
      </c>
      <c r="H1344">
        <v>1.6</v>
      </c>
      <c r="I1344">
        <v>0.1</v>
      </c>
      <c r="J1344">
        <v>0.6</v>
      </c>
      <c r="K1344">
        <f t="shared" si="1059"/>
        <v>29.300000000000004</v>
      </c>
      <c r="L1344">
        <v>0</v>
      </c>
      <c r="M1344">
        <v>0</v>
      </c>
      <c r="N1344">
        <v>2.9</v>
      </c>
      <c r="O1344">
        <f t="shared" si="1060"/>
        <v>2.9</v>
      </c>
      <c r="P1344">
        <v>0</v>
      </c>
      <c r="Q1344">
        <v>0</v>
      </c>
      <c r="R1344">
        <v>3</v>
      </c>
      <c r="S1344">
        <f t="shared" si="1061"/>
        <v>3</v>
      </c>
      <c r="T1344">
        <v>0</v>
      </c>
      <c r="U1344">
        <v>0.1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f t="shared" si="1062"/>
        <v>0.1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 s="5">
        <f t="shared" si="1063"/>
        <v>0</v>
      </c>
      <c r="AK1344">
        <v>0.3</v>
      </c>
      <c r="AL1344">
        <v>0.64400000000000002</v>
      </c>
      <c r="AM1344">
        <f t="shared" si="1055"/>
        <v>0.35300000000000004</v>
      </c>
      <c r="AN1344">
        <v>72</v>
      </c>
      <c r="AO1344" t="s">
        <v>13</v>
      </c>
      <c r="AP1344" s="3">
        <f t="shared" si="1056"/>
        <v>111.28284389489953</v>
      </c>
      <c r="AQ1344" t="s">
        <v>13</v>
      </c>
      <c r="AR1344">
        <f t="shared" si="1054"/>
        <v>0</v>
      </c>
      <c r="AS1344">
        <f t="shared" si="1053"/>
        <v>0.35300000000000004</v>
      </c>
      <c r="AT1344">
        <f t="shared" si="1057"/>
        <v>39</v>
      </c>
      <c r="AU1344">
        <f t="shared" si="1058"/>
        <v>0</v>
      </c>
      <c r="AV1344">
        <f t="shared" si="1043"/>
        <v>23</v>
      </c>
      <c r="AW1344">
        <f t="shared" si="1044"/>
        <v>0</v>
      </c>
      <c r="AX1344" s="3">
        <f t="shared" si="1045"/>
        <v>88.282843894899528</v>
      </c>
      <c r="AY1344">
        <f t="shared" si="1046"/>
        <v>20</v>
      </c>
      <c r="AZ1344">
        <f t="shared" si="1047"/>
        <v>0</v>
      </c>
      <c r="BA1344" s="3">
        <f t="shared" si="1048"/>
        <v>91.282843894899528</v>
      </c>
    </row>
    <row r="1345" spans="1:53" x14ac:dyDescent="0.2">
      <c r="A1345">
        <v>2005</v>
      </c>
      <c r="B1345" t="s">
        <v>115</v>
      </c>
      <c r="C1345" t="s">
        <v>99</v>
      </c>
      <c r="D1345">
        <v>15.4</v>
      </c>
      <c r="E1345">
        <v>2</v>
      </c>
      <c r="F1345">
        <v>4.5</v>
      </c>
      <c r="G1345">
        <v>3.1</v>
      </c>
      <c r="H1345">
        <v>4.3</v>
      </c>
      <c r="I1345">
        <v>0</v>
      </c>
      <c r="J1345">
        <v>1.1000000000000001</v>
      </c>
      <c r="K1345">
        <f t="shared" si="1059"/>
        <v>30.400000000000002</v>
      </c>
      <c r="L1345">
        <v>0</v>
      </c>
      <c r="M1345">
        <v>0</v>
      </c>
      <c r="N1345">
        <v>6.4</v>
      </c>
      <c r="O1345">
        <f t="shared" si="1060"/>
        <v>6.4</v>
      </c>
      <c r="P1345">
        <v>0</v>
      </c>
      <c r="Q1345">
        <v>0</v>
      </c>
      <c r="R1345">
        <v>3.7</v>
      </c>
      <c r="S1345">
        <f t="shared" si="1061"/>
        <v>3.7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f t="shared" si="1062"/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 s="5">
        <f t="shared" si="1063"/>
        <v>0</v>
      </c>
      <c r="AK1345">
        <v>0.1</v>
      </c>
      <c r="AL1345">
        <v>0.59399999999999997</v>
      </c>
      <c r="AM1345">
        <f t="shared" si="1055"/>
        <v>0.40500000000000003</v>
      </c>
      <c r="AN1345">
        <v>36</v>
      </c>
      <c r="AO1345" t="s">
        <v>13</v>
      </c>
      <c r="AP1345" s="3">
        <f t="shared" si="1056"/>
        <v>60.504201680672274</v>
      </c>
      <c r="AQ1345" t="s">
        <v>13</v>
      </c>
      <c r="AR1345">
        <f t="shared" si="1054"/>
        <v>0</v>
      </c>
      <c r="AS1345">
        <f t="shared" si="1053"/>
        <v>0.40500000000000008</v>
      </c>
      <c r="AT1345">
        <f t="shared" si="1057"/>
        <v>25</v>
      </c>
      <c r="AU1345">
        <f t="shared" si="1058"/>
        <v>0</v>
      </c>
      <c r="AV1345">
        <f t="shared" si="1043"/>
        <v>15</v>
      </c>
      <c r="AW1345">
        <f t="shared" si="1044"/>
        <v>0</v>
      </c>
      <c r="AX1345" s="3">
        <f t="shared" si="1045"/>
        <v>45.504201680672274</v>
      </c>
      <c r="AY1345">
        <f t="shared" si="1046"/>
        <v>12</v>
      </c>
      <c r="AZ1345">
        <f t="shared" si="1047"/>
        <v>0</v>
      </c>
      <c r="BA1345" s="3">
        <f t="shared" si="1048"/>
        <v>48.504201680672274</v>
      </c>
    </row>
    <row r="1346" spans="1:53" x14ac:dyDescent="0.2">
      <c r="A1346">
        <v>2006</v>
      </c>
      <c r="B1346" t="s">
        <v>115</v>
      </c>
      <c r="C1346" t="s">
        <v>99</v>
      </c>
      <c r="D1346">
        <v>11.6</v>
      </c>
      <c r="E1346">
        <v>2.5</v>
      </c>
      <c r="F1346">
        <v>3.9</v>
      </c>
      <c r="G1346">
        <v>2.6</v>
      </c>
      <c r="H1346">
        <v>2.9</v>
      </c>
      <c r="I1346">
        <v>0</v>
      </c>
      <c r="J1346">
        <v>1.9</v>
      </c>
      <c r="K1346">
        <f t="shared" si="1059"/>
        <v>25.4</v>
      </c>
      <c r="L1346">
        <v>0</v>
      </c>
      <c r="M1346">
        <v>0</v>
      </c>
      <c r="N1346">
        <v>2.1</v>
      </c>
      <c r="O1346">
        <f t="shared" si="1060"/>
        <v>2.1</v>
      </c>
      <c r="P1346">
        <v>0</v>
      </c>
      <c r="Q1346">
        <v>0</v>
      </c>
      <c r="R1346">
        <v>4.4000000000000004</v>
      </c>
      <c r="S1346">
        <f t="shared" si="1061"/>
        <v>4.4000000000000004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f t="shared" si="1062"/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 s="5">
        <f t="shared" si="1063"/>
        <v>0</v>
      </c>
      <c r="AK1346">
        <v>0</v>
      </c>
      <c r="AL1346">
        <v>0.68200000000000005</v>
      </c>
      <c r="AM1346">
        <f t="shared" si="1055"/>
        <v>0.31900000000000001</v>
      </c>
      <c r="AN1346">
        <v>117</v>
      </c>
      <c r="AO1346" t="s">
        <v>13</v>
      </c>
      <c r="AP1346" s="3">
        <f t="shared" si="1056"/>
        <v>171.80616740088104</v>
      </c>
      <c r="AQ1346" t="s">
        <v>13</v>
      </c>
      <c r="AR1346">
        <f t="shared" si="1054"/>
        <v>0</v>
      </c>
      <c r="AS1346">
        <f t="shared" si="1053"/>
        <v>0.31900000000000001</v>
      </c>
      <c r="AT1346">
        <f t="shared" si="1057"/>
        <v>55</v>
      </c>
      <c r="AU1346">
        <f t="shared" si="1058"/>
        <v>0</v>
      </c>
      <c r="AV1346">
        <f t="shared" si="1043"/>
        <v>33</v>
      </c>
      <c r="AW1346">
        <f t="shared" si="1044"/>
        <v>0</v>
      </c>
      <c r="AX1346" s="3">
        <f t="shared" si="1045"/>
        <v>138.80616740088104</v>
      </c>
      <c r="AY1346">
        <f t="shared" si="1046"/>
        <v>27</v>
      </c>
      <c r="AZ1346">
        <f t="shared" si="1047"/>
        <v>0</v>
      </c>
      <c r="BA1346" s="3">
        <f t="shared" si="1048"/>
        <v>144.80616740088104</v>
      </c>
    </row>
    <row r="1347" spans="1:53" x14ac:dyDescent="0.2">
      <c r="A1347">
        <v>2007</v>
      </c>
      <c r="B1347" t="s">
        <v>115</v>
      </c>
      <c r="C1347" t="s">
        <v>99</v>
      </c>
      <c r="D1347">
        <v>16.2</v>
      </c>
      <c r="E1347">
        <v>3.3</v>
      </c>
      <c r="F1347">
        <v>5.9</v>
      </c>
      <c r="G1347">
        <v>4.9000000000000004</v>
      </c>
      <c r="H1347">
        <v>5.3</v>
      </c>
      <c r="I1347">
        <v>0.1</v>
      </c>
      <c r="J1347">
        <v>1.3</v>
      </c>
      <c r="K1347">
        <f t="shared" si="1059"/>
        <v>36.999999999999993</v>
      </c>
      <c r="L1347">
        <v>0</v>
      </c>
      <c r="M1347">
        <v>0</v>
      </c>
      <c r="N1347">
        <v>1.7</v>
      </c>
      <c r="O1347">
        <f t="shared" si="1060"/>
        <v>1.7</v>
      </c>
      <c r="P1347">
        <v>0</v>
      </c>
      <c r="Q1347">
        <v>0</v>
      </c>
      <c r="R1347">
        <v>5</v>
      </c>
      <c r="S1347">
        <f t="shared" si="1061"/>
        <v>5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f t="shared" si="1062"/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 s="5">
        <f t="shared" si="1063"/>
        <v>0</v>
      </c>
      <c r="AK1347">
        <v>0</v>
      </c>
      <c r="AL1347">
        <v>0.56299999999999994</v>
      </c>
      <c r="AM1347">
        <f t="shared" si="1055"/>
        <v>0.43699999999999994</v>
      </c>
      <c r="AN1347">
        <v>13</v>
      </c>
      <c r="AO1347" t="s">
        <v>13</v>
      </c>
      <c r="AP1347" s="3">
        <f t="shared" si="1056"/>
        <v>23.090586145648309</v>
      </c>
      <c r="AQ1347" t="s">
        <v>13</v>
      </c>
      <c r="AR1347">
        <f t="shared" si="1054"/>
        <v>0</v>
      </c>
      <c r="AS1347">
        <f t="shared" si="1053"/>
        <v>0.43699999999999994</v>
      </c>
      <c r="AT1347">
        <f t="shared" si="1057"/>
        <v>10</v>
      </c>
      <c r="AU1347">
        <f t="shared" si="1058"/>
        <v>0</v>
      </c>
      <c r="AV1347">
        <f t="shared" ref="AV1347:AV1410" si="1064">ROUND((((K1347*0.5)+O1347+S1347+AA1347)/100)*AP1347,0)</f>
        <v>6</v>
      </c>
      <c r="AW1347">
        <f t="shared" ref="AW1347:AW1410" si="1065">ROUND((AU1347/(AP1347-AT1347))*(AP1347-AV1347),0)</f>
        <v>0</v>
      </c>
      <c r="AX1347" s="3">
        <f t="shared" ref="AX1347:AX1410" si="1066">AP1347-AV1347-AW1347</f>
        <v>17.090586145648309</v>
      </c>
      <c r="AY1347">
        <f t="shared" ref="AY1347:AY1410" si="1067">ROUND((0.5*AS1347)*AP1347,0)</f>
        <v>5</v>
      </c>
      <c r="AZ1347">
        <f t="shared" ref="AZ1347:AZ1410" si="1068">ROUND((AU1347/(AP1347-AT1347))*(AP1347-AY1347),0)</f>
        <v>0</v>
      </c>
      <c r="BA1347" s="3">
        <f t="shared" ref="BA1347:BA1410" si="1069">AP1347-AZ1347-AY1347</f>
        <v>18.090586145648309</v>
      </c>
    </row>
    <row r="1348" spans="1:53" x14ac:dyDescent="0.2">
      <c r="A1348">
        <v>2008</v>
      </c>
      <c r="B1348" t="s">
        <v>115</v>
      </c>
      <c r="C1348" t="s">
        <v>99</v>
      </c>
      <c r="D1348">
        <v>9.9</v>
      </c>
      <c r="E1348">
        <v>0.5</v>
      </c>
      <c r="F1348">
        <v>2.4</v>
      </c>
      <c r="G1348">
        <v>2.6</v>
      </c>
      <c r="H1348">
        <v>2.7</v>
      </c>
      <c r="I1348">
        <v>0</v>
      </c>
      <c r="J1348">
        <v>0.8</v>
      </c>
      <c r="K1348">
        <f t="shared" si="1059"/>
        <v>18.900000000000002</v>
      </c>
      <c r="L1348">
        <v>0</v>
      </c>
      <c r="M1348">
        <v>0</v>
      </c>
      <c r="N1348">
        <v>3.4</v>
      </c>
      <c r="O1348">
        <f t="shared" si="1060"/>
        <v>3.4</v>
      </c>
      <c r="P1348">
        <v>0</v>
      </c>
      <c r="Q1348">
        <v>0</v>
      </c>
      <c r="R1348">
        <v>2.8</v>
      </c>
      <c r="S1348">
        <f t="shared" si="1061"/>
        <v>2.8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f t="shared" si="1062"/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 s="5">
        <f t="shared" si="1063"/>
        <v>0</v>
      </c>
      <c r="AK1348">
        <v>0</v>
      </c>
      <c r="AL1348">
        <v>0.74900000000000011</v>
      </c>
      <c r="AM1348">
        <f t="shared" si="1055"/>
        <v>0.251</v>
      </c>
      <c r="AN1348">
        <v>24</v>
      </c>
      <c r="AO1348" t="s">
        <v>13</v>
      </c>
      <c r="AP1348" s="3">
        <f t="shared" si="1056"/>
        <v>32.042723631508679</v>
      </c>
      <c r="AQ1348" t="s">
        <v>13</v>
      </c>
      <c r="AR1348">
        <f t="shared" si="1054"/>
        <v>0</v>
      </c>
      <c r="AS1348">
        <f t="shared" si="1053"/>
        <v>0.251</v>
      </c>
      <c r="AT1348">
        <f t="shared" si="1057"/>
        <v>8</v>
      </c>
      <c r="AU1348">
        <f t="shared" si="1058"/>
        <v>0</v>
      </c>
      <c r="AV1348">
        <f t="shared" si="1064"/>
        <v>5</v>
      </c>
      <c r="AW1348">
        <f t="shared" si="1065"/>
        <v>0</v>
      </c>
      <c r="AX1348" s="3">
        <f t="shared" si="1066"/>
        <v>27.042723631508679</v>
      </c>
      <c r="AY1348">
        <f t="shared" si="1067"/>
        <v>4</v>
      </c>
      <c r="AZ1348">
        <f t="shared" si="1068"/>
        <v>0</v>
      </c>
      <c r="BA1348" s="3">
        <f t="shared" si="1069"/>
        <v>28.042723631508679</v>
      </c>
    </row>
    <row r="1349" spans="1:53" x14ac:dyDescent="0.2">
      <c r="A1349">
        <v>2009</v>
      </c>
      <c r="B1349" t="s">
        <v>115</v>
      </c>
      <c r="C1349" t="s">
        <v>99</v>
      </c>
      <c r="D1349">
        <v>12.1</v>
      </c>
      <c r="E1349">
        <v>10.199999999999999</v>
      </c>
      <c r="F1349">
        <v>4.5</v>
      </c>
      <c r="G1349">
        <v>2</v>
      </c>
      <c r="H1349">
        <v>7.2</v>
      </c>
      <c r="I1349">
        <v>0</v>
      </c>
      <c r="J1349">
        <v>1.1000000000000001</v>
      </c>
      <c r="K1349">
        <f t="shared" si="1059"/>
        <v>37.1</v>
      </c>
      <c r="L1349">
        <v>0</v>
      </c>
      <c r="M1349">
        <v>0</v>
      </c>
      <c r="N1349">
        <v>6.5</v>
      </c>
      <c r="O1349">
        <f t="shared" si="1060"/>
        <v>6.5</v>
      </c>
      <c r="P1349">
        <v>0</v>
      </c>
      <c r="Q1349">
        <v>0</v>
      </c>
      <c r="R1349">
        <v>5.7</v>
      </c>
      <c r="S1349">
        <f t="shared" si="1061"/>
        <v>5.7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f t="shared" si="1062"/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 s="5">
        <f t="shared" si="1063"/>
        <v>0</v>
      </c>
      <c r="AK1349">
        <v>0</v>
      </c>
      <c r="AL1349">
        <v>0.50600000000000001</v>
      </c>
      <c r="AM1349">
        <f t="shared" si="1055"/>
        <v>0.49300000000000005</v>
      </c>
      <c r="AN1349">
        <v>15</v>
      </c>
      <c r="AO1349" t="s">
        <v>13</v>
      </c>
      <c r="AP1349" s="3">
        <f t="shared" si="1056"/>
        <v>29.585798816568055</v>
      </c>
      <c r="AQ1349" t="s">
        <v>13</v>
      </c>
      <c r="AR1349">
        <f t="shared" si="1054"/>
        <v>0</v>
      </c>
      <c r="AS1349">
        <f t="shared" si="1053"/>
        <v>0.49300000000000005</v>
      </c>
      <c r="AT1349">
        <f t="shared" si="1057"/>
        <v>15</v>
      </c>
      <c r="AU1349">
        <f t="shared" si="1058"/>
        <v>0</v>
      </c>
      <c r="AV1349">
        <f t="shared" si="1064"/>
        <v>9</v>
      </c>
      <c r="AW1349">
        <f t="shared" si="1065"/>
        <v>0</v>
      </c>
      <c r="AX1349" s="3">
        <f t="shared" si="1066"/>
        <v>20.585798816568055</v>
      </c>
      <c r="AY1349">
        <f t="shared" si="1067"/>
        <v>7</v>
      </c>
      <c r="AZ1349">
        <f t="shared" si="1068"/>
        <v>0</v>
      </c>
      <c r="BA1349" s="3">
        <f t="shared" si="1069"/>
        <v>22.585798816568055</v>
      </c>
    </row>
    <row r="1350" spans="1:53" x14ac:dyDescent="0.2">
      <c r="A1350">
        <v>2010</v>
      </c>
      <c r="B1350" t="s">
        <v>115</v>
      </c>
      <c r="C1350" t="s">
        <v>99</v>
      </c>
      <c r="D1350">
        <v>7.2</v>
      </c>
      <c r="E1350">
        <v>0.3</v>
      </c>
      <c r="F1350">
        <v>8.8000000000000007</v>
      </c>
      <c r="G1350">
        <v>3</v>
      </c>
      <c r="H1350">
        <v>4.7</v>
      </c>
      <c r="I1350">
        <v>0.7</v>
      </c>
      <c r="J1350">
        <v>2.2000000000000002</v>
      </c>
      <c r="K1350">
        <f t="shared" si="1059"/>
        <v>26.9</v>
      </c>
      <c r="L1350">
        <v>0</v>
      </c>
      <c r="M1350">
        <v>0</v>
      </c>
      <c r="N1350">
        <v>2.6</v>
      </c>
      <c r="O1350">
        <f t="shared" si="1060"/>
        <v>2.6</v>
      </c>
      <c r="P1350">
        <v>0</v>
      </c>
      <c r="Q1350">
        <v>0</v>
      </c>
      <c r="R1350">
        <v>5.0999999999999996</v>
      </c>
      <c r="S1350">
        <f t="shared" si="1061"/>
        <v>5.0999999999999996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f t="shared" si="1062"/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0.1</v>
      </c>
      <c r="AI1350">
        <v>0</v>
      </c>
      <c r="AJ1350" s="5">
        <f t="shared" si="1063"/>
        <v>0.1</v>
      </c>
      <c r="AK1350">
        <v>0</v>
      </c>
      <c r="AL1350">
        <v>0.65099999999999991</v>
      </c>
      <c r="AM1350">
        <f t="shared" si="1055"/>
        <v>0.34700000000000003</v>
      </c>
      <c r="AN1350">
        <v>9</v>
      </c>
      <c r="AO1350" t="s">
        <v>13</v>
      </c>
      <c r="AP1350" s="3">
        <f t="shared" si="1056"/>
        <v>13.782542113323123</v>
      </c>
      <c r="AQ1350" t="s">
        <v>13</v>
      </c>
      <c r="AR1350">
        <f t="shared" si="1054"/>
        <v>2.881844380403458E-3</v>
      </c>
      <c r="AS1350">
        <f t="shared" si="1053"/>
        <v>0.34600000000000003</v>
      </c>
      <c r="AT1350">
        <f t="shared" si="1057"/>
        <v>5</v>
      </c>
      <c r="AU1350">
        <f t="shared" si="1058"/>
        <v>0</v>
      </c>
      <c r="AV1350">
        <f t="shared" si="1064"/>
        <v>3</v>
      </c>
      <c r="AW1350">
        <f t="shared" si="1065"/>
        <v>0</v>
      </c>
      <c r="AX1350" s="3">
        <f t="shared" si="1066"/>
        <v>10.782542113323123</v>
      </c>
      <c r="AY1350">
        <f t="shared" si="1067"/>
        <v>2</v>
      </c>
      <c r="AZ1350">
        <f t="shared" si="1068"/>
        <v>0</v>
      </c>
      <c r="BA1350" s="3">
        <f t="shared" si="1069"/>
        <v>11.782542113323123</v>
      </c>
    </row>
    <row r="1351" spans="1:53" x14ac:dyDescent="0.2">
      <c r="A1351">
        <v>2011</v>
      </c>
      <c r="B1351" t="s">
        <v>115</v>
      </c>
      <c r="C1351" t="s">
        <v>99</v>
      </c>
      <c r="D1351">
        <v>13.7</v>
      </c>
      <c r="E1351">
        <v>1.9</v>
      </c>
      <c r="F1351">
        <v>3</v>
      </c>
      <c r="G1351">
        <v>3.4</v>
      </c>
      <c r="H1351">
        <v>3.5</v>
      </c>
      <c r="I1351">
        <v>0.2</v>
      </c>
      <c r="J1351">
        <v>3.8</v>
      </c>
      <c r="K1351">
        <f t="shared" si="1059"/>
        <v>29.5</v>
      </c>
      <c r="L1351">
        <v>0</v>
      </c>
      <c r="M1351">
        <v>0</v>
      </c>
      <c r="N1351">
        <v>4.0999999999999996</v>
      </c>
      <c r="O1351">
        <f t="shared" si="1060"/>
        <v>4.0999999999999996</v>
      </c>
      <c r="P1351">
        <v>0</v>
      </c>
      <c r="Q1351">
        <v>0</v>
      </c>
      <c r="R1351">
        <v>4.3</v>
      </c>
      <c r="S1351">
        <f t="shared" si="1061"/>
        <v>4.3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0.6</v>
      </c>
      <c r="Z1351">
        <v>0</v>
      </c>
      <c r="AA1351">
        <f t="shared" si="1062"/>
        <v>0.6</v>
      </c>
      <c r="AB1351">
        <v>0.1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 s="5">
        <f t="shared" si="1063"/>
        <v>0.1</v>
      </c>
      <c r="AK1351">
        <v>0</v>
      </c>
      <c r="AL1351">
        <v>0.61399999999999999</v>
      </c>
      <c r="AM1351">
        <f t="shared" si="1055"/>
        <v>0.38599999999999995</v>
      </c>
      <c r="AN1351">
        <v>48</v>
      </c>
      <c r="AO1351" t="s">
        <v>13</v>
      </c>
      <c r="AP1351" s="3">
        <f t="shared" si="1056"/>
        <v>78.175895765472305</v>
      </c>
      <c r="AQ1351" t="s">
        <v>13</v>
      </c>
      <c r="AR1351">
        <f t="shared" si="1054"/>
        <v>2.5906735751295342E-3</v>
      </c>
      <c r="AS1351">
        <f t="shared" si="1053"/>
        <v>0.38500000000000001</v>
      </c>
      <c r="AT1351">
        <f t="shared" si="1057"/>
        <v>30</v>
      </c>
      <c r="AU1351">
        <f t="shared" si="1058"/>
        <v>0</v>
      </c>
      <c r="AV1351">
        <f t="shared" si="1064"/>
        <v>19</v>
      </c>
      <c r="AW1351">
        <f t="shared" si="1065"/>
        <v>0</v>
      </c>
      <c r="AX1351" s="3">
        <f t="shared" si="1066"/>
        <v>59.175895765472305</v>
      </c>
      <c r="AY1351">
        <f t="shared" si="1067"/>
        <v>15</v>
      </c>
      <c r="AZ1351">
        <f t="shared" si="1068"/>
        <v>0</v>
      </c>
      <c r="BA1351" s="3">
        <f t="shared" si="1069"/>
        <v>63.175895765472305</v>
      </c>
    </row>
    <row r="1352" spans="1:53" x14ac:dyDescent="0.2">
      <c r="A1352">
        <v>2012</v>
      </c>
      <c r="B1352" t="s">
        <v>115</v>
      </c>
      <c r="C1352" t="s">
        <v>99</v>
      </c>
      <c r="D1352">
        <v>12.6</v>
      </c>
      <c r="E1352">
        <v>3.4</v>
      </c>
      <c r="F1352">
        <v>2.6</v>
      </c>
      <c r="G1352">
        <v>2.7</v>
      </c>
      <c r="H1352">
        <v>2.8</v>
      </c>
      <c r="I1352">
        <v>0.2</v>
      </c>
      <c r="J1352">
        <v>2.4</v>
      </c>
      <c r="K1352">
        <f t="shared" si="1059"/>
        <v>26.7</v>
      </c>
      <c r="L1352">
        <v>0</v>
      </c>
      <c r="M1352">
        <v>0</v>
      </c>
      <c r="N1352">
        <v>4.5999999999999996</v>
      </c>
      <c r="O1352">
        <f t="shared" si="1060"/>
        <v>4.5999999999999996</v>
      </c>
      <c r="P1352">
        <v>0</v>
      </c>
      <c r="Q1352">
        <v>0</v>
      </c>
      <c r="R1352">
        <v>5.8</v>
      </c>
      <c r="S1352">
        <f t="shared" si="1061"/>
        <v>5.8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f t="shared" si="1062"/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 s="5">
        <f t="shared" si="1063"/>
        <v>0</v>
      </c>
      <c r="AK1352">
        <v>0</v>
      </c>
      <c r="AL1352">
        <v>0.63</v>
      </c>
      <c r="AM1352">
        <f t="shared" ref="AM1352:AM1382" si="1070">SUM(AB1352:AI1352,T1352:Z1352,P1352:R1352,L1352:N1352,D1352:J1352)/100</f>
        <v>0.371</v>
      </c>
      <c r="AN1352">
        <v>80</v>
      </c>
      <c r="AO1352" t="s">
        <v>13</v>
      </c>
      <c r="AP1352" s="3">
        <f t="shared" si="1056"/>
        <v>127.18600953895071</v>
      </c>
      <c r="AQ1352" t="s">
        <v>13</v>
      </c>
      <c r="AR1352">
        <f t="shared" si="1054"/>
        <v>0</v>
      </c>
      <c r="AS1352">
        <f t="shared" si="1053"/>
        <v>0.37099999999999994</v>
      </c>
      <c r="AT1352">
        <f t="shared" si="1057"/>
        <v>47</v>
      </c>
      <c r="AU1352">
        <f t="shared" si="1058"/>
        <v>0</v>
      </c>
      <c r="AV1352">
        <f t="shared" si="1064"/>
        <v>30</v>
      </c>
      <c r="AW1352">
        <f t="shared" si="1065"/>
        <v>0</v>
      </c>
      <c r="AX1352" s="3">
        <f t="shared" si="1066"/>
        <v>97.186009538950714</v>
      </c>
      <c r="AY1352">
        <f t="shared" si="1067"/>
        <v>24</v>
      </c>
      <c r="AZ1352">
        <f t="shared" si="1068"/>
        <v>0</v>
      </c>
      <c r="BA1352" s="3">
        <f t="shared" si="1069"/>
        <v>103.18600953895071</v>
      </c>
    </row>
    <row r="1353" spans="1:53" x14ac:dyDescent="0.2">
      <c r="A1353">
        <v>2013</v>
      </c>
      <c r="B1353" t="s">
        <v>115</v>
      </c>
      <c r="C1353" t="s">
        <v>99</v>
      </c>
      <c r="D1353">
        <v>10.5</v>
      </c>
      <c r="E1353">
        <v>3.8</v>
      </c>
      <c r="F1353">
        <v>3.9</v>
      </c>
      <c r="G1353">
        <v>1</v>
      </c>
      <c r="H1353">
        <v>4.5</v>
      </c>
      <c r="I1353">
        <v>0</v>
      </c>
      <c r="J1353">
        <v>1</v>
      </c>
      <c r="K1353">
        <f t="shared" si="1059"/>
        <v>24.7</v>
      </c>
      <c r="L1353">
        <v>0</v>
      </c>
      <c r="M1353">
        <v>0</v>
      </c>
      <c r="N1353">
        <v>1.5</v>
      </c>
      <c r="O1353">
        <f t="shared" si="1060"/>
        <v>1.5</v>
      </c>
      <c r="P1353">
        <v>0</v>
      </c>
      <c r="Q1353">
        <v>0</v>
      </c>
      <c r="R1353">
        <v>8.5</v>
      </c>
      <c r="S1353">
        <f t="shared" si="1061"/>
        <v>8.5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f t="shared" si="1062"/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 s="5">
        <f t="shared" si="1063"/>
        <v>0</v>
      </c>
      <c r="AK1353">
        <v>0</v>
      </c>
      <c r="AL1353">
        <v>0.65300000000000002</v>
      </c>
      <c r="AM1353">
        <f t="shared" si="1070"/>
        <v>0.34700000000000003</v>
      </c>
      <c r="AN1353">
        <v>73</v>
      </c>
      <c r="AO1353" t="s">
        <v>13</v>
      </c>
      <c r="AP1353" s="3">
        <f t="shared" si="1056"/>
        <v>111.79173047473201</v>
      </c>
      <c r="AQ1353" t="s">
        <v>13</v>
      </c>
      <c r="AR1353">
        <f t="shared" si="1054"/>
        <v>0</v>
      </c>
      <c r="AS1353">
        <f t="shared" si="1053"/>
        <v>0.34700000000000003</v>
      </c>
      <c r="AT1353">
        <f t="shared" si="1057"/>
        <v>39</v>
      </c>
      <c r="AU1353">
        <f t="shared" si="1058"/>
        <v>0</v>
      </c>
      <c r="AV1353">
        <f t="shared" si="1064"/>
        <v>25</v>
      </c>
      <c r="AW1353">
        <f t="shared" si="1065"/>
        <v>0</v>
      </c>
      <c r="AX1353" s="3">
        <f t="shared" si="1066"/>
        <v>86.791730474732006</v>
      </c>
      <c r="AY1353">
        <f t="shared" si="1067"/>
        <v>19</v>
      </c>
      <c r="AZ1353">
        <f t="shared" si="1068"/>
        <v>0</v>
      </c>
      <c r="BA1353" s="3">
        <f t="shared" si="1069"/>
        <v>92.791730474732006</v>
      </c>
    </row>
    <row r="1354" spans="1:53" x14ac:dyDescent="0.2">
      <c r="A1354">
        <v>2014</v>
      </c>
      <c r="B1354" t="s">
        <v>115</v>
      </c>
      <c r="C1354" t="s">
        <v>99</v>
      </c>
      <c r="D1354">
        <v>13.9</v>
      </c>
      <c r="E1354">
        <v>2</v>
      </c>
      <c r="F1354">
        <v>7.1</v>
      </c>
      <c r="G1354">
        <v>1.9</v>
      </c>
      <c r="H1354">
        <v>3.4</v>
      </c>
      <c r="I1354">
        <v>0.7</v>
      </c>
      <c r="J1354">
        <v>4.5</v>
      </c>
      <c r="K1354">
        <f t="shared" si="1059"/>
        <v>33.5</v>
      </c>
      <c r="L1354">
        <v>0</v>
      </c>
      <c r="M1354">
        <v>0</v>
      </c>
      <c r="N1354">
        <v>1.4</v>
      </c>
      <c r="O1354">
        <f t="shared" si="1060"/>
        <v>1.4</v>
      </c>
      <c r="P1354">
        <v>0</v>
      </c>
      <c r="Q1354">
        <v>0</v>
      </c>
      <c r="R1354">
        <v>5</v>
      </c>
      <c r="S1354">
        <f t="shared" si="1061"/>
        <v>5</v>
      </c>
      <c r="T1354">
        <v>0</v>
      </c>
      <c r="U1354">
        <v>0.1</v>
      </c>
      <c r="V1354">
        <v>0</v>
      </c>
      <c r="W1354">
        <v>0</v>
      </c>
      <c r="X1354">
        <v>0</v>
      </c>
      <c r="Y1354">
        <v>0</v>
      </c>
      <c r="Z1354">
        <v>0.3</v>
      </c>
      <c r="AA1354">
        <f t="shared" si="1062"/>
        <v>0.4</v>
      </c>
      <c r="AB1354">
        <v>0.1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 s="5">
        <f t="shared" si="1063"/>
        <v>0.1</v>
      </c>
      <c r="AK1354">
        <v>0</v>
      </c>
      <c r="AL1354">
        <v>0.59299999999999997</v>
      </c>
      <c r="AM1354">
        <f t="shared" si="1070"/>
        <v>0.40399999999999997</v>
      </c>
      <c r="AN1354">
        <v>37</v>
      </c>
      <c r="AO1354" t="s">
        <v>13</v>
      </c>
      <c r="AP1354" s="3">
        <f t="shared" si="1056"/>
        <v>62.080536912751668</v>
      </c>
      <c r="AQ1354" t="s">
        <v>13</v>
      </c>
      <c r="AR1354">
        <f t="shared" si="1054"/>
        <v>2.4752475247524753E-3</v>
      </c>
      <c r="AS1354">
        <f t="shared" si="1053"/>
        <v>0.40299999999999997</v>
      </c>
      <c r="AT1354">
        <f t="shared" si="1057"/>
        <v>25</v>
      </c>
      <c r="AU1354">
        <f t="shared" si="1058"/>
        <v>0</v>
      </c>
      <c r="AV1354">
        <f t="shared" si="1064"/>
        <v>15</v>
      </c>
      <c r="AW1354">
        <f t="shared" si="1065"/>
        <v>0</v>
      </c>
      <c r="AX1354" s="3">
        <f t="shared" si="1066"/>
        <v>47.080536912751668</v>
      </c>
      <c r="AY1354">
        <f t="shared" si="1067"/>
        <v>13</v>
      </c>
      <c r="AZ1354">
        <f t="shared" si="1068"/>
        <v>0</v>
      </c>
      <c r="BA1354" s="3">
        <f t="shared" si="1069"/>
        <v>49.080536912751668</v>
      </c>
    </row>
    <row r="1355" spans="1:53" x14ac:dyDescent="0.2">
      <c r="A1355">
        <v>2015</v>
      </c>
      <c r="B1355" t="s">
        <v>115</v>
      </c>
      <c r="C1355" t="s">
        <v>99</v>
      </c>
      <c r="D1355">
        <v>4</v>
      </c>
      <c r="E1355">
        <v>3.2</v>
      </c>
      <c r="F1355">
        <v>4.7</v>
      </c>
      <c r="G1355">
        <v>0.4</v>
      </c>
      <c r="H1355">
        <v>3.8</v>
      </c>
      <c r="I1355">
        <v>0.3</v>
      </c>
      <c r="J1355">
        <v>2.8</v>
      </c>
      <c r="K1355">
        <f t="shared" si="1059"/>
        <v>19.200000000000003</v>
      </c>
      <c r="L1355">
        <v>0</v>
      </c>
      <c r="M1355">
        <v>0.1</v>
      </c>
      <c r="N1355">
        <v>2.2000000000000002</v>
      </c>
      <c r="O1355">
        <f t="shared" si="1060"/>
        <v>2.3000000000000003</v>
      </c>
      <c r="P1355">
        <v>0</v>
      </c>
      <c r="Q1355">
        <v>0</v>
      </c>
      <c r="R1355">
        <v>9.4</v>
      </c>
      <c r="S1355">
        <f t="shared" si="1061"/>
        <v>9.4</v>
      </c>
      <c r="T1355">
        <v>0.3</v>
      </c>
      <c r="U1355">
        <v>0.5</v>
      </c>
      <c r="V1355">
        <v>0</v>
      </c>
      <c r="W1355">
        <v>0</v>
      </c>
      <c r="X1355">
        <v>0</v>
      </c>
      <c r="Y1355">
        <v>0</v>
      </c>
      <c r="Z1355">
        <v>0.1</v>
      </c>
      <c r="AA1355">
        <f t="shared" si="1062"/>
        <v>0.9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 s="5">
        <f t="shared" si="1063"/>
        <v>0</v>
      </c>
      <c r="AK1355">
        <v>0.3</v>
      </c>
      <c r="AL1355">
        <v>0.68</v>
      </c>
      <c r="AM1355">
        <f t="shared" si="1070"/>
        <v>0.318</v>
      </c>
      <c r="AN1355">
        <v>49</v>
      </c>
      <c r="AO1355" t="s">
        <v>13</v>
      </c>
      <c r="AP1355" s="3">
        <f t="shared" si="1056"/>
        <v>71.84750733137831</v>
      </c>
      <c r="AQ1355" t="s">
        <v>13</v>
      </c>
      <c r="AR1355">
        <f t="shared" si="1054"/>
        <v>0</v>
      </c>
      <c r="AS1355">
        <f t="shared" si="1053"/>
        <v>0.31800000000000006</v>
      </c>
      <c r="AT1355">
        <f t="shared" si="1057"/>
        <v>23</v>
      </c>
      <c r="AU1355">
        <f t="shared" si="1058"/>
        <v>0</v>
      </c>
      <c r="AV1355">
        <f t="shared" si="1064"/>
        <v>16</v>
      </c>
      <c r="AW1355">
        <f t="shared" si="1065"/>
        <v>0</v>
      </c>
      <c r="AX1355" s="3">
        <f t="shared" si="1066"/>
        <v>55.84750733137831</v>
      </c>
      <c r="AY1355">
        <f t="shared" si="1067"/>
        <v>11</v>
      </c>
      <c r="AZ1355">
        <f t="shared" si="1068"/>
        <v>0</v>
      </c>
      <c r="BA1355" s="3">
        <f t="shared" si="1069"/>
        <v>60.84750733137831</v>
      </c>
    </row>
    <row r="1356" spans="1:53" x14ac:dyDescent="0.2">
      <c r="A1356">
        <v>2016</v>
      </c>
      <c r="B1356" t="s">
        <v>115</v>
      </c>
      <c r="C1356" t="s">
        <v>99</v>
      </c>
      <c r="D1356">
        <v>13.5</v>
      </c>
      <c r="E1356">
        <v>5</v>
      </c>
      <c r="F1356">
        <v>8.1</v>
      </c>
      <c r="G1356">
        <v>1.9</v>
      </c>
      <c r="H1356">
        <v>3.9</v>
      </c>
      <c r="I1356">
        <v>0.8</v>
      </c>
      <c r="J1356">
        <v>0.8</v>
      </c>
      <c r="K1356">
        <f t="shared" si="1059"/>
        <v>33.999999999999993</v>
      </c>
      <c r="L1356">
        <v>0</v>
      </c>
      <c r="M1356">
        <v>0.2</v>
      </c>
      <c r="N1356">
        <v>3.5</v>
      </c>
      <c r="O1356">
        <f t="shared" si="1060"/>
        <v>3.7</v>
      </c>
      <c r="P1356">
        <v>0</v>
      </c>
      <c r="Q1356">
        <v>0</v>
      </c>
      <c r="R1356">
        <v>7.1</v>
      </c>
      <c r="S1356">
        <f t="shared" si="1061"/>
        <v>7.1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f t="shared" si="1062"/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 s="5">
        <f t="shared" si="1063"/>
        <v>0</v>
      </c>
      <c r="AK1356">
        <v>0</v>
      </c>
      <c r="AL1356">
        <v>0.55200000000000005</v>
      </c>
      <c r="AM1356">
        <f t="shared" si="1070"/>
        <v>0.4479999999999999</v>
      </c>
      <c r="AN1356">
        <v>17</v>
      </c>
      <c r="AO1356" t="s">
        <v>13</v>
      </c>
      <c r="AP1356" s="3">
        <f t="shared" si="1056"/>
        <v>30.79710144927536</v>
      </c>
      <c r="AQ1356" t="s">
        <v>13</v>
      </c>
      <c r="AR1356">
        <f t="shared" si="1054"/>
        <v>0</v>
      </c>
      <c r="AS1356">
        <f t="shared" si="1053"/>
        <v>0.44799999999999995</v>
      </c>
      <c r="AT1356">
        <f t="shared" si="1057"/>
        <v>14</v>
      </c>
      <c r="AU1356">
        <f t="shared" si="1058"/>
        <v>0</v>
      </c>
      <c r="AV1356">
        <f t="shared" si="1064"/>
        <v>9</v>
      </c>
      <c r="AW1356">
        <f t="shared" si="1065"/>
        <v>0</v>
      </c>
      <c r="AX1356" s="3">
        <f t="shared" si="1066"/>
        <v>21.79710144927536</v>
      </c>
      <c r="AY1356">
        <f t="shared" si="1067"/>
        <v>7</v>
      </c>
      <c r="AZ1356">
        <f t="shared" si="1068"/>
        <v>0</v>
      </c>
      <c r="BA1356" s="3">
        <f t="shared" si="1069"/>
        <v>23.79710144927536</v>
      </c>
    </row>
    <row r="1357" spans="1:53" x14ac:dyDescent="0.2">
      <c r="A1357">
        <v>2017</v>
      </c>
      <c r="B1357" t="s">
        <v>115</v>
      </c>
      <c r="C1357" t="s">
        <v>99</v>
      </c>
      <c r="D1357">
        <v>7.9</v>
      </c>
      <c r="E1357">
        <v>0.7</v>
      </c>
      <c r="F1357">
        <v>7.2</v>
      </c>
      <c r="G1357">
        <v>1.6</v>
      </c>
      <c r="H1357">
        <v>7.1</v>
      </c>
      <c r="I1357">
        <v>0.6</v>
      </c>
      <c r="J1357">
        <v>3.8</v>
      </c>
      <c r="K1357">
        <f t="shared" si="1059"/>
        <v>28.900000000000002</v>
      </c>
      <c r="L1357">
        <v>0</v>
      </c>
      <c r="M1357">
        <v>0</v>
      </c>
      <c r="N1357">
        <v>1.7</v>
      </c>
      <c r="O1357">
        <f t="shared" si="1060"/>
        <v>1.7</v>
      </c>
      <c r="P1357">
        <v>0</v>
      </c>
      <c r="Q1357">
        <v>1.1000000000000001</v>
      </c>
      <c r="R1357">
        <v>7</v>
      </c>
      <c r="S1357">
        <f t="shared" si="1061"/>
        <v>8.1</v>
      </c>
      <c r="T1357">
        <v>0</v>
      </c>
      <c r="U1357">
        <v>0.1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f t="shared" si="1062"/>
        <v>0.1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0.1</v>
      </c>
      <c r="AI1357">
        <v>0</v>
      </c>
      <c r="AJ1357" s="5">
        <f t="shared" si="1063"/>
        <v>0.1</v>
      </c>
      <c r="AK1357">
        <v>1.2</v>
      </c>
      <c r="AL1357">
        <v>0.6</v>
      </c>
      <c r="AM1357">
        <f t="shared" si="1070"/>
        <v>0.38900000000000001</v>
      </c>
      <c r="AN1357">
        <v>61</v>
      </c>
      <c r="AO1357" t="s">
        <v>13</v>
      </c>
      <c r="AP1357" s="3">
        <f t="shared" si="1056"/>
        <v>99.836333878887075</v>
      </c>
      <c r="AQ1357" t="s">
        <v>13</v>
      </c>
      <c r="AR1357">
        <f t="shared" si="1054"/>
        <v>2.5706940874035988E-3</v>
      </c>
      <c r="AS1357">
        <f t="shared" si="1053"/>
        <v>0.38800000000000007</v>
      </c>
      <c r="AT1357">
        <f t="shared" si="1057"/>
        <v>39</v>
      </c>
      <c r="AU1357">
        <f t="shared" si="1058"/>
        <v>0</v>
      </c>
      <c r="AV1357">
        <f t="shared" si="1064"/>
        <v>24</v>
      </c>
      <c r="AW1357">
        <f t="shared" si="1065"/>
        <v>0</v>
      </c>
      <c r="AX1357" s="3">
        <f t="shared" si="1066"/>
        <v>75.836333878887075</v>
      </c>
      <c r="AY1357">
        <f t="shared" si="1067"/>
        <v>19</v>
      </c>
      <c r="AZ1357">
        <f t="shared" si="1068"/>
        <v>0</v>
      </c>
      <c r="BA1357" s="3">
        <f t="shared" si="1069"/>
        <v>80.836333878887075</v>
      </c>
    </row>
    <row r="1358" spans="1:53" x14ac:dyDescent="0.2">
      <c r="A1358">
        <v>2018</v>
      </c>
      <c r="B1358" t="s">
        <v>115</v>
      </c>
      <c r="C1358" t="s">
        <v>99</v>
      </c>
      <c r="D1358">
        <v>5.7</v>
      </c>
      <c r="E1358">
        <v>0.6</v>
      </c>
      <c r="F1358">
        <v>2.4</v>
      </c>
      <c r="G1358">
        <v>4.2</v>
      </c>
      <c r="H1358">
        <v>6.1</v>
      </c>
      <c r="I1358">
        <v>1.3</v>
      </c>
      <c r="J1358">
        <v>4.5</v>
      </c>
      <c r="K1358">
        <f t="shared" si="1059"/>
        <v>24.8</v>
      </c>
      <c r="L1358">
        <v>0</v>
      </c>
      <c r="M1358">
        <v>0</v>
      </c>
      <c r="N1358">
        <v>2.7</v>
      </c>
      <c r="O1358">
        <f t="shared" si="1060"/>
        <v>2.7</v>
      </c>
      <c r="P1358">
        <v>0</v>
      </c>
      <c r="Q1358">
        <v>0</v>
      </c>
      <c r="R1358">
        <v>7.1</v>
      </c>
      <c r="S1358">
        <f t="shared" si="1061"/>
        <v>7.1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f t="shared" si="1062"/>
        <v>0</v>
      </c>
      <c r="AB1358">
        <v>0</v>
      </c>
      <c r="AC1358">
        <v>0</v>
      </c>
      <c r="AD1358">
        <v>0</v>
      </c>
      <c r="AE1358">
        <v>0</v>
      </c>
      <c r="AF1358">
        <v>0.1</v>
      </c>
      <c r="AG1358">
        <v>0</v>
      </c>
      <c r="AH1358">
        <v>0</v>
      </c>
      <c r="AI1358">
        <v>0</v>
      </c>
      <c r="AJ1358" s="5">
        <f t="shared" si="1063"/>
        <v>0.1</v>
      </c>
      <c r="AK1358">
        <v>0.3</v>
      </c>
      <c r="AL1358">
        <v>0.64900000000000002</v>
      </c>
      <c r="AM1358">
        <f t="shared" si="1070"/>
        <v>0.34700000000000003</v>
      </c>
      <c r="AN1358">
        <v>7</v>
      </c>
      <c r="AO1358" t="s">
        <v>13</v>
      </c>
      <c r="AP1358" s="3">
        <f t="shared" si="1056"/>
        <v>10.719754977029096</v>
      </c>
      <c r="AQ1358" t="s">
        <v>13</v>
      </c>
      <c r="AR1358">
        <f t="shared" si="1054"/>
        <v>2.881844380403458E-3</v>
      </c>
      <c r="AS1358">
        <f t="shared" si="1053"/>
        <v>0.34600000000000003</v>
      </c>
      <c r="AT1358">
        <f t="shared" si="1057"/>
        <v>4</v>
      </c>
      <c r="AU1358">
        <f t="shared" si="1058"/>
        <v>0</v>
      </c>
      <c r="AV1358">
        <f t="shared" si="1064"/>
        <v>2</v>
      </c>
      <c r="AW1358">
        <f t="shared" si="1065"/>
        <v>0</v>
      </c>
      <c r="AX1358" s="3">
        <f t="shared" si="1066"/>
        <v>8.7197549770290959</v>
      </c>
      <c r="AY1358">
        <f t="shared" si="1067"/>
        <v>2</v>
      </c>
      <c r="AZ1358">
        <f t="shared" si="1068"/>
        <v>0</v>
      </c>
      <c r="BA1358" s="3">
        <f t="shared" si="1069"/>
        <v>8.7197549770290959</v>
      </c>
    </row>
    <row r="1359" spans="1:53" x14ac:dyDescent="0.2">
      <c r="A1359">
        <v>2019</v>
      </c>
      <c r="B1359" t="s">
        <v>115</v>
      </c>
      <c r="C1359" t="s">
        <v>99</v>
      </c>
      <c r="D1359">
        <v>4.7</v>
      </c>
      <c r="E1359">
        <v>5.5</v>
      </c>
      <c r="F1359">
        <v>3.5</v>
      </c>
      <c r="G1359">
        <v>2.6</v>
      </c>
      <c r="H1359">
        <v>5.2</v>
      </c>
      <c r="I1359">
        <v>0.8</v>
      </c>
      <c r="J1359">
        <v>2.2000000000000002</v>
      </c>
      <c r="K1359">
        <f t="shared" si="1059"/>
        <v>24.5</v>
      </c>
      <c r="L1359">
        <v>0</v>
      </c>
      <c r="M1359">
        <v>0</v>
      </c>
      <c r="N1359">
        <v>4.4000000000000004</v>
      </c>
      <c r="O1359">
        <f t="shared" si="1060"/>
        <v>4.4000000000000004</v>
      </c>
      <c r="P1359">
        <v>0</v>
      </c>
      <c r="Q1359">
        <v>0</v>
      </c>
      <c r="R1359">
        <v>6.5</v>
      </c>
      <c r="S1359">
        <f t="shared" si="1061"/>
        <v>6.5</v>
      </c>
      <c r="T1359">
        <v>0.1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f t="shared" si="1062"/>
        <v>0.1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 s="5">
        <f t="shared" si="1063"/>
        <v>0</v>
      </c>
      <c r="AK1359">
        <v>0.1</v>
      </c>
      <c r="AL1359">
        <v>0.64500000000000002</v>
      </c>
      <c r="AM1359">
        <f t="shared" si="1070"/>
        <v>0.35499999999999998</v>
      </c>
      <c r="AN1359">
        <v>10</v>
      </c>
      <c r="AO1359" t="s">
        <v>13</v>
      </c>
      <c r="AP1359" s="3">
        <f t="shared" si="1056"/>
        <v>15.503875968992247</v>
      </c>
      <c r="AQ1359" t="s">
        <v>13</v>
      </c>
      <c r="AR1359">
        <f t="shared" si="1054"/>
        <v>0</v>
      </c>
      <c r="AS1359">
        <f t="shared" si="1053"/>
        <v>0.35499999999999998</v>
      </c>
      <c r="AT1359">
        <f t="shared" si="1057"/>
        <v>6</v>
      </c>
      <c r="AU1359">
        <f t="shared" si="1058"/>
        <v>0</v>
      </c>
      <c r="AV1359">
        <f t="shared" si="1064"/>
        <v>4</v>
      </c>
      <c r="AW1359">
        <f t="shared" si="1065"/>
        <v>0</v>
      </c>
      <c r="AX1359" s="3">
        <f t="shared" si="1066"/>
        <v>11.503875968992247</v>
      </c>
      <c r="AY1359">
        <f t="shared" si="1067"/>
        <v>3</v>
      </c>
      <c r="AZ1359">
        <f t="shared" si="1068"/>
        <v>0</v>
      </c>
      <c r="BA1359" s="3">
        <f t="shared" si="1069"/>
        <v>12.503875968992247</v>
      </c>
    </row>
    <row r="1360" spans="1:53" x14ac:dyDescent="0.2">
      <c r="A1360">
        <v>2020</v>
      </c>
      <c r="B1360" t="s">
        <v>115</v>
      </c>
      <c r="C1360" t="s">
        <v>99</v>
      </c>
      <c r="D1360">
        <v>6.6</v>
      </c>
      <c r="E1360">
        <v>2.6</v>
      </c>
      <c r="F1360">
        <v>4.5</v>
      </c>
      <c r="G1360">
        <v>2.4</v>
      </c>
      <c r="H1360">
        <v>2.7</v>
      </c>
      <c r="I1360">
        <v>0.3</v>
      </c>
      <c r="J1360">
        <v>1.7</v>
      </c>
      <c r="K1360">
        <f t="shared" ref="K1360:K1390" si="1071">SUM(D1360:J1360)</f>
        <v>20.799999999999997</v>
      </c>
      <c r="L1360">
        <v>0</v>
      </c>
      <c r="M1360">
        <v>0</v>
      </c>
      <c r="N1360">
        <v>1.4</v>
      </c>
      <c r="O1360">
        <f t="shared" si="1060"/>
        <v>1.4</v>
      </c>
      <c r="P1360">
        <v>0</v>
      </c>
      <c r="Q1360">
        <v>0</v>
      </c>
      <c r="R1360">
        <v>3.8</v>
      </c>
      <c r="S1360">
        <f t="shared" si="1061"/>
        <v>3.8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0.1</v>
      </c>
      <c r="AA1360">
        <f t="shared" si="1062"/>
        <v>0.1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 s="5">
        <f t="shared" si="1063"/>
        <v>0</v>
      </c>
      <c r="AK1360">
        <v>1.4</v>
      </c>
      <c r="AL1360">
        <v>0.72499999999999998</v>
      </c>
      <c r="AM1360">
        <f t="shared" si="1070"/>
        <v>0.26099999999999995</v>
      </c>
      <c r="AN1360">
        <v>14</v>
      </c>
      <c r="AO1360" t="s">
        <v>13</v>
      </c>
      <c r="AP1360" s="3">
        <f t="shared" si="1056"/>
        <v>18.944519621109606</v>
      </c>
      <c r="AQ1360" t="s">
        <v>13</v>
      </c>
      <c r="AR1360">
        <f t="shared" si="1054"/>
        <v>0</v>
      </c>
      <c r="AS1360">
        <f t="shared" si="1053"/>
        <v>0.26099999999999995</v>
      </c>
      <c r="AT1360">
        <f t="shared" si="1057"/>
        <v>5</v>
      </c>
      <c r="AU1360">
        <f t="shared" si="1058"/>
        <v>0</v>
      </c>
      <c r="AV1360">
        <f t="shared" si="1064"/>
        <v>3</v>
      </c>
      <c r="AW1360">
        <f t="shared" si="1065"/>
        <v>0</v>
      </c>
      <c r="AX1360" s="3">
        <f t="shared" si="1066"/>
        <v>15.944519621109606</v>
      </c>
      <c r="AY1360">
        <f t="shared" si="1067"/>
        <v>2</v>
      </c>
      <c r="AZ1360">
        <f t="shared" si="1068"/>
        <v>0</v>
      </c>
      <c r="BA1360" s="3">
        <f t="shared" si="1069"/>
        <v>16.944519621109606</v>
      </c>
    </row>
    <row r="1361" spans="1:53" x14ac:dyDescent="0.2">
      <c r="A1361">
        <v>2021</v>
      </c>
      <c r="B1361" t="s">
        <v>115</v>
      </c>
      <c r="C1361" t="s">
        <v>99</v>
      </c>
      <c r="D1361">
        <v>7.5</v>
      </c>
      <c r="E1361">
        <v>4.9000000000000004</v>
      </c>
      <c r="F1361">
        <v>3.1</v>
      </c>
      <c r="G1361">
        <v>3.1</v>
      </c>
      <c r="H1361">
        <v>2.7</v>
      </c>
      <c r="I1361">
        <v>0.8</v>
      </c>
      <c r="J1361">
        <v>1.8</v>
      </c>
      <c r="K1361">
        <f t="shared" si="1071"/>
        <v>23.900000000000002</v>
      </c>
      <c r="L1361">
        <v>0</v>
      </c>
      <c r="M1361">
        <v>0</v>
      </c>
      <c r="N1361">
        <v>1.7</v>
      </c>
      <c r="O1361">
        <f t="shared" si="1060"/>
        <v>1.7</v>
      </c>
      <c r="P1361">
        <v>0</v>
      </c>
      <c r="Q1361">
        <v>0</v>
      </c>
      <c r="R1361">
        <v>4.5999999999999996</v>
      </c>
      <c r="S1361">
        <f t="shared" si="1061"/>
        <v>4.5999999999999996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f t="shared" si="1062"/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 s="5">
        <f t="shared" si="1063"/>
        <v>0</v>
      </c>
      <c r="AK1361">
        <v>0</v>
      </c>
      <c r="AL1361">
        <v>0.69799999999999995</v>
      </c>
      <c r="AM1361">
        <f t="shared" si="1070"/>
        <v>0.30200000000000005</v>
      </c>
      <c r="AN1361">
        <v>23</v>
      </c>
      <c r="AO1361" t="s">
        <v>13</v>
      </c>
      <c r="AP1361" s="3">
        <f t="shared" si="1056"/>
        <v>32.951289398280807</v>
      </c>
      <c r="AQ1361" t="s">
        <v>13</v>
      </c>
      <c r="AR1361">
        <f t="shared" si="1054"/>
        <v>0</v>
      </c>
      <c r="AS1361">
        <f t="shared" si="1053"/>
        <v>0.30200000000000005</v>
      </c>
      <c r="AT1361">
        <f t="shared" si="1057"/>
        <v>10</v>
      </c>
      <c r="AU1361">
        <f t="shared" si="1058"/>
        <v>0</v>
      </c>
      <c r="AV1361">
        <f t="shared" si="1064"/>
        <v>6</v>
      </c>
      <c r="AW1361">
        <f t="shared" si="1065"/>
        <v>0</v>
      </c>
      <c r="AX1361" s="3">
        <f t="shared" si="1066"/>
        <v>26.951289398280807</v>
      </c>
      <c r="AY1361">
        <f t="shared" si="1067"/>
        <v>5</v>
      </c>
      <c r="AZ1361">
        <f t="shared" si="1068"/>
        <v>0</v>
      </c>
      <c r="BA1361" s="3">
        <f t="shared" si="1069"/>
        <v>27.951289398280807</v>
      </c>
    </row>
    <row r="1362" spans="1:53" x14ac:dyDescent="0.2">
      <c r="A1362">
        <v>2022</v>
      </c>
      <c r="B1362" t="s">
        <v>115</v>
      </c>
      <c r="C1362" t="s">
        <v>99</v>
      </c>
      <c r="D1362">
        <v>8.8000000000000007</v>
      </c>
      <c r="E1362">
        <v>6.1</v>
      </c>
      <c r="F1362">
        <v>3.8</v>
      </c>
      <c r="G1362">
        <v>1.8</v>
      </c>
      <c r="H1362">
        <v>2.6</v>
      </c>
      <c r="I1362">
        <v>0.6</v>
      </c>
      <c r="J1362">
        <v>2.8</v>
      </c>
      <c r="K1362">
        <f t="shared" si="1071"/>
        <v>26.500000000000004</v>
      </c>
      <c r="L1362">
        <v>0</v>
      </c>
      <c r="M1362">
        <v>0</v>
      </c>
      <c r="N1362">
        <v>6.1</v>
      </c>
      <c r="O1362">
        <f t="shared" si="1060"/>
        <v>6.1</v>
      </c>
      <c r="P1362">
        <v>0</v>
      </c>
      <c r="Q1362">
        <v>0</v>
      </c>
      <c r="R1362">
        <v>8.8000000000000007</v>
      </c>
      <c r="S1362">
        <f t="shared" si="1061"/>
        <v>8.8000000000000007</v>
      </c>
      <c r="T1362">
        <v>0.1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0.2</v>
      </c>
      <c r="AA1362">
        <f t="shared" si="1062"/>
        <v>0.30000000000000004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0.1</v>
      </c>
      <c r="AI1362">
        <v>0</v>
      </c>
      <c r="AJ1362" s="5">
        <f t="shared" si="1063"/>
        <v>0.1</v>
      </c>
      <c r="AK1362">
        <v>0</v>
      </c>
      <c r="AL1362">
        <v>0.58099999999999996</v>
      </c>
      <c r="AM1362">
        <f t="shared" si="1070"/>
        <v>0.41799999999999998</v>
      </c>
      <c r="AN1362">
        <v>87</v>
      </c>
      <c r="AO1362" t="s">
        <v>13</v>
      </c>
      <c r="AP1362" s="3">
        <f t="shared" si="1056"/>
        <v>149.48453608247422</v>
      </c>
      <c r="AQ1362" t="s">
        <v>13</v>
      </c>
      <c r="AR1362">
        <f t="shared" si="1054"/>
        <v>2.3923444976076558E-3</v>
      </c>
      <c r="AS1362">
        <f t="shared" si="1053"/>
        <v>0.41700000000000004</v>
      </c>
      <c r="AT1362">
        <f t="shared" si="1057"/>
        <v>62</v>
      </c>
      <c r="AU1362">
        <f t="shared" si="1058"/>
        <v>0</v>
      </c>
      <c r="AV1362">
        <f t="shared" si="1064"/>
        <v>43</v>
      </c>
      <c r="AW1362">
        <f t="shared" si="1065"/>
        <v>0</v>
      </c>
      <c r="AX1362" s="3">
        <f t="shared" si="1066"/>
        <v>106.48453608247422</v>
      </c>
      <c r="AY1362">
        <f t="shared" si="1067"/>
        <v>31</v>
      </c>
      <c r="AZ1362">
        <f t="shared" si="1068"/>
        <v>0</v>
      </c>
      <c r="BA1362" s="3">
        <f t="shared" si="1069"/>
        <v>118.48453608247422</v>
      </c>
    </row>
    <row r="1363" spans="1:53" x14ac:dyDescent="0.2">
      <c r="A1363">
        <v>2023</v>
      </c>
      <c r="B1363" t="s">
        <v>115</v>
      </c>
      <c r="C1363" t="s">
        <v>99</v>
      </c>
      <c r="D1363">
        <v>2.5</v>
      </c>
      <c r="E1363">
        <v>1.9</v>
      </c>
      <c r="F1363">
        <v>1.6</v>
      </c>
      <c r="G1363">
        <v>1.9</v>
      </c>
      <c r="H1363">
        <v>1.9</v>
      </c>
      <c r="I1363">
        <v>0.9</v>
      </c>
      <c r="J1363">
        <v>1.7</v>
      </c>
      <c r="K1363">
        <f t="shared" si="1071"/>
        <v>12.4</v>
      </c>
      <c r="L1363">
        <v>0</v>
      </c>
      <c r="M1363">
        <v>0</v>
      </c>
      <c r="N1363">
        <v>2.4</v>
      </c>
      <c r="O1363">
        <f t="shared" si="1060"/>
        <v>2.4</v>
      </c>
      <c r="P1363">
        <v>0</v>
      </c>
      <c r="Q1363">
        <v>0.5</v>
      </c>
      <c r="R1363">
        <v>4.7</v>
      </c>
      <c r="S1363">
        <f t="shared" si="1061"/>
        <v>5.2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f t="shared" si="1062"/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 s="5">
        <f t="shared" si="1063"/>
        <v>0</v>
      </c>
      <c r="AK1363">
        <v>0</v>
      </c>
      <c r="AL1363">
        <v>0.8</v>
      </c>
      <c r="AM1363">
        <f t="shared" si="1070"/>
        <v>0.19999999999999996</v>
      </c>
      <c r="AN1363">
        <v>71</v>
      </c>
      <c r="AO1363" t="s">
        <v>13</v>
      </c>
      <c r="AP1363" s="3">
        <f t="shared" si="1056"/>
        <v>88.75</v>
      </c>
      <c r="AQ1363" t="s">
        <v>13</v>
      </c>
      <c r="AR1363">
        <f t="shared" si="1054"/>
        <v>0</v>
      </c>
      <c r="AS1363">
        <f t="shared" si="1053"/>
        <v>0.2</v>
      </c>
      <c r="AT1363">
        <f t="shared" si="1057"/>
        <v>18</v>
      </c>
      <c r="AU1363">
        <f t="shared" si="1058"/>
        <v>0</v>
      </c>
      <c r="AV1363">
        <f t="shared" si="1064"/>
        <v>12</v>
      </c>
      <c r="AW1363">
        <f t="shared" si="1065"/>
        <v>0</v>
      </c>
      <c r="AX1363" s="3">
        <f t="shared" si="1066"/>
        <v>76.75</v>
      </c>
      <c r="AY1363">
        <f t="shared" si="1067"/>
        <v>9</v>
      </c>
      <c r="AZ1363">
        <f t="shared" si="1068"/>
        <v>0</v>
      </c>
      <c r="BA1363" s="3">
        <f t="shared" si="1069"/>
        <v>79.75</v>
      </c>
    </row>
    <row r="1364" spans="1:53" x14ac:dyDescent="0.2">
      <c r="A1364">
        <v>1993</v>
      </c>
      <c r="B1364" t="s">
        <v>116</v>
      </c>
      <c r="C1364" t="s">
        <v>99</v>
      </c>
      <c r="D1364">
        <v>16</v>
      </c>
      <c r="E1364">
        <v>2.1</v>
      </c>
      <c r="F1364">
        <v>2.4</v>
      </c>
      <c r="G1364">
        <v>7.7</v>
      </c>
      <c r="H1364">
        <v>0.8</v>
      </c>
      <c r="I1364">
        <v>14.7</v>
      </c>
      <c r="J1364">
        <v>0.8</v>
      </c>
      <c r="K1364">
        <f t="shared" si="1071"/>
        <v>44.5</v>
      </c>
      <c r="L1364">
        <v>2.1</v>
      </c>
      <c r="M1364">
        <v>0.4</v>
      </c>
      <c r="N1364">
        <v>0.2</v>
      </c>
      <c r="O1364">
        <f t="shared" ref="O1364:O1427" si="1072">SUM(L1364:N1364)</f>
        <v>2.7</v>
      </c>
      <c r="P1364">
        <v>0</v>
      </c>
      <c r="Q1364">
        <v>0.7</v>
      </c>
      <c r="R1364">
        <v>2.5</v>
      </c>
      <c r="S1364">
        <f t="shared" ref="S1364:S1427" si="1073">SUM(P1364:R1364)</f>
        <v>3.2</v>
      </c>
      <c r="T1364">
        <v>0</v>
      </c>
      <c r="U1364">
        <v>0.1</v>
      </c>
      <c r="V1364">
        <v>0</v>
      </c>
      <c r="W1364">
        <v>0</v>
      </c>
      <c r="X1364">
        <v>0</v>
      </c>
      <c r="Y1364">
        <v>0</v>
      </c>
      <c r="Z1364">
        <v>0.1</v>
      </c>
      <c r="AA1364">
        <f t="shared" ref="AA1364:AA1427" si="1074">SUM(T1364:Z1364)</f>
        <v>0.2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 s="5">
        <f t="shared" ref="AJ1364:AJ1427" si="1075">SUM(AB1364:AI1364)</f>
        <v>0</v>
      </c>
      <c r="AK1364">
        <v>0</v>
      </c>
      <c r="AL1364">
        <v>0.49399999999999999</v>
      </c>
      <c r="AM1364">
        <f t="shared" si="1070"/>
        <v>0.50599999999999989</v>
      </c>
      <c r="AN1364">
        <v>250</v>
      </c>
      <c r="AO1364" t="s">
        <v>13</v>
      </c>
      <c r="AP1364" s="3">
        <f t="shared" si="1056"/>
        <v>506.07287449392703</v>
      </c>
      <c r="AQ1364" t="s">
        <v>13</v>
      </c>
      <c r="AR1364">
        <f t="shared" si="1054"/>
        <v>0</v>
      </c>
      <c r="AS1364">
        <f t="shared" si="1053"/>
        <v>0.50600000000000012</v>
      </c>
      <c r="AT1364">
        <f t="shared" si="1057"/>
        <v>256</v>
      </c>
      <c r="AU1364">
        <f t="shared" si="1058"/>
        <v>0</v>
      </c>
      <c r="AV1364">
        <f t="shared" si="1064"/>
        <v>143</v>
      </c>
      <c r="AW1364">
        <f t="shared" si="1065"/>
        <v>0</v>
      </c>
      <c r="AX1364" s="3">
        <f t="shared" si="1066"/>
        <v>363.07287449392703</v>
      </c>
      <c r="AY1364">
        <f t="shared" si="1067"/>
        <v>128</v>
      </c>
      <c r="AZ1364">
        <f t="shared" si="1068"/>
        <v>0</v>
      </c>
      <c r="BA1364" s="3">
        <f t="shared" si="1069"/>
        <v>378.07287449392703</v>
      </c>
    </row>
    <row r="1365" spans="1:53" x14ac:dyDescent="0.2">
      <c r="A1365">
        <v>1994</v>
      </c>
      <c r="B1365" t="s">
        <v>116</v>
      </c>
      <c r="C1365" t="s">
        <v>99</v>
      </c>
      <c r="D1365">
        <v>17.7</v>
      </c>
      <c r="E1365">
        <v>6.3</v>
      </c>
      <c r="F1365">
        <v>3.9</v>
      </c>
      <c r="G1365">
        <v>9.1999999999999993</v>
      </c>
      <c r="H1365">
        <v>0.5</v>
      </c>
      <c r="I1365">
        <v>4.9000000000000004</v>
      </c>
      <c r="J1365">
        <v>1.7</v>
      </c>
      <c r="K1365">
        <f t="shared" si="1071"/>
        <v>44.199999999999996</v>
      </c>
      <c r="L1365">
        <v>1.2</v>
      </c>
      <c r="M1365">
        <v>0.9</v>
      </c>
      <c r="N1365">
        <v>0.2</v>
      </c>
      <c r="O1365">
        <f t="shared" si="1072"/>
        <v>2.3000000000000003</v>
      </c>
      <c r="P1365">
        <v>0</v>
      </c>
      <c r="Q1365">
        <v>0.1</v>
      </c>
      <c r="R1365">
        <v>3</v>
      </c>
      <c r="S1365">
        <f t="shared" si="1073"/>
        <v>3.1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0.1</v>
      </c>
      <c r="AA1365">
        <f t="shared" si="1074"/>
        <v>0.1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 s="5">
        <f t="shared" si="1075"/>
        <v>0</v>
      </c>
      <c r="AK1365">
        <v>0</v>
      </c>
      <c r="AL1365">
        <v>0.502</v>
      </c>
      <c r="AM1365">
        <f t="shared" si="1070"/>
        <v>0.49699999999999994</v>
      </c>
      <c r="AN1365">
        <v>420</v>
      </c>
      <c r="AO1365" t="s">
        <v>13</v>
      </c>
      <c r="AP1365" s="3">
        <f t="shared" si="1056"/>
        <v>834.99005964214689</v>
      </c>
      <c r="AQ1365" t="s">
        <v>13</v>
      </c>
      <c r="AR1365">
        <f t="shared" si="1054"/>
        <v>0</v>
      </c>
      <c r="AS1365">
        <f t="shared" si="1053"/>
        <v>0.49699999999999994</v>
      </c>
      <c r="AT1365">
        <f t="shared" si="1057"/>
        <v>415</v>
      </c>
      <c r="AU1365">
        <f t="shared" si="1058"/>
        <v>0</v>
      </c>
      <c r="AV1365">
        <f t="shared" si="1064"/>
        <v>230</v>
      </c>
      <c r="AW1365">
        <f t="shared" si="1065"/>
        <v>0</v>
      </c>
      <c r="AX1365" s="3">
        <f t="shared" si="1066"/>
        <v>604.99005964214689</v>
      </c>
      <c r="AY1365">
        <f t="shared" si="1067"/>
        <v>207</v>
      </c>
      <c r="AZ1365">
        <f t="shared" si="1068"/>
        <v>0</v>
      </c>
      <c r="BA1365" s="3">
        <f t="shared" si="1069"/>
        <v>627.99005964214689</v>
      </c>
    </row>
    <row r="1366" spans="1:53" x14ac:dyDescent="0.2">
      <c r="A1366">
        <v>1995</v>
      </c>
      <c r="B1366" t="s">
        <v>116</v>
      </c>
      <c r="C1366" t="s">
        <v>99</v>
      </c>
      <c r="D1366">
        <v>15</v>
      </c>
      <c r="E1366">
        <v>0</v>
      </c>
      <c r="F1366">
        <v>4.3</v>
      </c>
      <c r="G1366">
        <v>3.1</v>
      </c>
      <c r="H1366">
        <v>2</v>
      </c>
      <c r="I1366">
        <v>1.6</v>
      </c>
      <c r="J1366">
        <v>0.8</v>
      </c>
      <c r="K1366">
        <f t="shared" si="1071"/>
        <v>26.800000000000004</v>
      </c>
      <c r="L1366">
        <v>0.3</v>
      </c>
      <c r="M1366">
        <v>0.4</v>
      </c>
      <c r="N1366">
        <v>0</v>
      </c>
      <c r="O1366">
        <f t="shared" si="1072"/>
        <v>0.7</v>
      </c>
      <c r="P1366">
        <v>0</v>
      </c>
      <c r="Q1366">
        <v>0.1</v>
      </c>
      <c r="R1366">
        <v>3.8</v>
      </c>
      <c r="S1366">
        <f t="shared" si="1073"/>
        <v>3.9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0.1</v>
      </c>
      <c r="Z1366">
        <v>0</v>
      </c>
      <c r="AA1366">
        <f t="shared" si="1074"/>
        <v>0.1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0.1</v>
      </c>
      <c r="AI1366">
        <v>0</v>
      </c>
      <c r="AJ1366" s="5">
        <f t="shared" si="1075"/>
        <v>0.1</v>
      </c>
      <c r="AK1366">
        <v>0.3</v>
      </c>
      <c r="AL1366">
        <v>0.68099999999999994</v>
      </c>
      <c r="AM1366">
        <f t="shared" si="1070"/>
        <v>0.31600000000000006</v>
      </c>
      <c r="AN1366">
        <v>89</v>
      </c>
      <c r="AO1366" t="s">
        <v>13</v>
      </c>
      <c r="AP1366" s="3">
        <f t="shared" si="1056"/>
        <v>130.11695906432749</v>
      </c>
      <c r="AQ1366" t="s">
        <v>13</v>
      </c>
      <c r="AR1366">
        <f t="shared" si="1054"/>
        <v>3.164556962025316E-3</v>
      </c>
      <c r="AS1366">
        <f t="shared" si="1053"/>
        <v>0.31500000000000006</v>
      </c>
      <c r="AT1366">
        <f t="shared" si="1057"/>
        <v>41</v>
      </c>
      <c r="AU1366">
        <f t="shared" si="1058"/>
        <v>0</v>
      </c>
      <c r="AV1366">
        <f t="shared" si="1064"/>
        <v>24</v>
      </c>
      <c r="AW1366">
        <f t="shared" si="1065"/>
        <v>0</v>
      </c>
      <c r="AX1366" s="3">
        <f t="shared" si="1066"/>
        <v>106.11695906432749</v>
      </c>
      <c r="AY1366">
        <f t="shared" si="1067"/>
        <v>20</v>
      </c>
      <c r="AZ1366">
        <f t="shared" si="1068"/>
        <v>0</v>
      </c>
      <c r="BA1366" s="3">
        <f t="shared" si="1069"/>
        <v>110.11695906432749</v>
      </c>
    </row>
    <row r="1367" spans="1:53" x14ac:dyDescent="0.2">
      <c r="A1367">
        <v>1996</v>
      </c>
      <c r="B1367" t="s">
        <v>116</v>
      </c>
      <c r="C1367" t="s">
        <v>99</v>
      </c>
      <c r="D1367">
        <v>8.6</v>
      </c>
      <c r="E1367">
        <v>0.1</v>
      </c>
      <c r="F1367">
        <v>3.9</v>
      </c>
      <c r="G1367">
        <v>2.5</v>
      </c>
      <c r="H1367">
        <v>1.2</v>
      </c>
      <c r="I1367">
        <v>0.7</v>
      </c>
      <c r="J1367">
        <v>0</v>
      </c>
      <c r="K1367">
        <f t="shared" si="1071"/>
        <v>17</v>
      </c>
      <c r="L1367">
        <v>0.4</v>
      </c>
      <c r="M1367">
        <v>0</v>
      </c>
      <c r="N1367">
        <v>1.8</v>
      </c>
      <c r="O1367">
        <f t="shared" si="1072"/>
        <v>2.2000000000000002</v>
      </c>
      <c r="P1367">
        <v>0</v>
      </c>
      <c r="Q1367">
        <v>0</v>
      </c>
      <c r="R1367">
        <v>3.1</v>
      </c>
      <c r="S1367">
        <f t="shared" si="1073"/>
        <v>3.1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f t="shared" si="1074"/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 s="5">
        <f t="shared" si="1075"/>
        <v>0</v>
      </c>
      <c r="AK1367">
        <v>0</v>
      </c>
      <c r="AL1367">
        <v>0.77599999999999991</v>
      </c>
      <c r="AM1367">
        <f t="shared" si="1070"/>
        <v>0.22299999999999998</v>
      </c>
      <c r="AN1367">
        <v>243</v>
      </c>
      <c r="AO1367" t="s">
        <v>13</v>
      </c>
      <c r="AP1367" s="3">
        <f t="shared" si="1056"/>
        <v>312.74131274131275</v>
      </c>
      <c r="AQ1367" t="s">
        <v>13</v>
      </c>
      <c r="AR1367">
        <f t="shared" si="1054"/>
        <v>0</v>
      </c>
      <c r="AS1367">
        <f t="shared" si="1053"/>
        <v>0.223</v>
      </c>
      <c r="AT1367">
        <f t="shared" si="1057"/>
        <v>70</v>
      </c>
      <c r="AU1367">
        <f t="shared" si="1058"/>
        <v>0</v>
      </c>
      <c r="AV1367">
        <f t="shared" si="1064"/>
        <v>43</v>
      </c>
      <c r="AW1367">
        <f t="shared" si="1065"/>
        <v>0</v>
      </c>
      <c r="AX1367" s="3">
        <f t="shared" si="1066"/>
        <v>269.74131274131275</v>
      </c>
      <c r="AY1367">
        <f t="shared" si="1067"/>
        <v>35</v>
      </c>
      <c r="AZ1367">
        <f t="shared" si="1068"/>
        <v>0</v>
      </c>
      <c r="BA1367" s="3">
        <f t="shared" si="1069"/>
        <v>277.74131274131275</v>
      </c>
    </row>
    <row r="1368" spans="1:53" x14ac:dyDescent="0.2">
      <c r="A1368">
        <v>1997</v>
      </c>
      <c r="B1368" t="s">
        <v>116</v>
      </c>
      <c r="C1368" t="s">
        <v>99</v>
      </c>
      <c r="D1368">
        <v>14.1</v>
      </c>
      <c r="E1368">
        <v>3.6</v>
      </c>
      <c r="F1368">
        <v>5.0999999999999996</v>
      </c>
      <c r="G1368">
        <v>5</v>
      </c>
      <c r="H1368">
        <v>1.6</v>
      </c>
      <c r="I1368">
        <v>0.1</v>
      </c>
      <c r="J1368">
        <v>0</v>
      </c>
      <c r="K1368">
        <f t="shared" si="1071"/>
        <v>29.5</v>
      </c>
      <c r="L1368">
        <v>1.8</v>
      </c>
      <c r="M1368">
        <v>0.5</v>
      </c>
      <c r="N1368">
        <v>1.2</v>
      </c>
      <c r="O1368">
        <f t="shared" si="1072"/>
        <v>3.5</v>
      </c>
      <c r="P1368">
        <v>0</v>
      </c>
      <c r="Q1368">
        <v>0.1</v>
      </c>
      <c r="R1368">
        <v>2.9</v>
      </c>
      <c r="S1368">
        <f t="shared" si="1073"/>
        <v>3</v>
      </c>
      <c r="T1368">
        <v>0.1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f t="shared" si="1074"/>
        <v>0.1</v>
      </c>
      <c r="AB1368">
        <v>0.2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 s="5">
        <f t="shared" si="1075"/>
        <v>0.2</v>
      </c>
      <c r="AK1368">
        <v>0</v>
      </c>
      <c r="AL1368">
        <v>0.63700000000000001</v>
      </c>
      <c r="AM1368">
        <f t="shared" si="1070"/>
        <v>0.36300000000000004</v>
      </c>
      <c r="AN1368">
        <v>84</v>
      </c>
      <c r="AO1368" t="s">
        <v>13</v>
      </c>
      <c r="AP1368" s="3">
        <f t="shared" si="1056"/>
        <v>131.86813186813185</v>
      </c>
      <c r="AQ1368" t="s">
        <v>13</v>
      </c>
      <c r="AR1368">
        <f t="shared" si="1054"/>
        <v>5.5096418732782362E-3</v>
      </c>
      <c r="AS1368">
        <f t="shared" si="1053"/>
        <v>0.36099999999999999</v>
      </c>
      <c r="AT1368">
        <f t="shared" si="1057"/>
        <v>48</v>
      </c>
      <c r="AU1368">
        <f t="shared" si="1058"/>
        <v>0</v>
      </c>
      <c r="AV1368">
        <f t="shared" si="1064"/>
        <v>28</v>
      </c>
      <c r="AW1368">
        <f t="shared" si="1065"/>
        <v>0</v>
      </c>
      <c r="AX1368" s="3">
        <f t="shared" si="1066"/>
        <v>103.86813186813185</v>
      </c>
      <c r="AY1368">
        <f t="shared" si="1067"/>
        <v>24</v>
      </c>
      <c r="AZ1368">
        <f t="shared" si="1068"/>
        <v>0</v>
      </c>
      <c r="BA1368" s="3">
        <f t="shared" si="1069"/>
        <v>107.86813186813185</v>
      </c>
    </row>
    <row r="1369" spans="1:53" x14ac:dyDescent="0.2">
      <c r="A1369">
        <v>1998</v>
      </c>
      <c r="B1369" t="s">
        <v>116</v>
      </c>
      <c r="C1369" t="s">
        <v>99</v>
      </c>
      <c r="D1369">
        <v>17.399999999999999</v>
      </c>
      <c r="E1369">
        <v>1.8</v>
      </c>
      <c r="F1369">
        <v>4.9000000000000004</v>
      </c>
      <c r="G1369">
        <v>5.6</v>
      </c>
      <c r="H1369">
        <v>3</v>
      </c>
      <c r="I1369">
        <v>0</v>
      </c>
      <c r="J1369">
        <v>1.8</v>
      </c>
      <c r="K1369">
        <f t="shared" si="1071"/>
        <v>34.5</v>
      </c>
      <c r="L1369">
        <v>0</v>
      </c>
      <c r="M1369">
        <v>0</v>
      </c>
      <c r="N1369">
        <v>0.5</v>
      </c>
      <c r="O1369">
        <f t="shared" si="1072"/>
        <v>0.5</v>
      </c>
      <c r="P1369">
        <v>0</v>
      </c>
      <c r="Q1369">
        <v>0</v>
      </c>
      <c r="R1369">
        <v>4</v>
      </c>
      <c r="S1369">
        <f t="shared" si="1073"/>
        <v>4</v>
      </c>
      <c r="T1369">
        <v>0</v>
      </c>
      <c r="U1369">
        <v>0</v>
      </c>
      <c r="V1369">
        <v>0.1</v>
      </c>
      <c r="W1369">
        <v>0</v>
      </c>
      <c r="X1369">
        <v>0</v>
      </c>
      <c r="Y1369">
        <v>0</v>
      </c>
      <c r="Z1369">
        <v>0</v>
      </c>
      <c r="AA1369">
        <f t="shared" si="1074"/>
        <v>0.1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 s="5">
        <f t="shared" si="1075"/>
        <v>0</v>
      </c>
      <c r="AK1369">
        <v>0.1</v>
      </c>
      <c r="AL1369">
        <v>0.60899999999999999</v>
      </c>
      <c r="AM1369">
        <f t="shared" si="1070"/>
        <v>0.39100000000000001</v>
      </c>
      <c r="AN1369">
        <v>155</v>
      </c>
      <c r="AO1369" t="s">
        <v>13</v>
      </c>
      <c r="AP1369" s="3">
        <f t="shared" si="1056"/>
        <v>254.51559934318556</v>
      </c>
      <c r="AQ1369" t="s">
        <v>13</v>
      </c>
      <c r="AR1369">
        <f t="shared" si="1054"/>
        <v>0</v>
      </c>
      <c r="AS1369">
        <f t="shared" si="1053"/>
        <v>0.39100000000000001</v>
      </c>
      <c r="AT1369">
        <f t="shared" si="1057"/>
        <v>100</v>
      </c>
      <c r="AU1369">
        <f t="shared" si="1058"/>
        <v>0</v>
      </c>
      <c r="AV1369">
        <f t="shared" si="1064"/>
        <v>56</v>
      </c>
      <c r="AW1369">
        <f t="shared" si="1065"/>
        <v>0</v>
      </c>
      <c r="AX1369" s="3">
        <f t="shared" si="1066"/>
        <v>198.51559934318556</v>
      </c>
      <c r="AY1369">
        <f t="shared" si="1067"/>
        <v>50</v>
      </c>
      <c r="AZ1369">
        <f t="shared" si="1068"/>
        <v>0</v>
      </c>
      <c r="BA1369" s="3">
        <f t="shared" si="1069"/>
        <v>204.51559934318556</v>
      </c>
    </row>
    <row r="1370" spans="1:53" x14ac:dyDescent="0.2">
      <c r="A1370">
        <v>1999</v>
      </c>
      <c r="B1370" t="s">
        <v>116</v>
      </c>
      <c r="C1370" t="s">
        <v>99</v>
      </c>
      <c r="D1370">
        <v>12.6</v>
      </c>
      <c r="E1370">
        <v>1.1000000000000001</v>
      </c>
      <c r="F1370">
        <v>7.9</v>
      </c>
      <c r="G1370">
        <v>5.5</v>
      </c>
      <c r="H1370">
        <v>6.8</v>
      </c>
      <c r="I1370">
        <v>0</v>
      </c>
      <c r="J1370">
        <v>0.9</v>
      </c>
      <c r="K1370">
        <f t="shared" si="1071"/>
        <v>34.799999999999997</v>
      </c>
      <c r="L1370">
        <v>0.3</v>
      </c>
      <c r="M1370">
        <v>0</v>
      </c>
      <c r="N1370">
        <v>0.3</v>
      </c>
      <c r="O1370">
        <f t="shared" si="1072"/>
        <v>0.6</v>
      </c>
      <c r="P1370">
        <v>0</v>
      </c>
      <c r="Q1370">
        <v>0</v>
      </c>
      <c r="R1370">
        <v>3.4</v>
      </c>
      <c r="S1370">
        <f t="shared" si="1073"/>
        <v>3.4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f t="shared" si="1074"/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 s="5">
        <f t="shared" si="1075"/>
        <v>0</v>
      </c>
      <c r="AK1370">
        <v>0</v>
      </c>
      <c r="AL1370">
        <v>0.61299999999999999</v>
      </c>
      <c r="AM1370">
        <f t="shared" si="1070"/>
        <v>0.38799999999999996</v>
      </c>
      <c r="AN1370">
        <v>239</v>
      </c>
      <c r="AO1370" t="s">
        <v>13</v>
      </c>
      <c r="AP1370" s="3">
        <f t="shared" si="1056"/>
        <v>390.52287581699341</v>
      </c>
      <c r="AQ1370" t="s">
        <v>13</v>
      </c>
      <c r="AR1370">
        <f t="shared" si="1054"/>
        <v>0</v>
      </c>
      <c r="AS1370">
        <f t="shared" si="1053"/>
        <v>0.38799999999999996</v>
      </c>
      <c r="AT1370">
        <f t="shared" si="1057"/>
        <v>152</v>
      </c>
      <c r="AU1370">
        <f t="shared" si="1058"/>
        <v>0</v>
      </c>
      <c r="AV1370">
        <f t="shared" si="1064"/>
        <v>84</v>
      </c>
      <c r="AW1370">
        <f t="shared" si="1065"/>
        <v>0</v>
      </c>
      <c r="AX1370" s="3">
        <f t="shared" si="1066"/>
        <v>306.52287581699341</v>
      </c>
      <c r="AY1370">
        <f t="shared" si="1067"/>
        <v>76</v>
      </c>
      <c r="AZ1370">
        <f t="shared" si="1068"/>
        <v>0</v>
      </c>
      <c r="BA1370" s="3">
        <f t="shared" si="1069"/>
        <v>314.52287581699341</v>
      </c>
    </row>
    <row r="1371" spans="1:53" x14ac:dyDescent="0.2">
      <c r="A1371">
        <v>2000</v>
      </c>
      <c r="B1371" t="s">
        <v>116</v>
      </c>
      <c r="C1371" t="s">
        <v>99</v>
      </c>
      <c r="D1371">
        <v>7.3</v>
      </c>
      <c r="E1371">
        <v>0</v>
      </c>
      <c r="F1371">
        <v>0</v>
      </c>
      <c r="G1371">
        <v>0</v>
      </c>
      <c r="H1371">
        <v>6.5</v>
      </c>
      <c r="I1371">
        <v>0</v>
      </c>
      <c r="J1371">
        <v>0</v>
      </c>
      <c r="K1371">
        <f t="shared" si="1071"/>
        <v>13.8</v>
      </c>
      <c r="L1371">
        <v>0</v>
      </c>
      <c r="M1371">
        <v>0</v>
      </c>
      <c r="N1371">
        <v>0</v>
      </c>
      <c r="O1371">
        <f t="shared" si="1072"/>
        <v>0</v>
      </c>
      <c r="P1371">
        <v>0</v>
      </c>
      <c r="Q1371">
        <v>0</v>
      </c>
      <c r="R1371">
        <v>6.9</v>
      </c>
      <c r="S1371">
        <f t="shared" si="1073"/>
        <v>6.9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f t="shared" si="1074"/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 s="5">
        <f t="shared" si="1075"/>
        <v>0</v>
      </c>
      <c r="AK1371">
        <v>0</v>
      </c>
      <c r="AL1371">
        <v>0.79299999999999993</v>
      </c>
      <c r="AM1371">
        <f t="shared" si="1070"/>
        <v>0.20699999999999999</v>
      </c>
      <c r="AN1371">
        <v>94</v>
      </c>
      <c r="AO1371" t="s">
        <v>13</v>
      </c>
      <c r="AP1371" s="3">
        <f t="shared" si="1056"/>
        <v>118.53720050441362</v>
      </c>
      <c r="AQ1371" t="s">
        <v>13</v>
      </c>
      <c r="AR1371">
        <f t="shared" si="1054"/>
        <v>0</v>
      </c>
      <c r="AS1371">
        <f t="shared" si="1053"/>
        <v>0.20700000000000002</v>
      </c>
      <c r="AT1371">
        <f t="shared" si="1057"/>
        <v>25</v>
      </c>
      <c r="AU1371">
        <f t="shared" si="1058"/>
        <v>0</v>
      </c>
      <c r="AV1371">
        <f t="shared" si="1064"/>
        <v>16</v>
      </c>
      <c r="AW1371">
        <f t="shared" si="1065"/>
        <v>0</v>
      </c>
      <c r="AX1371" s="3">
        <f t="shared" si="1066"/>
        <v>102.53720050441362</v>
      </c>
      <c r="AY1371">
        <f t="shared" si="1067"/>
        <v>12</v>
      </c>
      <c r="AZ1371">
        <f t="shared" si="1068"/>
        <v>0</v>
      </c>
      <c r="BA1371" s="3">
        <f t="shared" si="1069"/>
        <v>106.53720050441362</v>
      </c>
    </row>
    <row r="1372" spans="1:53" x14ac:dyDescent="0.2">
      <c r="A1372">
        <v>2001</v>
      </c>
      <c r="B1372" t="s">
        <v>116</v>
      </c>
      <c r="C1372" t="s">
        <v>99</v>
      </c>
      <c r="D1372">
        <v>4.3</v>
      </c>
      <c r="E1372">
        <v>0</v>
      </c>
      <c r="F1372">
        <v>2</v>
      </c>
      <c r="G1372">
        <v>0</v>
      </c>
      <c r="H1372">
        <v>0</v>
      </c>
      <c r="I1372">
        <v>0</v>
      </c>
      <c r="J1372">
        <v>1.6</v>
      </c>
      <c r="K1372">
        <f t="shared" si="1071"/>
        <v>7.9</v>
      </c>
      <c r="L1372">
        <v>0</v>
      </c>
      <c r="M1372">
        <v>0</v>
      </c>
      <c r="N1372">
        <v>0.6</v>
      </c>
      <c r="O1372">
        <f t="shared" si="1072"/>
        <v>0.6</v>
      </c>
      <c r="P1372">
        <v>0</v>
      </c>
      <c r="Q1372">
        <v>0</v>
      </c>
      <c r="R1372">
        <v>3.5</v>
      </c>
      <c r="S1372">
        <f t="shared" si="1073"/>
        <v>3.5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f t="shared" si="1074"/>
        <v>0</v>
      </c>
      <c r="AB1372">
        <v>0</v>
      </c>
      <c r="AC1372">
        <v>0</v>
      </c>
      <c r="AD1372">
        <v>0</v>
      </c>
      <c r="AE1372">
        <v>0</v>
      </c>
      <c r="AF1372">
        <v>0.6</v>
      </c>
      <c r="AG1372">
        <v>0</v>
      </c>
      <c r="AH1372">
        <v>0</v>
      </c>
      <c r="AI1372">
        <v>0</v>
      </c>
      <c r="AJ1372" s="5">
        <f t="shared" si="1075"/>
        <v>0.6</v>
      </c>
      <c r="AK1372">
        <v>0</v>
      </c>
      <c r="AL1372">
        <v>0.875</v>
      </c>
      <c r="AM1372">
        <f t="shared" si="1070"/>
        <v>0.126</v>
      </c>
      <c r="AN1372">
        <v>115</v>
      </c>
      <c r="AO1372" t="s">
        <v>13</v>
      </c>
      <c r="AP1372" s="3">
        <f t="shared" si="1056"/>
        <v>131.57894736842104</v>
      </c>
      <c r="AQ1372" t="s">
        <v>13</v>
      </c>
      <c r="AR1372">
        <f t="shared" si="1054"/>
        <v>4.7619047619047616E-2</v>
      </c>
      <c r="AS1372">
        <f t="shared" si="1053"/>
        <v>0.12</v>
      </c>
      <c r="AT1372">
        <f t="shared" si="1057"/>
        <v>16</v>
      </c>
      <c r="AU1372">
        <f t="shared" si="1058"/>
        <v>1</v>
      </c>
      <c r="AV1372">
        <f t="shared" si="1064"/>
        <v>11</v>
      </c>
      <c r="AW1372">
        <f t="shared" si="1065"/>
        <v>1</v>
      </c>
      <c r="AX1372" s="3">
        <f t="shared" si="1066"/>
        <v>119.57894736842104</v>
      </c>
      <c r="AY1372">
        <f t="shared" si="1067"/>
        <v>8</v>
      </c>
      <c r="AZ1372">
        <f t="shared" si="1068"/>
        <v>1</v>
      </c>
      <c r="BA1372" s="3">
        <f t="shared" si="1069"/>
        <v>122.57894736842104</v>
      </c>
    </row>
    <row r="1373" spans="1:53" x14ac:dyDescent="0.2">
      <c r="A1373">
        <v>2002</v>
      </c>
      <c r="B1373" t="s">
        <v>116</v>
      </c>
      <c r="C1373" t="s">
        <v>99</v>
      </c>
      <c r="D1373">
        <v>13</v>
      </c>
      <c r="E1373">
        <v>0.6</v>
      </c>
      <c r="F1373">
        <v>1.4</v>
      </c>
      <c r="G1373">
        <v>3.8</v>
      </c>
      <c r="H1373">
        <v>2.2999999999999998</v>
      </c>
      <c r="I1373">
        <v>0.3</v>
      </c>
      <c r="J1373">
        <v>1</v>
      </c>
      <c r="K1373">
        <f t="shared" si="1071"/>
        <v>22.400000000000002</v>
      </c>
      <c r="L1373">
        <v>0.2</v>
      </c>
      <c r="M1373">
        <v>0</v>
      </c>
      <c r="N1373">
        <v>2</v>
      </c>
      <c r="O1373">
        <f t="shared" si="1072"/>
        <v>2.2000000000000002</v>
      </c>
      <c r="P1373">
        <v>0</v>
      </c>
      <c r="Q1373">
        <v>0</v>
      </c>
      <c r="R1373">
        <v>2.7</v>
      </c>
      <c r="S1373">
        <f t="shared" si="1073"/>
        <v>2.7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f t="shared" si="1074"/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 s="5">
        <f t="shared" si="1075"/>
        <v>0</v>
      </c>
      <c r="AK1373">
        <v>0</v>
      </c>
      <c r="AL1373">
        <v>0.72699999999999998</v>
      </c>
      <c r="AM1373">
        <f t="shared" si="1070"/>
        <v>0.27300000000000002</v>
      </c>
      <c r="AN1373">
        <v>54</v>
      </c>
      <c r="AO1373" t="s">
        <v>13</v>
      </c>
      <c r="AP1373" s="3">
        <f t="shared" si="1056"/>
        <v>74.277854195323243</v>
      </c>
      <c r="AQ1373" t="s">
        <v>13</v>
      </c>
      <c r="AR1373">
        <f t="shared" si="1054"/>
        <v>0</v>
      </c>
      <c r="AS1373">
        <f t="shared" si="1053"/>
        <v>0.27300000000000002</v>
      </c>
      <c r="AT1373">
        <f t="shared" si="1057"/>
        <v>20</v>
      </c>
      <c r="AU1373">
        <f t="shared" si="1058"/>
        <v>0</v>
      </c>
      <c r="AV1373">
        <f t="shared" si="1064"/>
        <v>12</v>
      </c>
      <c r="AW1373">
        <f t="shared" si="1065"/>
        <v>0</v>
      </c>
      <c r="AX1373" s="3">
        <f t="shared" si="1066"/>
        <v>62.277854195323243</v>
      </c>
      <c r="AY1373">
        <f t="shared" si="1067"/>
        <v>10</v>
      </c>
      <c r="AZ1373">
        <f t="shared" si="1068"/>
        <v>0</v>
      </c>
      <c r="BA1373" s="3">
        <f t="shared" si="1069"/>
        <v>64.277854195323243</v>
      </c>
    </row>
    <row r="1374" spans="1:53" x14ac:dyDescent="0.2">
      <c r="A1374">
        <v>2003</v>
      </c>
      <c r="B1374" t="s">
        <v>116</v>
      </c>
      <c r="C1374" t="s">
        <v>99</v>
      </c>
      <c r="D1374">
        <v>14.6</v>
      </c>
      <c r="E1374">
        <v>2.1</v>
      </c>
      <c r="F1374">
        <v>3.1</v>
      </c>
      <c r="G1374">
        <v>0.8</v>
      </c>
      <c r="H1374">
        <v>1.7</v>
      </c>
      <c r="I1374">
        <v>0</v>
      </c>
      <c r="J1374">
        <v>0</v>
      </c>
      <c r="K1374">
        <f t="shared" si="1071"/>
        <v>22.3</v>
      </c>
      <c r="L1374">
        <v>0</v>
      </c>
      <c r="M1374">
        <v>0</v>
      </c>
      <c r="N1374">
        <v>2.9</v>
      </c>
      <c r="O1374">
        <f t="shared" si="1072"/>
        <v>2.9</v>
      </c>
      <c r="P1374">
        <v>0</v>
      </c>
      <c r="Q1374">
        <v>0</v>
      </c>
      <c r="R1374">
        <v>2.6</v>
      </c>
      <c r="S1374">
        <f t="shared" si="1073"/>
        <v>2.6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f t="shared" si="1074"/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 s="5">
        <f t="shared" si="1075"/>
        <v>0</v>
      </c>
      <c r="AK1374">
        <v>0</v>
      </c>
      <c r="AL1374">
        <v>0.72199999999999998</v>
      </c>
      <c r="AM1374">
        <f t="shared" si="1070"/>
        <v>0.27800000000000002</v>
      </c>
      <c r="AN1374">
        <v>155</v>
      </c>
      <c r="AO1374" t="s">
        <v>13</v>
      </c>
      <c r="AP1374" s="3">
        <f t="shared" si="1056"/>
        <v>214.68144044321329</v>
      </c>
      <c r="AQ1374" t="s">
        <v>13</v>
      </c>
      <c r="AR1374">
        <f t="shared" si="1054"/>
        <v>0</v>
      </c>
      <c r="AS1374">
        <f t="shared" si="1053"/>
        <v>0.27800000000000002</v>
      </c>
      <c r="AT1374">
        <f t="shared" si="1057"/>
        <v>60</v>
      </c>
      <c r="AU1374">
        <f t="shared" si="1058"/>
        <v>0</v>
      </c>
      <c r="AV1374">
        <f t="shared" si="1064"/>
        <v>36</v>
      </c>
      <c r="AW1374">
        <f t="shared" si="1065"/>
        <v>0</v>
      </c>
      <c r="AX1374" s="3">
        <f t="shared" si="1066"/>
        <v>178.68144044321329</v>
      </c>
      <c r="AY1374">
        <f t="shared" si="1067"/>
        <v>30</v>
      </c>
      <c r="AZ1374">
        <f t="shared" si="1068"/>
        <v>0</v>
      </c>
      <c r="BA1374" s="3">
        <f t="shared" si="1069"/>
        <v>184.68144044321329</v>
      </c>
    </row>
    <row r="1375" spans="1:53" x14ac:dyDescent="0.2">
      <c r="A1375">
        <v>2004</v>
      </c>
      <c r="B1375" t="s">
        <v>116</v>
      </c>
      <c r="C1375" t="s">
        <v>99</v>
      </c>
      <c r="D1375">
        <v>13.6</v>
      </c>
      <c r="E1375">
        <v>8.4</v>
      </c>
      <c r="F1375">
        <v>2.2999999999999998</v>
      </c>
      <c r="G1375">
        <v>2.7</v>
      </c>
      <c r="H1375">
        <v>1.6</v>
      </c>
      <c r="I1375">
        <v>0.1</v>
      </c>
      <c r="J1375">
        <v>0.6</v>
      </c>
      <c r="K1375">
        <f t="shared" si="1071"/>
        <v>29.300000000000004</v>
      </c>
      <c r="L1375">
        <v>0</v>
      </c>
      <c r="M1375">
        <v>0</v>
      </c>
      <c r="N1375">
        <v>2.9</v>
      </c>
      <c r="O1375">
        <f t="shared" si="1072"/>
        <v>2.9</v>
      </c>
      <c r="P1375">
        <v>0</v>
      </c>
      <c r="Q1375">
        <v>0</v>
      </c>
      <c r="R1375">
        <v>3</v>
      </c>
      <c r="S1375">
        <f t="shared" si="1073"/>
        <v>3</v>
      </c>
      <c r="T1375">
        <v>0</v>
      </c>
      <c r="U1375">
        <v>0.1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f t="shared" si="1074"/>
        <v>0.1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 s="5">
        <f t="shared" si="1075"/>
        <v>0</v>
      </c>
      <c r="AK1375">
        <v>0.3</v>
      </c>
      <c r="AL1375">
        <v>0.64400000000000002</v>
      </c>
      <c r="AM1375">
        <f t="shared" si="1070"/>
        <v>0.35300000000000004</v>
      </c>
      <c r="AN1375">
        <v>362</v>
      </c>
      <c r="AO1375" t="s">
        <v>13</v>
      </c>
      <c r="AP1375" s="3">
        <f t="shared" si="1056"/>
        <v>559.50540958268937</v>
      </c>
      <c r="AQ1375" t="s">
        <v>13</v>
      </c>
      <c r="AR1375">
        <f t="shared" si="1054"/>
        <v>0</v>
      </c>
      <c r="AS1375">
        <f t="shared" si="1053"/>
        <v>0.35300000000000004</v>
      </c>
      <c r="AT1375">
        <f t="shared" si="1057"/>
        <v>198</v>
      </c>
      <c r="AU1375">
        <f t="shared" si="1058"/>
        <v>0</v>
      </c>
      <c r="AV1375">
        <f t="shared" si="1064"/>
        <v>116</v>
      </c>
      <c r="AW1375">
        <f t="shared" si="1065"/>
        <v>0</v>
      </c>
      <c r="AX1375" s="3">
        <f t="shared" si="1066"/>
        <v>443.50540958268937</v>
      </c>
      <c r="AY1375">
        <f t="shared" si="1067"/>
        <v>99</v>
      </c>
      <c r="AZ1375">
        <f t="shared" si="1068"/>
        <v>0</v>
      </c>
      <c r="BA1375" s="3">
        <f t="shared" si="1069"/>
        <v>460.50540958268937</v>
      </c>
    </row>
    <row r="1376" spans="1:53" x14ac:dyDescent="0.2">
      <c r="A1376">
        <v>2005</v>
      </c>
      <c r="B1376" t="s">
        <v>116</v>
      </c>
      <c r="C1376" t="s">
        <v>99</v>
      </c>
      <c r="D1376">
        <v>15.4</v>
      </c>
      <c r="E1376">
        <v>2</v>
      </c>
      <c r="F1376">
        <v>4.5</v>
      </c>
      <c r="G1376">
        <v>3.1</v>
      </c>
      <c r="H1376">
        <v>4.3</v>
      </c>
      <c r="I1376">
        <v>0</v>
      </c>
      <c r="J1376">
        <v>1.1000000000000001</v>
      </c>
      <c r="K1376">
        <f t="shared" si="1071"/>
        <v>30.400000000000002</v>
      </c>
      <c r="L1376">
        <v>0</v>
      </c>
      <c r="M1376">
        <v>0</v>
      </c>
      <c r="N1376">
        <v>6.4</v>
      </c>
      <c r="O1376">
        <f t="shared" si="1072"/>
        <v>6.4</v>
      </c>
      <c r="P1376">
        <v>0</v>
      </c>
      <c r="Q1376">
        <v>0</v>
      </c>
      <c r="R1376">
        <v>3.7</v>
      </c>
      <c r="S1376">
        <f t="shared" si="1073"/>
        <v>3.7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f t="shared" si="1074"/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 s="5">
        <f t="shared" si="1075"/>
        <v>0</v>
      </c>
      <c r="AK1376">
        <v>0.1</v>
      </c>
      <c r="AL1376">
        <v>0.59399999999999997</v>
      </c>
      <c r="AM1376">
        <f t="shared" si="1070"/>
        <v>0.40500000000000003</v>
      </c>
      <c r="AN1376">
        <v>115</v>
      </c>
      <c r="AO1376" t="s">
        <v>13</v>
      </c>
      <c r="AP1376" s="3">
        <f t="shared" si="1056"/>
        <v>193.27731092436974</v>
      </c>
      <c r="AQ1376" t="s">
        <v>13</v>
      </c>
      <c r="AR1376">
        <f t="shared" si="1054"/>
        <v>0</v>
      </c>
      <c r="AS1376">
        <f t="shared" si="1053"/>
        <v>0.40500000000000008</v>
      </c>
      <c r="AT1376">
        <f t="shared" si="1057"/>
        <v>78</v>
      </c>
      <c r="AU1376">
        <f t="shared" si="1058"/>
        <v>0</v>
      </c>
      <c r="AV1376">
        <f t="shared" si="1064"/>
        <v>49</v>
      </c>
      <c r="AW1376">
        <f t="shared" si="1065"/>
        <v>0</v>
      </c>
      <c r="AX1376" s="3">
        <f t="shared" si="1066"/>
        <v>144.27731092436974</v>
      </c>
      <c r="AY1376">
        <f t="shared" si="1067"/>
        <v>39</v>
      </c>
      <c r="AZ1376">
        <f t="shared" si="1068"/>
        <v>0</v>
      </c>
      <c r="BA1376" s="3">
        <f t="shared" si="1069"/>
        <v>154.27731092436974</v>
      </c>
    </row>
    <row r="1377" spans="1:53" x14ac:dyDescent="0.2">
      <c r="A1377">
        <v>2006</v>
      </c>
      <c r="B1377" t="s">
        <v>116</v>
      </c>
      <c r="C1377" t="s">
        <v>99</v>
      </c>
      <c r="D1377">
        <v>11.6</v>
      </c>
      <c r="E1377">
        <v>2.5</v>
      </c>
      <c r="F1377">
        <v>3.9</v>
      </c>
      <c r="G1377">
        <v>2.6</v>
      </c>
      <c r="H1377">
        <v>2.9</v>
      </c>
      <c r="I1377">
        <v>0</v>
      </c>
      <c r="J1377">
        <v>1.9</v>
      </c>
      <c r="K1377">
        <f t="shared" si="1071"/>
        <v>25.4</v>
      </c>
      <c r="L1377">
        <v>0</v>
      </c>
      <c r="M1377">
        <v>0</v>
      </c>
      <c r="N1377">
        <v>2.1</v>
      </c>
      <c r="O1377">
        <f t="shared" si="1072"/>
        <v>2.1</v>
      </c>
      <c r="P1377">
        <v>0</v>
      </c>
      <c r="Q1377">
        <v>0</v>
      </c>
      <c r="R1377">
        <v>4.4000000000000004</v>
      </c>
      <c r="S1377">
        <f t="shared" si="1073"/>
        <v>4.4000000000000004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f t="shared" si="1074"/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 s="5">
        <f t="shared" si="1075"/>
        <v>0</v>
      </c>
      <c r="AK1377">
        <v>0</v>
      </c>
      <c r="AL1377">
        <v>0.68200000000000005</v>
      </c>
      <c r="AM1377">
        <f t="shared" si="1070"/>
        <v>0.31900000000000001</v>
      </c>
      <c r="AN1377">
        <v>85</v>
      </c>
      <c r="AO1377" t="s">
        <v>13</v>
      </c>
      <c r="AP1377" s="3">
        <f t="shared" si="1056"/>
        <v>124.81644640234947</v>
      </c>
      <c r="AQ1377" t="s">
        <v>13</v>
      </c>
      <c r="AR1377">
        <f t="shared" si="1054"/>
        <v>0</v>
      </c>
      <c r="AS1377">
        <f t="shared" si="1053"/>
        <v>0.31900000000000001</v>
      </c>
      <c r="AT1377">
        <f t="shared" si="1057"/>
        <v>40</v>
      </c>
      <c r="AU1377">
        <f t="shared" si="1058"/>
        <v>0</v>
      </c>
      <c r="AV1377">
        <f t="shared" si="1064"/>
        <v>24</v>
      </c>
      <c r="AW1377">
        <f t="shared" si="1065"/>
        <v>0</v>
      </c>
      <c r="AX1377" s="3">
        <f t="shared" si="1066"/>
        <v>100.81644640234947</v>
      </c>
      <c r="AY1377">
        <f t="shared" si="1067"/>
        <v>20</v>
      </c>
      <c r="AZ1377">
        <f t="shared" si="1068"/>
        <v>0</v>
      </c>
      <c r="BA1377" s="3">
        <f t="shared" si="1069"/>
        <v>104.81644640234947</v>
      </c>
    </row>
    <row r="1378" spans="1:53" x14ac:dyDescent="0.2">
      <c r="A1378">
        <v>2007</v>
      </c>
      <c r="B1378" t="s">
        <v>116</v>
      </c>
      <c r="C1378" t="s">
        <v>99</v>
      </c>
      <c r="D1378">
        <v>16.2</v>
      </c>
      <c r="E1378">
        <v>3.3</v>
      </c>
      <c r="F1378">
        <v>5.9</v>
      </c>
      <c r="G1378">
        <v>4.9000000000000004</v>
      </c>
      <c r="H1378">
        <v>5.3</v>
      </c>
      <c r="I1378">
        <v>0.1</v>
      </c>
      <c r="J1378">
        <v>1.3</v>
      </c>
      <c r="K1378">
        <f t="shared" si="1071"/>
        <v>36.999999999999993</v>
      </c>
      <c r="L1378">
        <v>0</v>
      </c>
      <c r="M1378">
        <v>0</v>
      </c>
      <c r="N1378">
        <v>1.7</v>
      </c>
      <c r="O1378">
        <f t="shared" si="1072"/>
        <v>1.7</v>
      </c>
      <c r="P1378">
        <v>0</v>
      </c>
      <c r="Q1378">
        <v>0</v>
      </c>
      <c r="R1378">
        <v>5</v>
      </c>
      <c r="S1378">
        <f t="shared" si="1073"/>
        <v>5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f t="shared" si="1074"/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 s="5">
        <f t="shared" si="1075"/>
        <v>0</v>
      </c>
      <c r="AK1378">
        <v>0</v>
      </c>
      <c r="AL1378">
        <v>0.56299999999999994</v>
      </c>
      <c r="AM1378">
        <f t="shared" si="1070"/>
        <v>0.43699999999999994</v>
      </c>
      <c r="AN1378">
        <v>112</v>
      </c>
      <c r="AO1378" t="s">
        <v>13</v>
      </c>
      <c r="AP1378" s="3">
        <f t="shared" si="1056"/>
        <v>198.93428063943159</v>
      </c>
      <c r="AQ1378" t="s">
        <v>13</v>
      </c>
      <c r="AR1378">
        <f t="shared" si="1054"/>
        <v>0</v>
      </c>
      <c r="AS1378">
        <f t="shared" ref="AS1378:AS1420" si="1076">SUM(K1378,O1378,S1378,AA1378)/100</f>
        <v>0.43699999999999994</v>
      </c>
      <c r="AT1378">
        <f t="shared" si="1057"/>
        <v>87</v>
      </c>
      <c r="AU1378">
        <f t="shared" si="1058"/>
        <v>0</v>
      </c>
      <c r="AV1378">
        <f t="shared" si="1064"/>
        <v>50</v>
      </c>
      <c r="AW1378">
        <f t="shared" si="1065"/>
        <v>0</v>
      </c>
      <c r="AX1378" s="3">
        <f t="shared" si="1066"/>
        <v>148.93428063943159</v>
      </c>
      <c r="AY1378">
        <f t="shared" si="1067"/>
        <v>43</v>
      </c>
      <c r="AZ1378">
        <f t="shared" si="1068"/>
        <v>0</v>
      </c>
      <c r="BA1378" s="3">
        <f t="shared" si="1069"/>
        <v>155.93428063943159</v>
      </c>
    </row>
    <row r="1379" spans="1:53" x14ac:dyDescent="0.2">
      <c r="A1379">
        <v>2008</v>
      </c>
      <c r="B1379" t="s">
        <v>116</v>
      </c>
      <c r="C1379" t="s">
        <v>99</v>
      </c>
      <c r="D1379">
        <v>9.9</v>
      </c>
      <c r="E1379">
        <v>0.5</v>
      </c>
      <c r="F1379">
        <v>2.4</v>
      </c>
      <c r="G1379">
        <v>2.6</v>
      </c>
      <c r="H1379">
        <v>2.7</v>
      </c>
      <c r="I1379">
        <v>0</v>
      </c>
      <c r="J1379">
        <v>0.8</v>
      </c>
      <c r="K1379">
        <f t="shared" si="1071"/>
        <v>18.900000000000002</v>
      </c>
      <c r="L1379">
        <v>0</v>
      </c>
      <c r="M1379">
        <v>0</v>
      </c>
      <c r="N1379">
        <v>3.4</v>
      </c>
      <c r="O1379">
        <f t="shared" si="1072"/>
        <v>3.4</v>
      </c>
      <c r="P1379">
        <v>0</v>
      </c>
      <c r="Q1379">
        <v>0</v>
      </c>
      <c r="R1379">
        <v>2.8</v>
      </c>
      <c r="S1379">
        <f t="shared" si="1073"/>
        <v>2.8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f t="shared" si="1074"/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 s="5">
        <f t="shared" si="1075"/>
        <v>0</v>
      </c>
      <c r="AK1379">
        <v>0</v>
      </c>
      <c r="AL1379">
        <v>0.74900000000000011</v>
      </c>
      <c r="AM1379">
        <f t="shared" si="1070"/>
        <v>0.251</v>
      </c>
      <c r="AN1379">
        <v>149</v>
      </c>
      <c r="AO1379" t="s">
        <v>13</v>
      </c>
      <c r="AP1379" s="3">
        <f t="shared" si="1056"/>
        <v>198.93190921228305</v>
      </c>
      <c r="AQ1379" t="s">
        <v>13</v>
      </c>
      <c r="AR1379">
        <f t="shared" si="1054"/>
        <v>0</v>
      </c>
      <c r="AS1379">
        <f t="shared" si="1076"/>
        <v>0.251</v>
      </c>
      <c r="AT1379">
        <f t="shared" si="1057"/>
        <v>50</v>
      </c>
      <c r="AU1379">
        <f t="shared" si="1058"/>
        <v>0</v>
      </c>
      <c r="AV1379">
        <f t="shared" si="1064"/>
        <v>31</v>
      </c>
      <c r="AW1379">
        <f t="shared" si="1065"/>
        <v>0</v>
      </c>
      <c r="AX1379" s="3">
        <f t="shared" si="1066"/>
        <v>167.93190921228305</v>
      </c>
      <c r="AY1379">
        <f t="shared" si="1067"/>
        <v>25</v>
      </c>
      <c r="AZ1379">
        <f t="shared" si="1068"/>
        <v>0</v>
      </c>
      <c r="BA1379" s="3">
        <f t="shared" si="1069"/>
        <v>173.93190921228305</v>
      </c>
    </row>
    <row r="1380" spans="1:53" x14ac:dyDescent="0.2">
      <c r="A1380">
        <v>2009</v>
      </c>
      <c r="B1380" t="s">
        <v>116</v>
      </c>
      <c r="C1380" t="s">
        <v>99</v>
      </c>
      <c r="D1380">
        <v>12.1</v>
      </c>
      <c r="E1380">
        <v>10.199999999999999</v>
      </c>
      <c r="F1380">
        <v>4.5</v>
      </c>
      <c r="G1380">
        <v>2</v>
      </c>
      <c r="H1380">
        <v>7.2</v>
      </c>
      <c r="I1380">
        <v>0</v>
      </c>
      <c r="J1380">
        <v>1.1000000000000001</v>
      </c>
      <c r="K1380">
        <f t="shared" si="1071"/>
        <v>37.1</v>
      </c>
      <c r="L1380">
        <v>0</v>
      </c>
      <c r="M1380">
        <v>0</v>
      </c>
      <c r="N1380">
        <v>6.5</v>
      </c>
      <c r="O1380">
        <f t="shared" si="1072"/>
        <v>6.5</v>
      </c>
      <c r="P1380">
        <v>0</v>
      </c>
      <c r="Q1380">
        <v>0</v>
      </c>
      <c r="R1380">
        <v>5.7</v>
      </c>
      <c r="S1380">
        <f t="shared" si="1073"/>
        <v>5.7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f t="shared" si="1074"/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 s="5">
        <f t="shared" si="1075"/>
        <v>0</v>
      </c>
      <c r="AK1380">
        <v>0</v>
      </c>
      <c r="AL1380">
        <v>0.50600000000000001</v>
      </c>
      <c r="AM1380">
        <f t="shared" si="1070"/>
        <v>0.49300000000000005</v>
      </c>
      <c r="AN1380">
        <v>60</v>
      </c>
      <c r="AO1380" t="s">
        <v>13</v>
      </c>
      <c r="AP1380" s="3">
        <f t="shared" si="1056"/>
        <v>118.34319526627222</v>
      </c>
      <c r="AQ1380" t="s">
        <v>13</v>
      </c>
      <c r="AR1380">
        <f t="shared" ref="AR1380:AR1443" si="1077">(AJ1380/100)/AM1380</f>
        <v>0</v>
      </c>
      <c r="AS1380">
        <f t="shared" si="1076"/>
        <v>0.49300000000000005</v>
      </c>
      <c r="AT1380">
        <f t="shared" si="1057"/>
        <v>58</v>
      </c>
      <c r="AU1380">
        <f t="shared" si="1058"/>
        <v>0</v>
      </c>
      <c r="AV1380">
        <f t="shared" si="1064"/>
        <v>36</v>
      </c>
      <c r="AW1380">
        <f t="shared" si="1065"/>
        <v>0</v>
      </c>
      <c r="AX1380" s="3">
        <f t="shared" si="1066"/>
        <v>82.343195266272218</v>
      </c>
      <c r="AY1380">
        <f t="shared" si="1067"/>
        <v>29</v>
      </c>
      <c r="AZ1380">
        <f t="shared" si="1068"/>
        <v>0</v>
      </c>
      <c r="BA1380" s="3">
        <f t="shared" si="1069"/>
        <v>89.343195266272218</v>
      </c>
    </row>
    <row r="1381" spans="1:53" x14ac:dyDescent="0.2">
      <c r="A1381">
        <v>2010</v>
      </c>
      <c r="B1381" t="s">
        <v>116</v>
      </c>
      <c r="C1381" t="s">
        <v>99</v>
      </c>
      <c r="D1381">
        <v>7.2</v>
      </c>
      <c r="E1381">
        <v>0.3</v>
      </c>
      <c r="F1381">
        <v>8.8000000000000007</v>
      </c>
      <c r="G1381">
        <v>3</v>
      </c>
      <c r="H1381">
        <v>4.7</v>
      </c>
      <c r="I1381">
        <v>0.7</v>
      </c>
      <c r="J1381">
        <v>2.2000000000000002</v>
      </c>
      <c r="K1381">
        <f t="shared" si="1071"/>
        <v>26.9</v>
      </c>
      <c r="L1381">
        <v>0</v>
      </c>
      <c r="M1381">
        <v>0</v>
      </c>
      <c r="N1381">
        <v>2.6</v>
      </c>
      <c r="O1381">
        <f t="shared" si="1072"/>
        <v>2.6</v>
      </c>
      <c r="P1381">
        <v>0</v>
      </c>
      <c r="Q1381">
        <v>0</v>
      </c>
      <c r="R1381">
        <v>5.0999999999999996</v>
      </c>
      <c r="S1381">
        <f t="shared" si="1073"/>
        <v>5.0999999999999996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f t="shared" si="1074"/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0.1</v>
      </c>
      <c r="AI1381">
        <v>0</v>
      </c>
      <c r="AJ1381" s="5">
        <f t="shared" si="1075"/>
        <v>0.1</v>
      </c>
      <c r="AK1381">
        <v>0</v>
      </c>
      <c r="AL1381">
        <v>0.65099999999999991</v>
      </c>
      <c r="AM1381">
        <f t="shared" si="1070"/>
        <v>0.34700000000000003</v>
      </c>
      <c r="AN1381">
        <v>185</v>
      </c>
      <c r="AO1381" t="s">
        <v>13</v>
      </c>
      <c r="AP1381" s="3">
        <f t="shared" si="1056"/>
        <v>283.30781010719755</v>
      </c>
      <c r="AQ1381" t="s">
        <v>13</v>
      </c>
      <c r="AR1381">
        <f t="shared" si="1077"/>
        <v>2.881844380403458E-3</v>
      </c>
      <c r="AS1381">
        <f t="shared" si="1076"/>
        <v>0.34600000000000003</v>
      </c>
      <c r="AT1381">
        <f t="shared" si="1057"/>
        <v>98</v>
      </c>
      <c r="AU1381">
        <f t="shared" si="1058"/>
        <v>0</v>
      </c>
      <c r="AV1381">
        <f t="shared" si="1064"/>
        <v>60</v>
      </c>
      <c r="AW1381">
        <f t="shared" si="1065"/>
        <v>0</v>
      </c>
      <c r="AX1381" s="3">
        <f t="shared" si="1066"/>
        <v>223.30781010719755</v>
      </c>
      <c r="AY1381">
        <f t="shared" si="1067"/>
        <v>49</v>
      </c>
      <c r="AZ1381">
        <f t="shared" si="1068"/>
        <v>0</v>
      </c>
      <c r="BA1381" s="3">
        <f t="shared" si="1069"/>
        <v>234.30781010719755</v>
      </c>
    </row>
    <row r="1382" spans="1:53" x14ac:dyDescent="0.2">
      <c r="A1382">
        <v>2011</v>
      </c>
      <c r="B1382" t="s">
        <v>116</v>
      </c>
      <c r="C1382" t="s">
        <v>99</v>
      </c>
      <c r="D1382">
        <v>13.7</v>
      </c>
      <c r="E1382">
        <v>1.9</v>
      </c>
      <c r="F1382">
        <v>3</v>
      </c>
      <c r="G1382">
        <v>3.4</v>
      </c>
      <c r="H1382">
        <v>3.5</v>
      </c>
      <c r="I1382">
        <v>0.2</v>
      </c>
      <c r="J1382">
        <v>3.8</v>
      </c>
      <c r="K1382">
        <f t="shared" si="1071"/>
        <v>29.5</v>
      </c>
      <c r="L1382">
        <v>0</v>
      </c>
      <c r="M1382">
        <v>0</v>
      </c>
      <c r="N1382">
        <v>4.0999999999999996</v>
      </c>
      <c r="O1382">
        <f t="shared" si="1072"/>
        <v>4.0999999999999996</v>
      </c>
      <c r="P1382">
        <v>0</v>
      </c>
      <c r="Q1382">
        <v>0</v>
      </c>
      <c r="R1382">
        <v>4.3</v>
      </c>
      <c r="S1382">
        <f t="shared" si="1073"/>
        <v>4.3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0.6</v>
      </c>
      <c r="Z1382">
        <v>0</v>
      </c>
      <c r="AA1382">
        <f t="shared" si="1074"/>
        <v>0.6</v>
      </c>
      <c r="AB1382">
        <v>0.1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 s="5">
        <f t="shared" si="1075"/>
        <v>0.1</v>
      </c>
      <c r="AK1382">
        <v>0</v>
      </c>
      <c r="AL1382">
        <v>0.61399999999999999</v>
      </c>
      <c r="AM1382">
        <f t="shared" si="1070"/>
        <v>0.38599999999999995</v>
      </c>
      <c r="AN1382">
        <v>67</v>
      </c>
      <c r="AO1382" t="s">
        <v>13</v>
      </c>
      <c r="AP1382" s="3">
        <f t="shared" si="1056"/>
        <v>109.12052117263842</v>
      </c>
      <c r="AQ1382" t="s">
        <v>13</v>
      </c>
      <c r="AR1382">
        <f t="shared" si="1077"/>
        <v>2.5906735751295342E-3</v>
      </c>
      <c r="AS1382">
        <f t="shared" si="1076"/>
        <v>0.38500000000000001</v>
      </c>
      <c r="AT1382">
        <f t="shared" si="1057"/>
        <v>42</v>
      </c>
      <c r="AU1382">
        <f t="shared" si="1058"/>
        <v>0</v>
      </c>
      <c r="AV1382">
        <f t="shared" si="1064"/>
        <v>26</v>
      </c>
      <c r="AW1382">
        <f t="shared" si="1065"/>
        <v>0</v>
      </c>
      <c r="AX1382" s="3">
        <f t="shared" si="1066"/>
        <v>83.120521172638419</v>
      </c>
      <c r="AY1382">
        <f t="shared" si="1067"/>
        <v>21</v>
      </c>
      <c r="AZ1382">
        <f t="shared" si="1068"/>
        <v>0</v>
      </c>
      <c r="BA1382" s="3">
        <f t="shared" si="1069"/>
        <v>88.120521172638419</v>
      </c>
    </row>
    <row r="1383" spans="1:53" x14ac:dyDescent="0.2">
      <c r="A1383">
        <v>2012</v>
      </c>
      <c r="B1383" t="s">
        <v>116</v>
      </c>
      <c r="C1383" t="s">
        <v>99</v>
      </c>
      <c r="D1383">
        <v>12.6</v>
      </c>
      <c r="E1383">
        <v>3.4</v>
      </c>
      <c r="F1383">
        <v>2.6</v>
      </c>
      <c r="G1383">
        <v>2.7</v>
      </c>
      <c r="H1383">
        <v>2.8</v>
      </c>
      <c r="I1383">
        <v>0.2</v>
      </c>
      <c r="J1383">
        <v>2.4</v>
      </c>
      <c r="K1383">
        <f t="shared" si="1071"/>
        <v>26.7</v>
      </c>
      <c r="L1383">
        <v>0</v>
      </c>
      <c r="M1383">
        <v>0</v>
      </c>
      <c r="N1383">
        <v>4.5999999999999996</v>
      </c>
      <c r="O1383">
        <f t="shared" si="1072"/>
        <v>4.5999999999999996</v>
      </c>
      <c r="P1383">
        <v>0</v>
      </c>
      <c r="Q1383">
        <v>0</v>
      </c>
      <c r="R1383">
        <v>5.8</v>
      </c>
      <c r="S1383">
        <f t="shared" si="1073"/>
        <v>5.8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f t="shared" si="1074"/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 s="5">
        <f t="shared" si="1075"/>
        <v>0</v>
      </c>
      <c r="AK1383">
        <v>0</v>
      </c>
      <c r="AL1383">
        <v>0.63</v>
      </c>
      <c r="AM1383">
        <f t="shared" ref="AM1383:AM1446" si="1078">SUM(AB1383:AI1383,T1383:Z1383,P1383:R1383,L1383:N1383,D1383:J1383)/100</f>
        <v>0.371</v>
      </c>
      <c r="AN1383">
        <v>108</v>
      </c>
      <c r="AO1383" t="s">
        <v>13</v>
      </c>
      <c r="AP1383" s="3">
        <f t="shared" si="1056"/>
        <v>171.70111287758345</v>
      </c>
      <c r="AQ1383" t="s">
        <v>13</v>
      </c>
      <c r="AR1383">
        <f t="shared" si="1077"/>
        <v>0</v>
      </c>
      <c r="AS1383">
        <f t="shared" si="1076"/>
        <v>0.37099999999999994</v>
      </c>
      <c r="AT1383">
        <f t="shared" si="1057"/>
        <v>64</v>
      </c>
      <c r="AU1383">
        <f t="shared" si="1058"/>
        <v>0</v>
      </c>
      <c r="AV1383">
        <f t="shared" si="1064"/>
        <v>41</v>
      </c>
      <c r="AW1383">
        <f t="shared" si="1065"/>
        <v>0</v>
      </c>
      <c r="AX1383" s="3">
        <f t="shared" si="1066"/>
        <v>130.70111287758345</v>
      </c>
      <c r="AY1383">
        <f t="shared" si="1067"/>
        <v>32</v>
      </c>
      <c r="AZ1383">
        <f t="shared" si="1068"/>
        <v>0</v>
      </c>
      <c r="BA1383" s="3">
        <f t="shared" si="1069"/>
        <v>139.70111287758345</v>
      </c>
    </row>
    <row r="1384" spans="1:53" x14ac:dyDescent="0.2">
      <c r="A1384">
        <v>2013</v>
      </c>
      <c r="B1384" t="s">
        <v>116</v>
      </c>
      <c r="C1384" t="s">
        <v>99</v>
      </c>
      <c r="D1384">
        <v>10.5</v>
      </c>
      <c r="E1384">
        <v>3.8</v>
      </c>
      <c r="F1384">
        <v>3.9</v>
      </c>
      <c r="G1384">
        <v>1</v>
      </c>
      <c r="H1384">
        <v>4.5</v>
      </c>
      <c r="I1384">
        <v>0</v>
      </c>
      <c r="J1384">
        <v>1</v>
      </c>
      <c r="K1384">
        <f t="shared" si="1071"/>
        <v>24.7</v>
      </c>
      <c r="L1384">
        <v>0</v>
      </c>
      <c r="M1384">
        <v>0</v>
      </c>
      <c r="N1384">
        <v>1.5</v>
      </c>
      <c r="O1384">
        <f t="shared" si="1072"/>
        <v>1.5</v>
      </c>
      <c r="P1384">
        <v>0</v>
      </c>
      <c r="Q1384">
        <v>0</v>
      </c>
      <c r="R1384">
        <v>8.5</v>
      </c>
      <c r="S1384">
        <f t="shared" si="1073"/>
        <v>8.5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f t="shared" si="1074"/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 s="5">
        <f t="shared" si="1075"/>
        <v>0</v>
      </c>
      <c r="AK1384">
        <v>0</v>
      </c>
      <c r="AL1384">
        <v>0.65300000000000002</v>
      </c>
      <c r="AM1384">
        <f t="shared" si="1078"/>
        <v>0.34700000000000003</v>
      </c>
      <c r="AN1384">
        <v>208</v>
      </c>
      <c r="AO1384" t="s">
        <v>13</v>
      </c>
      <c r="AP1384" s="3">
        <f t="shared" si="1056"/>
        <v>318.52986217457885</v>
      </c>
      <c r="AQ1384" t="s">
        <v>13</v>
      </c>
      <c r="AR1384">
        <f t="shared" si="1077"/>
        <v>0</v>
      </c>
      <c r="AS1384">
        <f t="shared" si="1076"/>
        <v>0.34700000000000003</v>
      </c>
      <c r="AT1384">
        <f t="shared" si="1057"/>
        <v>111</v>
      </c>
      <c r="AU1384">
        <f t="shared" si="1058"/>
        <v>0</v>
      </c>
      <c r="AV1384">
        <f t="shared" si="1064"/>
        <v>71</v>
      </c>
      <c r="AW1384">
        <f t="shared" si="1065"/>
        <v>0</v>
      </c>
      <c r="AX1384" s="3">
        <f t="shared" si="1066"/>
        <v>247.52986217457885</v>
      </c>
      <c r="AY1384">
        <f t="shared" si="1067"/>
        <v>55</v>
      </c>
      <c r="AZ1384">
        <f t="shared" si="1068"/>
        <v>0</v>
      </c>
      <c r="BA1384" s="3">
        <f t="shared" si="1069"/>
        <v>263.52986217457885</v>
      </c>
    </row>
    <row r="1385" spans="1:53" x14ac:dyDescent="0.2">
      <c r="A1385">
        <v>2014</v>
      </c>
      <c r="B1385" t="s">
        <v>116</v>
      </c>
      <c r="C1385" t="s">
        <v>99</v>
      </c>
      <c r="D1385">
        <v>13.9</v>
      </c>
      <c r="E1385">
        <v>2</v>
      </c>
      <c r="F1385">
        <v>7.1</v>
      </c>
      <c r="G1385">
        <v>1.9</v>
      </c>
      <c r="H1385">
        <v>3.4</v>
      </c>
      <c r="I1385">
        <v>0.7</v>
      </c>
      <c r="J1385">
        <v>4.5</v>
      </c>
      <c r="K1385">
        <f t="shared" si="1071"/>
        <v>33.5</v>
      </c>
      <c r="L1385">
        <v>0</v>
      </c>
      <c r="M1385">
        <v>0</v>
      </c>
      <c r="N1385">
        <v>1.4</v>
      </c>
      <c r="O1385">
        <f t="shared" si="1072"/>
        <v>1.4</v>
      </c>
      <c r="P1385">
        <v>0</v>
      </c>
      <c r="Q1385">
        <v>0</v>
      </c>
      <c r="R1385">
        <v>5</v>
      </c>
      <c r="S1385">
        <f t="shared" si="1073"/>
        <v>5</v>
      </c>
      <c r="T1385">
        <v>0</v>
      </c>
      <c r="U1385">
        <v>0.1</v>
      </c>
      <c r="V1385">
        <v>0</v>
      </c>
      <c r="W1385">
        <v>0</v>
      </c>
      <c r="X1385">
        <v>0</v>
      </c>
      <c r="Y1385">
        <v>0</v>
      </c>
      <c r="Z1385">
        <v>0.3</v>
      </c>
      <c r="AA1385">
        <f t="shared" si="1074"/>
        <v>0.4</v>
      </c>
      <c r="AB1385">
        <v>0.1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 s="5">
        <f t="shared" si="1075"/>
        <v>0.1</v>
      </c>
      <c r="AK1385">
        <v>0</v>
      </c>
      <c r="AL1385">
        <v>0.59299999999999997</v>
      </c>
      <c r="AM1385">
        <f t="shared" si="1078"/>
        <v>0.40399999999999997</v>
      </c>
      <c r="AN1385">
        <v>167</v>
      </c>
      <c r="AO1385" t="s">
        <v>13</v>
      </c>
      <c r="AP1385" s="3">
        <f t="shared" si="1056"/>
        <v>280.20134228187914</v>
      </c>
      <c r="AQ1385" t="s">
        <v>13</v>
      </c>
      <c r="AR1385">
        <f t="shared" si="1077"/>
        <v>2.4752475247524753E-3</v>
      </c>
      <c r="AS1385">
        <f t="shared" si="1076"/>
        <v>0.40299999999999997</v>
      </c>
      <c r="AT1385">
        <f t="shared" si="1057"/>
        <v>113</v>
      </c>
      <c r="AU1385">
        <f t="shared" si="1058"/>
        <v>0</v>
      </c>
      <c r="AV1385">
        <f t="shared" si="1064"/>
        <v>66</v>
      </c>
      <c r="AW1385">
        <f t="shared" si="1065"/>
        <v>0</v>
      </c>
      <c r="AX1385" s="3">
        <f t="shared" si="1066"/>
        <v>214.20134228187914</v>
      </c>
      <c r="AY1385">
        <f t="shared" si="1067"/>
        <v>56</v>
      </c>
      <c r="AZ1385">
        <f t="shared" si="1068"/>
        <v>0</v>
      </c>
      <c r="BA1385" s="3">
        <f t="shared" si="1069"/>
        <v>224.20134228187914</v>
      </c>
    </row>
    <row r="1386" spans="1:53" x14ac:dyDescent="0.2">
      <c r="A1386">
        <v>2015</v>
      </c>
      <c r="B1386" t="s">
        <v>116</v>
      </c>
      <c r="C1386" t="s">
        <v>99</v>
      </c>
      <c r="D1386">
        <v>4</v>
      </c>
      <c r="E1386">
        <v>3.2</v>
      </c>
      <c r="F1386">
        <v>4.7</v>
      </c>
      <c r="G1386">
        <v>0.4</v>
      </c>
      <c r="H1386">
        <v>3.8</v>
      </c>
      <c r="I1386">
        <v>0.3</v>
      </c>
      <c r="J1386">
        <v>2.8</v>
      </c>
      <c r="K1386">
        <f t="shared" si="1071"/>
        <v>19.200000000000003</v>
      </c>
      <c r="L1386">
        <v>0</v>
      </c>
      <c r="M1386">
        <v>0.1</v>
      </c>
      <c r="N1386">
        <v>2.2000000000000002</v>
      </c>
      <c r="O1386">
        <f t="shared" si="1072"/>
        <v>2.3000000000000003</v>
      </c>
      <c r="P1386">
        <v>0</v>
      </c>
      <c r="Q1386">
        <v>0</v>
      </c>
      <c r="R1386">
        <v>9.4</v>
      </c>
      <c r="S1386">
        <f t="shared" si="1073"/>
        <v>9.4</v>
      </c>
      <c r="T1386">
        <v>0.3</v>
      </c>
      <c r="U1386">
        <v>0.5</v>
      </c>
      <c r="V1386">
        <v>0</v>
      </c>
      <c r="W1386">
        <v>0</v>
      </c>
      <c r="X1386">
        <v>0</v>
      </c>
      <c r="Y1386">
        <v>0</v>
      </c>
      <c r="Z1386">
        <v>0.1</v>
      </c>
      <c r="AA1386">
        <f t="shared" si="1074"/>
        <v>0.9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 s="5">
        <f t="shared" si="1075"/>
        <v>0</v>
      </c>
      <c r="AK1386">
        <v>0.3</v>
      </c>
      <c r="AL1386">
        <v>0.68</v>
      </c>
      <c r="AM1386">
        <f t="shared" si="1078"/>
        <v>0.318</v>
      </c>
      <c r="AN1386">
        <v>252</v>
      </c>
      <c r="AO1386" t="s">
        <v>13</v>
      </c>
      <c r="AP1386" s="3">
        <f t="shared" si="1056"/>
        <v>369.50146627565988</v>
      </c>
      <c r="AQ1386" t="s">
        <v>13</v>
      </c>
      <c r="AR1386">
        <f t="shared" si="1077"/>
        <v>0</v>
      </c>
      <c r="AS1386">
        <f t="shared" si="1076"/>
        <v>0.31800000000000006</v>
      </c>
      <c r="AT1386">
        <f t="shared" si="1057"/>
        <v>118</v>
      </c>
      <c r="AU1386">
        <f t="shared" si="1058"/>
        <v>0</v>
      </c>
      <c r="AV1386">
        <f t="shared" si="1064"/>
        <v>82</v>
      </c>
      <c r="AW1386">
        <f t="shared" si="1065"/>
        <v>0</v>
      </c>
      <c r="AX1386" s="3">
        <f t="shared" si="1066"/>
        <v>287.50146627565988</v>
      </c>
      <c r="AY1386">
        <f t="shared" si="1067"/>
        <v>59</v>
      </c>
      <c r="AZ1386">
        <f t="shared" si="1068"/>
        <v>0</v>
      </c>
      <c r="BA1386" s="3">
        <f t="shared" si="1069"/>
        <v>310.50146627565988</v>
      </c>
    </row>
    <row r="1387" spans="1:53" x14ac:dyDescent="0.2">
      <c r="A1387">
        <v>2016</v>
      </c>
      <c r="B1387" t="s">
        <v>116</v>
      </c>
      <c r="C1387" t="s">
        <v>99</v>
      </c>
      <c r="D1387">
        <v>13.5</v>
      </c>
      <c r="E1387">
        <v>5</v>
      </c>
      <c r="F1387">
        <v>8.1</v>
      </c>
      <c r="G1387">
        <v>1.9</v>
      </c>
      <c r="H1387">
        <v>3.9</v>
      </c>
      <c r="I1387">
        <v>0.8</v>
      </c>
      <c r="J1387">
        <v>0.8</v>
      </c>
      <c r="K1387">
        <f t="shared" si="1071"/>
        <v>33.999999999999993</v>
      </c>
      <c r="L1387">
        <v>0</v>
      </c>
      <c r="M1387">
        <v>0.2</v>
      </c>
      <c r="N1387">
        <v>3.5</v>
      </c>
      <c r="O1387">
        <f t="shared" si="1072"/>
        <v>3.7</v>
      </c>
      <c r="P1387">
        <v>0</v>
      </c>
      <c r="Q1387">
        <v>0</v>
      </c>
      <c r="R1387">
        <v>7.1</v>
      </c>
      <c r="S1387">
        <f t="shared" si="1073"/>
        <v>7.1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f t="shared" si="1074"/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 s="5">
        <f t="shared" si="1075"/>
        <v>0</v>
      </c>
      <c r="AK1387">
        <v>0</v>
      </c>
      <c r="AL1387">
        <v>0.55200000000000005</v>
      </c>
      <c r="AM1387">
        <f t="shared" si="1078"/>
        <v>0.4479999999999999</v>
      </c>
      <c r="AN1387">
        <v>139</v>
      </c>
      <c r="AO1387" t="s">
        <v>13</v>
      </c>
      <c r="AP1387" s="3">
        <f t="shared" si="1056"/>
        <v>251.81159420289853</v>
      </c>
      <c r="AQ1387" t="s">
        <v>13</v>
      </c>
      <c r="AR1387">
        <f t="shared" si="1077"/>
        <v>0</v>
      </c>
      <c r="AS1387">
        <f t="shared" si="1076"/>
        <v>0.44799999999999995</v>
      </c>
      <c r="AT1387">
        <f t="shared" si="1057"/>
        <v>113</v>
      </c>
      <c r="AU1387">
        <f t="shared" si="1058"/>
        <v>0</v>
      </c>
      <c r="AV1387">
        <f t="shared" si="1064"/>
        <v>70</v>
      </c>
      <c r="AW1387">
        <f t="shared" si="1065"/>
        <v>0</v>
      </c>
      <c r="AX1387" s="3">
        <f t="shared" si="1066"/>
        <v>181.81159420289853</v>
      </c>
      <c r="AY1387">
        <f t="shared" si="1067"/>
        <v>56</v>
      </c>
      <c r="AZ1387">
        <f t="shared" si="1068"/>
        <v>0</v>
      </c>
      <c r="BA1387" s="3">
        <f t="shared" si="1069"/>
        <v>195.81159420289853</v>
      </c>
    </row>
    <row r="1388" spans="1:53" x14ac:dyDescent="0.2">
      <c r="A1388">
        <v>2017</v>
      </c>
      <c r="B1388" t="s">
        <v>116</v>
      </c>
      <c r="C1388" t="s">
        <v>99</v>
      </c>
      <c r="D1388">
        <v>7.9</v>
      </c>
      <c r="E1388">
        <v>0.7</v>
      </c>
      <c r="F1388">
        <v>7.2</v>
      </c>
      <c r="G1388">
        <v>1.6</v>
      </c>
      <c r="H1388">
        <v>7.1</v>
      </c>
      <c r="I1388">
        <v>0.6</v>
      </c>
      <c r="J1388">
        <v>3.8</v>
      </c>
      <c r="K1388">
        <f t="shared" si="1071"/>
        <v>28.900000000000002</v>
      </c>
      <c r="L1388">
        <v>0</v>
      </c>
      <c r="M1388">
        <v>0</v>
      </c>
      <c r="N1388">
        <v>1.7</v>
      </c>
      <c r="O1388">
        <f t="shared" si="1072"/>
        <v>1.7</v>
      </c>
      <c r="P1388">
        <v>0</v>
      </c>
      <c r="Q1388">
        <v>1.1000000000000001</v>
      </c>
      <c r="R1388">
        <v>7</v>
      </c>
      <c r="S1388">
        <f t="shared" si="1073"/>
        <v>8.1</v>
      </c>
      <c r="T1388">
        <v>0</v>
      </c>
      <c r="U1388">
        <v>0.1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f t="shared" si="1074"/>
        <v>0.1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0.1</v>
      </c>
      <c r="AI1388">
        <v>0</v>
      </c>
      <c r="AJ1388" s="5">
        <f t="shared" si="1075"/>
        <v>0.1</v>
      </c>
      <c r="AK1388">
        <v>1.2</v>
      </c>
      <c r="AL1388">
        <v>0.6</v>
      </c>
      <c r="AM1388">
        <f t="shared" si="1078"/>
        <v>0.38900000000000001</v>
      </c>
      <c r="AN1388">
        <v>136</v>
      </c>
      <c r="AO1388" t="s">
        <v>13</v>
      </c>
      <c r="AP1388" s="3">
        <f t="shared" si="1056"/>
        <v>222.58592471358429</v>
      </c>
      <c r="AQ1388" t="s">
        <v>13</v>
      </c>
      <c r="AR1388">
        <f t="shared" si="1077"/>
        <v>2.5706940874035988E-3</v>
      </c>
      <c r="AS1388">
        <f t="shared" si="1076"/>
        <v>0.38800000000000007</v>
      </c>
      <c r="AT1388">
        <f t="shared" si="1057"/>
        <v>86</v>
      </c>
      <c r="AU1388">
        <f t="shared" si="1058"/>
        <v>0</v>
      </c>
      <c r="AV1388">
        <f t="shared" si="1064"/>
        <v>54</v>
      </c>
      <c r="AW1388">
        <f t="shared" si="1065"/>
        <v>0</v>
      </c>
      <c r="AX1388" s="3">
        <f t="shared" si="1066"/>
        <v>168.58592471358429</v>
      </c>
      <c r="AY1388">
        <f t="shared" si="1067"/>
        <v>43</v>
      </c>
      <c r="AZ1388">
        <f t="shared" si="1068"/>
        <v>0</v>
      </c>
      <c r="BA1388" s="3">
        <f t="shared" si="1069"/>
        <v>179.58592471358429</v>
      </c>
    </row>
    <row r="1389" spans="1:53" x14ac:dyDescent="0.2">
      <c r="A1389">
        <v>2018</v>
      </c>
      <c r="B1389" t="s">
        <v>116</v>
      </c>
      <c r="C1389" t="s">
        <v>99</v>
      </c>
      <c r="D1389">
        <v>5.7</v>
      </c>
      <c r="E1389">
        <v>0.6</v>
      </c>
      <c r="F1389">
        <v>2.4</v>
      </c>
      <c r="G1389">
        <v>4.2</v>
      </c>
      <c r="H1389">
        <v>6.1</v>
      </c>
      <c r="I1389">
        <v>1.3</v>
      </c>
      <c r="J1389">
        <v>4.5</v>
      </c>
      <c r="K1389">
        <f t="shared" si="1071"/>
        <v>24.8</v>
      </c>
      <c r="L1389">
        <v>0</v>
      </c>
      <c r="M1389">
        <v>0</v>
      </c>
      <c r="N1389">
        <v>2.7</v>
      </c>
      <c r="O1389">
        <f t="shared" si="1072"/>
        <v>2.7</v>
      </c>
      <c r="P1389">
        <v>0</v>
      </c>
      <c r="Q1389">
        <v>0</v>
      </c>
      <c r="R1389">
        <v>7.1</v>
      </c>
      <c r="S1389">
        <f t="shared" si="1073"/>
        <v>7.1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f t="shared" si="1074"/>
        <v>0</v>
      </c>
      <c r="AB1389">
        <v>0</v>
      </c>
      <c r="AC1389">
        <v>0</v>
      </c>
      <c r="AD1389">
        <v>0</v>
      </c>
      <c r="AE1389">
        <v>0</v>
      </c>
      <c r="AF1389">
        <v>0.1</v>
      </c>
      <c r="AG1389">
        <v>0</v>
      </c>
      <c r="AH1389">
        <v>0</v>
      </c>
      <c r="AI1389">
        <v>0</v>
      </c>
      <c r="AJ1389" s="5">
        <f t="shared" si="1075"/>
        <v>0.1</v>
      </c>
      <c r="AK1389">
        <v>0.3</v>
      </c>
      <c r="AL1389">
        <v>0.64900000000000002</v>
      </c>
      <c r="AM1389">
        <f t="shared" si="1078"/>
        <v>0.34700000000000003</v>
      </c>
      <c r="AN1389">
        <v>20</v>
      </c>
      <c r="AO1389" t="s">
        <v>13</v>
      </c>
      <c r="AP1389" s="3">
        <f t="shared" si="1056"/>
        <v>30.627871362940276</v>
      </c>
      <c r="AQ1389" t="s">
        <v>13</v>
      </c>
      <c r="AR1389">
        <f t="shared" si="1077"/>
        <v>2.881844380403458E-3</v>
      </c>
      <c r="AS1389">
        <f t="shared" si="1076"/>
        <v>0.34600000000000003</v>
      </c>
      <c r="AT1389">
        <f t="shared" si="1057"/>
        <v>11</v>
      </c>
      <c r="AU1389">
        <f t="shared" si="1058"/>
        <v>0</v>
      </c>
      <c r="AV1389">
        <f t="shared" si="1064"/>
        <v>7</v>
      </c>
      <c r="AW1389">
        <f t="shared" si="1065"/>
        <v>0</v>
      </c>
      <c r="AX1389" s="3">
        <f t="shared" si="1066"/>
        <v>23.627871362940276</v>
      </c>
      <c r="AY1389">
        <f t="shared" si="1067"/>
        <v>5</v>
      </c>
      <c r="AZ1389">
        <f t="shared" si="1068"/>
        <v>0</v>
      </c>
      <c r="BA1389" s="3">
        <f t="shared" si="1069"/>
        <v>25.627871362940276</v>
      </c>
    </row>
    <row r="1390" spans="1:53" x14ac:dyDescent="0.2">
      <c r="A1390">
        <v>2019</v>
      </c>
      <c r="B1390" t="s">
        <v>116</v>
      </c>
      <c r="C1390" t="s">
        <v>99</v>
      </c>
      <c r="D1390">
        <v>4.7</v>
      </c>
      <c r="E1390">
        <v>5.5</v>
      </c>
      <c r="F1390">
        <v>3.5</v>
      </c>
      <c r="G1390">
        <v>2.6</v>
      </c>
      <c r="H1390">
        <v>5.2</v>
      </c>
      <c r="I1390">
        <v>0.8</v>
      </c>
      <c r="J1390">
        <v>2.2000000000000002</v>
      </c>
      <c r="K1390">
        <f t="shared" si="1071"/>
        <v>24.5</v>
      </c>
      <c r="L1390">
        <v>0</v>
      </c>
      <c r="M1390">
        <v>0</v>
      </c>
      <c r="N1390">
        <v>4.4000000000000004</v>
      </c>
      <c r="O1390">
        <f t="shared" si="1072"/>
        <v>4.4000000000000004</v>
      </c>
      <c r="P1390">
        <v>0</v>
      </c>
      <c r="Q1390">
        <v>0</v>
      </c>
      <c r="R1390">
        <v>6.5</v>
      </c>
      <c r="S1390">
        <f t="shared" si="1073"/>
        <v>6.5</v>
      </c>
      <c r="T1390">
        <v>0.1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f t="shared" si="1074"/>
        <v>0.1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 s="5">
        <f t="shared" si="1075"/>
        <v>0</v>
      </c>
      <c r="AK1390">
        <v>0.1</v>
      </c>
      <c r="AL1390">
        <v>0.64500000000000002</v>
      </c>
      <c r="AM1390">
        <f t="shared" si="1078"/>
        <v>0.35499999999999998</v>
      </c>
      <c r="AN1390">
        <v>22</v>
      </c>
      <c r="AO1390" t="s">
        <v>13</v>
      </c>
      <c r="AP1390" s="3">
        <f t="shared" si="1056"/>
        <v>34.108527131782942</v>
      </c>
      <c r="AQ1390" t="s">
        <v>13</v>
      </c>
      <c r="AR1390">
        <f t="shared" si="1077"/>
        <v>0</v>
      </c>
      <c r="AS1390">
        <f t="shared" si="1076"/>
        <v>0.35499999999999998</v>
      </c>
      <c r="AT1390">
        <f t="shared" si="1057"/>
        <v>12</v>
      </c>
      <c r="AU1390">
        <f t="shared" si="1058"/>
        <v>0</v>
      </c>
      <c r="AV1390">
        <f t="shared" si="1064"/>
        <v>8</v>
      </c>
      <c r="AW1390">
        <f t="shared" si="1065"/>
        <v>0</v>
      </c>
      <c r="AX1390" s="3">
        <f t="shared" si="1066"/>
        <v>26.108527131782942</v>
      </c>
      <c r="AY1390">
        <f t="shared" si="1067"/>
        <v>6</v>
      </c>
      <c r="AZ1390">
        <f t="shared" si="1068"/>
        <v>0</v>
      </c>
      <c r="BA1390" s="3">
        <f t="shared" si="1069"/>
        <v>28.108527131782942</v>
      </c>
    </row>
    <row r="1391" spans="1:53" x14ac:dyDescent="0.2">
      <c r="A1391">
        <v>2020</v>
      </c>
      <c r="B1391" t="s">
        <v>116</v>
      </c>
      <c r="C1391" t="s">
        <v>99</v>
      </c>
      <c r="D1391">
        <v>6.6</v>
      </c>
      <c r="E1391">
        <v>2.6</v>
      </c>
      <c r="F1391">
        <v>4.5</v>
      </c>
      <c r="G1391">
        <v>2.4</v>
      </c>
      <c r="H1391">
        <v>2.7</v>
      </c>
      <c r="I1391">
        <v>0.3</v>
      </c>
      <c r="J1391">
        <v>1.7</v>
      </c>
      <c r="K1391">
        <f t="shared" ref="K1391:K1454" si="1079">SUM(D1391:J1391)</f>
        <v>20.799999999999997</v>
      </c>
      <c r="L1391">
        <v>0</v>
      </c>
      <c r="M1391">
        <v>0</v>
      </c>
      <c r="N1391">
        <v>1.4</v>
      </c>
      <c r="O1391">
        <f t="shared" si="1072"/>
        <v>1.4</v>
      </c>
      <c r="P1391">
        <v>0</v>
      </c>
      <c r="Q1391">
        <v>0</v>
      </c>
      <c r="R1391">
        <v>3.8</v>
      </c>
      <c r="S1391">
        <f t="shared" si="1073"/>
        <v>3.8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0.1</v>
      </c>
      <c r="AA1391">
        <f t="shared" si="1074"/>
        <v>0.1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 s="5">
        <f t="shared" si="1075"/>
        <v>0</v>
      </c>
      <c r="AK1391">
        <v>1.4</v>
      </c>
      <c r="AL1391">
        <v>0.72499999999999998</v>
      </c>
      <c r="AM1391">
        <f t="shared" si="1078"/>
        <v>0.26099999999999995</v>
      </c>
      <c r="AN1391">
        <v>43</v>
      </c>
      <c r="AO1391" t="s">
        <v>13</v>
      </c>
      <c r="AP1391" s="3">
        <f t="shared" si="1056"/>
        <v>58.186738836265214</v>
      </c>
      <c r="AQ1391" t="s">
        <v>13</v>
      </c>
      <c r="AR1391">
        <f t="shared" si="1077"/>
        <v>0</v>
      </c>
      <c r="AS1391">
        <f t="shared" si="1076"/>
        <v>0.26099999999999995</v>
      </c>
      <c r="AT1391">
        <f t="shared" si="1057"/>
        <v>15</v>
      </c>
      <c r="AU1391">
        <f t="shared" si="1058"/>
        <v>0</v>
      </c>
      <c r="AV1391">
        <f t="shared" si="1064"/>
        <v>9</v>
      </c>
      <c r="AW1391">
        <f t="shared" si="1065"/>
        <v>0</v>
      </c>
      <c r="AX1391" s="3">
        <f t="shared" si="1066"/>
        <v>49.186738836265214</v>
      </c>
      <c r="AY1391">
        <f t="shared" si="1067"/>
        <v>8</v>
      </c>
      <c r="AZ1391">
        <f t="shared" si="1068"/>
        <v>0</v>
      </c>
      <c r="BA1391" s="3">
        <f t="shared" si="1069"/>
        <v>50.186738836265214</v>
      </c>
    </row>
    <row r="1392" spans="1:53" x14ac:dyDescent="0.2">
      <c r="A1392">
        <v>2021</v>
      </c>
      <c r="B1392" t="s">
        <v>116</v>
      </c>
      <c r="C1392" t="s">
        <v>99</v>
      </c>
      <c r="D1392">
        <v>7.5</v>
      </c>
      <c r="E1392">
        <v>4.9000000000000004</v>
      </c>
      <c r="F1392">
        <v>3.1</v>
      </c>
      <c r="G1392">
        <v>3.1</v>
      </c>
      <c r="H1392">
        <v>2.7</v>
      </c>
      <c r="I1392">
        <v>0.8</v>
      </c>
      <c r="J1392">
        <v>1.8</v>
      </c>
      <c r="K1392">
        <f t="shared" si="1079"/>
        <v>23.900000000000002</v>
      </c>
      <c r="L1392">
        <v>0</v>
      </c>
      <c r="M1392">
        <v>0</v>
      </c>
      <c r="N1392">
        <v>1.7</v>
      </c>
      <c r="O1392">
        <f t="shared" si="1072"/>
        <v>1.7</v>
      </c>
      <c r="P1392">
        <v>0</v>
      </c>
      <c r="Q1392">
        <v>0</v>
      </c>
      <c r="R1392">
        <v>4.5999999999999996</v>
      </c>
      <c r="S1392">
        <f t="shared" si="1073"/>
        <v>4.5999999999999996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f t="shared" si="1074"/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 s="5">
        <f t="shared" si="1075"/>
        <v>0</v>
      </c>
      <c r="AK1392">
        <v>0</v>
      </c>
      <c r="AL1392">
        <v>0.69799999999999995</v>
      </c>
      <c r="AM1392">
        <f t="shared" si="1078"/>
        <v>0.30200000000000005</v>
      </c>
      <c r="AN1392">
        <v>99</v>
      </c>
      <c r="AO1392" t="s">
        <v>13</v>
      </c>
      <c r="AP1392" s="3">
        <f t="shared" ref="AP1392:AP1455" si="1080">AN1392/(1-AM1392)</f>
        <v>141.83381088825215</v>
      </c>
      <c r="AQ1392" t="s">
        <v>13</v>
      </c>
      <c r="AR1392">
        <f t="shared" si="1077"/>
        <v>0</v>
      </c>
      <c r="AS1392">
        <f t="shared" si="1076"/>
        <v>0.30200000000000005</v>
      </c>
      <c r="AT1392">
        <f t="shared" ref="AT1392:AT1420" si="1081">ROUND(AS1392*AP1392,0)</f>
        <v>43</v>
      </c>
      <c r="AU1392">
        <f t="shared" ref="AU1392:AU1420" si="1082">ROUND((AJ1392/100)*AP1392,0)</f>
        <v>0</v>
      </c>
      <c r="AV1392">
        <f t="shared" si="1064"/>
        <v>26</v>
      </c>
      <c r="AW1392">
        <f t="shared" si="1065"/>
        <v>0</v>
      </c>
      <c r="AX1392" s="3">
        <f t="shared" si="1066"/>
        <v>115.83381088825215</v>
      </c>
      <c r="AY1392">
        <f t="shared" si="1067"/>
        <v>21</v>
      </c>
      <c r="AZ1392">
        <f t="shared" si="1068"/>
        <v>0</v>
      </c>
      <c r="BA1392" s="3">
        <f t="shared" si="1069"/>
        <v>120.83381088825215</v>
      </c>
    </row>
    <row r="1393" spans="1:53" x14ac:dyDescent="0.2">
      <c r="A1393">
        <v>2022</v>
      </c>
      <c r="B1393" t="s">
        <v>116</v>
      </c>
      <c r="C1393" t="s">
        <v>99</v>
      </c>
      <c r="D1393">
        <v>8.8000000000000007</v>
      </c>
      <c r="E1393">
        <v>6.1</v>
      </c>
      <c r="F1393">
        <v>3.8</v>
      </c>
      <c r="G1393">
        <v>1.8</v>
      </c>
      <c r="H1393">
        <v>2.6</v>
      </c>
      <c r="I1393">
        <v>0.6</v>
      </c>
      <c r="J1393">
        <v>2.8</v>
      </c>
      <c r="K1393">
        <f t="shared" si="1079"/>
        <v>26.500000000000004</v>
      </c>
      <c r="L1393">
        <v>0</v>
      </c>
      <c r="M1393">
        <v>0</v>
      </c>
      <c r="N1393">
        <v>6.1</v>
      </c>
      <c r="O1393">
        <f t="shared" si="1072"/>
        <v>6.1</v>
      </c>
      <c r="P1393">
        <v>0</v>
      </c>
      <c r="Q1393">
        <v>0</v>
      </c>
      <c r="R1393">
        <v>8.8000000000000007</v>
      </c>
      <c r="S1393">
        <f t="shared" si="1073"/>
        <v>8.8000000000000007</v>
      </c>
      <c r="T1393">
        <v>0.1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0.2</v>
      </c>
      <c r="AA1393">
        <f t="shared" si="1074"/>
        <v>0.30000000000000004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0.1</v>
      </c>
      <c r="AI1393">
        <v>0</v>
      </c>
      <c r="AJ1393" s="5">
        <f t="shared" si="1075"/>
        <v>0.1</v>
      </c>
      <c r="AK1393">
        <v>0</v>
      </c>
      <c r="AL1393">
        <v>0.58099999999999996</v>
      </c>
      <c r="AM1393">
        <f t="shared" si="1078"/>
        <v>0.41799999999999998</v>
      </c>
      <c r="AN1393">
        <v>131</v>
      </c>
      <c r="AO1393" t="s">
        <v>13</v>
      </c>
      <c r="AP1393" s="3">
        <f t="shared" si="1080"/>
        <v>225.08591065292094</v>
      </c>
      <c r="AQ1393" t="s">
        <v>13</v>
      </c>
      <c r="AR1393">
        <f t="shared" si="1077"/>
        <v>2.3923444976076558E-3</v>
      </c>
      <c r="AS1393">
        <f t="shared" si="1076"/>
        <v>0.41700000000000004</v>
      </c>
      <c r="AT1393">
        <f t="shared" si="1081"/>
        <v>94</v>
      </c>
      <c r="AU1393">
        <f t="shared" si="1082"/>
        <v>0</v>
      </c>
      <c r="AV1393">
        <f t="shared" si="1064"/>
        <v>64</v>
      </c>
      <c r="AW1393">
        <f t="shared" si="1065"/>
        <v>0</v>
      </c>
      <c r="AX1393" s="3">
        <f t="shared" si="1066"/>
        <v>161.08591065292094</v>
      </c>
      <c r="AY1393">
        <f t="shared" si="1067"/>
        <v>47</v>
      </c>
      <c r="AZ1393">
        <f t="shared" si="1068"/>
        <v>0</v>
      </c>
      <c r="BA1393" s="3">
        <f t="shared" si="1069"/>
        <v>178.08591065292094</v>
      </c>
    </row>
    <row r="1394" spans="1:53" x14ac:dyDescent="0.2">
      <c r="A1394">
        <v>2023</v>
      </c>
      <c r="B1394" t="s">
        <v>116</v>
      </c>
      <c r="C1394" t="s">
        <v>99</v>
      </c>
      <c r="D1394">
        <v>2.5</v>
      </c>
      <c r="E1394">
        <v>1.9</v>
      </c>
      <c r="F1394">
        <v>1.6</v>
      </c>
      <c r="G1394">
        <v>1.9</v>
      </c>
      <c r="H1394">
        <v>1.9</v>
      </c>
      <c r="I1394">
        <v>0.9</v>
      </c>
      <c r="J1394">
        <v>1.7</v>
      </c>
      <c r="K1394">
        <f t="shared" si="1079"/>
        <v>12.4</v>
      </c>
      <c r="L1394">
        <v>0</v>
      </c>
      <c r="M1394">
        <v>0</v>
      </c>
      <c r="N1394">
        <v>2.4</v>
      </c>
      <c r="O1394">
        <f t="shared" si="1072"/>
        <v>2.4</v>
      </c>
      <c r="P1394">
        <v>0</v>
      </c>
      <c r="Q1394">
        <v>0.5</v>
      </c>
      <c r="R1394">
        <v>4.7</v>
      </c>
      <c r="S1394">
        <f t="shared" si="1073"/>
        <v>5.2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f t="shared" si="1074"/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 s="5">
        <f t="shared" si="1075"/>
        <v>0</v>
      </c>
      <c r="AK1394">
        <v>0</v>
      </c>
      <c r="AL1394">
        <v>0.8</v>
      </c>
      <c r="AM1394">
        <f t="shared" si="1078"/>
        <v>0.19999999999999996</v>
      </c>
      <c r="AN1394">
        <v>228</v>
      </c>
      <c r="AO1394" t="s">
        <v>13</v>
      </c>
      <c r="AP1394" s="3">
        <f t="shared" si="1080"/>
        <v>285</v>
      </c>
      <c r="AQ1394" t="s">
        <v>13</v>
      </c>
      <c r="AR1394">
        <f t="shared" si="1077"/>
        <v>0</v>
      </c>
      <c r="AS1394">
        <f t="shared" si="1076"/>
        <v>0.2</v>
      </c>
      <c r="AT1394">
        <f t="shared" si="1081"/>
        <v>57</v>
      </c>
      <c r="AU1394">
        <f t="shared" si="1082"/>
        <v>0</v>
      </c>
      <c r="AV1394">
        <f t="shared" si="1064"/>
        <v>39</v>
      </c>
      <c r="AW1394">
        <f t="shared" si="1065"/>
        <v>0</v>
      </c>
      <c r="AX1394" s="3">
        <f t="shared" si="1066"/>
        <v>246</v>
      </c>
      <c r="AY1394">
        <f t="shared" si="1067"/>
        <v>29</v>
      </c>
      <c r="AZ1394">
        <f t="shared" si="1068"/>
        <v>0</v>
      </c>
      <c r="BA1394" s="3">
        <f t="shared" si="1069"/>
        <v>256</v>
      </c>
    </row>
    <row r="1395" spans="1:53" x14ac:dyDescent="0.2">
      <c r="A1395">
        <v>1997</v>
      </c>
      <c r="B1395" t="s">
        <v>120</v>
      </c>
      <c r="C1395" t="s">
        <v>63</v>
      </c>
      <c r="D1395">
        <v>1.3</v>
      </c>
      <c r="E1395">
        <v>0</v>
      </c>
      <c r="F1395">
        <v>0</v>
      </c>
      <c r="G1395">
        <v>0.2</v>
      </c>
      <c r="H1395">
        <v>0.1</v>
      </c>
      <c r="I1395">
        <v>2.2000000000000002</v>
      </c>
      <c r="J1395">
        <v>3.1</v>
      </c>
      <c r="K1395">
        <f t="shared" si="1079"/>
        <v>6.9</v>
      </c>
      <c r="L1395">
        <v>0.3</v>
      </c>
      <c r="M1395">
        <v>1.9</v>
      </c>
      <c r="N1395">
        <v>0.5</v>
      </c>
      <c r="O1395">
        <f t="shared" si="1072"/>
        <v>2.6999999999999997</v>
      </c>
      <c r="P1395">
        <v>0</v>
      </c>
      <c r="Q1395">
        <v>1.1000000000000001</v>
      </c>
      <c r="R1395">
        <v>12</v>
      </c>
      <c r="S1395">
        <f t="shared" si="1073"/>
        <v>13.1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0.9</v>
      </c>
      <c r="Z1395">
        <v>9.3000000000000007</v>
      </c>
      <c r="AA1395">
        <f t="shared" si="1074"/>
        <v>10.200000000000001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0.5</v>
      </c>
      <c r="AI1395">
        <v>0</v>
      </c>
      <c r="AJ1395" s="5">
        <f t="shared" si="1075"/>
        <v>0.5</v>
      </c>
      <c r="AK1395">
        <v>0.2</v>
      </c>
      <c r="AL1395">
        <v>0.66500000000000004</v>
      </c>
      <c r="AM1395">
        <f t="shared" si="1078"/>
        <v>0.33399999999999996</v>
      </c>
      <c r="AN1395">
        <v>1041</v>
      </c>
      <c r="AO1395" t="s">
        <v>13</v>
      </c>
      <c r="AP1395" s="3">
        <f t="shared" si="1080"/>
        <v>1563.0630630630631</v>
      </c>
      <c r="AQ1395" t="s">
        <v>13</v>
      </c>
      <c r="AR1395">
        <f t="shared" si="1077"/>
        <v>1.4970059880239523E-2</v>
      </c>
      <c r="AS1395">
        <f t="shared" si="1076"/>
        <v>0.32899999999999996</v>
      </c>
      <c r="AT1395">
        <f t="shared" si="1081"/>
        <v>514</v>
      </c>
      <c r="AU1395">
        <f t="shared" si="1082"/>
        <v>8</v>
      </c>
      <c r="AV1395">
        <f t="shared" si="1064"/>
        <v>460</v>
      </c>
      <c r="AW1395">
        <f t="shared" si="1065"/>
        <v>8</v>
      </c>
      <c r="AX1395" s="3">
        <f t="shared" si="1066"/>
        <v>1095.0630630630631</v>
      </c>
      <c r="AY1395">
        <f t="shared" si="1067"/>
        <v>257</v>
      </c>
      <c r="AZ1395">
        <f t="shared" si="1068"/>
        <v>10</v>
      </c>
      <c r="BA1395" s="3">
        <f t="shared" si="1069"/>
        <v>1296.0630630630631</v>
      </c>
    </row>
    <row r="1396" spans="1:53" x14ac:dyDescent="0.2">
      <c r="A1396">
        <v>1998</v>
      </c>
      <c r="B1396" t="s">
        <v>120</v>
      </c>
      <c r="C1396" t="s">
        <v>63</v>
      </c>
      <c r="D1396">
        <v>2.5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3.9</v>
      </c>
      <c r="K1396">
        <f t="shared" si="1079"/>
        <v>6.4</v>
      </c>
      <c r="L1396">
        <v>0</v>
      </c>
      <c r="M1396">
        <v>0.6</v>
      </c>
      <c r="N1396">
        <v>0.8</v>
      </c>
      <c r="O1396">
        <f t="shared" si="1072"/>
        <v>1.4</v>
      </c>
      <c r="P1396">
        <v>0</v>
      </c>
      <c r="Q1396">
        <v>0.4</v>
      </c>
      <c r="R1396">
        <v>19.8</v>
      </c>
      <c r="S1396">
        <f t="shared" si="1073"/>
        <v>20.2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0.5</v>
      </c>
      <c r="Z1396">
        <v>6.5</v>
      </c>
      <c r="AA1396">
        <f t="shared" si="1074"/>
        <v>7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1.2</v>
      </c>
      <c r="AI1396">
        <v>0</v>
      </c>
      <c r="AJ1396" s="5">
        <f t="shared" si="1075"/>
        <v>1.2</v>
      </c>
      <c r="AK1396">
        <v>0.3</v>
      </c>
      <c r="AL1396">
        <v>0.63600000000000001</v>
      </c>
      <c r="AM1396">
        <f t="shared" si="1078"/>
        <v>0.36199999999999993</v>
      </c>
      <c r="AN1396">
        <v>1071</v>
      </c>
      <c r="AO1396" t="s">
        <v>13</v>
      </c>
      <c r="AP1396" s="3">
        <f t="shared" si="1080"/>
        <v>1678.6833855799371</v>
      </c>
      <c r="AQ1396" t="s">
        <v>13</v>
      </c>
      <c r="AR1396">
        <f t="shared" si="1077"/>
        <v>3.3149171270718238E-2</v>
      </c>
      <c r="AS1396">
        <f t="shared" si="1076"/>
        <v>0.35</v>
      </c>
      <c r="AT1396">
        <f t="shared" si="1081"/>
        <v>588</v>
      </c>
      <c r="AU1396">
        <f t="shared" si="1082"/>
        <v>20</v>
      </c>
      <c r="AV1396">
        <f t="shared" si="1064"/>
        <v>534</v>
      </c>
      <c r="AW1396">
        <f t="shared" si="1065"/>
        <v>21</v>
      </c>
      <c r="AX1396" s="3">
        <f t="shared" si="1066"/>
        <v>1123.6833855799371</v>
      </c>
      <c r="AY1396">
        <f t="shared" si="1067"/>
        <v>294</v>
      </c>
      <c r="AZ1396">
        <f t="shared" si="1068"/>
        <v>25</v>
      </c>
      <c r="BA1396" s="3">
        <f t="shared" si="1069"/>
        <v>1359.6833855799371</v>
      </c>
    </row>
    <row r="1397" spans="1:53" x14ac:dyDescent="0.2">
      <c r="A1397">
        <v>1999</v>
      </c>
      <c r="B1397" t="s">
        <v>120</v>
      </c>
      <c r="C1397" t="s">
        <v>63</v>
      </c>
      <c r="D1397">
        <v>0.9</v>
      </c>
      <c r="E1397">
        <v>0.2</v>
      </c>
      <c r="F1397">
        <v>0</v>
      </c>
      <c r="G1397">
        <v>0.3</v>
      </c>
      <c r="H1397">
        <v>0.3</v>
      </c>
      <c r="I1397">
        <v>2.4</v>
      </c>
      <c r="J1397">
        <v>5.4</v>
      </c>
      <c r="K1397">
        <f t="shared" si="1079"/>
        <v>9.5</v>
      </c>
      <c r="L1397">
        <v>0</v>
      </c>
      <c r="M1397">
        <v>0.1</v>
      </c>
      <c r="N1397">
        <v>0</v>
      </c>
      <c r="O1397">
        <f t="shared" si="1072"/>
        <v>0.1</v>
      </c>
      <c r="P1397">
        <v>0</v>
      </c>
      <c r="Q1397">
        <v>0</v>
      </c>
      <c r="R1397">
        <v>7.7</v>
      </c>
      <c r="S1397">
        <f t="shared" si="1073"/>
        <v>7.7</v>
      </c>
      <c r="T1397">
        <v>0.4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2.6</v>
      </c>
      <c r="AA1397">
        <f t="shared" si="1074"/>
        <v>3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1.4</v>
      </c>
      <c r="AI1397">
        <v>0</v>
      </c>
      <c r="AJ1397" s="5">
        <f t="shared" si="1075"/>
        <v>1.4</v>
      </c>
      <c r="AK1397">
        <v>0.1</v>
      </c>
      <c r="AL1397">
        <v>0.78299999999999992</v>
      </c>
      <c r="AM1397">
        <f t="shared" si="1078"/>
        <v>0.21700000000000003</v>
      </c>
      <c r="AN1397">
        <v>471</v>
      </c>
      <c r="AO1397" t="s">
        <v>13</v>
      </c>
      <c r="AP1397" s="3">
        <f t="shared" si="1080"/>
        <v>601.53256704980845</v>
      </c>
      <c r="AQ1397" t="s">
        <v>13</v>
      </c>
      <c r="AR1397">
        <f t="shared" si="1077"/>
        <v>6.4516129032258049E-2</v>
      </c>
      <c r="AS1397">
        <f t="shared" si="1076"/>
        <v>0.20300000000000001</v>
      </c>
      <c r="AT1397">
        <f t="shared" si="1081"/>
        <v>122</v>
      </c>
      <c r="AU1397">
        <f t="shared" si="1082"/>
        <v>8</v>
      </c>
      <c r="AV1397">
        <f t="shared" si="1064"/>
        <v>94</v>
      </c>
      <c r="AW1397">
        <f t="shared" si="1065"/>
        <v>8</v>
      </c>
      <c r="AX1397" s="3">
        <f t="shared" si="1066"/>
        <v>499.53256704980845</v>
      </c>
      <c r="AY1397">
        <f t="shared" si="1067"/>
        <v>61</v>
      </c>
      <c r="AZ1397">
        <f t="shared" si="1068"/>
        <v>9</v>
      </c>
      <c r="BA1397" s="3">
        <f t="shared" si="1069"/>
        <v>531.53256704980845</v>
      </c>
    </row>
    <row r="1398" spans="1:53" x14ac:dyDescent="0.2">
      <c r="A1398">
        <v>2000</v>
      </c>
      <c r="B1398" t="s">
        <v>120</v>
      </c>
      <c r="C1398" t="s">
        <v>63</v>
      </c>
      <c r="D1398">
        <v>2</v>
      </c>
      <c r="E1398">
        <v>0</v>
      </c>
      <c r="F1398">
        <v>0.6</v>
      </c>
      <c r="G1398">
        <v>0</v>
      </c>
      <c r="H1398">
        <v>0</v>
      </c>
      <c r="I1398">
        <v>6.7</v>
      </c>
      <c r="J1398">
        <v>6.6</v>
      </c>
      <c r="K1398">
        <f t="shared" si="1079"/>
        <v>15.9</v>
      </c>
      <c r="L1398">
        <v>0</v>
      </c>
      <c r="M1398">
        <v>0</v>
      </c>
      <c r="N1398">
        <v>0.5</v>
      </c>
      <c r="O1398">
        <f t="shared" si="1072"/>
        <v>0.5</v>
      </c>
      <c r="P1398">
        <v>0</v>
      </c>
      <c r="Q1398">
        <v>0.3</v>
      </c>
      <c r="R1398">
        <v>12.2</v>
      </c>
      <c r="S1398">
        <f t="shared" si="1073"/>
        <v>12.5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4.9000000000000004</v>
      </c>
      <c r="AA1398">
        <f t="shared" si="1074"/>
        <v>4.9000000000000004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0.2</v>
      </c>
      <c r="AI1398">
        <v>0</v>
      </c>
      <c r="AJ1398" s="5">
        <f t="shared" si="1075"/>
        <v>0.2</v>
      </c>
      <c r="AK1398">
        <v>0.1</v>
      </c>
      <c r="AL1398">
        <v>0.66</v>
      </c>
      <c r="AM1398">
        <f t="shared" si="1078"/>
        <v>0.34</v>
      </c>
      <c r="AN1398">
        <v>1021</v>
      </c>
      <c r="AO1398" t="s">
        <v>13</v>
      </c>
      <c r="AP1398" s="3">
        <f t="shared" si="1080"/>
        <v>1546.9696969696972</v>
      </c>
      <c r="AQ1398" t="s">
        <v>13</v>
      </c>
      <c r="AR1398">
        <f t="shared" si="1077"/>
        <v>5.8823529411764705E-3</v>
      </c>
      <c r="AS1398">
        <f t="shared" si="1076"/>
        <v>0.33799999999999997</v>
      </c>
      <c r="AT1398">
        <f t="shared" si="1081"/>
        <v>523</v>
      </c>
      <c r="AU1398">
        <f t="shared" si="1082"/>
        <v>3</v>
      </c>
      <c r="AV1398">
        <f t="shared" si="1064"/>
        <v>400</v>
      </c>
      <c r="AW1398">
        <f t="shared" si="1065"/>
        <v>3</v>
      </c>
      <c r="AX1398" s="3">
        <f t="shared" si="1066"/>
        <v>1143.9696969696972</v>
      </c>
      <c r="AY1398">
        <f t="shared" si="1067"/>
        <v>261</v>
      </c>
      <c r="AZ1398">
        <f t="shared" si="1068"/>
        <v>4</v>
      </c>
      <c r="BA1398" s="3">
        <f t="shared" si="1069"/>
        <v>1281.9696969696972</v>
      </c>
    </row>
    <row r="1399" spans="1:53" x14ac:dyDescent="0.2">
      <c r="A1399">
        <v>2001</v>
      </c>
      <c r="B1399" t="s">
        <v>120</v>
      </c>
      <c r="C1399" t="s">
        <v>63</v>
      </c>
      <c r="D1399">
        <v>1.8</v>
      </c>
      <c r="E1399">
        <v>0.1</v>
      </c>
      <c r="F1399">
        <v>0.5</v>
      </c>
      <c r="G1399">
        <v>0.3</v>
      </c>
      <c r="H1399">
        <v>0</v>
      </c>
      <c r="I1399">
        <v>6.1</v>
      </c>
      <c r="J1399">
        <v>4.2</v>
      </c>
      <c r="K1399">
        <f t="shared" si="1079"/>
        <v>13</v>
      </c>
      <c r="L1399">
        <v>0</v>
      </c>
      <c r="M1399">
        <v>0</v>
      </c>
      <c r="N1399">
        <v>0.6</v>
      </c>
      <c r="O1399">
        <f t="shared" si="1072"/>
        <v>0.6</v>
      </c>
      <c r="P1399">
        <v>0</v>
      </c>
      <c r="Q1399">
        <v>0</v>
      </c>
      <c r="R1399">
        <v>6.8</v>
      </c>
      <c r="S1399">
        <f t="shared" si="1073"/>
        <v>6.8</v>
      </c>
      <c r="T1399">
        <v>0.2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8.4</v>
      </c>
      <c r="AA1399">
        <f t="shared" si="1074"/>
        <v>8.6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0.6</v>
      </c>
      <c r="AI1399">
        <v>0</v>
      </c>
      <c r="AJ1399" s="5">
        <f t="shared" si="1075"/>
        <v>0.6</v>
      </c>
      <c r="AK1399">
        <v>0.1</v>
      </c>
      <c r="AL1399">
        <v>0.70299999999999996</v>
      </c>
      <c r="AM1399">
        <f t="shared" si="1078"/>
        <v>0.29600000000000004</v>
      </c>
      <c r="AN1399">
        <v>1852</v>
      </c>
      <c r="AO1399" t="s">
        <v>13</v>
      </c>
      <c r="AP1399" s="3">
        <f t="shared" si="1080"/>
        <v>2630.6818181818185</v>
      </c>
      <c r="AQ1399" t="s">
        <v>13</v>
      </c>
      <c r="AR1399">
        <f t="shared" si="1077"/>
        <v>2.0270270270270268E-2</v>
      </c>
      <c r="AS1399">
        <f t="shared" si="1076"/>
        <v>0.28999999999999998</v>
      </c>
      <c r="AT1399">
        <f t="shared" si="1081"/>
        <v>763</v>
      </c>
      <c r="AU1399">
        <f t="shared" si="1082"/>
        <v>16</v>
      </c>
      <c r="AV1399">
        <f t="shared" si="1064"/>
        <v>592</v>
      </c>
      <c r="AW1399">
        <f t="shared" si="1065"/>
        <v>17</v>
      </c>
      <c r="AX1399" s="3">
        <f t="shared" si="1066"/>
        <v>2021.6818181818185</v>
      </c>
      <c r="AY1399">
        <f t="shared" si="1067"/>
        <v>381</v>
      </c>
      <c r="AZ1399">
        <f t="shared" si="1068"/>
        <v>19</v>
      </c>
      <c r="BA1399" s="3">
        <f t="shared" si="1069"/>
        <v>2230.6818181818185</v>
      </c>
    </row>
    <row r="1400" spans="1:53" x14ac:dyDescent="0.2">
      <c r="A1400">
        <v>2002</v>
      </c>
      <c r="B1400" t="s">
        <v>120</v>
      </c>
      <c r="C1400" t="s">
        <v>63</v>
      </c>
      <c r="D1400">
        <v>2.8</v>
      </c>
      <c r="E1400">
        <v>0</v>
      </c>
      <c r="F1400">
        <v>0.7</v>
      </c>
      <c r="G1400">
        <v>0.6</v>
      </c>
      <c r="H1400">
        <v>0</v>
      </c>
      <c r="I1400">
        <v>5.6</v>
      </c>
      <c r="J1400">
        <v>5.2</v>
      </c>
      <c r="K1400">
        <f t="shared" si="1079"/>
        <v>14.899999999999999</v>
      </c>
      <c r="L1400">
        <v>0</v>
      </c>
      <c r="M1400">
        <v>0.1</v>
      </c>
      <c r="N1400">
        <v>0.6</v>
      </c>
      <c r="O1400">
        <f t="shared" si="1072"/>
        <v>0.7</v>
      </c>
      <c r="P1400">
        <v>0</v>
      </c>
      <c r="Q1400">
        <v>0</v>
      </c>
      <c r="R1400">
        <v>7.8</v>
      </c>
      <c r="S1400">
        <f t="shared" si="1073"/>
        <v>7.8</v>
      </c>
      <c r="T1400">
        <v>0.3</v>
      </c>
      <c r="U1400">
        <v>0.1</v>
      </c>
      <c r="V1400">
        <v>0</v>
      </c>
      <c r="W1400">
        <v>0</v>
      </c>
      <c r="X1400">
        <v>0</v>
      </c>
      <c r="Y1400">
        <v>0</v>
      </c>
      <c r="Z1400">
        <v>3.4</v>
      </c>
      <c r="AA1400">
        <f t="shared" si="1074"/>
        <v>3.8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0.6</v>
      </c>
      <c r="AI1400">
        <v>0</v>
      </c>
      <c r="AJ1400" s="5">
        <f t="shared" si="1075"/>
        <v>0.6</v>
      </c>
      <c r="AK1400">
        <v>0.2</v>
      </c>
      <c r="AL1400">
        <v>0.72</v>
      </c>
      <c r="AM1400">
        <f t="shared" si="1078"/>
        <v>0.27800000000000002</v>
      </c>
      <c r="AN1400">
        <v>1026</v>
      </c>
      <c r="AO1400" t="s">
        <v>13</v>
      </c>
      <c r="AP1400" s="3">
        <f t="shared" si="1080"/>
        <v>1421.0526315789475</v>
      </c>
      <c r="AQ1400" t="s">
        <v>13</v>
      </c>
      <c r="AR1400">
        <f t="shared" si="1077"/>
        <v>2.1582733812949638E-2</v>
      </c>
      <c r="AS1400">
        <f t="shared" si="1076"/>
        <v>0.27200000000000002</v>
      </c>
      <c r="AT1400">
        <f t="shared" si="1081"/>
        <v>387</v>
      </c>
      <c r="AU1400">
        <f t="shared" si="1082"/>
        <v>9</v>
      </c>
      <c r="AV1400">
        <f t="shared" si="1064"/>
        <v>281</v>
      </c>
      <c r="AW1400">
        <f t="shared" si="1065"/>
        <v>10</v>
      </c>
      <c r="AX1400" s="3">
        <f t="shared" si="1066"/>
        <v>1130.0526315789475</v>
      </c>
      <c r="AY1400">
        <f t="shared" si="1067"/>
        <v>193</v>
      </c>
      <c r="AZ1400">
        <f t="shared" si="1068"/>
        <v>11</v>
      </c>
      <c r="BA1400" s="3">
        <f t="shared" si="1069"/>
        <v>1217.0526315789475</v>
      </c>
    </row>
    <row r="1401" spans="1:53" x14ac:dyDescent="0.2">
      <c r="A1401">
        <v>2003</v>
      </c>
      <c r="B1401" t="s">
        <v>120</v>
      </c>
      <c r="C1401" t="s">
        <v>63</v>
      </c>
      <c r="D1401">
        <v>2.4</v>
      </c>
      <c r="E1401">
        <v>0</v>
      </c>
      <c r="F1401">
        <v>0.7</v>
      </c>
      <c r="G1401">
        <v>1.3</v>
      </c>
      <c r="H1401">
        <v>0</v>
      </c>
      <c r="I1401">
        <v>18.899999999999999</v>
      </c>
      <c r="J1401">
        <v>0.9</v>
      </c>
      <c r="K1401">
        <f t="shared" si="1079"/>
        <v>24.199999999999996</v>
      </c>
      <c r="L1401">
        <v>0</v>
      </c>
      <c r="M1401">
        <v>0.3</v>
      </c>
      <c r="N1401">
        <v>0</v>
      </c>
      <c r="O1401">
        <f t="shared" si="1072"/>
        <v>0.3</v>
      </c>
      <c r="P1401">
        <v>0</v>
      </c>
      <c r="Q1401">
        <v>0</v>
      </c>
      <c r="R1401">
        <v>7.1</v>
      </c>
      <c r="S1401">
        <f t="shared" si="1073"/>
        <v>7.1</v>
      </c>
      <c r="T1401">
        <v>1.5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1.7</v>
      </c>
      <c r="AA1401">
        <f t="shared" si="1074"/>
        <v>3.2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0.9</v>
      </c>
      <c r="AI1401">
        <v>0</v>
      </c>
      <c r="AJ1401" s="5">
        <f t="shared" si="1075"/>
        <v>0.9</v>
      </c>
      <c r="AK1401">
        <v>0.9</v>
      </c>
      <c r="AL1401">
        <v>0.63400000000000001</v>
      </c>
      <c r="AM1401">
        <f t="shared" si="1078"/>
        <v>0.35699999999999998</v>
      </c>
      <c r="AN1401">
        <v>844</v>
      </c>
      <c r="AO1401" t="s">
        <v>13</v>
      </c>
      <c r="AP1401" s="3">
        <f t="shared" si="1080"/>
        <v>1312.5972006220838</v>
      </c>
      <c r="AQ1401" t="s">
        <v>13</v>
      </c>
      <c r="AR1401">
        <f t="shared" si="1077"/>
        <v>2.5210084033613449E-2</v>
      </c>
      <c r="AS1401">
        <f t="shared" si="1076"/>
        <v>0.34799999999999998</v>
      </c>
      <c r="AT1401">
        <f t="shared" si="1081"/>
        <v>457</v>
      </c>
      <c r="AU1401">
        <f t="shared" si="1082"/>
        <v>12</v>
      </c>
      <c r="AV1401">
        <f t="shared" si="1064"/>
        <v>298</v>
      </c>
      <c r="AW1401">
        <f t="shared" si="1065"/>
        <v>14</v>
      </c>
      <c r="AX1401" s="3">
        <f t="shared" si="1066"/>
        <v>1000.5972006220838</v>
      </c>
      <c r="AY1401">
        <f t="shared" si="1067"/>
        <v>228</v>
      </c>
      <c r="AZ1401">
        <f t="shared" si="1068"/>
        <v>15</v>
      </c>
      <c r="BA1401" s="3">
        <f t="shared" si="1069"/>
        <v>1069.5972006220838</v>
      </c>
    </row>
    <row r="1402" spans="1:53" x14ac:dyDescent="0.2">
      <c r="A1402">
        <v>2004</v>
      </c>
      <c r="B1402" t="s">
        <v>120</v>
      </c>
      <c r="C1402" t="s">
        <v>63</v>
      </c>
      <c r="D1402">
        <v>0</v>
      </c>
      <c r="E1402">
        <v>0</v>
      </c>
      <c r="F1402">
        <v>0</v>
      </c>
      <c r="G1402">
        <v>0.5</v>
      </c>
      <c r="H1402">
        <v>0</v>
      </c>
      <c r="I1402">
        <v>12.3</v>
      </c>
      <c r="J1402">
        <v>2.5</v>
      </c>
      <c r="K1402">
        <f t="shared" si="1079"/>
        <v>15.3</v>
      </c>
      <c r="L1402">
        <v>0</v>
      </c>
      <c r="M1402">
        <v>0</v>
      </c>
      <c r="N1402">
        <v>0</v>
      </c>
      <c r="O1402">
        <f t="shared" si="1072"/>
        <v>0</v>
      </c>
      <c r="P1402">
        <v>0</v>
      </c>
      <c r="Q1402">
        <v>0</v>
      </c>
      <c r="R1402">
        <v>12.3</v>
      </c>
      <c r="S1402">
        <f t="shared" si="1073"/>
        <v>12.3</v>
      </c>
      <c r="T1402">
        <v>2.5</v>
      </c>
      <c r="U1402">
        <v>0</v>
      </c>
      <c r="V1402">
        <v>0.3</v>
      </c>
      <c r="W1402">
        <v>0</v>
      </c>
      <c r="X1402">
        <v>0</v>
      </c>
      <c r="Y1402">
        <v>0</v>
      </c>
      <c r="Z1402">
        <v>2.7</v>
      </c>
      <c r="AA1402">
        <f t="shared" si="1074"/>
        <v>5.5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1.3</v>
      </c>
      <c r="AI1402">
        <v>0</v>
      </c>
      <c r="AJ1402" s="5">
        <f t="shared" si="1075"/>
        <v>1.3</v>
      </c>
      <c r="AK1402">
        <v>0.3</v>
      </c>
      <c r="AL1402">
        <v>0.65300000000000002</v>
      </c>
      <c r="AM1402">
        <f t="shared" si="1078"/>
        <v>0.34400000000000008</v>
      </c>
      <c r="AN1402">
        <v>1575</v>
      </c>
      <c r="AO1402" t="s">
        <v>13</v>
      </c>
      <c r="AP1402" s="3">
        <f t="shared" si="1080"/>
        <v>2400.914634146342</v>
      </c>
      <c r="AQ1402" t="s">
        <v>13</v>
      </c>
      <c r="AR1402">
        <f t="shared" si="1077"/>
        <v>3.7790697674418595E-2</v>
      </c>
      <c r="AS1402">
        <f t="shared" si="1076"/>
        <v>0.33100000000000002</v>
      </c>
      <c r="AT1402">
        <f t="shared" si="1081"/>
        <v>795</v>
      </c>
      <c r="AU1402">
        <f t="shared" si="1082"/>
        <v>31</v>
      </c>
      <c r="AV1402">
        <f t="shared" si="1064"/>
        <v>611</v>
      </c>
      <c r="AW1402">
        <f t="shared" si="1065"/>
        <v>35</v>
      </c>
      <c r="AX1402" s="3">
        <f t="shared" si="1066"/>
        <v>1754.914634146342</v>
      </c>
      <c r="AY1402">
        <f t="shared" si="1067"/>
        <v>397</v>
      </c>
      <c r="AZ1402">
        <f t="shared" si="1068"/>
        <v>39</v>
      </c>
      <c r="BA1402" s="3">
        <f t="shared" si="1069"/>
        <v>1964.914634146342</v>
      </c>
    </row>
    <row r="1403" spans="1:53" x14ac:dyDescent="0.2">
      <c r="A1403">
        <v>2005</v>
      </c>
      <c r="B1403" t="s">
        <v>120</v>
      </c>
      <c r="C1403" t="s">
        <v>63</v>
      </c>
      <c r="D1403">
        <v>1.8</v>
      </c>
      <c r="E1403">
        <v>0.2</v>
      </c>
      <c r="F1403">
        <v>0</v>
      </c>
      <c r="G1403">
        <v>0</v>
      </c>
      <c r="H1403">
        <v>0</v>
      </c>
      <c r="I1403">
        <v>12.5</v>
      </c>
      <c r="J1403">
        <v>3.6</v>
      </c>
      <c r="K1403">
        <f t="shared" si="1079"/>
        <v>18.100000000000001</v>
      </c>
      <c r="L1403">
        <v>0</v>
      </c>
      <c r="M1403">
        <v>0.3</v>
      </c>
      <c r="N1403">
        <v>2.1</v>
      </c>
      <c r="O1403">
        <f t="shared" si="1072"/>
        <v>2.4</v>
      </c>
      <c r="P1403">
        <v>0</v>
      </c>
      <c r="Q1403">
        <v>0</v>
      </c>
      <c r="R1403">
        <v>13.5</v>
      </c>
      <c r="S1403">
        <f t="shared" si="1073"/>
        <v>13.5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0.6</v>
      </c>
      <c r="AA1403">
        <f t="shared" si="1074"/>
        <v>0.6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0.3</v>
      </c>
      <c r="AI1403">
        <v>0.7</v>
      </c>
      <c r="AJ1403" s="5">
        <f t="shared" si="1075"/>
        <v>1</v>
      </c>
      <c r="AK1403">
        <v>0.2</v>
      </c>
      <c r="AL1403">
        <v>0.64200000000000002</v>
      </c>
      <c r="AM1403">
        <f t="shared" si="1078"/>
        <v>0.35600000000000004</v>
      </c>
      <c r="AN1403">
        <v>1208</v>
      </c>
      <c r="AO1403" t="s">
        <v>13</v>
      </c>
      <c r="AP1403" s="3">
        <f t="shared" si="1080"/>
        <v>1875.7763975155283</v>
      </c>
      <c r="AQ1403" t="s">
        <v>13</v>
      </c>
      <c r="AR1403">
        <f t="shared" si="1077"/>
        <v>2.8089887640449437E-2</v>
      </c>
      <c r="AS1403">
        <f t="shared" si="1076"/>
        <v>0.34600000000000003</v>
      </c>
      <c r="AT1403">
        <f t="shared" si="1081"/>
        <v>649</v>
      </c>
      <c r="AU1403">
        <f t="shared" si="1082"/>
        <v>19</v>
      </c>
      <c r="AV1403">
        <f t="shared" si="1064"/>
        <v>479</v>
      </c>
      <c r="AW1403">
        <f t="shared" si="1065"/>
        <v>22</v>
      </c>
      <c r="AX1403" s="3">
        <f t="shared" si="1066"/>
        <v>1374.7763975155283</v>
      </c>
      <c r="AY1403">
        <f t="shared" si="1067"/>
        <v>325</v>
      </c>
      <c r="AZ1403">
        <f t="shared" si="1068"/>
        <v>24</v>
      </c>
      <c r="BA1403" s="3">
        <f t="shared" si="1069"/>
        <v>1526.7763975155283</v>
      </c>
    </row>
    <row r="1404" spans="1:53" x14ac:dyDescent="0.2">
      <c r="A1404">
        <v>2006</v>
      </c>
      <c r="B1404" t="s">
        <v>120</v>
      </c>
      <c r="C1404" t="s">
        <v>63</v>
      </c>
      <c r="D1404">
        <v>0.5</v>
      </c>
      <c r="E1404">
        <v>0.1</v>
      </c>
      <c r="F1404">
        <v>0.3</v>
      </c>
      <c r="G1404">
        <v>0.3</v>
      </c>
      <c r="H1404">
        <v>0</v>
      </c>
      <c r="I1404">
        <v>7.4</v>
      </c>
      <c r="J1404">
        <v>1.5</v>
      </c>
      <c r="K1404">
        <f t="shared" si="1079"/>
        <v>10.1</v>
      </c>
      <c r="L1404">
        <v>0</v>
      </c>
      <c r="M1404">
        <v>0</v>
      </c>
      <c r="N1404">
        <v>0</v>
      </c>
      <c r="O1404">
        <f t="shared" si="1072"/>
        <v>0</v>
      </c>
      <c r="P1404">
        <v>0</v>
      </c>
      <c r="Q1404">
        <v>0</v>
      </c>
      <c r="R1404">
        <v>12.8</v>
      </c>
      <c r="S1404">
        <f t="shared" si="1073"/>
        <v>12.8</v>
      </c>
      <c r="T1404">
        <v>0.2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2.8</v>
      </c>
      <c r="AA1404">
        <f t="shared" si="1074"/>
        <v>3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1.5</v>
      </c>
      <c r="AI1404">
        <v>4.5</v>
      </c>
      <c r="AJ1404" s="5">
        <f t="shared" si="1075"/>
        <v>6</v>
      </c>
      <c r="AK1404">
        <v>0.6</v>
      </c>
      <c r="AL1404">
        <v>0.67500000000000004</v>
      </c>
      <c r="AM1404">
        <f t="shared" si="1078"/>
        <v>0.31900000000000006</v>
      </c>
      <c r="AN1404">
        <v>1896</v>
      </c>
      <c r="AO1404" t="s">
        <v>13</v>
      </c>
      <c r="AP1404" s="3">
        <f t="shared" si="1080"/>
        <v>2784.140969162996</v>
      </c>
      <c r="AQ1404" t="s">
        <v>13</v>
      </c>
      <c r="AR1404">
        <f t="shared" si="1077"/>
        <v>0.1880877742946708</v>
      </c>
      <c r="AS1404">
        <f t="shared" si="1076"/>
        <v>0.25900000000000001</v>
      </c>
      <c r="AT1404">
        <f t="shared" si="1081"/>
        <v>721</v>
      </c>
      <c r="AU1404">
        <f t="shared" si="1082"/>
        <v>167</v>
      </c>
      <c r="AV1404">
        <f t="shared" si="1064"/>
        <v>580</v>
      </c>
      <c r="AW1404">
        <f t="shared" si="1065"/>
        <v>178</v>
      </c>
      <c r="AX1404" s="3">
        <f t="shared" si="1066"/>
        <v>2026.140969162996</v>
      </c>
      <c r="AY1404">
        <f t="shared" si="1067"/>
        <v>361</v>
      </c>
      <c r="AZ1404">
        <f t="shared" si="1068"/>
        <v>196</v>
      </c>
      <c r="BA1404" s="3">
        <f t="shared" si="1069"/>
        <v>2227.140969162996</v>
      </c>
    </row>
    <row r="1405" spans="1:53" x14ac:dyDescent="0.2">
      <c r="A1405">
        <v>2007</v>
      </c>
      <c r="B1405" t="s">
        <v>120</v>
      </c>
      <c r="C1405" t="s">
        <v>63</v>
      </c>
      <c r="D1405">
        <v>0.4</v>
      </c>
      <c r="E1405">
        <v>0.2</v>
      </c>
      <c r="F1405">
        <v>0</v>
      </c>
      <c r="G1405">
        <v>0</v>
      </c>
      <c r="H1405">
        <v>0</v>
      </c>
      <c r="I1405">
        <v>9.6999999999999993</v>
      </c>
      <c r="J1405">
        <v>6.5</v>
      </c>
      <c r="K1405">
        <f t="shared" si="1079"/>
        <v>16.799999999999997</v>
      </c>
      <c r="L1405">
        <v>0</v>
      </c>
      <c r="M1405">
        <v>0</v>
      </c>
      <c r="N1405">
        <v>0</v>
      </c>
      <c r="O1405">
        <f t="shared" si="1072"/>
        <v>0</v>
      </c>
      <c r="P1405">
        <v>0</v>
      </c>
      <c r="Q1405">
        <v>0</v>
      </c>
      <c r="R1405">
        <v>11.6</v>
      </c>
      <c r="S1405">
        <f t="shared" si="1073"/>
        <v>11.6</v>
      </c>
      <c r="T1405">
        <v>1</v>
      </c>
      <c r="U1405">
        <v>0</v>
      </c>
      <c r="V1405">
        <v>0</v>
      </c>
      <c r="W1405">
        <v>0</v>
      </c>
      <c r="X1405">
        <v>0</v>
      </c>
      <c r="Y1405">
        <v>0.2</v>
      </c>
      <c r="Z1405">
        <v>2.9</v>
      </c>
      <c r="AA1405">
        <f t="shared" si="1074"/>
        <v>4.0999999999999996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1.4</v>
      </c>
      <c r="AI1405">
        <v>4.7</v>
      </c>
      <c r="AJ1405" s="5">
        <f t="shared" si="1075"/>
        <v>6.1</v>
      </c>
      <c r="AK1405">
        <v>0.3</v>
      </c>
      <c r="AL1405">
        <v>0.61099999999999999</v>
      </c>
      <c r="AM1405">
        <f t="shared" si="1078"/>
        <v>0.38599999999999995</v>
      </c>
      <c r="AN1405">
        <v>613</v>
      </c>
      <c r="AO1405" t="s">
        <v>13</v>
      </c>
      <c r="AP1405" s="3">
        <f t="shared" si="1080"/>
        <v>998.37133550488579</v>
      </c>
      <c r="AQ1405" t="s">
        <v>13</v>
      </c>
      <c r="AR1405">
        <f t="shared" si="1077"/>
        <v>0.15803108808290156</v>
      </c>
      <c r="AS1405">
        <f t="shared" si="1076"/>
        <v>0.32500000000000001</v>
      </c>
      <c r="AT1405">
        <f t="shared" si="1081"/>
        <v>324</v>
      </c>
      <c r="AU1405">
        <f t="shared" si="1082"/>
        <v>61</v>
      </c>
      <c r="AV1405">
        <f t="shared" si="1064"/>
        <v>241</v>
      </c>
      <c r="AW1405">
        <f t="shared" si="1065"/>
        <v>69</v>
      </c>
      <c r="AX1405" s="3">
        <f t="shared" si="1066"/>
        <v>688.37133550488579</v>
      </c>
      <c r="AY1405">
        <f t="shared" si="1067"/>
        <v>162</v>
      </c>
      <c r="AZ1405">
        <f t="shared" si="1068"/>
        <v>76</v>
      </c>
      <c r="BA1405" s="3">
        <f t="shared" si="1069"/>
        <v>760.37133550488579</v>
      </c>
    </row>
    <row r="1406" spans="1:53" x14ac:dyDescent="0.2">
      <c r="A1406">
        <v>2008</v>
      </c>
      <c r="B1406" t="s">
        <v>120</v>
      </c>
      <c r="C1406" t="s">
        <v>63</v>
      </c>
      <c r="D1406">
        <v>0.4</v>
      </c>
      <c r="E1406">
        <v>0</v>
      </c>
      <c r="F1406">
        <v>0</v>
      </c>
      <c r="G1406">
        <v>0</v>
      </c>
      <c r="H1406">
        <v>0</v>
      </c>
      <c r="I1406">
        <v>4.0999999999999996</v>
      </c>
      <c r="J1406">
        <v>5.7</v>
      </c>
      <c r="K1406">
        <f t="shared" si="1079"/>
        <v>10.199999999999999</v>
      </c>
      <c r="L1406">
        <v>0</v>
      </c>
      <c r="M1406">
        <v>0.3</v>
      </c>
      <c r="N1406">
        <v>0.4</v>
      </c>
      <c r="O1406">
        <f t="shared" si="1072"/>
        <v>0.7</v>
      </c>
      <c r="P1406">
        <v>0</v>
      </c>
      <c r="Q1406">
        <v>0</v>
      </c>
      <c r="R1406">
        <v>8.5</v>
      </c>
      <c r="S1406">
        <f t="shared" si="1073"/>
        <v>8.5</v>
      </c>
      <c r="T1406">
        <v>0.8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5.9</v>
      </c>
      <c r="AA1406">
        <f t="shared" si="1074"/>
        <v>6.7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14.7</v>
      </c>
      <c r="AI1406">
        <v>14.9</v>
      </c>
      <c r="AJ1406" s="5">
        <f t="shared" si="1075"/>
        <v>29.6</v>
      </c>
      <c r="AK1406">
        <v>0.1</v>
      </c>
      <c r="AL1406">
        <v>0.44400000000000001</v>
      </c>
      <c r="AM1406">
        <f t="shared" si="1078"/>
        <v>0.55700000000000005</v>
      </c>
      <c r="AN1406">
        <v>1470</v>
      </c>
      <c r="AO1406" t="s">
        <v>13</v>
      </c>
      <c r="AP1406" s="3">
        <f t="shared" si="1080"/>
        <v>3318.2844243792329</v>
      </c>
      <c r="AQ1406" t="s">
        <v>13</v>
      </c>
      <c r="AR1406">
        <f t="shared" si="1077"/>
        <v>0.5314183123877918</v>
      </c>
      <c r="AS1406">
        <f t="shared" si="1076"/>
        <v>0.26099999999999995</v>
      </c>
      <c r="AT1406">
        <f t="shared" si="1081"/>
        <v>866</v>
      </c>
      <c r="AU1406">
        <f t="shared" si="1082"/>
        <v>982</v>
      </c>
      <c r="AV1406">
        <f t="shared" si="1064"/>
        <v>697</v>
      </c>
      <c r="AW1406">
        <f t="shared" si="1065"/>
        <v>1050</v>
      </c>
      <c r="AX1406" s="3">
        <f t="shared" si="1066"/>
        <v>1571.2844243792329</v>
      </c>
      <c r="AY1406">
        <f t="shared" si="1067"/>
        <v>433</v>
      </c>
      <c r="AZ1406">
        <f t="shared" si="1068"/>
        <v>1155</v>
      </c>
      <c r="BA1406" s="3">
        <f t="shared" si="1069"/>
        <v>1730.2844243792329</v>
      </c>
    </row>
    <row r="1407" spans="1:53" x14ac:dyDescent="0.2">
      <c r="A1407">
        <v>2009</v>
      </c>
      <c r="B1407" t="s">
        <v>120</v>
      </c>
      <c r="C1407" t="s">
        <v>63</v>
      </c>
      <c r="D1407">
        <v>0.7</v>
      </c>
      <c r="E1407">
        <v>0</v>
      </c>
      <c r="F1407">
        <v>0</v>
      </c>
      <c r="G1407">
        <v>0</v>
      </c>
      <c r="H1407">
        <v>0</v>
      </c>
      <c r="I1407">
        <v>3</v>
      </c>
      <c r="J1407">
        <v>4.4000000000000004</v>
      </c>
      <c r="K1407">
        <f t="shared" si="1079"/>
        <v>8.1000000000000014</v>
      </c>
      <c r="L1407">
        <v>0</v>
      </c>
      <c r="M1407">
        <v>0</v>
      </c>
      <c r="N1407">
        <v>0</v>
      </c>
      <c r="O1407">
        <f t="shared" si="1072"/>
        <v>0</v>
      </c>
      <c r="P1407">
        <v>0</v>
      </c>
      <c r="Q1407">
        <v>0</v>
      </c>
      <c r="R1407">
        <v>8.1</v>
      </c>
      <c r="S1407">
        <f t="shared" si="1073"/>
        <v>8.1</v>
      </c>
      <c r="T1407">
        <v>1.2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5.8</v>
      </c>
      <c r="AA1407">
        <f t="shared" si="1074"/>
        <v>7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17.5</v>
      </c>
      <c r="AI1407">
        <v>10</v>
      </c>
      <c r="AJ1407" s="5">
        <f t="shared" si="1075"/>
        <v>27.5</v>
      </c>
      <c r="AK1407">
        <v>0.4</v>
      </c>
      <c r="AL1407">
        <v>0.48799999999999999</v>
      </c>
      <c r="AM1407">
        <f t="shared" si="1078"/>
        <v>0.50700000000000001</v>
      </c>
      <c r="AN1407">
        <v>978</v>
      </c>
      <c r="AO1407" t="s">
        <v>13</v>
      </c>
      <c r="AP1407" s="3">
        <f t="shared" si="1080"/>
        <v>1983.7728194726167</v>
      </c>
      <c r="AQ1407" t="s">
        <v>13</v>
      </c>
      <c r="AR1407">
        <f t="shared" si="1077"/>
        <v>0.54240631163708086</v>
      </c>
      <c r="AS1407">
        <f t="shared" si="1076"/>
        <v>0.23200000000000004</v>
      </c>
      <c r="AT1407">
        <f t="shared" si="1081"/>
        <v>460</v>
      </c>
      <c r="AU1407">
        <f t="shared" si="1082"/>
        <v>546</v>
      </c>
      <c r="AV1407">
        <f t="shared" si="1064"/>
        <v>380</v>
      </c>
      <c r="AW1407">
        <f t="shared" si="1065"/>
        <v>575</v>
      </c>
      <c r="AX1407" s="3">
        <f t="shared" si="1066"/>
        <v>1028.7728194726167</v>
      </c>
      <c r="AY1407">
        <f t="shared" si="1067"/>
        <v>230</v>
      </c>
      <c r="AZ1407">
        <f t="shared" si="1068"/>
        <v>628</v>
      </c>
      <c r="BA1407" s="3">
        <f t="shared" si="1069"/>
        <v>1125.7728194726167</v>
      </c>
    </row>
    <row r="1408" spans="1:53" x14ac:dyDescent="0.2">
      <c r="A1408">
        <v>2010</v>
      </c>
      <c r="B1408" t="s">
        <v>120</v>
      </c>
      <c r="C1408" t="s">
        <v>63</v>
      </c>
      <c r="D1408">
        <v>0.2</v>
      </c>
      <c r="E1408">
        <v>0</v>
      </c>
      <c r="F1408">
        <v>0</v>
      </c>
      <c r="G1408">
        <v>0</v>
      </c>
      <c r="H1408">
        <v>0</v>
      </c>
      <c r="I1408">
        <v>2.2999999999999998</v>
      </c>
      <c r="J1408">
        <v>3.1</v>
      </c>
      <c r="K1408">
        <f t="shared" si="1079"/>
        <v>5.6</v>
      </c>
      <c r="L1408">
        <v>0</v>
      </c>
      <c r="M1408">
        <v>0</v>
      </c>
      <c r="N1408">
        <v>0</v>
      </c>
      <c r="O1408">
        <f t="shared" si="1072"/>
        <v>0</v>
      </c>
      <c r="P1408">
        <v>0</v>
      </c>
      <c r="Q1408">
        <v>0</v>
      </c>
      <c r="R1408">
        <v>9.4</v>
      </c>
      <c r="S1408">
        <f t="shared" si="1073"/>
        <v>9.4</v>
      </c>
      <c r="T1408">
        <v>0.3</v>
      </c>
      <c r="U1408">
        <v>0</v>
      </c>
      <c r="V1408">
        <v>0</v>
      </c>
      <c r="W1408">
        <v>0</v>
      </c>
      <c r="X1408">
        <v>0</v>
      </c>
      <c r="Y1408">
        <v>0.2</v>
      </c>
      <c r="Z1408">
        <v>1.6</v>
      </c>
      <c r="AA1408">
        <f t="shared" si="1074"/>
        <v>2.1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19.399999999999999</v>
      </c>
      <c r="AI1408">
        <v>1</v>
      </c>
      <c r="AJ1408" s="5">
        <f t="shared" si="1075"/>
        <v>20.399999999999999</v>
      </c>
      <c r="AK1408">
        <v>0.2</v>
      </c>
      <c r="AL1408">
        <v>0.623</v>
      </c>
      <c r="AM1408">
        <f t="shared" si="1078"/>
        <v>0.375</v>
      </c>
      <c r="AN1408">
        <v>1361</v>
      </c>
      <c r="AO1408" t="s">
        <v>13</v>
      </c>
      <c r="AP1408" s="3">
        <f t="shared" si="1080"/>
        <v>2177.6</v>
      </c>
      <c r="AQ1408" t="s">
        <v>13</v>
      </c>
      <c r="AR1408">
        <f t="shared" si="1077"/>
        <v>0.54399999999999993</v>
      </c>
      <c r="AS1408">
        <f t="shared" si="1076"/>
        <v>0.17100000000000001</v>
      </c>
      <c r="AT1408">
        <f t="shared" si="1081"/>
        <v>372</v>
      </c>
      <c r="AU1408">
        <f t="shared" si="1082"/>
        <v>444</v>
      </c>
      <c r="AV1408">
        <f t="shared" si="1064"/>
        <v>311</v>
      </c>
      <c r="AW1408">
        <f t="shared" si="1065"/>
        <v>459</v>
      </c>
      <c r="AX1408" s="3">
        <f t="shared" si="1066"/>
        <v>1407.6</v>
      </c>
      <c r="AY1408">
        <f t="shared" si="1067"/>
        <v>186</v>
      </c>
      <c r="AZ1408">
        <f t="shared" si="1068"/>
        <v>490</v>
      </c>
      <c r="BA1408" s="3">
        <f t="shared" si="1069"/>
        <v>1501.6</v>
      </c>
    </row>
    <row r="1409" spans="1:53" x14ac:dyDescent="0.2">
      <c r="A1409">
        <v>2011</v>
      </c>
      <c r="B1409" t="s">
        <v>120</v>
      </c>
      <c r="C1409" t="s">
        <v>63</v>
      </c>
      <c r="D1409">
        <v>0.5</v>
      </c>
      <c r="E1409">
        <v>0.1</v>
      </c>
      <c r="F1409">
        <v>0</v>
      </c>
      <c r="G1409">
        <v>0</v>
      </c>
      <c r="H1409">
        <v>0</v>
      </c>
      <c r="I1409">
        <v>1.4</v>
      </c>
      <c r="J1409">
        <v>3.8</v>
      </c>
      <c r="K1409">
        <f t="shared" si="1079"/>
        <v>5.8</v>
      </c>
      <c r="L1409">
        <v>0</v>
      </c>
      <c r="M1409">
        <v>0</v>
      </c>
      <c r="N1409">
        <v>0.6</v>
      </c>
      <c r="O1409">
        <f t="shared" si="1072"/>
        <v>0.6</v>
      </c>
      <c r="P1409">
        <v>0</v>
      </c>
      <c r="Q1409">
        <v>0</v>
      </c>
      <c r="R1409">
        <v>7</v>
      </c>
      <c r="S1409">
        <f t="shared" si="1073"/>
        <v>7</v>
      </c>
      <c r="T1409">
        <v>0</v>
      </c>
      <c r="U1409">
        <v>0.1</v>
      </c>
      <c r="V1409">
        <v>0</v>
      </c>
      <c r="W1409">
        <v>0</v>
      </c>
      <c r="X1409">
        <v>0</v>
      </c>
      <c r="Y1409">
        <v>0.1</v>
      </c>
      <c r="Z1409">
        <v>3</v>
      </c>
      <c r="AA1409">
        <f t="shared" si="1074"/>
        <v>3.2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18.7</v>
      </c>
      <c r="AI1409">
        <v>1.4</v>
      </c>
      <c r="AJ1409" s="5">
        <f t="shared" si="1075"/>
        <v>20.099999999999998</v>
      </c>
      <c r="AK1409">
        <v>0.5</v>
      </c>
      <c r="AL1409">
        <v>0.628</v>
      </c>
      <c r="AM1409">
        <f t="shared" si="1078"/>
        <v>0.36700000000000005</v>
      </c>
      <c r="AN1409">
        <v>794</v>
      </c>
      <c r="AO1409" t="s">
        <v>13</v>
      </c>
      <c r="AP1409" s="3">
        <f t="shared" si="1080"/>
        <v>1254.34439178515</v>
      </c>
      <c r="AQ1409" t="s">
        <v>13</v>
      </c>
      <c r="AR1409">
        <f t="shared" si="1077"/>
        <v>0.54768392370572194</v>
      </c>
      <c r="AS1409">
        <f t="shared" si="1076"/>
        <v>0.16599999999999998</v>
      </c>
      <c r="AT1409">
        <f t="shared" si="1081"/>
        <v>208</v>
      </c>
      <c r="AU1409">
        <f t="shared" si="1082"/>
        <v>252</v>
      </c>
      <c r="AV1409">
        <f t="shared" si="1064"/>
        <v>172</v>
      </c>
      <c r="AW1409">
        <f t="shared" si="1065"/>
        <v>261</v>
      </c>
      <c r="AX1409" s="3">
        <f t="shared" si="1066"/>
        <v>821.34439178515004</v>
      </c>
      <c r="AY1409">
        <f t="shared" si="1067"/>
        <v>104</v>
      </c>
      <c r="AZ1409">
        <f t="shared" si="1068"/>
        <v>277</v>
      </c>
      <c r="BA1409" s="3">
        <f t="shared" si="1069"/>
        <v>873.34439178515004</v>
      </c>
    </row>
    <row r="1410" spans="1:53" x14ac:dyDescent="0.2">
      <c r="A1410">
        <v>2012</v>
      </c>
      <c r="B1410" t="s">
        <v>120</v>
      </c>
      <c r="C1410" t="s">
        <v>63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3.4</v>
      </c>
      <c r="J1410">
        <v>3</v>
      </c>
      <c r="K1410">
        <f t="shared" si="1079"/>
        <v>6.4</v>
      </c>
      <c r="L1410">
        <v>0</v>
      </c>
      <c r="M1410">
        <v>0</v>
      </c>
      <c r="N1410">
        <v>0.9</v>
      </c>
      <c r="O1410">
        <f t="shared" si="1072"/>
        <v>0.9</v>
      </c>
      <c r="P1410">
        <v>0</v>
      </c>
      <c r="Q1410">
        <v>0</v>
      </c>
      <c r="R1410">
        <v>13.2</v>
      </c>
      <c r="S1410">
        <f t="shared" si="1073"/>
        <v>13.2</v>
      </c>
      <c r="T1410">
        <v>0.3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4.5</v>
      </c>
      <c r="AA1410">
        <f t="shared" si="1074"/>
        <v>4.8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18.8</v>
      </c>
      <c r="AI1410">
        <v>1.2</v>
      </c>
      <c r="AJ1410" s="5">
        <f t="shared" si="1075"/>
        <v>20</v>
      </c>
      <c r="AK1410">
        <v>0.2</v>
      </c>
      <c r="AL1410">
        <v>0.54400000000000004</v>
      </c>
      <c r="AM1410">
        <f t="shared" si="1078"/>
        <v>0.45299999999999996</v>
      </c>
      <c r="AN1410">
        <v>2763</v>
      </c>
      <c r="AO1410" t="s">
        <v>13</v>
      </c>
      <c r="AP1410" s="3">
        <f t="shared" si="1080"/>
        <v>5051.1882998171841</v>
      </c>
      <c r="AQ1410" t="s">
        <v>13</v>
      </c>
      <c r="AR1410">
        <f t="shared" si="1077"/>
        <v>0.44150110375275947</v>
      </c>
      <c r="AS1410">
        <f t="shared" si="1076"/>
        <v>0.253</v>
      </c>
      <c r="AT1410">
        <f t="shared" si="1081"/>
        <v>1278</v>
      </c>
      <c r="AU1410">
        <f t="shared" si="1082"/>
        <v>1010</v>
      </c>
      <c r="AV1410">
        <f t="shared" si="1064"/>
        <v>1116</v>
      </c>
      <c r="AW1410">
        <f t="shared" si="1065"/>
        <v>1053</v>
      </c>
      <c r="AX1410" s="3">
        <f t="shared" si="1066"/>
        <v>2882.1882998171841</v>
      </c>
      <c r="AY1410">
        <f t="shared" si="1067"/>
        <v>639</v>
      </c>
      <c r="AZ1410">
        <f t="shared" si="1068"/>
        <v>1181</v>
      </c>
      <c r="BA1410" s="3">
        <f t="shared" si="1069"/>
        <v>3231.1882998171841</v>
      </c>
    </row>
    <row r="1411" spans="1:53" x14ac:dyDescent="0.2">
      <c r="A1411">
        <v>2013</v>
      </c>
      <c r="B1411" t="s">
        <v>120</v>
      </c>
      <c r="C1411" t="s">
        <v>63</v>
      </c>
      <c r="D1411">
        <v>0.8</v>
      </c>
      <c r="E1411">
        <v>0.5</v>
      </c>
      <c r="F1411">
        <v>0</v>
      </c>
      <c r="G1411">
        <v>0</v>
      </c>
      <c r="H1411">
        <v>0</v>
      </c>
      <c r="I1411">
        <v>2.8</v>
      </c>
      <c r="J1411">
        <v>3.4</v>
      </c>
      <c r="K1411">
        <f t="shared" si="1079"/>
        <v>7.5</v>
      </c>
      <c r="L1411">
        <v>0</v>
      </c>
      <c r="M1411">
        <v>0</v>
      </c>
      <c r="N1411">
        <v>0.5</v>
      </c>
      <c r="O1411">
        <f t="shared" si="1072"/>
        <v>0.5</v>
      </c>
      <c r="P1411">
        <v>0</v>
      </c>
      <c r="Q1411">
        <v>0</v>
      </c>
      <c r="R1411">
        <v>8.1999999999999993</v>
      </c>
      <c r="S1411">
        <f t="shared" si="1073"/>
        <v>8.1999999999999993</v>
      </c>
      <c r="T1411">
        <v>0.4</v>
      </c>
      <c r="U1411">
        <v>0.1</v>
      </c>
      <c r="V1411">
        <v>0</v>
      </c>
      <c r="W1411">
        <v>0</v>
      </c>
      <c r="X1411">
        <v>0</v>
      </c>
      <c r="Y1411">
        <v>0</v>
      </c>
      <c r="Z1411">
        <v>2.6</v>
      </c>
      <c r="AA1411">
        <f t="shared" si="1074"/>
        <v>3.1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26.4</v>
      </c>
      <c r="AI1411">
        <v>0</v>
      </c>
      <c r="AJ1411" s="5">
        <f t="shared" si="1075"/>
        <v>26.4</v>
      </c>
      <c r="AK1411">
        <v>0.2</v>
      </c>
      <c r="AL1411">
        <v>0.53900000000000003</v>
      </c>
      <c r="AM1411">
        <f t="shared" si="1078"/>
        <v>0.45699999999999996</v>
      </c>
      <c r="AN1411">
        <v>1976</v>
      </c>
      <c r="AO1411" t="s">
        <v>13</v>
      </c>
      <c r="AP1411" s="3">
        <f t="shared" si="1080"/>
        <v>3639.0423572744012</v>
      </c>
      <c r="AQ1411" t="s">
        <v>13</v>
      </c>
      <c r="AR1411">
        <f t="shared" si="1077"/>
        <v>0.57768052516411383</v>
      </c>
      <c r="AS1411">
        <f t="shared" si="1076"/>
        <v>0.193</v>
      </c>
      <c r="AT1411">
        <f t="shared" si="1081"/>
        <v>702</v>
      </c>
      <c r="AU1411">
        <f t="shared" si="1082"/>
        <v>961</v>
      </c>
      <c r="AV1411">
        <f t="shared" ref="AV1411:AV1474" si="1083">ROUND((((K1411*0.5)+O1411+S1411+AA1411)/100)*AP1411,0)</f>
        <v>566</v>
      </c>
      <c r="AW1411">
        <f t="shared" ref="AW1411:AW1474" si="1084">ROUND((AU1411/(AP1411-AT1411))*(AP1411-AV1411),0)</f>
        <v>1005</v>
      </c>
      <c r="AX1411" s="3">
        <f t="shared" ref="AX1411:AX1474" si="1085">AP1411-AV1411-AW1411</f>
        <v>2068.0423572744012</v>
      </c>
      <c r="AY1411">
        <f t="shared" ref="AY1411:AY1474" si="1086">ROUND((0.5*AS1411)*AP1411,0)</f>
        <v>351</v>
      </c>
      <c r="AZ1411">
        <f t="shared" ref="AZ1411:AZ1474" si="1087">ROUND((AU1411/(AP1411-AT1411))*(AP1411-AY1411),0)</f>
        <v>1076</v>
      </c>
      <c r="BA1411" s="3">
        <f t="shared" ref="BA1411:BA1474" si="1088">AP1411-AZ1411-AY1411</f>
        <v>2212.0423572744012</v>
      </c>
    </row>
    <row r="1412" spans="1:53" x14ac:dyDescent="0.2">
      <c r="A1412">
        <v>2014</v>
      </c>
      <c r="B1412" t="s">
        <v>120</v>
      </c>
      <c r="C1412" t="s">
        <v>63</v>
      </c>
      <c r="D1412">
        <v>2.2999999999999998</v>
      </c>
      <c r="E1412">
        <v>0.2</v>
      </c>
      <c r="F1412">
        <v>0</v>
      </c>
      <c r="G1412">
        <v>1.1000000000000001</v>
      </c>
      <c r="H1412">
        <v>0</v>
      </c>
      <c r="I1412">
        <v>3.2</v>
      </c>
      <c r="J1412">
        <v>4.7</v>
      </c>
      <c r="K1412">
        <f t="shared" si="1079"/>
        <v>11.5</v>
      </c>
      <c r="L1412">
        <v>0</v>
      </c>
      <c r="M1412">
        <v>0</v>
      </c>
      <c r="N1412">
        <v>0.4</v>
      </c>
      <c r="O1412">
        <f t="shared" si="1072"/>
        <v>0.4</v>
      </c>
      <c r="P1412">
        <v>0</v>
      </c>
      <c r="Q1412">
        <v>0</v>
      </c>
      <c r="R1412">
        <v>8.6</v>
      </c>
      <c r="S1412">
        <f t="shared" si="1073"/>
        <v>8.6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5.9</v>
      </c>
      <c r="AA1412">
        <f t="shared" si="1074"/>
        <v>5.9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26.5</v>
      </c>
      <c r="AI1412">
        <v>0</v>
      </c>
      <c r="AJ1412" s="5">
        <f t="shared" si="1075"/>
        <v>26.5</v>
      </c>
      <c r="AK1412">
        <v>0.1</v>
      </c>
      <c r="AL1412">
        <v>0.46899999999999997</v>
      </c>
      <c r="AM1412">
        <f t="shared" si="1078"/>
        <v>0.52900000000000003</v>
      </c>
      <c r="AN1412">
        <v>1608</v>
      </c>
      <c r="AO1412" t="s">
        <v>13</v>
      </c>
      <c r="AP1412" s="3">
        <f t="shared" si="1080"/>
        <v>3414.0127388535034</v>
      </c>
      <c r="AQ1412" t="s">
        <v>13</v>
      </c>
      <c r="AR1412">
        <f t="shared" si="1077"/>
        <v>0.50094517958412099</v>
      </c>
      <c r="AS1412">
        <f t="shared" si="1076"/>
        <v>0.26400000000000001</v>
      </c>
      <c r="AT1412">
        <f t="shared" si="1081"/>
        <v>901</v>
      </c>
      <c r="AU1412">
        <f t="shared" si="1082"/>
        <v>905</v>
      </c>
      <c r="AV1412">
        <f t="shared" si="1083"/>
        <v>705</v>
      </c>
      <c r="AW1412">
        <f t="shared" si="1084"/>
        <v>976</v>
      </c>
      <c r="AX1412" s="3">
        <f t="shared" si="1085"/>
        <v>1733.0127388535034</v>
      </c>
      <c r="AY1412">
        <f t="shared" si="1086"/>
        <v>451</v>
      </c>
      <c r="AZ1412">
        <f t="shared" si="1087"/>
        <v>1067</v>
      </c>
      <c r="BA1412" s="3">
        <f t="shared" si="1088"/>
        <v>1896.0127388535034</v>
      </c>
    </row>
    <row r="1413" spans="1:53" x14ac:dyDescent="0.2">
      <c r="A1413">
        <v>2015</v>
      </c>
      <c r="B1413" t="s">
        <v>120</v>
      </c>
      <c r="C1413" t="s">
        <v>63</v>
      </c>
      <c r="D1413">
        <v>0.9</v>
      </c>
      <c r="E1413">
        <v>0</v>
      </c>
      <c r="F1413">
        <v>0</v>
      </c>
      <c r="G1413">
        <v>0</v>
      </c>
      <c r="H1413">
        <v>0</v>
      </c>
      <c r="I1413">
        <v>1.4</v>
      </c>
      <c r="J1413">
        <v>1.1000000000000001</v>
      </c>
      <c r="K1413">
        <f t="shared" si="1079"/>
        <v>3.4</v>
      </c>
      <c r="L1413">
        <v>0</v>
      </c>
      <c r="M1413">
        <v>0</v>
      </c>
      <c r="N1413">
        <v>0.3</v>
      </c>
      <c r="O1413">
        <f t="shared" si="1072"/>
        <v>0.3</v>
      </c>
      <c r="P1413">
        <v>0</v>
      </c>
      <c r="Q1413">
        <v>0</v>
      </c>
      <c r="R1413">
        <v>5.7</v>
      </c>
      <c r="S1413">
        <f t="shared" si="1073"/>
        <v>5.7</v>
      </c>
      <c r="T1413">
        <v>0.5</v>
      </c>
      <c r="U1413">
        <v>0</v>
      </c>
      <c r="V1413">
        <v>0</v>
      </c>
      <c r="W1413">
        <v>0</v>
      </c>
      <c r="X1413">
        <v>0</v>
      </c>
      <c r="Y1413">
        <v>0.1</v>
      </c>
      <c r="Z1413">
        <v>5.9</v>
      </c>
      <c r="AA1413">
        <f t="shared" si="1074"/>
        <v>6.5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12.2</v>
      </c>
      <c r="AI1413">
        <v>0</v>
      </c>
      <c r="AJ1413" s="5">
        <f t="shared" si="1075"/>
        <v>12.2</v>
      </c>
      <c r="AK1413">
        <v>0.5</v>
      </c>
      <c r="AL1413">
        <v>0.71400000000000008</v>
      </c>
      <c r="AM1413">
        <f t="shared" si="1078"/>
        <v>0.28099999999999997</v>
      </c>
      <c r="AN1413">
        <v>1409</v>
      </c>
      <c r="AO1413" t="s">
        <v>13</v>
      </c>
      <c r="AP1413" s="3">
        <f t="shared" si="1080"/>
        <v>1959.666203059805</v>
      </c>
      <c r="AQ1413" t="s">
        <v>13</v>
      </c>
      <c r="AR1413">
        <f t="shared" si="1077"/>
        <v>0.4341637010676157</v>
      </c>
      <c r="AS1413">
        <f t="shared" si="1076"/>
        <v>0.159</v>
      </c>
      <c r="AT1413">
        <f t="shared" si="1081"/>
        <v>312</v>
      </c>
      <c r="AU1413">
        <f t="shared" si="1082"/>
        <v>239</v>
      </c>
      <c r="AV1413">
        <f t="shared" si="1083"/>
        <v>278</v>
      </c>
      <c r="AW1413">
        <f t="shared" si="1084"/>
        <v>244</v>
      </c>
      <c r="AX1413" s="3">
        <f t="shared" si="1085"/>
        <v>1437.666203059805</v>
      </c>
      <c r="AY1413">
        <f t="shared" si="1086"/>
        <v>156</v>
      </c>
      <c r="AZ1413">
        <f t="shared" si="1087"/>
        <v>262</v>
      </c>
      <c r="BA1413" s="3">
        <f t="shared" si="1088"/>
        <v>1541.666203059805</v>
      </c>
    </row>
    <row r="1414" spans="1:53" x14ac:dyDescent="0.2">
      <c r="A1414">
        <v>2016</v>
      </c>
      <c r="B1414" t="s">
        <v>120</v>
      </c>
      <c r="C1414" t="s">
        <v>63</v>
      </c>
      <c r="D1414">
        <v>0.8</v>
      </c>
      <c r="E1414">
        <v>0.8</v>
      </c>
      <c r="F1414">
        <v>0</v>
      </c>
      <c r="G1414">
        <v>0.2</v>
      </c>
      <c r="H1414">
        <v>0</v>
      </c>
      <c r="I1414">
        <v>2.6</v>
      </c>
      <c r="J1414">
        <v>1.4</v>
      </c>
      <c r="K1414">
        <f t="shared" si="1079"/>
        <v>5.8000000000000007</v>
      </c>
      <c r="L1414">
        <v>0</v>
      </c>
      <c r="M1414">
        <v>0</v>
      </c>
      <c r="N1414">
        <v>1.1000000000000001</v>
      </c>
      <c r="O1414">
        <f t="shared" si="1072"/>
        <v>1.1000000000000001</v>
      </c>
      <c r="P1414">
        <v>0</v>
      </c>
      <c r="Q1414">
        <v>0</v>
      </c>
      <c r="R1414">
        <v>11.7</v>
      </c>
      <c r="S1414">
        <f t="shared" si="1073"/>
        <v>11.7</v>
      </c>
      <c r="T1414">
        <v>0.6</v>
      </c>
      <c r="U1414">
        <v>0.1</v>
      </c>
      <c r="V1414">
        <v>0</v>
      </c>
      <c r="W1414">
        <v>0</v>
      </c>
      <c r="X1414">
        <v>0</v>
      </c>
      <c r="Y1414">
        <v>0</v>
      </c>
      <c r="Z1414">
        <v>5.5</v>
      </c>
      <c r="AA1414">
        <f t="shared" si="1074"/>
        <v>6.2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13.1</v>
      </c>
      <c r="AI1414">
        <v>0</v>
      </c>
      <c r="AJ1414" s="5">
        <f t="shared" si="1075"/>
        <v>13.1</v>
      </c>
      <c r="AK1414">
        <v>0.3</v>
      </c>
      <c r="AL1414">
        <v>0.61799999999999999</v>
      </c>
      <c r="AM1414">
        <f t="shared" si="1078"/>
        <v>0.37899999999999989</v>
      </c>
      <c r="AN1414">
        <v>2429</v>
      </c>
      <c r="AO1414" t="s">
        <v>13</v>
      </c>
      <c r="AP1414" s="3">
        <f t="shared" si="1080"/>
        <v>3911.4331723027367</v>
      </c>
      <c r="AQ1414" t="s">
        <v>13</v>
      </c>
      <c r="AR1414">
        <f t="shared" si="1077"/>
        <v>0.34564643799472305</v>
      </c>
      <c r="AS1414">
        <f t="shared" si="1076"/>
        <v>0.248</v>
      </c>
      <c r="AT1414">
        <f t="shared" si="1081"/>
        <v>970</v>
      </c>
      <c r="AU1414">
        <f t="shared" si="1082"/>
        <v>512</v>
      </c>
      <c r="AV1414">
        <f t="shared" si="1083"/>
        <v>857</v>
      </c>
      <c r="AW1414">
        <f t="shared" si="1084"/>
        <v>532</v>
      </c>
      <c r="AX1414" s="3">
        <f t="shared" si="1085"/>
        <v>2522.4331723027367</v>
      </c>
      <c r="AY1414">
        <f t="shared" si="1086"/>
        <v>485</v>
      </c>
      <c r="AZ1414">
        <f t="shared" si="1087"/>
        <v>596</v>
      </c>
      <c r="BA1414" s="3">
        <f t="shared" si="1088"/>
        <v>2830.4331723027367</v>
      </c>
    </row>
    <row r="1415" spans="1:53" x14ac:dyDescent="0.2">
      <c r="A1415">
        <v>2017</v>
      </c>
      <c r="B1415" t="s">
        <v>120</v>
      </c>
      <c r="C1415" t="s">
        <v>63</v>
      </c>
      <c r="D1415">
        <v>0.9</v>
      </c>
      <c r="E1415">
        <v>0.3</v>
      </c>
      <c r="F1415">
        <v>0</v>
      </c>
      <c r="G1415">
        <v>0.2</v>
      </c>
      <c r="H1415">
        <v>0</v>
      </c>
      <c r="I1415">
        <v>3.6</v>
      </c>
      <c r="J1415">
        <v>4.4000000000000004</v>
      </c>
      <c r="K1415">
        <f t="shared" si="1079"/>
        <v>9.4</v>
      </c>
      <c r="L1415">
        <v>0</v>
      </c>
      <c r="M1415">
        <v>0</v>
      </c>
      <c r="N1415">
        <v>0.8</v>
      </c>
      <c r="O1415">
        <f t="shared" si="1072"/>
        <v>0.8</v>
      </c>
      <c r="P1415">
        <v>0</v>
      </c>
      <c r="Q1415">
        <v>0</v>
      </c>
      <c r="R1415">
        <v>12.6</v>
      </c>
      <c r="S1415">
        <f t="shared" si="1073"/>
        <v>12.6</v>
      </c>
      <c r="T1415">
        <v>0.2</v>
      </c>
      <c r="U1415">
        <v>0.3</v>
      </c>
      <c r="V1415">
        <v>0</v>
      </c>
      <c r="W1415">
        <v>0</v>
      </c>
      <c r="X1415">
        <v>0</v>
      </c>
      <c r="Y1415">
        <v>0</v>
      </c>
      <c r="Z1415">
        <v>3.1</v>
      </c>
      <c r="AA1415">
        <f t="shared" si="1074"/>
        <v>3.6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17.5</v>
      </c>
      <c r="AI1415">
        <v>0</v>
      </c>
      <c r="AJ1415" s="5">
        <f t="shared" si="1075"/>
        <v>17.5</v>
      </c>
      <c r="AK1415">
        <v>0.1</v>
      </c>
      <c r="AL1415">
        <v>0.56000000000000005</v>
      </c>
      <c r="AM1415">
        <f t="shared" si="1078"/>
        <v>0.439</v>
      </c>
      <c r="AN1415">
        <v>2851</v>
      </c>
      <c r="AO1415" t="s">
        <v>13</v>
      </c>
      <c r="AP1415" s="3">
        <f t="shared" si="1080"/>
        <v>5081.9964349376123</v>
      </c>
      <c r="AQ1415" t="s">
        <v>13</v>
      </c>
      <c r="AR1415">
        <f t="shared" si="1077"/>
        <v>0.39863325740318906</v>
      </c>
      <c r="AS1415">
        <f t="shared" si="1076"/>
        <v>0.26400000000000001</v>
      </c>
      <c r="AT1415">
        <f t="shared" si="1081"/>
        <v>1342</v>
      </c>
      <c r="AU1415">
        <f t="shared" si="1082"/>
        <v>889</v>
      </c>
      <c r="AV1415">
        <f t="shared" si="1083"/>
        <v>1103</v>
      </c>
      <c r="AW1415">
        <f t="shared" si="1084"/>
        <v>946</v>
      </c>
      <c r="AX1415" s="3">
        <f t="shared" si="1085"/>
        <v>3032.9964349376123</v>
      </c>
      <c r="AY1415">
        <f t="shared" si="1086"/>
        <v>671</v>
      </c>
      <c r="AZ1415">
        <f t="shared" si="1087"/>
        <v>1048</v>
      </c>
      <c r="BA1415" s="3">
        <f t="shared" si="1088"/>
        <v>3362.9964349376123</v>
      </c>
    </row>
    <row r="1416" spans="1:53" x14ac:dyDescent="0.2">
      <c r="A1416">
        <v>2018</v>
      </c>
      <c r="B1416" t="s">
        <v>120</v>
      </c>
      <c r="C1416" t="s">
        <v>63</v>
      </c>
      <c r="D1416">
        <v>0.6</v>
      </c>
      <c r="E1416">
        <v>0.1</v>
      </c>
      <c r="F1416">
        <v>0</v>
      </c>
      <c r="G1416">
        <v>0.2</v>
      </c>
      <c r="H1416">
        <v>0</v>
      </c>
      <c r="I1416">
        <v>3.6</v>
      </c>
      <c r="J1416">
        <v>1.9</v>
      </c>
      <c r="K1416">
        <f t="shared" si="1079"/>
        <v>6.4</v>
      </c>
      <c r="L1416">
        <v>0</v>
      </c>
      <c r="M1416">
        <v>0</v>
      </c>
      <c r="N1416">
        <v>0.8</v>
      </c>
      <c r="O1416">
        <f t="shared" si="1072"/>
        <v>0.8</v>
      </c>
      <c r="P1416">
        <v>0</v>
      </c>
      <c r="Q1416">
        <v>0</v>
      </c>
      <c r="R1416">
        <v>13</v>
      </c>
      <c r="S1416">
        <f t="shared" si="1073"/>
        <v>13</v>
      </c>
      <c r="T1416">
        <v>0.7</v>
      </c>
      <c r="U1416">
        <v>0</v>
      </c>
      <c r="V1416">
        <v>0</v>
      </c>
      <c r="W1416">
        <v>0</v>
      </c>
      <c r="X1416">
        <v>0</v>
      </c>
      <c r="Y1416">
        <v>0.2</v>
      </c>
      <c r="Z1416">
        <v>3</v>
      </c>
      <c r="AA1416">
        <f t="shared" si="1074"/>
        <v>3.9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28</v>
      </c>
      <c r="AI1416">
        <v>0</v>
      </c>
      <c r="AJ1416" s="5">
        <f t="shared" si="1075"/>
        <v>28</v>
      </c>
      <c r="AK1416">
        <v>0.3</v>
      </c>
      <c r="AL1416">
        <v>0.47600000000000003</v>
      </c>
      <c r="AM1416">
        <f t="shared" si="1078"/>
        <v>0.52100000000000002</v>
      </c>
      <c r="AN1416">
        <v>2376</v>
      </c>
      <c r="AO1416" t="s">
        <v>13</v>
      </c>
      <c r="AP1416" s="3">
        <f t="shared" si="1080"/>
        <v>4960.3340292275579</v>
      </c>
      <c r="AQ1416" t="s">
        <v>13</v>
      </c>
      <c r="AR1416">
        <f t="shared" si="1077"/>
        <v>0.5374280230326296</v>
      </c>
      <c r="AS1416">
        <f t="shared" si="1076"/>
        <v>0.24099999999999999</v>
      </c>
      <c r="AT1416">
        <f t="shared" si="1081"/>
        <v>1195</v>
      </c>
      <c r="AU1416">
        <f t="shared" si="1082"/>
        <v>1389</v>
      </c>
      <c r="AV1416">
        <f t="shared" si="1083"/>
        <v>1037</v>
      </c>
      <c r="AW1416">
        <f t="shared" si="1084"/>
        <v>1447</v>
      </c>
      <c r="AX1416" s="3">
        <f t="shared" si="1085"/>
        <v>2476.3340292275579</v>
      </c>
      <c r="AY1416">
        <f t="shared" si="1086"/>
        <v>598</v>
      </c>
      <c r="AZ1416">
        <f t="shared" si="1087"/>
        <v>1609</v>
      </c>
      <c r="BA1416" s="3">
        <f t="shared" si="1088"/>
        <v>2753.3340292275579</v>
      </c>
    </row>
    <row r="1417" spans="1:53" x14ac:dyDescent="0.2">
      <c r="A1417">
        <v>2019</v>
      </c>
      <c r="B1417" t="s">
        <v>120</v>
      </c>
      <c r="C1417" t="s">
        <v>63</v>
      </c>
      <c r="D1417">
        <v>1.2</v>
      </c>
      <c r="E1417">
        <v>0</v>
      </c>
      <c r="F1417">
        <v>0</v>
      </c>
      <c r="G1417">
        <v>0</v>
      </c>
      <c r="H1417">
        <v>0</v>
      </c>
      <c r="I1417">
        <v>0.6</v>
      </c>
      <c r="J1417">
        <v>2.7</v>
      </c>
      <c r="K1417">
        <f t="shared" si="1079"/>
        <v>4.5</v>
      </c>
      <c r="L1417">
        <v>0</v>
      </c>
      <c r="M1417">
        <v>0</v>
      </c>
      <c r="N1417">
        <v>0.7</v>
      </c>
      <c r="O1417">
        <f t="shared" si="1072"/>
        <v>0.7</v>
      </c>
      <c r="P1417">
        <v>0</v>
      </c>
      <c r="Q1417">
        <v>0.2</v>
      </c>
      <c r="R1417">
        <v>5</v>
      </c>
      <c r="S1417">
        <f t="shared" si="1073"/>
        <v>5.2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4.9000000000000004</v>
      </c>
      <c r="AA1417">
        <f t="shared" si="1074"/>
        <v>4.9000000000000004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36.9</v>
      </c>
      <c r="AI1417">
        <v>0</v>
      </c>
      <c r="AJ1417" s="5">
        <f t="shared" si="1075"/>
        <v>36.9</v>
      </c>
      <c r="AK1417">
        <v>0</v>
      </c>
      <c r="AL1417">
        <v>0.47799999999999998</v>
      </c>
      <c r="AM1417">
        <f t="shared" si="1078"/>
        <v>0.52200000000000013</v>
      </c>
      <c r="AN1417">
        <v>1131</v>
      </c>
      <c r="AO1417" t="s">
        <v>13</v>
      </c>
      <c r="AP1417" s="3">
        <f t="shared" si="1080"/>
        <v>2366.1087866108792</v>
      </c>
      <c r="AQ1417" t="s">
        <v>13</v>
      </c>
      <c r="AR1417">
        <f t="shared" si="1077"/>
        <v>0.70689655172413779</v>
      </c>
      <c r="AS1417">
        <f t="shared" si="1076"/>
        <v>0.153</v>
      </c>
      <c r="AT1417">
        <f t="shared" si="1081"/>
        <v>362</v>
      </c>
      <c r="AU1417">
        <f t="shared" si="1082"/>
        <v>873</v>
      </c>
      <c r="AV1417">
        <f t="shared" si="1083"/>
        <v>309</v>
      </c>
      <c r="AW1417">
        <f t="shared" si="1084"/>
        <v>896</v>
      </c>
      <c r="AX1417" s="3">
        <f t="shared" si="1085"/>
        <v>1161.1087866108792</v>
      </c>
      <c r="AY1417">
        <f t="shared" si="1086"/>
        <v>181</v>
      </c>
      <c r="AZ1417">
        <f t="shared" si="1087"/>
        <v>952</v>
      </c>
      <c r="BA1417" s="3">
        <f t="shared" si="1088"/>
        <v>1233.1087866108792</v>
      </c>
    </row>
    <row r="1418" spans="1:53" x14ac:dyDescent="0.2">
      <c r="A1418">
        <v>2020</v>
      </c>
      <c r="B1418" t="s">
        <v>120</v>
      </c>
      <c r="C1418" t="s">
        <v>63</v>
      </c>
      <c r="D1418">
        <v>0.4</v>
      </c>
      <c r="E1418">
        <v>0.6</v>
      </c>
      <c r="F1418">
        <v>0</v>
      </c>
      <c r="G1418">
        <v>0.3</v>
      </c>
      <c r="H1418">
        <v>0</v>
      </c>
      <c r="I1418">
        <v>0</v>
      </c>
      <c r="J1418">
        <v>0</v>
      </c>
      <c r="K1418">
        <f t="shared" si="1079"/>
        <v>1.3</v>
      </c>
      <c r="L1418">
        <v>0</v>
      </c>
      <c r="M1418">
        <v>0</v>
      </c>
      <c r="N1418">
        <v>2.4</v>
      </c>
      <c r="O1418">
        <f t="shared" si="1072"/>
        <v>2.4</v>
      </c>
      <c r="P1418">
        <v>0</v>
      </c>
      <c r="Q1418">
        <v>0.1</v>
      </c>
      <c r="R1418">
        <v>16.600000000000001</v>
      </c>
      <c r="S1418">
        <f t="shared" si="1073"/>
        <v>16.700000000000003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2.4</v>
      </c>
      <c r="AA1418">
        <f t="shared" si="1074"/>
        <v>2.4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18.100000000000001</v>
      </c>
      <c r="AI1418">
        <v>0</v>
      </c>
      <c r="AJ1418" s="5">
        <f t="shared" si="1075"/>
        <v>18.100000000000001</v>
      </c>
      <c r="AK1418">
        <v>0.2</v>
      </c>
      <c r="AL1418">
        <v>0.59</v>
      </c>
      <c r="AM1418">
        <f t="shared" si="1078"/>
        <v>0.40899999999999997</v>
      </c>
      <c r="AN1418">
        <v>1449</v>
      </c>
      <c r="AO1418" t="s">
        <v>13</v>
      </c>
      <c r="AP1418" s="3">
        <f t="shared" si="1080"/>
        <v>2451.776649746193</v>
      </c>
      <c r="AQ1418" t="s">
        <v>13</v>
      </c>
      <c r="AR1418">
        <f t="shared" si="1077"/>
        <v>0.44254278728606367</v>
      </c>
      <c r="AS1418">
        <f t="shared" si="1076"/>
        <v>0.22800000000000001</v>
      </c>
      <c r="AT1418">
        <f t="shared" si="1081"/>
        <v>559</v>
      </c>
      <c r="AU1418">
        <f t="shared" si="1082"/>
        <v>444</v>
      </c>
      <c r="AV1418">
        <f t="shared" si="1083"/>
        <v>543</v>
      </c>
      <c r="AW1418">
        <f t="shared" si="1084"/>
        <v>448</v>
      </c>
      <c r="AX1418" s="3">
        <f t="shared" si="1085"/>
        <v>1460.776649746193</v>
      </c>
      <c r="AY1418">
        <f t="shared" si="1086"/>
        <v>280</v>
      </c>
      <c r="AZ1418">
        <f t="shared" si="1087"/>
        <v>509</v>
      </c>
      <c r="BA1418" s="3">
        <f t="shared" si="1088"/>
        <v>1662.776649746193</v>
      </c>
    </row>
    <row r="1419" spans="1:53" x14ac:dyDescent="0.2">
      <c r="A1419">
        <v>2021</v>
      </c>
      <c r="B1419" t="s">
        <v>120</v>
      </c>
      <c r="C1419" t="s">
        <v>63</v>
      </c>
      <c r="D1419">
        <v>0.8</v>
      </c>
      <c r="E1419">
        <v>0.5</v>
      </c>
      <c r="F1419">
        <v>0</v>
      </c>
      <c r="G1419">
        <v>0.2</v>
      </c>
      <c r="H1419">
        <v>0</v>
      </c>
      <c r="I1419">
        <v>2.4</v>
      </c>
      <c r="J1419">
        <v>3.7</v>
      </c>
      <c r="K1419">
        <f t="shared" si="1079"/>
        <v>7.6</v>
      </c>
      <c r="L1419">
        <v>0</v>
      </c>
      <c r="M1419">
        <v>0</v>
      </c>
      <c r="N1419">
        <v>0.5</v>
      </c>
      <c r="O1419">
        <f t="shared" si="1072"/>
        <v>0.5</v>
      </c>
      <c r="P1419">
        <v>0</v>
      </c>
      <c r="Q1419">
        <v>0.1</v>
      </c>
      <c r="R1419">
        <v>14.3</v>
      </c>
      <c r="S1419">
        <f t="shared" si="1073"/>
        <v>14.4</v>
      </c>
      <c r="T1419">
        <v>0.1</v>
      </c>
      <c r="U1419">
        <v>0</v>
      </c>
      <c r="V1419">
        <v>0</v>
      </c>
      <c r="W1419">
        <v>0</v>
      </c>
      <c r="X1419">
        <v>0</v>
      </c>
      <c r="Y1419">
        <v>1.4</v>
      </c>
      <c r="Z1419">
        <v>1.3</v>
      </c>
      <c r="AA1419">
        <f t="shared" si="1074"/>
        <v>2.8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20.399999999999999</v>
      </c>
      <c r="AI1419">
        <v>0.6</v>
      </c>
      <c r="AJ1419" s="5">
        <f t="shared" si="1075"/>
        <v>21</v>
      </c>
      <c r="AK1419">
        <v>0.2</v>
      </c>
      <c r="AL1419">
        <v>0.53299999999999992</v>
      </c>
      <c r="AM1419">
        <f t="shared" si="1078"/>
        <v>0.46300000000000002</v>
      </c>
      <c r="AN1419">
        <v>1602</v>
      </c>
      <c r="AO1419" t="s">
        <v>13</v>
      </c>
      <c r="AP1419" s="3">
        <f t="shared" si="1080"/>
        <v>2983.2402234636875</v>
      </c>
      <c r="AQ1419" t="s">
        <v>13</v>
      </c>
      <c r="AR1419">
        <f t="shared" si="1077"/>
        <v>0.45356371490280772</v>
      </c>
      <c r="AS1419">
        <f t="shared" si="1076"/>
        <v>0.253</v>
      </c>
      <c r="AT1419">
        <f t="shared" si="1081"/>
        <v>755</v>
      </c>
      <c r="AU1419">
        <f t="shared" si="1082"/>
        <v>626</v>
      </c>
      <c r="AV1419">
        <f t="shared" si="1083"/>
        <v>641</v>
      </c>
      <c r="AW1419">
        <f t="shared" si="1084"/>
        <v>658</v>
      </c>
      <c r="AX1419" s="3">
        <f t="shared" si="1085"/>
        <v>1684.2402234636875</v>
      </c>
      <c r="AY1419">
        <f t="shared" si="1086"/>
        <v>377</v>
      </c>
      <c r="AZ1419">
        <f t="shared" si="1087"/>
        <v>732</v>
      </c>
      <c r="BA1419" s="3">
        <f t="shared" si="1088"/>
        <v>1874.2402234636875</v>
      </c>
    </row>
    <row r="1420" spans="1:53" x14ac:dyDescent="0.2">
      <c r="A1420">
        <v>2022</v>
      </c>
      <c r="B1420" t="s">
        <v>120</v>
      </c>
      <c r="C1420" t="s">
        <v>63</v>
      </c>
      <c r="D1420">
        <v>0.5</v>
      </c>
      <c r="E1420">
        <v>0.8</v>
      </c>
      <c r="F1420">
        <v>0</v>
      </c>
      <c r="G1420">
        <v>0.2</v>
      </c>
      <c r="H1420">
        <v>0</v>
      </c>
      <c r="I1420">
        <v>2</v>
      </c>
      <c r="J1420">
        <v>4.2</v>
      </c>
      <c r="K1420">
        <f t="shared" si="1079"/>
        <v>7.7</v>
      </c>
      <c r="L1420">
        <v>0</v>
      </c>
      <c r="M1420">
        <v>0</v>
      </c>
      <c r="N1420">
        <v>0.6</v>
      </c>
      <c r="O1420">
        <f t="shared" si="1072"/>
        <v>0.6</v>
      </c>
      <c r="P1420">
        <v>0</v>
      </c>
      <c r="Q1420">
        <v>0.1</v>
      </c>
      <c r="R1420">
        <v>11.5</v>
      </c>
      <c r="S1420">
        <f t="shared" si="1073"/>
        <v>11.6</v>
      </c>
      <c r="T1420">
        <v>0.6</v>
      </c>
      <c r="U1420">
        <v>0.2</v>
      </c>
      <c r="V1420">
        <v>0</v>
      </c>
      <c r="W1420">
        <v>0</v>
      </c>
      <c r="X1420">
        <v>0</v>
      </c>
      <c r="Y1420">
        <v>0.3</v>
      </c>
      <c r="Z1420">
        <v>0.9</v>
      </c>
      <c r="AA1420">
        <f t="shared" si="1074"/>
        <v>2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30.9</v>
      </c>
      <c r="AI1420">
        <v>0.5</v>
      </c>
      <c r="AJ1420" s="5">
        <f t="shared" si="1075"/>
        <v>31.4</v>
      </c>
      <c r="AK1420">
        <v>0.1</v>
      </c>
      <c r="AL1420">
        <v>0.46700000000000003</v>
      </c>
      <c r="AM1420">
        <f t="shared" si="1078"/>
        <v>0.53300000000000003</v>
      </c>
      <c r="AN1420">
        <v>3487</v>
      </c>
      <c r="AO1420" t="s">
        <v>13</v>
      </c>
      <c r="AP1420" s="3">
        <f t="shared" si="1080"/>
        <v>7466.8094218415426</v>
      </c>
      <c r="AQ1420" t="s">
        <v>13</v>
      </c>
      <c r="AR1420">
        <f t="shared" si="1077"/>
        <v>0.58911819887429639</v>
      </c>
      <c r="AS1420">
        <f t="shared" si="1076"/>
        <v>0.21899999999999997</v>
      </c>
      <c r="AT1420">
        <f t="shared" si="1081"/>
        <v>1635</v>
      </c>
      <c r="AU1420">
        <f t="shared" si="1082"/>
        <v>2345</v>
      </c>
      <c r="AV1420">
        <f t="shared" si="1083"/>
        <v>1348</v>
      </c>
      <c r="AW1420">
        <f t="shared" si="1084"/>
        <v>2460</v>
      </c>
      <c r="AX1420" s="3">
        <f t="shared" si="1085"/>
        <v>3658.8094218415426</v>
      </c>
      <c r="AY1420">
        <f t="shared" si="1086"/>
        <v>818</v>
      </c>
      <c r="AZ1420">
        <f t="shared" si="1087"/>
        <v>2674</v>
      </c>
      <c r="BA1420" s="3">
        <f t="shared" si="1088"/>
        <v>3974.8094218415426</v>
      </c>
    </row>
    <row r="1421" spans="1:53" x14ac:dyDescent="0.2">
      <c r="A1421">
        <v>2023</v>
      </c>
      <c r="B1421" t="s">
        <v>120</v>
      </c>
      <c r="C1421" t="s">
        <v>63</v>
      </c>
      <c r="D1421" t="s">
        <v>13</v>
      </c>
      <c r="E1421" t="s">
        <v>13</v>
      </c>
      <c r="F1421" t="s">
        <v>13</v>
      </c>
      <c r="G1421" t="s">
        <v>13</v>
      </c>
      <c r="H1421" t="s">
        <v>13</v>
      </c>
      <c r="I1421" t="s">
        <v>13</v>
      </c>
      <c r="J1421" t="s">
        <v>13</v>
      </c>
      <c r="K1421" t="s">
        <v>13</v>
      </c>
      <c r="L1421" t="s">
        <v>13</v>
      </c>
      <c r="M1421" t="s">
        <v>13</v>
      </c>
      <c r="N1421" t="s">
        <v>13</v>
      </c>
      <c r="O1421" t="s">
        <v>13</v>
      </c>
      <c r="P1421" t="s">
        <v>13</v>
      </c>
      <c r="Q1421" t="s">
        <v>13</v>
      </c>
      <c r="R1421" t="s">
        <v>13</v>
      </c>
      <c r="S1421" t="s">
        <v>13</v>
      </c>
      <c r="T1421" t="s">
        <v>13</v>
      </c>
      <c r="U1421" t="s">
        <v>13</v>
      </c>
      <c r="V1421" t="s">
        <v>13</v>
      </c>
      <c r="W1421" t="s">
        <v>13</v>
      </c>
      <c r="X1421" t="s">
        <v>13</v>
      </c>
      <c r="Y1421" t="s">
        <v>13</v>
      </c>
      <c r="Z1421" t="s">
        <v>13</v>
      </c>
      <c r="AA1421" t="s">
        <v>13</v>
      </c>
      <c r="AB1421" t="s">
        <v>13</v>
      </c>
      <c r="AC1421" t="s">
        <v>13</v>
      </c>
      <c r="AD1421" t="s">
        <v>13</v>
      </c>
      <c r="AE1421" t="s">
        <v>13</v>
      </c>
      <c r="AF1421" t="s">
        <v>13</v>
      </c>
      <c r="AG1421" t="s">
        <v>13</v>
      </c>
      <c r="AH1421" t="s">
        <v>13</v>
      </c>
      <c r="AI1421" t="s">
        <v>13</v>
      </c>
      <c r="AJ1421" t="s">
        <v>13</v>
      </c>
      <c r="AK1421" t="s">
        <v>13</v>
      </c>
      <c r="AL1421" t="s">
        <v>13</v>
      </c>
      <c r="AM1421" t="s">
        <v>13</v>
      </c>
      <c r="AN1421">
        <v>1184</v>
      </c>
      <c r="AO1421" t="s">
        <v>13</v>
      </c>
      <c r="AP1421" t="s">
        <v>13</v>
      </c>
      <c r="AQ1421" t="s">
        <v>13</v>
      </c>
      <c r="AR1421" t="s">
        <v>13</v>
      </c>
      <c r="AS1421" t="s">
        <v>13</v>
      </c>
      <c r="AT1421" t="s">
        <v>13</v>
      </c>
      <c r="AU1421" t="s">
        <v>13</v>
      </c>
      <c r="AV1421" t="s">
        <v>13</v>
      </c>
      <c r="AW1421" t="s">
        <v>13</v>
      </c>
      <c r="AX1421" t="s">
        <v>13</v>
      </c>
      <c r="AY1421" t="s">
        <v>13</v>
      </c>
      <c r="AZ1421" t="s">
        <v>13</v>
      </c>
      <c r="BA1421" t="s">
        <v>13</v>
      </c>
    </row>
    <row r="1422" spans="1:53" x14ac:dyDescent="0.2">
      <c r="A1422">
        <v>2004</v>
      </c>
      <c r="B1422" t="s">
        <v>121</v>
      </c>
      <c r="C1422" t="s">
        <v>63</v>
      </c>
      <c r="D1422">
        <v>0.5</v>
      </c>
      <c r="E1422">
        <v>0</v>
      </c>
      <c r="F1422">
        <v>0</v>
      </c>
      <c r="G1422">
        <v>0.1</v>
      </c>
      <c r="H1422">
        <v>0</v>
      </c>
      <c r="I1422">
        <v>16.600000000000001</v>
      </c>
      <c r="J1422">
        <v>3.7</v>
      </c>
      <c r="K1422">
        <f t="shared" si="1079"/>
        <v>20.900000000000002</v>
      </c>
      <c r="L1422">
        <v>0</v>
      </c>
      <c r="M1422">
        <v>0</v>
      </c>
      <c r="N1422">
        <v>1.6</v>
      </c>
      <c r="O1422">
        <f t="shared" si="1072"/>
        <v>1.6</v>
      </c>
      <c r="P1422">
        <v>0</v>
      </c>
      <c r="Q1422">
        <v>0</v>
      </c>
      <c r="R1422">
        <v>8</v>
      </c>
      <c r="S1422">
        <f t="shared" si="1073"/>
        <v>8</v>
      </c>
      <c r="T1422">
        <v>0.5</v>
      </c>
      <c r="U1422">
        <v>0</v>
      </c>
      <c r="V1422">
        <v>0</v>
      </c>
      <c r="W1422">
        <v>0</v>
      </c>
      <c r="X1422">
        <v>0</v>
      </c>
      <c r="Y1422">
        <v>0.5</v>
      </c>
      <c r="Z1422">
        <v>8</v>
      </c>
      <c r="AA1422">
        <f t="shared" si="1074"/>
        <v>9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 s="5">
        <f t="shared" si="1075"/>
        <v>0</v>
      </c>
      <c r="AK1422">
        <v>0</v>
      </c>
      <c r="AL1422">
        <v>0.60499999999999998</v>
      </c>
      <c r="AM1422">
        <f t="shared" si="1078"/>
        <v>0.39500000000000007</v>
      </c>
      <c r="AN1422">
        <v>10602</v>
      </c>
      <c r="AO1422" t="s">
        <v>13</v>
      </c>
      <c r="AP1422" s="3">
        <f t="shared" si="1080"/>
        <v>17523.96694214876</v>
      </c>
      <c r="AQ1422" t="s">
        <v>13</v>
      </c>
      <c r="AR1422">
        <f t="shared" si="1077"/>
        <v>0</v>
      </c>
      <c r="AS1422">
        <f t="shared" ref="AS1422:AS1440" si="1089">SUM(K1422,O1422,S1422,AA1422)/100</f>
        <v>0.39500000000000002</v>
      </c>
      <c r="AT1422">
        <f t="shared" ref="AT1422:AT1440" si="1090">ROUND(AS1422*AP1422,0)</f>
        <v>6922</v>
      </c>
      <c r="AU1422">
        <f t="shared" ref="AU1422:AU1440" si="1091">ROUND((AJ1422/100)*AP1422,0)</f>
        <v>0</v>
      </c>
      <c r="AV1422">
        <f t="shared" si="1083"/>
        <v>5091</v>
      </c>
      <c r="AW1422">
        <f t="shared" si="1084"/>
        <v>0</v>
      </c>
      <c r="AX1422" s="3">
        <f t="shared" si="1085"/>
        <v>12432.96694214876</v>
      </c>
      <c r="AY1422">
        <f t="shared" si="1086"/>
        <v>3461</v>
      </c>
      <c r="AZ1422">
        <f t="shared" si="1087"/>
        <v>0</v>
      </c>
      <c r="BA1422" s="3">
        <f t="shared" si="1088"/>
        <v>14062.96694214876</v>
      </c>
    </row>
    <row r="1423" spans="1:53" x14ac:dyDescent="0.2">
      <c r="A1423">
        <v>2005</v>
      </c>
      <c r="B1423" t="s">
        <v>121</v>
      </c>
      <c r="C1423" t="s">
        <v>63</v>
      </c>
      <c r="D1423">
        <v>0.9</v>
      </c>
      <c r="E1423">
        <v>0</v>
      </c>
      <c r="F1423">
        <v>0</v>
      </c>
      <c r="G1423">
        <v>0.4</v>
      </c>
      <c r="H1423">
        <v>0</v>
      </c>
      <c r="I1423">
        <v>17.899999999999999</v>
      </c>
      <c r="J1423">
        <v>6.5</v>
      </c>
      <c r="K1423">
        <f t="shared" si="1079"/>
        <v>25.7</v>
      </c>
      <c r="L1423">
        <v>0</v>
      </c>
      <c r="M1423">
        <v>0.7</v>
      </c>
      <c r="N1423">
        <v>0</v>
      </c>
      <c r="O1423">
        <f t="shared" si="1072"/>
        <v>0.7</v>
      </c>
      <c r="P1423">
        <v>0</v>
      </c>
      <c r="Q1423">
        <v>0</v>
      </c>
      <c r="R1423">
        <v>12.1</v>
      </c>
      <c r="S1423">
        <f t="shared" si="1073"/>
        <v>12.1</v>
      </c>
      <c r="T1423">
        <v>3.1</v>
      </c>
      <c r="U1423">
        <v>0.5</v>
      </c>
      <c r="V1423">
        <v>0</v>
      </c>
      <c r="W1423">
        <v>0</v>
      </c>
      <c r="X1423">
        <v>0</v>
      </c>
      <c r="Y1423">
        <v>0</v>
      </c>
      <c r="Z1423">
        <v>2.1</v>
      </c>
      <c r="AA1423">
        <f t="shared" si="1074"/>
        <v>5.7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 s="5">
        <f t="shared" si="1075"/>
        <v>0</v>
      </c>
      <c r="AK1423">
        <v>0</v>
      </c>
      <c r="AL1423">
        <v>0.55700000000000005</v>
      </c>
      <c r="AM1423">
        <f t="shared" si="1078"/>
        <v>0.44199999999999995</v>
      </c>
      <c r="AN1423">
        <v>4480</v>
      </c>
      <c r="AO1423">
        <v>968</v>
      </c>
      <c r="AP1423" s="3">
        <f t="shared" si="1080"/>
        <v>8028.6738351254471</v>
      </c>
      <c r="AQ1423" s="3">
        <f t="shared" ref="AQ1423:AQ1440" si="1092">AO1423/(1-AM1423)</f>
        <v>1734.7670250896056</v>
      </c>
      <c r="AR1423">
        <f t="shared" si="1077"/>
        <v>0</v>
      </c>
      <c r="AS1423">
        <f t="shared" si="1089"/>
        <v>0.442</v>
      </c>
      <c r="AT1423">
        <f t="shared" si="1090"/>
        <v>3549</v>
      </c>
      <c r="AU1423">
        <f t="shared" si="1091"/>
        <v>0</v>
      </c>
      <c r="AV1423">
        <f t="shared" si="1083"/>
        <v>2517</v>
      </c>
      <c r="AW1423">
        <f t="shared" si="1084"/>
        <v>0</v>
      </c>
      <c r="AX1423" s="3">
        <f t="shared" si="1085"/>
        <v>5511.6738351254471</v>
      </c>
      <c r="AY1423">
        <f t="shared" si="1086"/>
        <v>1774</v>
      </c>
      <c r="AZ1423">
        <f t="shared" si="1087"/>
        <v>0</v>
      </c>
      <c r="BA1423" s="3">
        <f t="shared" si="1088"/>
        <v>6254.6738351254471</v>
      </c>
    </row>
    <row r="1424" spans="1:53" x14ac:dyDescent="0.2">
      <c r="A1424">
        <v>2006</v>
      </c>
      <c r="B1424" t="s">
        <v>121</v>
      </c>
      <c r="C1424" t="s">
        <v>63</v>
      </c>
      <c r="D1424">
        <v>1.1000000000000001</v>
      </c>
      <c r="E1424">
        <v>0</v>
      </c>
      <c r="F1424">
        <v>0</v>
      </c>
      <c r="G1424">
        <v>0.4</v>
      </c>
      <c r="H1424">
        <v>0</v>
      </c>
      <c r="I1424">
        <v>14.7</v>
      </c>
      <c r="J1424">
        <v>3.4</v>
      </c>
      <c r="K1424">
        <f t="shared" si="1079"/>
        <v>19.599999999999998</v>
      </c>
      <c r="L1424">
        <v>0</v>
      </c>
      <c r="M1424">
        <v>0.2</v>
      </c>
      <c r="N1424">
        <v>0</v>
      </c>
      <c r="O1424">
        <f t="shared" si="1072"/>
        <v>0.2</v>
      </c>
      <c r="P1424">
        <v>0</v>
      </c>
      <c r="Q1424">
        <v>0</v>
      </c>
      <c r="R1424">
        <v>9.5</v>
      </c>
      <c r="S1424">
        <f t="shared" si="1073"/>
        <v>9.5</v>
      </c>
      <c r="T1424">
        <v>5.2</v>
      </c>
      <c r="U1424">
        <v>0</v>
      </c>
      <c r="V1424">
        <v>0</v>
      </c>
      <c r="W1424">
        <v>0</v>
      </c>
      <c r="X1424">
        <v>0</v>
      </c>
      <c r="Y1424">
        <v>1</v>
      </c>
      <c r="Z1424">
        <v>4.7</v>
      </c>
      <c r="AA1424">
        <f t="shared" si="1074"/>
        <v>10.9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 s="5">
        <f t="shared" si="1075"/>
        <v>0</v>
      </c>
      <c r="AK1424">
        <v>0.3</v>
      </c>
      <c r="AL1424">
        <v>0.59399999999999997</v>
      </c>
      <c r="AM1424">
        <f t="shared" si="1078"/>
        <v>0.40199999999999997</v>
      </c>
      <c r="AN1424">
        <v>8188</v>
      </c>
      <c r="AO1424">
        <v>6803</v>
      </c>
      <c r="AP1424" s="3">
        <f t="shared" si="1080"/>
        <v>13692.30769230769</v>
      </c>
      <c r="AQ1424" s="3">
        <f t="shared" si="1092"/>
        <v>11376.254180602005</v>
      </c>
      <c r="AR1424">
        <f t="shared" si="1077"/>
        <v>0</v>
      </c>
      <c r="AS1424">
        <f t="shared" si="1089"/>
        <v>0.40199999999999997</v>
      </c>
      <c r="AT1424">
        <f t="shared" si="1090"/>
        <v>5504</v>
      </c>
      <c r="AU1424">
        <f t="shared" si="1091"/>
        <v>0</v>
      </c>
      <c r="AV1424">
        <f t="shared" si="1083"/>
        <v>4162</v>
      </c>
      <c r="AW1424">
        <f t="shared" si="1084"/>
        <v>0</v>
      </c>
      <c r="AX1424" s="3">
        <f t="shared" si="1085"/>
        <v>9530.3076923076896</v>
      </c>
      <c r="AY1424">
        <f t="shared" si="1086"/>
        <v>2752</v>
      </c>
      <c r="AZ1424">
        <f t="shared" si="1087"/>
        <v>0</v>
      </c>
      <c r="BA1424" s="3">
        <f t="shared" si="1088"/>
        <v>10940.30769230769</v>
      </c>
    </row>
    <row r="1425" spans="1:53" x14ac:dyDescent="0.2">
      <c r="A1425">
        <v>2007</v>
      </c>
      <c r="B1425" t="s">
        <v>121</v>
      </c>
      <c r="C1425" t="s">
        <v>63</v>
      </c>
      <c r="D1425">
        <v>0.5</v>
      </c>
      <c r="E1425">
        <v>0</v>
      </c>
      <c r="F1425">
        <v>0</v>
      </c>
      <c r="G1425">
        <v>0.2</v>
      </c>
      <c r="H1425">
        <v>0</v>
      </c>
      <c r="I1425">
        <v>15.2</v>
      </c>
      <c r="J1425">
        <v>5.7</v>
      </c>
      <c r="K1425">
        <f t="shared" si="1079"/>
        <v>21.599999999999998</v>
      </c>
      <c r="L1425">
        <v>0</v>
      </c>
      <c r="M1425">
        <v>0</v>
      </c>
      <c r="N1425">
        <v>0</v>
      </c>
      <c r="O1425">
        <f t="shared" si="1072"/>
        <v>0</v>
      </c>
      <c r="P1425">
        <v>0</v>
      </c>
      <c r="Q1425">
        <v>0</v>
      </c>
      <c r="R1425">
        <v>7.4</v>
      </c>
      <c r="S1425">
        <f t="shared" si="1073"/>
        <v>7.4</v>
      </c>
      <c r="T1425">
        <v>3.2</v>
      </c>
      <c r="U1425">
        <v>0</v>
      </c>
      <c r="V1425">
        <v>0</v>
      </c>
      <c r="W1425">
        <v>0</v>
      </c>
      <c r="X1425">
        <v>0</v>
      </c>
      <c r="Y1425">
        <v>1.4</v>
      </c>
      <c r="Z1425">
        <v>5.4</v>
      </c>
      <c r="AA1425">
        <f t="shared" si="1074"/>
        <v>10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0.1</v>
      </c>
      <c r="AI1425">
        <v>0</v>
      </c>
      <c r="AJ1425" s="5">
        <f t="shared" si="1075"/>
        <v>0.1</v>
      </c>
      <c r="AK1425">
        <v>0</v>
      </c>
      <c r="AL1425">
        <v>0.60899999999999999</v>
      </c>
      <c r="AM1425">
        <f t="shared" si="1078"/>
        <v>0.39100000000000001</v>
      </c>
      <c r="AN1425">
        <v>3982</v>
      </c>
      <c r="AO1425">
        <v>2684</v>
      </c>
      <c r="AP1425" s="3">
        <f t="shared" si="1080"/>
        <v>6538.5878489326769</v>
      </c>
      <c r="AQ1425" s="3">
        <f t="shared" si="1092"/>
        <v>4407.2249589490966</v>
      </c>
      <c r="AR1425">
        <f t="shared" si="1077"/>
        <v>2.5575447570332479E-3</v>
      </c>
      <c r="AS1425">
        <f t="shared" si="1089"/>
        <v>0.39</v>
      </c>
      <c r="AT1425">
        <f t="shared" si="1090"/>
        <v>2550</v>
      </c>
      <c r="AU1425">
        <f t="shared" si="1091"/>
        <v>7</v>
      </c>
      <c r="AV1425">
        <f t="shared" si="1083"/>
        <v>1844</v>
      </c>
      <c r="AW1425">
        <f t="shared" si="1084"/>
        <v>8</v>
      </c>
      <c r="AX1425" s="3">
        <f t="shared" si="1085"/>
        <v>4686.5878489326769</v>
      </c>
      <c r="AY1425">
        <f t="shared" si="1086"/>
        <v>1275</v>
      </c>
      <c r="AZ1425">
        <f t="shared" si="1087"/>
        <v>9</v>
      </c>
      <c r="BA1425" s="3">
        <f t="shared" si="1088"/>
        <v>5254.5878489326769</v>
      </c>
    </row>
    <row r="1426" spans="1:53" x14ac:dyDescent="0.2">
      <c r="A1426">
        <v>2008</v>
      </c>
      <c r="B1426" t="s">
        <v>121</v>
      </c>
      <c r="C1426" t="s">
        <v>63</v>
      </c>
      <c r="D1426">
        <v>0.3</v>
      </c>
      <c r="E1426">
        <v>0</v>
      </c>
      <c r="F1426">
        <v>0</v>
      </c>
      <c r="G1426">
        <v>0</v>
      </c>
      <c r="H1426">
        <v>0</v>
      </c>
      <c r="I1426">
        <v>8.6999999999999993</v>
      </c>
      <c r="J1426">
        <v>1.8</v>
      </c>
      <c r="K1426">
        <f t="shared" si="1079"/>
        <v>10.8</v>
      </c>
      <c r="L1426">
        <v>0</v>
      </c>
      <c r="M1426">
        <v>0</v>
      </c>
      <c r="N1426">
        <v>0</v>
      </c>
      <c r="O1426">
        <f t="shared" si="1072"/>
        <v>0</v>
      </c>
      <c r="P1426">
        <v>0</v>
      </c>
      <c r="Q1426">
        <v>0</v>
      </c>
      <c r="R1426">
        <v>4.5</v>
      </c>
      <c r="S1426">
        <f t="shared" si="1073"/>
        <v>4.5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0.4</v>
      </c>
      <c r="Z1426">
        <v>4.8</v>
      </c>
      <c r="AA1426">
        <f t="shared" si="1074"/>
        <v>5.2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0.9</v>
      </c>
      <c r="AI1426">
        <v>0</v>
      </c>
      <c r="AJ1426" s="5">
        <f t="shared" si="1075"/>
        <v>0.9</v>
      </c>
      <c r="AK1426">
        <v>3.8</v>
      </c>
      <c r="AL1426">
        <v>0.74900000000000011</v>
      </c>
      <c r="AM1426">
        <f t="shared" si="1078"/>
        <v>0.21400000000000002</v>
      </c>
      <c r="AN1426">
        <v>8373</v>
      </c>
      <c r="AO1426">
        <v>6970</v>
      </c>
      <c r="AP1426" s="3">
        <f t="shared" si="1080"/>
        <v>10652.67175572519</v>
      </c>
      <c r="AQ1426" s="3">
        <f t="shared" si="1092"/>
        <v>8867.6844783715005</v>
      </c>
      <c r="AR1426">
        <f t="shared" si="1077"/>
        <v>4.2056074766355138E-2</v>
      </c>
      <c r="AS1426">
        <f t="shared" si="1089"/>
        <v>0.20499999999999999</v>
      </c>
      <c r="AT1426">
        <f t="shared" si="1090"/>
        <v>2184</v>
      </c>
      <c r="AU1426">
        <f t="shared" si="1091"/>
        <v>96</v>
      </c>
      <c r="AV1426">
        <f t="shared" si="1083"/>
        <v>1609</v>
      </c>
      <c r="AW1426">
        <f t="shared" si="1084"/>
        <v>103</v>
      </c>
      <c r="AX1426" s="3">
        <f t="shared" si="1085"/>
        <v>8940.6717557251905</v>
      </c>
      <c r="AY1426">
        <f t="shared" si="1086"/>
        <v>1092</v>
      </c>
      <c r="AZ1426">
        <f t="shared" si="1087"/>
        <v>108</v>
      </c>
      <c r="BA1426" s="3">
        <f t="shared" si="1088"/>
        <v>9452.6717557251905</v>
      </c>
    </row>
    <row r="1427" spans="1:53" x14ac:dyDescent="0.2">
      <c r="A1427">
        <v>2009</v>
      </c>
      <c r="B1427" t="s">
        <v>121</v>
      </c>
      <c r="C1427" t="s">
        <v>63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2.4</v>
      </c>
      <c r="J1427">
        <v>5</v>
      </c>
      <c r="K1427">
        <f t="shared" si="1079"/>
        <v>7.4</v>
      </c>
      <c r="L1427">
        <v>0</v>
      </c>
      <c r="M1427">
        <v>0</v>
      </c>
      <c r="N1427">
        <v>0</v>
      </c>
      <c r="O1427">
        <f t="shared" si="1072"/>
        <v>0</v>
      </c>
      <c r="P1427">
        <v>0</v>
      </c>
      <c r="Q1427">
        <v>0</v>
      </c>
      <c r="R1427">
        <v>4.5999999999999996</v>
      </c>
      <c r="S1427">
        <f t="shared" si="1073"/>
        <v>4.5999999999999996</v>
      </c>
      <c r="T1427">
        <v>1.4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9.6</v>
      </c>
      <c r="AA1427">
        <f t="shared" si="1074"/>
        <v>11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 s="5">
        <f t="shared" si="1075"/>
        <v>0</v>
      </c>
      <c r="AK1427">
        <v>0</v>
      </c>
      <c r="AL1427">
        <v>0.77</v>
      </c>
      <c r="AM1427">
        <f t="shared" si="1078"/>
        <v>0.23</v>
      </c>
      <c r="AN1427">
        <v>2309</v>
      </c>
      <c r="AO1427">
        <v>1795</v>
      </c>
      <c r="AP1427" s="3">
        <f t="shared" si="1080"/>
        <v>2998.7012987012986</v>
      </c>
      <c r="AQ1427" s="3">
        <f t="shared" si="1092"/>
        <v>2331.1688311688313</v>
      </c>
      <c r="AR1427">
        <f t="shared" si="1077"/>
        <v>0</v>
      </c>
      <c r="AS1427">
        <f t="shared" si="1089"/>
        <v>0.23</v>
      </c>
      <c r="AT1427">
        <f t="shared" si="1090"/>
        <v>690</v>
      </c>
      <c r="AU1427">
        <f t="shared" si="1091"/>
        <v>0</v>
      </c>
      <c r="AV1427">
        <f t="shared" si="1083"/>
        <v>579</v>
      </c>
      <c r="AW1427">
        <f t="shared" si="1084"/>
        <v>0</v>
      </c>
      <c r="AX1427" s="3">
        <f t="shared" si="1085"/>
        <v>2419.7012987012986</v>
      </c>
      <c r="AY1427">
        <f t="shared" si="1086"/>
        <v>345</v>
      </c>
      <c r="AZ1427">
        <f t="shared" si="1087"/>
        <v>0</v>
      </c>
      <c r="BA1427" s="3">
        <f t="shared" si="1088"/>
        <v>2653.7012987012986</v>
      </c>
    </row>
    <row r="1428" spans="1:53" x14ac:dyDescent="0.2">
      <c r="A1428">
        <v>2010</v>
      </c>
      <c r="B1428" t="s">
        <v>121</v>
      </c>
      <c r="C1428" t="s">
        <v>63</v>
      </c>
      <c r="D1428">
        <v>0</v>
      </c>
      <c r="E1428">
        <v>0.3</v>
      </c>
      <c r="F1428">
        <v>0</v>
      </c>
      <c r="G1428">
        <v>0</v>
      </c>
      <c r="H1428">
        <v>0</v>
      </c>
      <c r="I1428">
        <v>2.6</v>
      </c>
      <c r="J1428">
        <v>1.5</v>
      </c>
      <c r="K1428">
        <f t="shared" si="1079"/>
        <v>4.4000000000000004</v>
      </c>
      <c r="L1428">
        <v>0.1</v>
      </c>
      <c r="M1428">
        <v>0</v>
      </c>
      <c r="N1428">
        <v>0</v>
      </c>
      <c r="O1428">
        <f t="shared" ref="O1428:O1491" si="1093">SUM(L1428:N1428)</f>
        <v>0.1</v>
      </c>
      <c r="P1428">
        <v>0</v>
      </c>
      <c r="Q1428">
        <v>0</v>
      </c>
      <c r="R1428">
        <v>6.4</v>
      </c>
      <c r="S1428">
        <f t="shared" ref="S1428:S1491" si="1094">SUM(P1428:R1428)</f>
        <v>6.4</v>
      </c>
      <c r="T1428">
        <v>0.7</v>
      </c>
      <c r="U1428">
        <v>0</v>
      </c>
      <c r="V1428">
        <v>0</v>
      </c>
      <c r="W1428">
        <v>0</v>
      </c>
      <c r="X1428">
        <v>0</v>
      </c>
      <c r="Y1428">
        <v>1.7</v>
      </c>
      <c r="Z1428">
        <v>4.5</v>
      </c>
      <c r="AA1428">
        <f t="shared" ref="AA1428:AA1491" si="1095">SUM(T1428:Z1428)</f>
        <v>6.9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0.5</v>
      </c>
      <c r="AJ1428" s="5">
        <f t="shared" ref="AJ1428:AJ1491" si="1096">SUM(AB1428:AI1428)</f>
        <v>0.5</v>
      </c>
      <c r="AK1428">
        <v>0</v>
      </c>
      <c r="AL1428">
        <v>0.81700000000000006</v>
      </c>
      <c r="AM1428">
        <f t="shared" si="1078"/>
        <v>0.183</v>
      </c>
      <c r="AN1428">
        <v>4300</v>
      </c>
      <c r="AO1428">
        <v>3421</v>
      </c>
      <c r="AP1428" s="3">
        <f t="shared" si="1080"/>
        <v>5263.1578947368425</v>
      </c>
      <c r="AQ1428" s="3">
        <f t="shared" si="1092"/>
        <v>4187.2705018359857</v>
      </c>
      <c r="AR1428">
        <f t="shared" si="1077"/>
        <v>2.7322404371584702E-2</v>
      </c>
      <c r="AS1428">
        <f t="shared" si="1089"/>
        <v>0.17800000000000002</v>
      </c>
      <c r="AT1428">
        <f t="shared" si="1090"/>
        <v>937</v>
      </c>
      <c r="AU1428">
        <f t="shared" si="1091"/>
        <v>26</v>
      </c>
      <c r="AV1428">
        <f t="shared" si="1083"/>
        <v>821</v>
      </c>
      <c r="AW1428">
        <f t="shared" si="1084"/>
        <v>27</v>
      </c>
      <c r="AX1428" s="3">
        <f t="shared" si="1085"/>
        <v>4415.1578947368425</v>
      </c>
      <c r="AY1428">
        <f t="shared" si="1086"/>
        <v>468</v>
      </c>
      <c r="AZ1428">
        <f t="shared" si="1087"/>
        <v>29</v>
      </c>
      <c r="BA1428" s="3">
        <f t="shared" si="1088"/>
        <v>4766.1578947368425</v>
      </c>
    </row>
    <row r="1429" spans="1:53" x14ac:dyDescent="0.2">
      <c r="A1429">
        <v>2011</v>
      </c>
      <c r="B1429" t="s">
        <v>121</v>
      </c>
      <c r="C1429" t="s">
        <v>63</v>
      </c>
      <c r="D1429">
        <v>0.3</v>
      </c>
      <c r="E1429">
        <v>0.6</v>
      </c>
      <c r="F1429">
        <v>0</v>
      </c>
      <c r="G1429">
        <v>0</v>
      </c>
      <c r="H1429">
        <v>0</v>
      </c>
      <c r="I1429">
        <v>2</v>
      </c>
      <c r="J1429">
        <v>4</v>
      </c>
      <c r="K1429">
        <f t="shared" si="1079"/>
        <v>6.9</v>
      </c>
      <c r="L1429">
        <v>0</v>
      </c>
      <c r="M1429">
        <v>0</v>
      </c>
      <c r="N1429">
        <v>0</v>
      </c>
      <c r="O1429">
        <f t="shared" si="1093"/>
        <v>0</v>
      </c>
      <c r="P1429">
        <v>0</v>
      </c>
      <c r="Q1429">
        <v>0</v>
      </c>
      <c r="R1429">
        <v>8.8000000000000007</v>
      </c>
      <c r="S1429">
        <f t="shared" si="1094"/>
        <v>8.8000000000000007</v>
      </c>
      <c r="T1429">
        <v>1.6</v>
      </c>
      <c r="U1429">
        <v>0.6</v>
      </c>
      <c r="V1429">
        <v>0</v>
      </c>
      <c r="W1429">
        <v>0</v>
      </c>
      <c r="X1429">
        <v>0.4</v>
      </c>
      <c r="Y1429">
        <v>0.4</v>
      </c>
      <c r="Z1429">
        <v>10.6</v>
      </c>
      <c r="AA1429">
        <f t="shared" si="1095"/>
        <v>13.6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1.6</v>
      </c>
      <c r="AJ1429" s="5">
        <f t="shared" si="1096"/>
        <v>1.6</v>
      </c>
      <c r="AK1429">
        <v>0.2</v>
      </c>
      <c r="AL1429">
        <v>0.68900000000000006</v>
      </c>
      <c r="AM1429">
        <f t="shared" si="1078"/>
        <v>0.309</v>
      </c>
      <c r="AN1429">
        <v>1883</v>
      </c>
      <c r="AO1429">
        <v>1353</v>
      </c>
      <c r="AP1429" s="3">
        <f t="shared" si="1080"/>
        <v>2725.0361794500723</v>
      </c>
      <c r="AQ1429" s="3">
        <f t="shared" si="1092"/>
        <v>1958.0318379160635</v>
      </c>
      <c r="AR1429">
        <f t="shared" si="1077"/>
        <v>5.1779935275080909E-2</v>
      </c>
      <c r="AS1429">
        <f t="shared" si="1089"/>
        <v>0.29299999999999998</v>
      </c>
      <c r="AT1429">
        <f t="shared" si="1090"/>
        <v>798</v>
      </c>
      <c r="AU1429">
        <f t="shared" si="1091"/>
        <v>44</v>
      </c>
      <c r="AV1429">
        <f t="shared" si="1083"/>
        <v>704</v>
      </c>
      <c r="AW1429">
        <f t="shared" si="1084"/>
        <v>46</v>
      </c>
      <c r="AX1429" s="3">
        <f t="shared" si="1085"/>
        <v>1975.0361794500723</v>
      </c>
      <c r="AY1429">
        <f t="shared" si="1086"/>
        <v>399</v>
      </c>
      <c r="AZ1429">
        <f t="shared" si="1087"/>
        <v>53</v>
      </c>
      <c r="BA1429" s="3">
        <f t="shared" si="1088"/>
        <v>2273.0361794500723</v>
      </c>
    </row>
    <row r="1430" spans="1:53" x14ac:dyDescent="0.2">
      <c r="A1430">
        <v>2012</v>
      </c>
      <c r="B1430" t="s">
        <v>121</v>
      </c>
      <c r="C1430" t="s">
        <v>63</v>
      </c>
      <c r="D1430">
        <v>0.3</v>
      </c>
      <c r="E1430">
        <v>0</v>
      </c>
      <c r="F1430">
        <v>0</v>
      </c>
      <c r="G1430">
        <v>0</v>
      </c>
      <c r="H1430">
        <v>0.2</v>
      </c>
      <c r="I1430">
        <v>3.7</v>
      </c>
      <c r="J1430">
        <v>2.9</v>
      </c>
      <c r="K1430">
        <f t="shared" si="1079"/>
        <v>7.1</v>
      </c>
      <c r="L1430">
        <v>0</v>
      </c>
      <c r="M1430">
        <v>0</v>
      </c>
      <c r="N1430">
        <v>0.1</v>
      </c>
      <c r="O1430">
        <f t="shared" si="1093"/>
        <v>0.1</v>
      </c>
      <c r="P1430">
        <v>0</v>
      </c>
      <c r="Q1430">
        <v>0</v>
      </c>
      <c r="R1430">
        <v>19.600000000000001</v>
      </c>
      <c r="S1430">
        <f t="shared" si="1094"/>
        <v>19.600000000000001</v>
      </c>
      <c r="T1430">
        <v>2.9</v>
      </c>
      <c r="U1430">
        <v>0</v>
      </c>
      <c r="V1430">
        <v>0</v>
      </c>
      <c r="W1430">
        <v>0</v>
      </c>
      <c r="X1430">
        <v>0.2</v>
      </c>
      <c r="Y1430">
        <v>0.4</v>
      </c>
      <c r="Z1430">
        <v>4.7</v>
      </c>
      <c r="AA1430">
        <f t="shared" si="1095"/>
        <v>8.1999999999999993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0.5</v>
      </c>
      <c r="AI1430">
        <v>0.2</v>
      </c>
      <c r="AJ1430" s="5">
        <f t="shared" si="1096"/>
        <v>0.7</v>
      </c>
      <c r="AK1430">
        <v>0.6</v>
      </c>
      <c r="AL1430">
        <v>0.63800000000000001</v>
      </c>
      <c r="AM1430">
        <f t="shared" si="1078"/>
        <v>0.35700000000000004</v>
      </c>
      <c r="AN1430">
        <v>5124</v>
      </c>
      <c r="AO1430">
        <v>3353</v>
      </c>
      <c r="AP1430" s="3">
        <f t="shared" si="1080"/>
        <v>7968.8958009331254</v>
      </c>
      <c r="AQ1430" s="3">
        <f t="shared" si="1092"/>
        <v>5214.6189735614307</v>
      </c>
      <c r="AR1430">
        <f t="shared" si="1077"/>
        <v>1.9607843137254898E-2</v>
      </c>
      <c r="AS1430">
        <f t="shared" si="1089"/>
        <v>0.35</v>
      </c>
      <c r="AT1430">
        <f t="shared" si="1090"/>
        <v>2789</v>
      </c>
      <c r="AU1430">
        <f t="shared" si="1091"/>
        <v>56</v>
      </c>
      <c r="AV1430">
        <f t="shared" si="1083"/>
        <v>2506</v>
      </c>
      <c r="AW1430">
        <f t="shared" si="1084"/>
        <v>59</v>
      </c>
      <c r="AX1430" s="3">
        <f t="shared" si="1085"/>
        <v>5403.8958009331254</v>
      </c>
      <c r="AY1430">
        <f t="shared" si="1086"/>
        <v>1395</v>
      </c>
      <c r="AZ1430">
        <f t="shared" si="1087"/>
        <v>71</v>
      </c>
      <c r="BA1430" s="3">
        <f t="shared" si="1088"/>
        <v>6502.8958009331254</v>
      </c>
    </row>
    <row r="1431" spans="1:53" x14ac:dyDescent="0.2">
      <c r="A1431">
        <v>2013</v>
      </c>
      <c r="B1431" t="s">
        <v>121</v>
      </c>
      <c r="C1431" t="s">
        <v>63</v>
      </c>
      <c r="D1431">
        <v>0.4</v>
      </c>
      <c r="E1431">
        <v>0</v>
      </c>
      <c r="F1431">
        <v>1.9</v>
      </c>
      <c r="G1431">
        <v>0</v>
      </c>
      <c r="H1431">
        <v>0</v>
      </c>
      <c r="I1431">
        <v>6.8</v>
      </c>
      <c r="J1431">
        <v>6.4</v>
      </c>
      <c r="K1431">
        <f t="shared" si="1079"/>
        <v>15.5</v>
      </c>
      <c r="L1431">
        <v>0</v>
      </c>
      <c r="M1431">
        <v>0</v>
      </c>
      <c r="N1431">
        <v>0</v>
      </c>
      <c r="O1431">
        <f t="shared" si="1093"/>
        <v>0</v>
      </c>
      <c r="P1431">
        <v>0</v>
      </c>
      <c r="Q1431">
        <v>0</v>
      </c>
      <c r="R1431">
        <v>10.8</v>
      </c>
      <c r="S1431">
        <f t="shared" si="1094"/>
        <v>10.8</v>
      </c>
      <c r="T1431">
        <v>1.8</v>
      </c>
      <c r="U1431">
        <v>0.5</v>
      </c>
      <c r="V1431">
        <v>0</v>
      </c>
      <c r="W1431">
        <v>0</v>
      </c>
      <c r="X1431">
        <v>0</v>
      </c>
      <c r="Y1431">
        <v>0.7</v>
      </c>
      <c r="Z1431">
        <v>4.2</v>
      </c>
      <c r="AA1431">
        <f t="shared" si="1095"/>
        <v>7.2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 s="5">
        <f t="shared" si="1096"/>
        <v>0</v>
      </c>
      <c r="AK1431">
        <v>1.1000000000000001</v>
      </c>
      <c r="AL1431">
        <v>0.65500000000000003</v>
      </c>
      <c r="AM1431">
        <f t="shared" si="1078"/>
        <v>0.33500000000000002</v>
      </c>
      <c r="AN1431">
        <v>3244</v>
      </c>
      <c r="AO1431">
        <v>2630</v>
      </c>
      <c r="AP1431" s="3">
        <f t="shared" si="1080"/>
        <v>4878.1954887218044</v>
      </c>
      <c r="AQ1431" s="3">
        <f t="shared" si="1092"/>
        <v>3954.8872180451126</v>
      </c>
      <c r="AR1431">
        <f t="shared" si="1077"/>
        <v>0</v>
      </c>
      <c r="AS1431">
        <f t="shared" si="1089"/>
        <v>0.33500000000000002</v>
      </c>
      <c r="AT1431">
        <f t="shared" si="1090"/>
        <v>1634</v>
      </c>
      <c r="AU1431">
        <f t="shared" si="1091"/>
        <v>0</v>
      </c>
      <c r="AV1431">
        <f t="shared" si="1083"/>
        <v>1256</v>
      </c>
      <c r="AW1431">
        <f t="shared" si="1084"/>
        <v>0</v>
      </c>
      <c r="AX1431" s="3">
        <f t="shared" si="1085"/>
        <v>3622.1954887218044</v>
      </c>
      <c r="AY1431">
        <f t="shared" si="1086"/>
        <v>817</v>
      </c>
      <c r="AZ1431">
        <f t="shared" si="1087"/>
        <v>0</v>
      </c>
      <c r="BA1431" s="3">
        <f t="shared" si="1088"/>
        <v>4061.1954887218044</v>
      </c>
    </row>
    <row r="1432" spans="1:53" x14ac:dyDescent="0.2">
      <c r="A1432">
        <v>2014</v>
      </c>
      <c r="B1432" t="s">
        <v>121</v>
      </c>
      <c r="C1432" t="s">
        <v>63</v>
      </c>
      <c r="D1432">
        <v>1.4</v>
      </c>
      <c r="E1432">
        <v>0</v>
      </c>
      <c r="F1432">
        <v>0</v>
      </c>
      <c r="G1432">
        <v>0</v>
      </c>
      <c r="H1432">
        <v>0</v>
      </c>
      <c r="I1432">
        <v>1.6</v>
      </c>
      <c r="J1432">
        <v>1.8</v>
      </c>
      <c r="K1432">
        <f t="shared" si="1079"/>
        <v>4.8</v>
      </c>
      <c r="L1432">
        <v>0.1</v>
      </c>
      <c r="M1432">
        <v>0</v>
      </c>
      <c r="N1432">
        <v>0.2</v>
      </c>
      <c r="O1432">
        <f t="shared" si="1093"/>
        <v>0.30000000000000004</v>
      </c>
      <c r="P1432">
        <v>0.1</v>
      </c>
      <c r="Q1432">
        <v>0</v>
      </c>
      <c r="R1432">
        <v>16.3</v>
      </c>
      <c r="S1432">
        <f t="shared" si="1094"/>
        <v>16.400000000000002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8.1</v>
      </c>
      <c r="AA1432">
        <f t="shared" si="1095"/>
        <v>8.1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 s="5">
        <f t="shared" si="1096"/>
        <v>0</v>
      </c>
      <c r="AK1432">
        <v>0.6</v>
      </c>
      <c r="AL1432">
        <v>0.69799999999999995</v>
      </c>
      <c r="AM1432">
        <f t="shared" si="1078"/>
        <v>0.29600000000000004</v>
      </c>
      <c r="AN1432">
        <v>3901</v>
      </c>
      <c r="AO1432">
        <v>2352</v>
      </c>
      <c r="AP1432" s="3">
        <f t="shared" si="1080"/>
        <v>5541.193181818182</v>
      </c>
      <c r="AQ1432" s="3">
        <f t="shared" si="1092"/>
        <v>3340.909090909091</v>
      </c>
      <c r="AR1432">
        <f t="shared" si="1077"/>
        <v>0</v>
      </c>
      <c r="AS1432">
        <f t="shared" si="1089"/>
        <v>0.29600000000000004</v>
      </c>
      <c r="AT1432">
        <f t="shared" si="1090"/>
        <v>1640</v>
      </c>
      <c r="AU1432">
        <f t="shared" si="1091"/>
        <v>0</v>
      </c>
      <c r="AV1432">
        <f t="shared" si="1083"/>
        <v>1507</v>
      </c>
      <c r="AW1432">
        <f t="shared" si="1084"/>
        <v>0</v>
      </c>
      <c r="AX1432" s="3">
        <f t="shared" si="1085"/>
        <v>4034.193181818182</v>
      </c>
      <c r="AY1432">
        <f t="shared" si="1086"/>
        <v>820</v>
      </c>
      <c r="AZ1432">
        <f t="shared" si="1087"/>
        <v>0</v>
      </c>
      <c r="BA1432" s="3">
        <f t="shared" si="1088"/>
        <v>4721.193181818182</v>
      </c>
    </row>
    <row r="1433" spans="1:53" x14ac:dyDescent="0.2">
      <c r="A1433">
        <v>2015</v>
      </c>
      <c r="B1433" t="s">
        <v>121</v>
      </c>
      <c r="C1433" t="s">
        <v>63</v>
      </c>
      <c r="D1433">
        <v>0.8</v>
      </c>
      <c r="E1433">
        <v>1</v>
      </c>
      <c r="F1433">
        <v>0</v>
      </c>
      <c r="G1433">
        <v>0</v>
      </c>
      <c r="H1433">
        <v>0</v>
      </c>
      <c r="I1433">
        <v>1.5</v>
      </c>
      <c r="J1433">
        <v>3.8</v>
      </c>
      <c r="K1433">
        <f t="shared" si="1079"/>
        <v>7.1</v>
      </c>
      <c r="L1433">
        <v>0</v>
      </c>
      <c r="M1433">
        <v>0</v>
      </c>
      <c r="N1433">
        <v>0.7</v>
      </c>
      <c r="O1433">
        <f t="shared" si="1093"/>
        <v>0.7</v>
      </c>
      <c r="P1433">
        <v>0.1</v>
      </c>
      <c r="Q1433">
        <v>0</v>
      </c>
      <c r="R1433">
        <v>6.1</v>
      </c>
      <c r="S1433">
        <f t="shared" si="1094"/>
        <v>6.1999999999999993</v>
      </c>
      <c r="T1433">
        <v>3.8</v>
      </c>
      <c r="U1433">
        <v>0.8</v>
      </c>
      <c r="V1433">
        <v>0</v>
      </c>
      <c r="W1433">
        <v>0</v>
      </c>
      <c r="X1433">
        <v>0.4</v>
      </c>
      <c r="Y1433">
        <v>1.7</v>
      </c>
      <c r="Z1433">
        <v>10.8</v>
      </c>
      <c r="AA1433">
        <f t="shared" si="1095"/>
        <v>17.5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 s="5">
        <f t="shared" si="1096"/>
        <v>0</v>
      </c>
      <c r="AK1433">
        <v>0.2</v>
      </c>
      <c r="AL1433">
        <v>0.68099999999999994</v>
      </c>
      <c r="AM1433">
        <f t="shared" si="1078"/>
        <v>0.31500000000000006</v>
      </c>
      <c r="AN1433">
        <v>3863</v>
      </c>
      <c r="AO1433">
        <v>2279</v>
      </c>
      <c r="AP1433" s="3">
        <f t="shared" si="1080"/>
        <v>5639.4160583941612</v>
      </c>
      <c r="AQ1433" s="3">
        <f t="shared" si="1092"/>
        <v>3327.0072992700734</v>
      </c>
      <c r="AR1433">
        <f t="shared" si="1077"/>
        <v>0</v>
      </c>
      <c r="AS1433">
        <f t="shared" si="1089"/>
        <v>0.315</v>
      </c>
      <c r="AT1433">
        <f t="shared" si="1090"/>
        <v>1776</v>
      </c>
      <c r="AU1433">
        <f t="shared" si="1091"/>
        <v>0</v>
      </c>
      <c r="AV1433">
        <f t="shared" si="1083"/>
        <v>1576</v>
      </c>
      <c r="AW1433">
        <f t="shared" si="1084"/>
        <v>0</v>
      </c>
      <c r="AX1433" s="3">
        <f t="shared" si="1085"/>
        <v>4063.4160583941612</v>
      </c>
      <c r="AY1433">
        <f t="shared" si="1086"/>
        <v>888</v>
      </c>
      <c r="AZ1433">
        <f t="shared" si="1087"/>
        <v>0</v>
      </c>
      <c r="BA1433" s="3">
        <f t="shared" si="1088"/>
        <v>4751.4160583941612</v>
      </c>
    </row>
    <row r="1434" spans="1:53" x14ac:dyDescent="0.2">
      <c r="A1434">
        <v>2016</v>
      </c>
      <c r="B1434" t="s">
        <v>121</v>
      </c>
      <c r="C1434" t="s">
        <v>63</v>
      </c>
      <c r="D1434">
        <v>0.7</v>
      </c>
      <c r="E1434">
        <v>1.7</v>
      </c>
      <c r="F1434">
        <v>0</v>
      </c>
      <c r="G1434">
        <v>0.3</v>
      </c>
      <c r="H1434">
        <v>0</v>
      </c>
      <c r="I1434">
        <v>2.7</v>
      </c>
      <c r="J1434">
        <v>1.8</v>
      </c>
      <c r="K1434">
        <f t="shared" si="1079"/>
        <v>7.2</v>
      </c>
      <c r="L1434">
        <v>0</v>
      </c>
      <c r="M1434">
        <v>0</v>
      </c>
      <c r="N1434">
        <v>0.9</v>
      </c>
      <c r="O1434">
        <f t="shared" si="1093"/>
        <v>0.9</v>
      </c>
      <c r="P1434">
        <v>0</v>
      </c>
      <c r="Q1434">
        <v>0</v>
      </c>
      <c r="R1434">
        <v>15.1</v>
      </c>
      <c r="S1434">
        <f t="shared" si="1094"/>
        <v>15.1</v>
      </c>
      <c r="T1434">
        <v>1.4</v>
      </c>
      <c r="U1434">
        <v>0.2</v>
      </c>
      <c r="V1434">
        <v>0.2</v>
      </c>
      <c r="W1434">
        <v>0</v>
      </c>
      <c r="X1434">
        <v>0</v>
      </c>
      <c r="Y1434">
        <v>0.1</v>
      </c>
      <c r="Z1434">
        <v>4.9000000000000004</v>
      </c>
      <c r="AA1434">
        <f t="shared" si="1095"/>
        <v>6.8000000000000007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0.5</v>
      </c>
      <c r="AI1434">
        <v>0</v>
      </c>
      <c r="AJ1434" s="5">
        <f t="shared" si="1096"/>
        <v>0.5</v>
      </c>
      <c r="AK1434">
        <v>0</v>
      </c>
      <c r="AL1434">
        <v>0.69400000000000006</v>
      </c>
      <c r="AM1434">
        <f t="shared" si="1078"/>
        <v>0.30499999999999994</v>
      </c>
      <c r="AN1434">
        <v>5153</v>
      </c>
      <c r="AO1434">
        <v>3376</v>
      </c>
      <c r="AP1434" s="3">
        <f t="shared" si="1080"/>
        <v>7414.3884892086326</v>
      </c>
      <c r="AQ1434" s="3">
        <f t="shared" si="1092"/>
        <v>4857.5539568345321</v>
      </c>
      <c r="AR1434">
        <f t="shared" si="1077"/>
        <v>1.6393442622950824E-2</v>
      </c>
      <c r="AS1434">
        <f t="shared" si="1089"/>
        <v>0.3</v>
      </c>
      <c r="AT1434">
        <f t="shared" si="1090"/>
        <v>2224</v>
      </c>
      <c r="AU1434">
        <f t="shared" si="1091"/>
        <v>37</v>
      </c>
      <c r="AV1434">
        <f t="shared" si="1083"/>
        <v>1957</v>
      </c>
      <c r="AW1434">
        <f t="shared" si="1084"/>
        <v>39</v>
      </c>
      <c r="AX1434" s="3">
        <f t="shared" si="1085"/>
        <v>5418.3884892086326</v>
      </c>
      <c r="AY1434">
        <f t="shared" si="1086"/>
        <v>1112</v>
      </c>
      <c r="AZ1434">
        <f t="shared" si="1087"/>
        <v>45</v>
      </c>
      <c r="BA1434" s="3">
        <f t="shared" si="1088"/>
        <v>6257.3884892086326</v>
      </c>
    </row>
    <row r="1435" spans="1:53" x14ac:dyDescent="0.2">
      <c r="A1435">
        <v>2017</v>
      </c>
      <c r="B1435" t="s">
        <v>121</v>
      </c>
      <c r="C1435" t="s">
        <v>63</v>
      </c>
      <c r="D1435">
        <v>1.3</v>
      </c>
      <c r="E1435">
        <v>0</v>
      </c>
      <c r="F1435">
        <v>0</v>
      </c>
      <c r="G1435">
        <v>0.3</v>
      </c>
      <c r="H1435">
        <v>0</v>
      </c>
      <c r="I1435">
        <v>5</v>
      </c>
      <c r="J1435">
        <v>1.1000000000000001</v>
      </c>
      <c r="K1435">
        <f t="shared" si="1079"/>
        <v>7.6999999999999993</v>
      </c>
      <c r="L1435">
        <v>0</v>
      </c>
      <c r="M1435">
        <v>0</v>
      </c>
      <c r="N1435">
        <v>1.8</v>
      </c>
      <c r="O1435">
        <f t="shared" si="1093"/>
        <v>1.8</v>
      </c>
      <c r="P1435">
        <v>0</v>
      </c>
      <c r="Q1435">
        <v>0</v>
      </c>
      <c r="R1435">
        <v>9.4</v>
      </c>
      <c r="S1435">
        <f t="shared" si="1094"/>
        <v>9.4</v>
      </c>
      <c r="T1435">
        <v>0.6</v>
      </c>
      <c r="U1435">
        <v>0.6</v>
      </c>
      <c r="V1435">
        <v>0</v>
      </c>
      <c r="W1435">
        <v>0</v>
      </c>
      <c r="X1435">
        <v>0</v>
      </c>
      <c r="Y1435">
        <v>0.3</v>
      </c>
      <c r="Z1435">
        <v>3.8</v>
      </c>
      <c r="AA1435">
        <f t="shared" si="1095"/>
        <v>5.3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 s="5">
        <f t="shared" si="1096"/>
        <v>0</v>
      </c>
      <c r="AK1435">
        <v>0</v>
      </c>
      <c r="AL1435">
        <v>0.75900000000000001</v>
      </c>
      <c r="AM1435">
        <f t="shared" si="1078"/>
        <v>0.24200000000000002</v>
      </c>
      <c r="AN1435">
        <v>6119</v>
      </c>
      <c r="AO1435">
        <v>4192</v>
      </c>
      <c r="AP1435" s="3">
        <f t="shared" si="1080"/>
        <v>8072.5593667546173</v>
      </c>
      <c r="AQ1435" s="3">
        <f t="shared" si="1092"/>
        <v>5530.3430079155669</v>
      </c>
      <c r="AR1435">
        <f t="shared" si="1077"/>
        <v>0</v>
      </c>
      <c r="AS1435">
        <f t="shared" si="1089"/>
        <v>0.24199999999999999</v>
      </c>
      <c r="AT1435">
        <f t="shared" si="1090"/>
        <v>1954</v>
      </c>
      <c r="AU1435">
        <f t="shared" si="1091"/>
        <v>0</v>
      </c>
      <c r="AV1435">
        <f t="shared" si="1083"/>
        <v>1643</v>
      </c>
      <c r="AW1435">
        <f t="shared" si="1084"/>
        <v>0</v>
      </c>
      <c r="AX1435" s="3">
        <f t="shared" si="1085"/>
        <v>6429.5593667546173</v>
      </c>
      <c r="AY1435">
        <f t="shared" si="1086"/>
        <v>977</v>
      </c>
      <c r="AZ1435">
        <f t="shared" si="1087"/>
        <v>0</v>
      </c>
      <c r="BA1435" s="3">
        <f t="shared" si="1088"/>
        <v>7095.5593667546173</v>
      </c>
    </row>
    <row r="1436" spans="1:53" x14ac:dyDescent="0.2">
      <c r="A1436">
        <v>2018</v>
      </c>
      <c r="B1436" t="s">
        <v>121</v>
      </c>
      <c r="C1436" t="s">
        <v>63</v>
      </c>
      <c r="D1436">
        <v>0.3</v>
      </c>
      <c r="E1436">
        <v>0.2</v>
      </c>
      <c r="F1436">
        <v>0</v>
      </c>
      <c r="G1436">
        <v>0</v>
      </c>
      <c r="H1436">
        <v>0</v>
      </c>
      <c r="I1436">
        <v>1.4</v>
      </c>
      <c r="J1436">
        <v>1</v>
      </c>
      <c r="K1436">
        <f t="shared" si="1079"/>
        <v>2.9</v>
      </c>
      <c r="L1436">
        <v>0</v>
      </c>
      <c r="M1436">
        <v>0</v>
      </c>
      <c r="N1436">
        <v>0</v>
      </c>
      <c r="O1436">
        <f t="shared" si="1093"/>
        <v>0</v>
      </c>
      <c r="P1436">
        <v>0</v>
      </c>
      <c r="Q1436">
        <v>0</v>
      </c>
      <c r="R1436">
        <v>17.2</v>
      </c>
      <c r="S1436">
        <f t="shared" si="1094"/>
        <v>17.2</v>
      </c>
      <c r="T1436">
        <v>1.1000000000000001</v>
      </c>
      <c r="U1436">
        <v>0</v>
      </c>
      <c r="V1436">
        <v>0</v>
      </c>
      <c r="W1436">
        <v>0</v>
      </c>
      <c r="X1436">
        <v>0</v>
      </c>
      <c r="Y1436">
        <v>0.4</v>
      </c>
      <c r="Z1436">
        <v>3.9</v>
      </c>
      <c r="AA1436">
        <f t="shared" si="1095"/>
        <v>5.4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 s="5">
        <f t="shared" si="1096"/>
        <v>0</v>
      </c>
      <c r="AK1436">
        <v>0</v>
      </c>
      <c r="AL1436">
        <v>0.74400000000000011</v>
      </c>
      <c r="AM1436">
        <f t="shared" si="1078"/>
        <v>0.255</v>
      </c>
      <c r="AN1436">
        <v>4210</v>
      </c>
      <c r="AO1436">
        <v>3082</v>
      </c>
      <c r="AP1436" s="3">
        <f t="shared" si="1080"/>
        <v>5651.0067114093963</v>
      </c>
      <c r="AQ1436" s="3">
        <f t="shared" si="1092"/>
        <v>4136.9127516778526</v>
      </c>
      <c r="AR1436">
        <f t="shared" si="1077"/>
        <v>0</v>
      </c>
      <c r="AS1436">
        <f t="shared" si="1089"/>
        <v>0.255</v>
      </c>
      <c r="AT1436">
        <f t="shared" si="1090"/>
        <v>1441</v>
      </c>
      <c r="AU1436">
        <f t="shared" si="1091"/>
        <v>0</v>
      </c>
      <c r="AV1436">
        <f t="shared" si="1083"/>
        <v>1359</v>
      </c>
      <c r="AW1436">
        <f t="shared" si="1084"/>
        <v>0</v>
      </c>
      <c r="AX1436" s="3">
        <f t="shared" si="1085"/>
        <v>4292.0067114093963</v>
      </c>
      <c r="AY1436">
        <f t="shared" si="1086"/>
        <v>721</v>
      </c>
      <c r="AZ1436">
        <f t="shared" si="1087"/>
        <v>0</v>
      </c>
      <c r="BA1436" s="3">
        <f t="shared" si="1088"/>
        <v>4930.0067114093963</v>
      </c>
    </row>
    <row r="1437" spans="1:53" x14ac:dyDescent="0.2">
      <c r="A1437">
        <v>2019</v>
      </c>
      <c r="B1437" t="s">
        <v>121</v>
      </c>
      <c r="C1437" t="s">
        <v>63</v>
      </c>
      <c r="D1437">
        <v>0.1</v>
      </c>
      <c r="E1437">
        <v>0.7</v>
      </c>
      <c r="F1437">
        <v>0</v>
      </c>
      <c r="G1437">
        <v>0</v>
      </c>
      <c r="H1437">
        <v>0</v>
      </c>
      <c r="I1437">
        <v>0.2</v>
      </c>
      <c r="J1437">
        <v>1.7</v>
      </c>
      <c r="K1437">
        <f t="shared" si="1079"/>
        <v>2.7</v>
      </c>
      <c r="L1437">
        <v>0</v>
      </c>
      <c r="M1437">
        <v>0</v>
      </c>
      <c r="N1437">
        <v>0.7</v>
      </c>
      <c r="O1437">
        <f t="shared" si="1093"/>
        <v>0.7</v>
      </c>
      <c r="P1437">
        <v>0</v>
      </c>
      <c r="Q1437">
        <v>0</v>
      </c>
      <c r="R1437">
        <v>10.5</v>
      </c>
      <c r="S1437">
        <f t="shared" si="1094"/>
        <v>10.5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3.2</v>
      </c>
      <c r="AA1437">
        <f t="shared" si="1095"/>
        <v>3.2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0.3</v>
      </c>
      <c r="AI1437">
        <v>0</v>
      </c>
      <c r="AJ1437" s="5">
        <f t="shared" si="1096"/>
        <v>0.3</v>
      </c>
      <c r="AK1437">
        <v>4.0999999999999996</v>
      </c>
      <c r="AL1437">
        <v>0.78299999999999992</v>
      </c>
      <c r="AM1437">
        <f t="shared" si="1078"/>
        <v>0.17399999999999999</v>
      </c>
      <c r="AN1437">
        <v>1642</v>
      </c>
      <c r="AO1437">
        <v>1012</v>
      </c>
      <c r="AP1437" s="3">
        <f t="shared" si="1080"/>
        <v>1987.8934624697335</v>
      </c>
      <c r="AQ1437" s="3">
        <f t="shared" si="1092"/>
        <v>1225.181598062954</v>
      </c>
      <c r="AR1437">
        <f t="shared" si="1077"/>
        <v>1.7241379310344831E-2</v>
      </c>
      <c r="AS1437">
        <f t="shared" si="1089"/>
        <v>0.17100000000000001</v>
      </c>
      <c r="AT1437">
        <f t="shared" si="1090"/>
        <v>340</v>
      </c>
      <c r="AU1437">
        <f t="shared" si="1091"/>
        <v>6</v>
      </c>
      <c r="AV1437">
        <f t="shared" si="1083"/>
        <v>313</v>
      </c>
      <c r="AW1437">
        <f t="shared" si="1084"/>
        <v>6</v>
      </c>
      <c r="AX1437" s="3">
        <f t="shared" si="1085"/>
        <v>1668.8934624697335</v>
      </c>
      <c r="AY1437">
        <f t="shared" si="1086"/>
        <v>170</v>
      </c>
      <c r="AZ1437">
        <f t="shared" si="1087"/>
        <v>7</v>
      </c>
      <c r="BA1437" s="3">
        <f t="shared" si="1088"/>
        <v>1810.8934624697335</v>
      </c>
    </row>
    <row r="1438" spans="1:53" x14ac:dyDescent="0.2">
      <c r="A1438">
        <v>2020</v>
      </c>
      <c r="B1438" t="s">
        <v>121</v>
      </c>
      <c r="C1438" t="s">
        <v>63</v>
      </c>
      <c r="D1438">
        <v>2.4</v>
      </c>
      <c r="E1438">
        <v>0.2</v>
      </c>
      <c r="F1438">
        <v>0</v>
      </c>
      <c r="G1438">
        <v>0</v>
      </c>
      <c r="H1438">
        <v>0</v>
      </c>
      <c r="I1438">
        <v>0.5</v>
      </c>
      <c r="J1438">
        <v>0.6</v>
      </c>
      <c r="K1438">
        <f t="shared" si="1079"/>
        <v>3.7</v>
      </c>
      <c r="L1438">
        <v>0</v>
      </c>
      <c r="M1438">
        <v>0</v>
      </c>
      <c r="N1438">
        <v>0.1</v>
      </c>
      <c r="O1438">
        <f t="shared" si="1093"/>
        <v>0.1</v>
      </c>
      <c r="P1438">
        <v>0</v>
      </c>
      <c r="Q1438">
        <v>0</v>
      </c>
      <c r="R1438">
        <v>9.3000000000000007</v>
      </c>
      <c r="S1438">
        <f t="shared" si="1094"/>
        <v>9.3000000000000007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2.2999999999999998</v>
      </c>
      <c r="Z1438">
        <v>3.4</v>
      </c>
      <c r="AA1438">
        <f t="shared" si="1095"/>
        <v>5.6999999999999993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 s="5">
        <f t="shared" si="1096"/>
        <v>0</v>
      </c>
      <c r="AK1438">
        <v>1.5</v>
      </c>
      <c r="AL1438">
        <v>0.79700000000000004</v>
      </c>
      <c r="AM1438">
        <f t="shared" si="1078"/>
        <v>0.188</v>
      </c>
      <c r="AN1438">
        <v>3933</v>
      </c>
      <c r="AO1438">
        <v>2779</v>
      </c>
      <c r="AP1438" s="3">
        <f t="shared" si="1080"/>
        <v>4843.5960591132998</v>
      </c>
      <c r="AQ1438" s="3">
        <f t="shared" si="1092"/>
        <v>3422.4137931034479</v>
      </c>
      <c r="AR1438">
        <f t="shared" si="1077"/>
        <v>0</v>
      </c>
      <c r="AS1438">
        <f t="shared" si="1089"/>
        <v>0.188</v>
      </c>
      <c r="AT1438">
        <f t="shared" si="1090"/>
        <v>911</v>
      </c>
      <c r="AU1438">
        <f t="shared" si="1091"/>
        <v>0</v>
      </c>
      <c r="AV1438">
        <f t="shared" si="1083"/>
        <v>821</v>
      </c>
      <c r="AW1438">
        <f t="shared" si="1084"/>
        <v>0</v>
      </c>
      <c r="AX1438" s="3">
        <f t="shared" si="1085"/>
        <v>4022.5960591132998</v>
      </c>
      <c r="AY1438">
        <f t="shared" si="1086"/>
        <v>455</v>
      </c>
      <c r="AZ1438">
        <f t="shared" si="1087"/>
        <v>0</v>
      </c>
      <c r="BA1438" s="3">
        <f t="shared" si="1088"/>
        <v>4388.5960591132998</v>
      </c>
    </row>
    <row r="1439" spans="1:53" x14ac:dyDescent="0.2">
      <c r="A1439">
        <v>2021</v>
      </c>
      <c r="B1439" t="s">
        <v>121</v>
      </c>
      <c r="C1439" t="s">
        <v>63</v>
      </c>
      <c r="D1439">
        <v>0</v>
      </c>
      <c r="E1439">
        <v>3.2</v>
      </c>
      <c r="F1439">
        <v>0</v>
      </c>
      <c r="G1439">
        <v>0</v>
      </c>
      <c r="H1439">
        <v>0</v>
      </c>
      <c r="I1439">
        <v>2</v>
      </c>
      <c r="J1439">
        <v>7</v>
      </c>
      <c r="K1439">
        <f t="shared" si="1079"/>
        <v>12.2</v>
      </c>
      <c r="L1439">
        <v>0</v>
      </c>
      <c r="M1439">
        <v>0</v>
      </c>
      <c r="N1439">
        <v>0.3</v>
      </c>
      <c r="O1439">
        <f t="shared" si="1093"/>
        <v>0.3</v>
      </c>
      <c r="P1439">
        <v>0</v>
      </c>
      <c r="Q1439">
        <v>0</v>
      </c>
      <c r="R1439">
        <v>15.2</v>
      </c>
      <c r="S1439">
        <f t="shared" si="1094"/>
        <v>15.2</v>
      </c>
      <c r="T1439">
        <v>1.2</v>
      </c>
      <c r="U1439">
        <v>0</v>
      </c>
      <c r="V1439">
        <v>0</v>
      </c>
      <c r="W1439">
        <v>0</v>
      </c>
      <c r="X1439">
        <v>0</v>
      </c>
      <c r="Y1439">
        <v>0.7</v>
      </c>
      <c r="Z1439">
        <v>13.1</v>
      </c>
      <c r="AA1439">
        <f t="shared" si="1095"/>
        <v>15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0.3</v>
      </c>
      <c r="AJ1439" s="5">
        <f t="shared" si="1096"/>
        <v>0.3</v>
      </c>
      <c r="AK1439">
        <v>1.7</v>
      </c>
      <c r="AL1439">
        <v>0.55299999999999994</v>
      </c>
      <c r="AM1439">
        <f t="shared" si="1078"/>
        <v>0.43</v>
      </c>
      <c r="AN1439">
        <v>2999</v>
      </c>
      <c r="AO1439">
        <v>2025</v>
      </c>
      <c r="AP1439" s="3">
        <f t="shared" si="1080"/>
        <v>5261.4035087719294</v>
      </c>
      <c r="AQ1439" s="3">
        <f t="shared" si="1092"/>
        <v>3552.6315789473679</v>
      </c>
      <c r="AR1439">
        <f t="shared" si="1077"/>
        <v>6.9767441860465115E-3</v>
      </c>
      <c r="AS1439">
        <f t="shared" si="1089"/>
        <v>0.42700000000000005</v>
      </c>
      <c r="AT1439">
        <f t="shared" si="1090"/>
        <v>2247</v>
      </c>
      <c r="AU1439">
        <f t="shared" si="1091"/>
        <v>16</v>
      </c>
      <c r="AV1439">
        <f t="shared" si="1083"/>
        <v>1926</v>
      </c>
      <c r="AW1439">
        <f t="shared" si="1084"/>
        <v>18</v>
      </c>
      <c r="AX1439" s="3">
        <f t="shared" si="1085"/>
        <v>3317.4035087719294</v>
      </c>
      <c r="AY1439">
        <f t="shared" si="1086"/>
        <v>1123</v>
      </c>
      <c r="AZ1439">
        <f t="shared" si="1087"/>
        <v>22</v>
      </c>
      <c r="BA1439" s="3">
        <f t="shared" si="1088"/>
        <v>4116.4035087719294</v>
      </c>
    </row>
    <row r="1440" spans="1:53" x14ac:dyDescent="0.2">
      <c r="A1440">
        <v>2022</v>
      </c>
      <c r="B1440" t="s">
        <v>121</v>
      </c>
      <c r="C1440" t="s">
        <v>63</v>
      </c>
      <c r="D1440">
        <v>0.6</v>
      </c>
      <c r="E1440">
        <v>0.5</v>
      </c>
      <c r="F1440">
        <v>0</v>
      </c>
      <c r="G1440">
        <v>0.2</v>
      </c>
      <c r="H1440">
        <v>0</v>
      </c>
      <c r="I1440">
        <v>2.7</v>
      </c>
      <c r="J1440">
        <v>4.0999999999999996</v>
      </c>
      <c r="K1440">
        <f t="shared" si="1079"/>
        <v>8.1</v>
      </c>
      <c r="L1440">
        <v>0</v>
      </c>
      <c r="M1440">
        <v>0</v>
      </c>
      <c r="N1440">
        <v>0.9</v>
      </c>
      <c r="O1440">
        <f t="shared" si="1093"/>
        <v>0.9</v>
      </c>
      <c r="P1440">
        <v>0</v>
      </c>
      <c r="Q1440">
        <v>0</v>
      </c>
      <c r="R1440">
        <v>11.2</v>
      </c>
      <c r="S1440">
        <f t="shared" si="1094"/>
        <v>11.2</v>
      </c>
      <c r="T1440">
        <v>1.5</v>
      </c>
      <c r="U1440">
        <v>0.6</v>
      </c>
      <c r="V1440">
        <v>0</v>
      </c>
      <c r="W1440">
        <v>0</v>
      </c>
      <c r="X1440">
        <v>0</v>
      </c>
      <c r="Y1440">
        <v>0.5</v>
      </c>
      <c r="Z1440">
        <v>3.9</v>
      </c>
      <c r="AA1440">
        <f t="shared" si="1095"/>
        <v>6.5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0.2</v>
      </c>
      <c r="AI1440">
        <v>2.2999999999999998</v>
      </c>
      <c r="AJ1440" s="5">
        <f t="shared" si="1096"/>
        <v>2.5</v>
      </c>
      <c r="AK1440">
        <v>0.1</v>
      </c>
      <c r="AL1440">
        <v>0.70900000000000007</v>
      </c>
      <c r="AM1440">
        <f t="shared" si="1078"/>
        <v>0.29199999999999998</v>
      </c>
      <c r="AN1440">
        <v>5635</v>
      </c>
      <c r="AO1440">
        <v>3640</v>
      </c>
      <c r="AP1440" s="3">
        <f t="shared" si="1080"/>
        <v>7959.0395480225989</v>
      </c>
      <c r="AQ1440" s="3">
        <f t="shared" si="1092"/>
        <v>5141.2429378531078</v>
      </c>
      <c r="AR1440">
        <f t="shared" si="1077"/>
        <v>8.5616438356164393E-2</v>
      </c>
      <c r="AS1440">
        <f t="shared" si="1089"/>
        <v>0.26700000000000002</v>
      </c>
      <c r="AT1440">
        <f t="shared" si="1090"/>
        <v>2125</v>
      </c>
      <c r="AU1440">
        <f t="shared" si="1091"/>
        <v>199</v>
      </c>
      <c r="AV1440">
        <f t="shared" si="1083"/>
        <v>1803</v>
      </c>
      <c r="AW1440">
        <f t="shared" si="1084"/>
        <v>210</v>
      </c>
      <c r="AX1440" s="3">
        <f t="shared" si="1085"/>
        <v>5946.0395480225989</v>
      </c>
      <c r="AY1440">
        <f t="shared" si="1086"/>
        <v>1063</v>
      </c>
      <c r="AZ1440">
        <f t="shared" si="1087"/>
        <v>235</v>
      </c>
      <c r="BA1440" s="3">
        <f t="shared" si="1088"/>
        <v>6661.0395480225989</v>
      </c>
    </row>
    <row r="1441" spans="1:53" x14ac:dyDescent="0.2">
      <c r="A1441">
        <v>2023</v>
      </c>
      <c r="B1441" t="s">
        <v>121</v>
      </c>
      <c r="C1441" t="s">
        <v>63</v>
      </c>
      <c r="D1441" t="s">
        <v>13</v>
      </c>
      <c r="E1441" t="s">
        <v>13</v>
      </c>
      <c r="F1441" t="s">
        <v>13</v>
      </c>
      <c r="G1441" t="s">
        <v>13</v>
      </c>
      <c r="H1441" t="s">
        <v>13</v>
      </c>
      <c r="I1441" t="s">
        <v>13</v>
      </c>
      <c r="J1441" t="s">
        <v>13</v>
      </c>
      <c r="K1441" t="s">
        <v>13</v>
      </c>
      <c r="L1441" t="s">
        <v>13</v>
      </c>
      <c r="M1441" t="s">
        <v>13</v>
      </c>
      <c r="N1441" t="s">
        <v>13</v>
      </c>
      <c r="O1441" t="s">
        <v>13</v>
      </c>
      <c r="P1441" t="s">
        <v>13</v>
      </c>
      <c r="Q1441" t="s">
        <v>13</v>
      </c>
      <c r="R1441" t="s">
        <v>13</v>
      </c>
      <c r="S1441" t="s">
        <v>13</v>
      </c>
      <c r="T1441" t="s">
        <v>13</v>
      </c>
      <c r="U1441" t="s">
        <v>13</v>
      </c>
      <c r="V1441" t="s">
        <v>13</v>
      </c>
      <c r="W1441" t="s">
        <v>13</v>
      </c>
      <c r="X1441" t="s">
        <v>13</v>
      </c>
      <c r="Y1441" t="s">
        <v>13</v>
      </c>
      <c r="Z1441" t="s">
        <v>13</v>
      </c>
      <c r="AA1441" t="s">
        <v>13</v>
      </c>
      <c r="AB1441" t="s">
        <v>13</v>
      </c>
      <c r="AC1441" t="s">
        <v>13</v>
      </c>
      <c r="AD1441" t="s">
        <v>13</v>
      </c>
      <c r="AE1441" t="s">
        <v>13</v>
      </c>
      <c r="AF1441" t="s">
        <v>13</v>
      </c>
      <c r="AG1441" t="s">
        <v>13</v>
      </c>
      <c r="AH1441" t="s">
        <v>13</v>
      </c>
      <c r="AI1441" t="s">
        <v>13</v>
      </c>
      <c r="AJ1441" t="s">
        <v>13</v>
      </c>
      <c r="AK1441" t="s">
        <v>13</v>
      </c>
      <c r="AL1441" t="s">
        <v>13</v>
      </c>
      <c r="AM1441" t="s">
        <v>13</v>
      </c>
      <c r="AN1441">
        <v>2843</v>
      </c>
      <c r="AO1441">
        <v>1561</v>
      </c>
      <c r="AP1441" s="3" t="s">
        <v>13</v>
      </c>
      <c r="AQ1441" s="3" t="s">
        <v>13</v>
      </c>
      <c r="AR1441" s="3" t="s">
        <v>13</v>
      </c>
      <c r="AS1441" s="3" t="s">
        <v>13</v>
      </c>
      <c r="AT1441" s="3" t="s">
        <v>13</v>
      </c>
      <c r="AU1441" s="3" t="s">
        <v>13</v>
      </c>
      <c r="AV1441" s="3" t="s">
        <v>13</v>
      </c>
      <c r="AW1441" s="3" t="s">
        <v>13</v>
      </c>
      <c r="AX1441" s="3" t="s">
        <v>13</v>
      </c>
      <c r="AY1441" s="3" t="s">
        <v>13</v>
      </c>
      <c r="AZ1441" s="3" t="s">
        <v>13</v>
      </c>
      <c r="BA1441" s="3" t="s">
        <v>13</v>
      </c>
    </row>
    <row r="1442" spans="1:53" x14ac:dyDescent="0.2">
      <c r="A1442">
        <v>1998</v>
      </c>
      <c r="B1442" t="s">
        <v>122</v>
      </c>
      <c r="C1442" t="s">
        <v>63</v>
      </c>
      <c r="D1442">
        <v>4.3</v>
      </c>
      <c r="E1442">
        <v>0</v>
      </c>
      <c r="F1442">
        <v>0</v>
      </c>
      <c r="G1442">
        <v>0</v>
      </c>
      <c r="H1442">
        <v>0</v>
      </c>
      <c r="I1442">
        <v>1.7</v>
      </c>
      <c r="J1442">
        <v>3.9</v>
      </c>
      <c r="K1442">
        <f t="shared" si="1079"/>
        <v>9.9</v>
      </c>
      <c r="L1442">
        <v>0</v>
      </c>
      <c r="M1442">
        <v>0</v>
      </c>
      <c r="N1442">
        <v>0</v>
      </c>
      <c r="O1442">
        <f t="shared" si="1093"/>
        <v>0</v>
      </c>
      <c r="P1442">
        <v>0</v>
      </c>
      <c r="Q1442">
        <v>0.1</v>
      </c>
      <c r="R1442">
        <v>6</v>
      </c>
      <c r="S1442">
        <f t="shared" si="1094"/>
        <v>6.1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1.3</v>
      </c>
      <c r="AA1442">
        <f t="shared" si="1095"/>
        <v>1.3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 s="5">
        <f t="shared" si="1096"/>
        <v>0</v>
      </c>
      <c r="AK1442">
        <v>0</v>
      </c>
      <c r="AL1442">
        <v>0.82599999999999996</v>
      </c>
      <c r="AM1442">
        <f t="shared" si="1078"/>
        <v>0.17299999999999996</v>
      </c>
      <c r="AN1442">
        <v>14609</v>
      </c>
      <c r="AO1442" s="3" t="s">
        <v>13</v>
      </c>
      <c r="AP1442" s="3">
        <f t="shared" si="1080"/>
        <v>17665.054413542926</v>
      </c>
      <c r="AQ1442" s="3" t="s">
        <v>13</v>
      </c>
      <c r="AR1442">
        <f t="shared" si="1077"/>
        <v>0</v>
      </c>
      <c r="AS1442">
        <f t="shared" ref="AS1442:AS1466" si="1097">SUM(K1442,O1442,S1442,AA1442)/100</f>
        <v>0.17300000000000001</v>
      </c>
      <c r="AT1442">
        <f t="shared" ref="AT1442:AT1466" si="1098">ROUND(AS1442*AP1442,0)</f>
        <v>3056</v>
      </c>
      <c r="AU1442">
        <f t="shared" ref="AU1442:AU1466" si="1099">ROUND((AJ1442/100)*AP1442,0)</f>
        <v>0</v>
      </c>
      <c r="AV1442">
        <f t="shared" si="1083"/>
        <v>2182</v>
      </c>
      <c r="AW1442">
        <f t="shared" si="1084"/>
        <v>0</v>
      </c>
      <c r="AX1442" s="3">
        <f t="shared" si="1085"/>
        <v>15483.054413542926</v>
      </c>
      <c r="AY1442">
        <f t="shared" si="1086"/>
        <v>1528</v>
      </c>
      <c r="AZ1442">
        <f t="shared" si="1087"/>
        <v>0</v>
      </c>
      <c r="BA1442" s="3">
        <f t="shared" si="1088"/>
        <v>16137.054413542926</v>
      </c>
    </row>
    <row r="1443" spans="1:53" x14ac:dyDescent="0.2">
      <c r="A1443">
        <v>1999</v>
      </c>
      <c r="B1443" t="s">
        <v>122</v>
      </c>
      <c r="C1443" t="s">
        <v>63</v>
      </c>
      <c r="D1443">
        <v>10.8</v>
      </c>
      <c r="E1443">
        <v>0.8</v>
      </c>
      <c r="F1443">
        <v>0</v>
      </c>
      <c r="G1443">
        <v>0</v>
      </c>
      <c r="H1443">
        <v>0</v>
      </c>
      <c r="I1443">
        <v>0</v>
      </c>
      <c r="J1443">
        <v>21.8</v>
      </c>
      <c r="K1443">
        <f t="shared" si="1079"/>
        <v>33.400000000000006</v>
      </c>
      <c r="L1443">
        <v>0</v>
      </c>
      <c r="M1443">
        <v>0</v>
      </c>
      <c r="N1443">
        <v>0</v>
      </c>
      <c r="O1443">
        <f t="shared" si="1093"/>
        <v>0</v>
      </c>
      <c r="P1443">
        <v>0</v>
      </c>
      <c r="Q1443">
        <v>0</v>
      </c>
      <c r="R1443">
        <v>7.7</v>
      </c>
      <c r="S1443">
        <f t="shared" si="1094"/>
        <v>7.7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f t="shared" si="1095"/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1.1000000000000001</v>
      </c>
      <c r="AI1443">
        <v>0</v>
      </c>
      <c r="AJ1443" s="5">
        <f t="shared" si="1096"/>
        <v>1.1000000000000001</v>
      </c>
      <c r="AK1443">
        <v>0</v>
      </c>
      <c r="AL1443">
        <v>0.57799999999999996</v>
      </c>
      <c r="AM1443">
        <f t="shared" si="1078"/>
        <v>0.42200000000000004</v>
      </c>
      <c r="AN1443">
        <v>4924</v>
      </c>
      <c r="AO1443" s="3" t="s">
        <v>13</v>
      </c>
      <c r="AP1443" s="3">
        <f t="shared" si="1080"/>
        <v>8519.0311418685123</v>
      </c>
      <c r="AQ1443" s="3" t="s">
        <v>13</v>
      </c>
      <c r="AR1443">
        <f t="shared" si="1077"/>
        <v>2.6066350710900472E-2</v>
      </c>
      <c r="AS1443">
        <f t="shared" si="1097"/>
        <v>0.41100000000000009</v>
      </c>
      <c r="AT1443">
        <f t="shared" si="1098"/>
        <v>3501</v>
      </c>
      <c r="AU1443">
        <f t="shared" si="1099"/>
        <v>94</v>
      </c>
      <c r="AV1443">
        <f t="shared" si="1083"/>
        <v>2079</v>
      </c>
      <c r="AW1443">
        <f t="shared" si="1084"/>
        <v>121</v>
      </c>
      <c r="AX1443" s="3">
        <f t="shared" si="1085"/>
        <v>6319.0311418685123</v>
      </c>
      <c r="AY1443">
        <f t="shared" si="1086"/>
        <v>1751</v>
      </c>
      <c r="AZ1443">
        <f t="shared" si="1087"/>
        <v>127</v>
      </c>
      <c r="BA1443" s="3">
        <f t="shared" si="1088"/>
        <v>6641.0311418685123</v>
      </c>
    </row>
    <row r="1444" spans="1:53" x14ac:dyDescent="0.2">
      <c r="A1444">
        <v>2000</v>
      </c>
      <c r="B1444" t="s">
        <v>122</v>
      </c>
      <c r="C1444" t="s">
        <v>63</v>
      </c>
      <c r="D1444">
        <v>10.3</v>
      </c>
      <c r="E1444">
        <v>0.9</v>
      </c>
      <c r="F1444">
        <v>0</v>
      </c>
      <c r="G1444">
        <v>0</v>
      </c>
      <c r="H1444">
        <v>0</v>
      </c>
      <c r="I1444">
        <v>3.3</v>
      </c>
      <c r="J1444">
        <v>8.1999999999999993</v>
      </c>
      <c r="K1444">
        <f t="shared" si="1079"/>
        <v>22.7</v>
      </c>
      <c r="L1444">
        <v>0</v>
      </c>
      <c r="M1444">
        <v>0</v>
      </c>
      <c r="N1444">
        <v>0</v>
      </c>
      <c r="O1444">
        <f t="shared" si="1093"/>
        <v>0</v>
      </c>
      <c r="P1444">
        <v>0</v>
      </c>
      <c r="Q1444">
        <v>0</v>
      </c>
      <c r="R1444">
        <v>7.5</v>
      </c>
      <c r="S1444">
        <f t="shared" si="1094"/>
        <v>7.5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1.9</v>
      </c>
      <c r="Z1444">
        <v>11.6</v>
      </c>
      <c r="AA1444">
        <f t="shared" si="1095"/>
        <v>13.5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 s="5">
        <f t="shared" si="1096"/>
        <v>0</v>
      </c>
      <c r="AK1444">
        <v>0.4</v>
      </c>
      <c r="AL1444">
        <v>0.55899999999999994</v>
      </c>
      <c r="AM1444">
        <f t="shared" si="1078"/>
        <v>0.43700000000000006</v>
      </c>
      <c r="AN1444">
        <v>16930</v>
      </c>
      <c r="AO1444" s="3" t="s">
        <v>13</v>
      </c>
      <c r="AP1444" s="3">
        <f t="shared" si="1080"/>
        <v>30071.047957371229</v>
      </c>
      <c r="AQ1444" s="3" t="s">
        <v>13</v>
      </c>
      <c r="AR1444">
        <f t="shared" ref="AR1444:AR1507" si="1100">(AJ1444/100)/AM1444</f>
        <v>0</v>
      </c>
      <c r="AS1444">
        <f t="shared" si="1097"/>
        <v>0.43700000000000006</v>
      </c>
      <c r="AT1444">
        <f t="shared" si="1098"/>
        <v>13141</v>
      </c>
      <c r="AU1444">
        <f t="shared" si="1099"/>
        <v>0</v>
      </c>
      <c r="AV1444">
        <f t="shared" si="1083"/>
        <v>9728</v>
      </c>
      <c r="AW1444">
        <f t="shared" si="1084"/>
        <v>0</v>
      </c>
      <c r="AX1444" s="3">
        <f t="shared" si="1085"/>
        <v>20343.047957371229</v>
      </c>
      <c r="AY1444">
        <f t="shared" si="1086"/>
        <v>6571</v>
      </c>
      <c r="AZ1444">
        <f t="shared" si="1087"/>
        <v>0</v>
      </c>
      <c r="BA1444" s="3">
        <f t="shared" si="1088"/>
        <v>23500.047957371229</v>
      </c>
    </row>
    <row r="1445" spans="1:53" x14ac:dyDescent="0.2">
      <c r="A1445">
        <v>2001</v>
      </c>
      <c r="B1445" t="s">
        <v>122</v>
      </c>
      <c r="C1445" t="s">
        <v>63</v>
      </c>
      <c r="D1445">
        <v>9.6</v>
      </c>
      <c r="E1445">
        <v>2.6</v>
      </c>
      <c r="F1445">
        <v>1.3</v>
      </c>
      <c r="G1445">
        <v>0</v>
      </c>
      <c r="H1445">
        <v>0</v>
      </c>
      <c r="I1445">
        <v>8.8000000000000007</v>
      </c>
      <c r="J1445">
        <v>5.6</v>
      </c>
      <c r="K1445">
        <f t="shared" si="1079"/>
        <v>27.9</v>
      </c>
      <c r="L1445">
        <v>0</v>
      </c>
      <c r="M1445">
        <v>0</v>
      </c>
      <c r="N1445">
        <v>0.5</v>
      </c>
      <c r="O1445">
        <f t="shared" si="1093"/>
        <v>0.5</v>
      </c>
      <c r="P1445">
        <v>0</v>
      </c>
      <c r="Q1445">
        <v>0</v>
      </c>
      <c r="R1445">
        <v>10.3</v>
      </c>
      <c r="S1445">
        <f t="shared" si="1094"/>
        <v>10.3</v>
      </c>
      <c r="T1445">
        <v>0.1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2.2000000000000002</v>
      </c>
      <c r="AA1445">
        <f t="shared" si="1095"/>
        <v>2.3000000000000003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0.7</v>
      </c>
      <c r="AI1445">
        <v>0</v>
      </c>
      <c r="AJ1445" s="5">
        <f t="shared" si="1096"/>
        <v>0.7</v>
      </c>
      <c r="AK1445">
        <v>1.9</v>
      </c>
      <c r="AL1445">
        <v>0.56299999999999994</v>
      </c>
      <c r="AM1445">
        <f t="shared" si="1078"/>
        <v>0.41700000000000004</v>
      </c>
      <c r="AN1445">
        <v>13793</v>
      </c>
      <c r="AO1445" s="3" t="s">
        <v>13</v>
      </c>
      <c r="AP1445" s="3">
        <f t="shared" si="1080"/>
        <v>23658.66209262436</v>
      </c>
      <c r="AQ1445" s="3" t="s">
        <v>13</v>
      </c>
      <c r="AR1445">
        <f t="shared" si="1100"/>
        <v>1.6786570743405272E-2</v>
      </c>
      <c r="AS1445">
        <f t="shared" si="1097"/>
        <v>0.41</v>
      </c>
      <c r="AT1445">
        <f t="shared" si="1098"/>
        <v>9700</v>
      </c>
      <c r="AU1445">
        <f t="shared" si="1099"/>
        <v>166</v>
      </c>
      <c r="AV1445">
        <f t="shared" si="1083"/>
        <v>6400</v>
      </c>
      <c r="AW1445">
        <f t="shared" si="1084"/>
        <v>205</v>
      </c>
      <c r="AX1445" s="3">
        <f t="shared" si="1085"/>
        <v>17053.66209262436</v>
      </c>
      <c r="AY1445">
        <f t="shared" si="1086"/>
        <v>4850</v>
      </c>
      <c r="AZ1445">
        <f t="shared" si="1087"/>
        <v>224</v>
      </c>
      <c r="BA1445" s="3">
        <f t="shared" si="1088"/>
        <v>18584.66209262436</v>
      </c>
    </row>
    <row r="1446" spans="1:53" x14ac:dyDescent="0.2">
      <c r="A1446">
        <v>2002</v>
      </c>
      <c r="B1446" t="s">
        <v>122</v>
      </c>
      <c r="C1446" t="s">
        <v>63</v>
      </c>
      <c r="D1446">
        <v>13.4</v>
      </c>
      <c r="E1446">
        <v>0</v>
      </c>
      <c r="F1446">
        <v>0.6</v>
      </c>
      <c r="G1446">
        <v>1.5</v>
      </c>
      <c r="H1446">
        <v>0.5</v>
      </c>
      <c r="I1446">
        <v>5.9</v>
      </c>
      <c r="J1446">
        <v>1.8</v>
      </c>
      <c r="K1446">
        <f t="shared" si="1079"/>
        <v>23.7</v>
      </c>
      <c r="L1446">
        <v>0</v>
      </c>
      <c r="M1446">
        <v>0.1</v>
      </c>
      <c r="N1446">
        <v>0.5</v>
      </c>
      <c r="O1446">
        <f t="shared" si="1093"/>
        <v>0.6</v>
      </c>
      <c r="P1446">
        <v>0</v>
      </c>
      <c r="Q1446">
        <v>2.2999999999999998</v>
      </c>
      <c r="R1446">
        <v>4.5</v>
      </c>
      <c r="S1446">
        <f t="shared" si="1094"/>
        <v>6.8</v>
      </c>
      <c r="T1446">
        <v>0.1</v>
      </c>
      <c r="U1446">
        <v>0</v>
      </c>
      <c r="V1446">
        <v>0</v>
      </c>
      <c r="W1446">
        <v>0</v>
      </c>
      <c r="X1446">
        <v>0</v>
      </c>
      <c r="Y1446">
        <v>0.2</v>
      </c>
      <c r="Z1446">
        <v>0</v>
      </c>
      <c r="AA1446">
        <f t="shared" si="1095"/>
        <v>0.30000000000000004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0.7</v>
      </c>
      <c r="AI1446">
        <v>0</v>
      </c>
      <c r="AJ1446" s="5">
        <f t="shared" si="1096"/>
        <v>0.7</v>
      </c>
      <c r="AK1446">
        <v>3.8</v>
      </c>
      <c r="AL1446">
        <v>0.6409999999999999</v>
      </c>
      <c r="AM1446">
        <f t="shared" si="1078"/>
        <v>0.32099999999999995</v>
      </c>
      <c r="AN1446">
        <v>19591</v>
      </c>
      <c r="AO1446" s="3" t="s">
        <v>13</v>
      </c>
      <c r="AP1446" s="3">
        <f t="shared" si="1080"/>
        <v>28852.724594992633</v>
      </c>
      <c r="AQ1446" s="3" t="s">
        <v>13</v>
      </c>
      <c r="AR1446">
        <f t="shared" si="1100"/>
        <v>2.180685358255452E-2</v>
      </c>
      <c r="AS1446">
        <f t="shared" si="1097"/>
        <v>0.314</v>
      </c>
      <c r="AT1446">
        <f t="shared" si="1098"/>
        <v>9060</v>
      </c>
      <c r="AU1446">
        <f t="shared" si="1099"/>
        <v>202</v>
      </c>
      <c r="AV1446">
        <f t="shared" si="1083"/>
        <v>5641</v>
      </c>
      <c r="AW1446">
        <f t="shared" si="1084"/>
        <v>237</v>
      </c>
      <c r="AX1446" s="3">
        <f t="shared" si="1085"/>
        <v>22974.724594992633</v>
      </c>
      <c r="AY1446">
        <f t="shared" si="1086"/>
        <v>4530</v>
      </c>
      <c r="AZ1446">
        <f t="shared" si="1087"/>
        <v>248</v>
      </c>
      <c r="BA1446" s="3">
        <f t="shared" si="1088"/>
        <v>24074.724594992633</v>
      </c>
    </row>
    <row r="1447" spans="1:53" x14ac:dyDescent="0.2">
      <c r="A1447">
        <v>2003</v>
      </c>
      <c r="B1447" t="s">
        <v>122</v>
      </c>
      <c r="C1447" t="s">
        <v>63</v>
      </c>
      <c r="D1447">
        <v>7.3</v>
      </c>
      <c r="E1447">
        <v>0.2</v>
      </c>
      <c r="F1447">
        <v>0</v>
      </c>
      <c r="G1447">
        <v>4.7</v>
      </c>
      <c r="H1447">
        <v>1.4</v>
      </c>
      <c r="I1447">
        <v>10.4</v>
      </c>
      <c r="J1447">
        <v>4</v>
      </c>
      <c r="K1447">
        <f t="shared" si="1079"/>
        <v>28</v>
      </c>
      <c r="L1447">
        <v>0</v>
      </c>
      <c r="M1447">
        <v>0</v>
      </c>
      <c r="N1447">
        <v>0</v>
      </c>
      <c r="O1447">
        <f t="shared" si="1093"/>
        <v>0</v>
      </c>
      <c r="P1447">
        <v>0</v>
      </c>
      <c r="Q1447">
        <v>0.2</v>
      </c>
      <c r="R1447">
        <v>8.8000000000000007</v>
      </c>
      <c r="S1447">
        <f t="shared" si="1094"/>
        <v>9</v>
      </c>
      <c r="T1447">
        <v>0.4</v>
      </c>
      <c r="U1447">
        <v>0.4</v>
      </c>
      <c r="V1447">
        <v>0</v>
      </c>
      <c r="W1447">
        <v>0</v>
      </c>
      <c r="X1447">
        <v>0</v>
      </c>
      <c r="Y1447">
        <v>0.5</v>
      </c>
      <c r="Z1447">
        <v>0.5</v>
      </c>
      <c r="AA1447">
        <f t="shared" si="1095"/>
        <v>1.8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0.2</v>
      </c>
      <c r="AI1447">
        <v>0</v>
      </c>
      <c r="AJ1447" s="5">
        <f t="shared" si="1096"/>
        <v>0.2</v>
      </c>
      <c r="AK1447">
        <v>0</v>
      </c>
      <c r="AL1447">
        <v>0.61199999999999999</v>
      </c>
      <c r="AM1447">
        <f t="shared" ref="AM1447:AM1513" si="1101">SUM(AB1447:AI1447,T1447:Z1447,P1447:R1447,L1447:N1447,D1447:J1447)/100</f>
        <v>0.39</v>
      </c>
      <c r="AN1447">
        <v>9777</v>
      </c>
      <c r="AO1447" s="3" t="s">
        <v>13</v>
      </c>
      <c r="AP1447" s="3">
        <f t="shared" si="1080"/>
        <v>16027.868852459016</v>
      </c>
      <c r="AQ1447" s="3" t="s">
        <v>13</v>
      </c>
      <c r="AR1447">
        <f t="shared" si="1100"/>
        <v>5.1282051282051282E-3</v>
      </c>
      <c r="AS1447">
        <f t="shared" si="1097"/>
        <v>0.38799999999999996</v>
      </c>
      <c r="AT1447">
        <f t="shared" si="1098"/>
        <v>6219</v>
      </c>
      <c r="AU1447">
        <f t="shared" si="1099"/>
        <v>32</v>
      </c>
      <c r="AV1447">
        <f t="shared" si="1083"/>
        <v>3975</v>
      </c>
      <c r="AW1447">
        <f t="shared" si="1084"/>
        <v>39</v>
      </c>
      <c r="AX1447" s="3">
        <f t="shared" si="1085"/>
        <v>12013.868852459016</v>
      </c>
      <c r="AY1447">
        <f t="shared" si="1086"/>
        <v>3109</v>
      </c>
      <c r="AZ1447">
        <f t="shared" si="1087"/>
        <v>42</v>
      </c>
      <c r="BA1447" s="3">
        <f t="shared" si="1088"/>
        <v>12876.868852459016</v>
      </c>
    </row>
    <row r="1448" spans="1:53" x14ac:dyDescent="0.2">
      <c r="A1448">
        <v>2004</v>
      </c>
      <c r="B1448" t="s">
        <v>122</v>
      </c>
      <c r="C1448" t="s">
        <v>63</v>
      </c>
      <c r="D1448">
        <v>5.6</v>
      </c>
      <c r="E1448">
        <v>0</v>
      </c>
      <c r="F1448">
        <v>0</v>
      </c>
      <c r="G1448">
        <v>2.8</v>
      </c>
      <c r="H1448">
        <v>0</v>
      </c>
      <c r="I1448">
        <v>11.4</v>
      </c>
      <c r="J1448">
        <v>1.4</v>
      </c>
      <c r="K1448">
        <f t="shared" si="1079"/>
        <v>21.199999999999996</v>
      </c>
      <c r="L1448">
        <v>0</v>
      </c>
      <c r="M1448">
        <v>0</v>
      </c>
      <c r="N1448">
        <v>0</v>
      </c>
      <c r="O1448">
        <f t="shared" si="1093"/>
        <v>0</v>
      </c>
      <c r="P1448">
        <v>0</v>
      </c>
      <c r="Q1448">
        <v>0</v>
      </c>
      <c r="R1448">
        <v>2.9</v>
      </c>
      <c r="S1448">
        <f t="shared" si="1094"/>
        <v>2.9</v>
      </c>
      <c r="T1448">
        <v>0.8</v>
      </c>
      <c r="U1448">
        <v>0</v>
      </c>
      <c r="V1448">
        <v>0</v>
      </c>
      <c r="W1448">
        <v>0</v>
      </c>
      <c r="X1448">
        <v>0</v>
      </c>
      <c r="Y1448">
        <v>0.8</v>
      </c>
      <c r="Z1448">
        <v>0.6</v>
      </c>
      <c r="AA1448">
        <f t="shared" si="1095"/>
        <v>2.2000000000000002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0.1</v>
      </c>
      <c r="AI1448">
        <v>0</v>
      </c>
      <c r="AJ1448" s="5">
        <f t="shared" si="1096"/>
        <v>0.1</v>
      </c>
      <c r="AK1448">
        <v>10</v>
      </c>
      <c r="AL1448">
        <v>0.63500000000000001</v>
      </c>
      <c r="AM1448">
        <f t="shared" si="1101"/>
        <v>0.26400000000000001</v>
      </c>
      <c r="AN1448">
        <v>23553</v>
      </c>
      <c r="AO1448" s="3" t="s">
        <v>13</v>
      </c>
      <c r="AP1448" s="3">
        <f t="shared" si="1080"/>
        <v>32001.358695652176</v>
      </c>
      <c r="AQ1448" s="3" t="s">
        <v>13</v>
      </c>
      <c r="AR1448">
        <f t="shared" si="1100"/>
        <v>3.787878787878788E-3</v>
      </c>
      <c r="AS1448">
        <f t="shared" si="1097"/>
        <v>0.26299999999999996</v>
      </c>
      <c r="AT1448">
        <f t="shared" si="1098"/>
        <v>8416</v>
      </c>
      <c r="AU1448">
        <f t="shared" si="1099"/>
        <v>32</v>
      </c>
      <c r="AV1448">
        <f t="shared" si="1083"/>
        <v>5024</v>
      </c>
      <c r="AW1448">
        <f t="shared" si="1084"/>
        <v>37</v>
      </c>
      <c r="AX1448" s="3">
        <f t="shared" si="1085"/>
        <v>26940.358695652176</v>
      </c>
      <c r="AY1448">
        <f t="shared" si="1086"/>
        <v>4208</v>
      </c>
      <c r="AZ1448">
        <f t="shared" si="1087"/>
        <v>38</v>
      </c>
      <c r="BA1448" s="3">
        <f t="shared" si="1088"/>
        <v>27755.358695652176</v>
      </c>
    </row>
    <row r="1449" spans="1:53" x14ac:dyDescent="0.2">
      <c r="A1449">
        <v>2005</v>
      </c>
      <c r="B1449" t="s">
        <v>122</v>
      </c>
      <c r="C1449" t="s">
        <v>63</v>
      </c>
      <c r="D1449">
        <v>8.6</v>
      </c>
      <c r="E1449">
        <v>0.3</v>
      </c>
      <c r="F1449">
        <v>0.6</v>
      </c>
      <c r="G1449">
        <v>1.7</v>
      </c>
      <c r="H1449">
        <v>2.2000000000000002</v>
      </c>
      <c r="I1449">
        <v>7.2</v>
      </c>
      <c r="J1449">
        <v>2.1</v>
      </c>
      <c r="K1449">
        <f t="shared" si="1079"/>
        <v>22.7</v>
      </c>
      <c r="L1449">
        <v>0</v>
      </c>
      <c r="M1449">
        <v>0.4</v>
      </c>
      <c r="N1449">
        <v>0</v>
      </c>
      <c r="O1449">
        <f t="shared" si="1093"/>
        <v>0.4</v>
      </c>
      <c r="P1449">
        <v>0</v>
      </c>
      <c r="Q1449">
        <v>0</v>
      </c>
      <c r="R1449">
        <v>7.7</v>
      </c>
      <c r="S1449">
        <f t="shared" si="1094"/>
        <v>7.7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0.1</v>
      </c>
      <c r="Z1449">
        <v>0.6</v>
      </c>
      <c r="AA1449">
        <f t="shared" si="1095"/>
        <v>0.7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3.5</v>
      </c>
      <c r="AI1449">
        <v>0</v>
      </c>
      <c r="AJ1449" s="5">
        <f t="shared" si="1096"/>
        <v>3.5</v>
      </c>
      <c r="AK1449">
        <v>0.6</v>
      </c>
      <c r="AL1449">
        <v>0.64300000000000002</v>
      </c>
      <c r="AM1449">
        <f t="shared" si="1101"/>
        <v>0.35</v>
      </c>
      <c r="AN1449">
        <v>20803</v>
      </c>
      <c r="AO1449" s="3" t="s">
        <v>13</v>
      </c>
      <c r="AP1449" s="3">
        <f t="shared" si="1080"/>
        <v>32004.615384615383</v>
      </c>
      <c r="AQ1449" s="3" t="s">
        <v>13</v>
      </c>
      <c r="AR1449">
        <f t="shared" si="1100"/>
        <v>0.10000000000000002</v>
      </c>
      <c r="AS1449">
        <f t="shared" si="1097"/>
        <v>0.31499999999999995</v>
      </c>
      <c r="AT1449">
        <f t="shared" si="1098"/>
        <v>10081</v>
      </c>
      <c r="AU1449">
        <f t="shared" si="1099"/>
        <v>1120</v>
      </c>
      <c r="AV1449">
        <f t="shared" si="1083"/>
        <v>6449</v>
      </c>
      <c r="AW1449">
        <f t="shared" si="1084"/>
        <v>1306</v>
      </c>
      <c r="AX1449" s="3">
        <f t="shared" si="1085"/>
        <v>24249.615384615383</v>
      </c>
      <c r="AY1449">
        <f t="shared" si="1086"/>
        <v>5041</v>
      </c>
      <c r="AZ1449">
        <f t="shared" si="1087"/>
        <v>1377</v>
      </c>
      <c r="BA1449" s="3">
        <f t="shared" si="1088"/>
        <v>25586.615384615383</v>
      </c>
    </row>
    <row r="1450" spans="1:53" x14ac:dyDescent="0.2">
      <c r="A1450">
        <v>2006</v>
      </c>
      <c r="B1450" t="s">
        <v>122</v>
      </c>
      <c r="C1450" t="s">
        <v>63</v>
      </c>
      <c r="D1450">
        <v>3.5</v>
      </c>
      <c r="E1450">
        <v>2</v>
      </c>
      <c r="F1450">
        <v>0.2</v>
      </c>
      <c r="G1450">
        <v>0.6</v>
      </c>
      <c r="H1450">
        <v>0.8</v>
      </c>
      <c r="I1450">
        <v>4.2</v>
      </c>
      <c r="J1450">
        <v>3.5</v>
      </c>
      <c r="K1450">
        <f t="shared" si="1079"/>
        <v>14.8</v>
      </c>
      <c r="L1450">
        <v>0</v>
      </c>
      <c r="M1450">
        <v>0.2</v>
      </c>
      <c r="N1450">
        <v>0</v>
      </c>
      <c r="O1450">
        <f t="shared" si="1093"/>
        <v>0.2</v>
      </c>
      <c r="P1450">
        <v>0</v>
      </c>
      <c r="Q1450">
        <v>0</v>
      </c>
      <c r="R1450">
        <v>5.3</v>
      </c>
      <c r="S1450">
        <f t="shared" si="1094"/>
        <v>5.3</v>
      </c>
      <c r="T1450">
        <v>0.5</v>
      </c>
      <c r="U1450">
        <v>0</v>
      </c>
      <c r="V1450">
        <v>0</v>
      </c>
      <c r="W1450">
        <v>0</v>
      </c>
      <c r="X1450">
        <v>0</v>
      </c>
      <c r="Y1450">
        <v>0.2</v>
      </c>
      <c r="Z1450">
        <v>0.2</v>
      </c>
      <c r="AA1450">
        <f t="shared" si="1095"/>
        <v>0.89999999999999991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2.9</v>
      </c>
      <c r="AI1450">
        <v>0</v>
      </c>
      <c r="AJ1450" s="5">
        <f t="shared" si="1096"/>
        <v>2.9</v>
      </c>
      <c r="AK1450">
        <v>0.6</v>
      </c>
      <c r="AL1450">
        <v>0.75099999999999989</v>
      </c>
      <c r="AM1450">
        <f t="shared" si="1101"/>
        <v>0.24099999999999999</v>
      </c>
      <c r="AN1450">
        <v>20768</v>
      </c>
      <c r="AO1450" s="3" t="s">
        <v>13</v>
      </c>
      <c r="AP1450" s="3">
        <f t="shared" si="1080"/>
        <v>27362.318840579708</v>
      </c>
      <c r="AQ1450" s="3" t="s">
        <v>13</v>
      </c>
      <c r="AR1450">
        <f t="shared" si="1100"/>
        <v>0.12033195020746887</v>
      </c>
      <c r="AS1450">
        <f t="shared" si="1097"/>
        <v>0.21199999999999999</v>
      </c>
      <c r="AT1450">
        <f t="shared" si="1098"/>
        <v>5801</v>
      </c>
      <c r="AU1450">
        <f t="shared" si="1099"/>
        <v>794</v>
      </c>
      <c r="AV1450">
        <f t="shared" si="1083"/>
        <v>3776</v>
      </c>
      <c r="AW1450">
        <f t="shared" si="1084"/>
        <v>869</v>
      </c>
      <c r="AX1450" s="3">
        <f t="shared" si="1085"/>
        <v>22717.318840579708</v>
      </c>
      <c r="AY1450">
        <f t="shared" si="1086"/>
        <v>2900</v>
      </c>
      <c r="AZ1450">
        <f t="shared" si="1087"/>
        <v>901</v>
      </c>
      <c r="BA1450" s="3">
        <f t="shared" si="1088"/>
        <v>23561.318840579708</v>
      </c>
    </row>
    <row r="1451" spans="1:53" x14ac:dyDescent="0.2">
      <c r="A1451">
        <v>2007</v>
      </c>
      <c r="B1451" t="s">
        <v>122</v>
      </c>
      <c r="C1451" t="s">
        <v>63</v>
      </c>
      <c r="D1451">
        <v>6.3</v>
      </c>
      <c r="E1451">
        <v>0.9</v>
      </c>
      <c r="F1451">
        <v>0.2</v>
      </c>
      <c r="G1451">
        <v>1</v>
      </c>
      <c r="H1451">
        <v>0.6</v>
      </c>
      <c r="I1451">
        <v>8.8000000000000007</v>
      </c>
      <c r="J1451">
        <v>2.2000000000000002</v>
      </c>
      <c r="K1451">
        <f t="shared" si="1079"/>
        <v>20</v>
      </c>
      <c r="L1451">
        <v>0</v>
      </c>
      <c r="M1451">
        <v>0.1</v>
      </c>
      <c r="N1451">
        <v>0.4</v>
      </c>
      <c r="O1451">
        <f t="shared" si="1093"/>
        <v>0.5</v>
      </c>
      <c r="P1451">
        <v>0</v>
      </c>
      <c r="Q1451">
        <v>0</v>
      </c>
      <c r="R1451">
        <v>2.6</v>
      </c>
      <c r="S1451">
        <f t="shared" si="1094"/>
        <v>2.6</v>
      </c>
      <c r="T1451">
        <v>0.9</v>
      </c>
      <c r="U1451">
        <v>0</v>
      </c>
      <c r="V1451">
        <v>0</v>
      </c>
      <c r="W1451">
        <v>0</v>
      </c>
      <c r="X1451">
        <v>0</v>
      </c>
      <c r="Y1451">
        <v>0.2</v>
      </c>
      <c r="Z1451">
        <v>0.4</v>
      </c>
      <c r="AA1451">
        <f t="shared" si="1095"/>
        <v>1.5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2.7</v>
      </c>
      <c r="AI1451">
        <v>0</v>
      </c>
      <c r="AJ1451" s="5">
        <f t="shared" si="1096"/>
        <v>2.7</v>
      </c>
      <c r="AK1451">
        <v>0.7</v>
      </c>
      <c r="AL1451">
        <v>0.71900000000000008</v>
      </c>
      <c r="AM1451">
        <f t="shared" si="1101"/>
        <v>0.27300000000000002</v>
      </c>
      <c r="AN1451">
        <v>11281</v>
      </c>
      <c r="AO1451" s="3" t="s">
        <v>13</v>
      </c>
      <c r="AP1451" s="3">
        <f t="shared" si="1080"/>
        <v>15517.193947730399</v>
      </c>
      <c r="AQ1451" s="3" t="s">
        <v>13</v>
      </c>
      <c r="AR1451">
        <f t="shared" si="1100"/>
        <v>9.8901098901098911E-2</v>
      </c>
      <c r="AS1451">
        <f t="shared" si="1097"/>
        <v>0.24600000000000002</v>
      </c>
      <c r="AT1451">
        <f t="shared" si="1098"/>
        <v>3817</v>
      </c>
      <c r="AU1451">
        <f t="shared" si="1099"/>
        <v>419</v>
      </c>
      <c r="AV1451">
        <f t="shared" si="1083"/>
        <v>2266</v>
      </c>
      <c r="AW1451">
        <f t="shared" si="1084"/>
        <v>475</v>
      </c>
      <c r="AX1451" s="3">
        <f t="shared" si="1085"/>
        <v>12776.193947730399</v>
      </c>
      <c r="AY1451">
        <f t="shared" si="1086"/>
        <v>1909</v>
      </c>
      <c r="AZ1451">
        <f t="shared" si="1087"/>
        <v>487</v>
      </c>
      <c r="BA1451" s="3">
        <f t="shared" si="1088"/>
        <v>13121.193947730399</v>
      </c>
    </row>
    <row r="1452" spans="1:53" x14ac:dyDescent="0.2">
      <c r="A1452">
        <v>2008</v>
      </c>
      <c r="B1452" t="s">
        <v>122</v>
      </c>
      <c r="C1452" t="s">
        <v>63</v>
      </c>
      <c r="D1452">
        <v>5.6</v>
      </c>
      <c r="E1452">
        <v>0</v>
      </c>
      <c r="F1452">
        <v>0</v>
      </c>
      <c r="G1452">
        <v>1.5</v>
      </c>
      <c r="H1452">
        <v>1.9</v>
      </c>
      <c r="I1452">
        <v>5.2</v>
      </c>
      <c r="J1452">
        <v>4.5</v>
      </c>
      <c r="K1452">
        <f t="shared" si="1079"/>
        <v>18.7</v>
      </c>
      <c r="L1452">
        <v>0</v>
      </c>
      <c r="M1452">
        <v>0</v>
      </c>
      <c r="N1452">
        <v>0.4</v>
      </c>
      <c r="O1452">
        <f t="shared" si="1093"/>
        <v>0.4</v>
      </c>
      <c r="P1452">
        <v>0</v>
      </c>
      <c r="Q1452">
        <v>0</v>
      </c>
      <c r="R1452">
        <v>4</v>
      </c>
      <c r="S1452">
        <f t="shared" si="1094"/>
        <v>4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0.8</v>
      </c>
      <c r="AA1452">
        <f t="shared" si="1095"/>
        <v>0.8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17.899999999999999</v>
      </c>
      <c r="AI1452">
        <v>0</v>
      </c>
      <c r="AJ1452" s="5">
        <f t="shared" si="1096"/>
        <v>17.899999999999999</v>
      </c>
      <c r="AK1452">
        <v>1.4</v>
      </c>
      <c r="AL1452">
        <v>0.56600000000000006</v>
      </c>
      <c r="AM1452">
        <f t="shared" si="1101"/>
        <v>0.41799999999999998</v>
      </c>
      <c r="AN1452">
        <v>11664</v>
      </c>
      <c r="AO1452" s="3" t="s">
        <v>13</v>
      </c>
      <c r="AP1452" s="3">
        <f t="shared" si="1080"/>
        <v>20041.237113402058</v>
      </c>
      <c r="AQ1452" s="3" t="s">
        <v>13</v>
      </c>
      <c r="AR1452">
        <f t="shared" si="1100"/>
        <v>0.42822966507177035</v>
      </c>
      <c r="AS1452">
        <f t="shared" si="1097"/>
        <v>0.23899999999999999</v>
      </c>
      <c r="AT1452">
        <f t="shared" si="1098"/>
        <v>4790</v>
      </c>
      <c r="AU1452">
        <f t="shared" si="1099"/>
        <v>3587</v>
      </c>
      <c r="AV1452">
        <f t="shared" si="1083"/>
        <v>2916</v>
      </c>
      <c r="AW1452">
        <f t="shared" si="1084"/>
        <v>4028</v>
      </c>
      <c r="AX1452" s="3">
        <f t="shared" si="1085"/>
        <v>13097.237113402058</v>
      </c>
      <c r="AY1452">
        <f t="shared" si="1086"/>
        <v>2395</v>
      </c>
      <c r="AZ1452">
        <f t="shared" si="1087"/>
        <v>4150</v>
      </c>
      <c r="BA1452" s="3">
        <f t="shared" si="1088"/>
        <v>13496.237113402058</v>
      </c>
    </row>
    <row r="1453" spans="1:53" x14ac:dyDescent="0.2">
      <c r="A1453">
        <v>2009</v>
      </c>
      <c r="B1453" t="s">
        <v>122</v>
      </c>
      <c r="C1453" t="s">
        <v>63</v>
      </c>
      <c r="D1453">
        <v>7.7</v>
      </c>
      <c r="E1453">
        <v>0.9</v>
      </c>
      <c r="F1453">
        <v>1.4</v>
      </c>
      <c r="G1453">
        <v>1.7</v>
      </c>
      <c r="H1453">
        <v>0</v>
      </c>
      <c r="I1453">
        <v>3.5</v>
      </c>
      <c r="J1453">
        <v>6</v>
      </c>
      <c r="K1453">
        <f t="shared" si="1079"/>
        <v>21.2</v>
      </c>
      <c r="L1453">
        <v>0</v>
      </c>
      <c r="M1453">
        <v>0</v>
      </c>
      <c r="N1453">
        <v>1.3</v>
      </c>
      <c r="O1453">
        <f t="shared" si="1093"/>
        <v>1.3</v>
      </c>
      <c r="P1453">
        <v>0</v>
      </c>
      <c r="Q1453">
        <v>0</v>
      </c>
      <c r="R1453">
        <v>7.3</v>
      </c>
      <c r="S1453">
        <f t="shared" si="1094"/>
        <v>7.3</v>
      </c>
      <c r="T1453">
        <v>0.2</v>
      </c>
      <c r="U1453">
        <v>0</v>
      </c>
      <c r="V1453">
        <v>0</v>
      </c>
      <c r="W1453">
        <v>0</v>
      </c>
      <c r="X1453">
        <v>0</v>
      </c>
      <c r="Y1453">
        <v>0.1</v>
      </c>
      <c r="Z1453">
        <v>1.7</v>
      </c>
      <c r="AA1453">
        <f t="shared" si="1095"/>
        <v>2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34</v>
      </c>
      <c r="AI1453">
        <v>0</v>
      </c>
      <c r="AJ1453" s="5">
        <f t="shared" si="1096"/>
        <v>34</v>
      </c>
      <c r="AK1453">
        <v>1.2</v>
      </c>
      <c r="AL1453">
        <v>0.32899999999999996</v>
      </c>
      <c r="AM1453">
        <f t="shared" si="1101"/>
        <v>0.65800000000000014</v>
      </c>
      <c r="AN1453">
        <v>6979</v>
      </c>
      <c r="AO1453" s="3" t="s">
        <v>13</v>
      </c>
      <c r="AP1453" s="3">
        <f t="shared" si="1080"/>
        <v>20406.43274853802</v>
      </c>
      <c r="AQ1453" s="3" t="s">
        <v>13</v>
      </c>
      <c r="AR1453">
        <f t="shared" si="1100"/>
        <v>0.51671732522796343</v>
      </c>
      <c r="AS1453">
        <f t="shared" si="1097"/>
        <v>0.318</v>
      </c>
      <c r="AT1453">
        <f t="shared" si="1098"/>
        <v>6489</v>
      </c>
      <c r="AU1453">
        <f t="shared" si="1099"/>
        <v>6938</v>
      </c>
      <c r="AV1453">
        <f t="shared" si="1083"/>
        <v>4326</v>
      </c>
      <c r="AW1453">
        <f t="shared" si="1084"/>
        <v>8016</v>
      </c>
      <c r="AX1453" s="3">
        <f t="shared" si="1085"/>
        <v>8064.43274853802</v>
      </c>
      <c r="AY1453">
        <f t="shared" si="1086"/>
        <v>3245</v>
      </c>
      <c r="AZ1453">
        <f t="shared" si="1087"/>
        <v>8555</v>
      </c>
      <c r="BA1453" s="3">
        <f t="shared" si="1088"/>
        <v>8606.43274853802</v>
      </c>
    </row>
    <row r="1454" spans="1:53" x14ac:dyDescent="0.2">
      <c r="A1454">
        <v>2010</v>
      </c>
      <c r="B1454" t="s">
        <v>122</v>
      </c>
      <c r="C1454" t="s">
        <v>63</v>
      </c>
      <c r="D1454">
        <v>8.4</v>
      </c>
      <c r="E1454">
        <v>0.6</v>
      </c>
      <c r="F1454">
        <v>0.2</v>
      </c>
      <c r="G1454">
        <v>1.6</v>
      </c>
      <c r="H1454">
        <v>0</v>
      </c>
      <c r="I1454">
        <v>4.5</v>
      </c>
      <c r="J1454">
        <v>4.4000000000000004</v>
      </c>
      <c r="K1454">
        <f t="shared" si="1079"/>
        <v>19.7</v>
      </c>
      <c r="L1454">
        <v>0</v>
      </c>
      <c r="M1454">
        <v>0.5</v>
      </c>
      <c r="N1454">
        <v>5.2</v>
      </c>
      <c r="O1454">
        <f t="shared" si="1093"/>
        <v>5.7</v>
      </c>
      <c r="P1454">
        <v>0</v>
      </c>
      <c r="Q1454">
        <v>0</v>
      </c>
      <c r="R1454">
        <v>3.2</v>
      </c>
      <c r="S1454">
        <f t="shared" si="1094"/>
        <v>3.2</v>
      </c>
      <c r="T1454">
        <v>0.6</v>
      </c>
      <c r="U1454">
        <v>0</v>
      </c>
      <c r="V1454">
        <v>0</v>
      </c>
      <c r="W1454">
        <v>0</v>
      </c>
      <c r="X1454">
        <v>0</v>
      </c>
      <c r="Y1454">
        <v>0.4</v>
      </c>
      <c r="Z1454">
        <v>1.8</v>
      </c>
      <c r="AA1454">
        <f t="shared" si="1095"/>
        <v>2.8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7.1</v>
      </c>
      <c r="AI1454">
        <v>0.1</v>
      </c>
      <c r="AJ1454" s="5">
        <f t="shared" si="1096"/>
        <v>7.1999999999999993</v>
      </c>
      <c r="AK1454">
        <v>3.7</v>
      </c>
      <c r="AL1454">
        <v>0.57600000000000007</v>
      </c>
      <c r="AM1454">
        <f t="shared" si="1101"/>
        <v>0.38600000000000001</v>
      </c>
      <c r="AN1454">
        <v>8017</v>
      </c>
      <c r="AO1454" s="3" t="s">
        <v>13</v>
      </c>
      <c r="AP1454" s="3">
        <f t="shared" si="1080"/>
        <v>13057.00325732899</v>
      </c>
      <c r="AQ1454" s="3" t="s">
        <v>13</v>
      </c>
      <c r="AR1454">
        <f t="shared" si="1100"/>
        <v>0.18652849740932639</v>
      </c>
      <c r="AS1454">
        <f t="shared" si="1097"/>
        <v>0.314</v>
      </c>
      <c r="AT1454">
        <f t="shared" si="1098"/>
        <v>4100</v>
      </c>
      <c r="AU1454">
        <f t="shared" si="1099"/>
        <v>940</v>
      </c>
      <c r="AV1454">
        <f t="shared" si="1083"/>
        <v>2814</v>
      </c>
      <c r="AW1454">
        <f t="shared" si="1084"/>
        <v>1075</v>
      </c>
      <c r="AX1454" s="3">
        <f t="shared" si="1085"/>
        <v>9168.00325732899</v>
      </c>
      <c r="AY1454">
        <f t="shared" si="1086"/>
        <v>2050</v>
      </c>
      <c r="AZ1454">
        <f t="shared" si="1087"/>
        <v>1155</v>
      </c>
      <c r="BA1454" s="3">
        <f t="shared" si="1088"/>
        <v>9852.00325732899</v>
      </c>
    </row>
    <row r="1455" spans="1:53" x14ac:dyDescent="0.2">
      <c r="A1455">
        <v>2011</v>
      </c>
      <c r="B1455" t="s">
        <v>122</v>
      </c>
      <c r="C1455" t="s">
        <v>63</v>
      </c>
      <c r="D1455">
        <v>5</v>
      </c>
      <c r="E1455">
        <v>0</v>
      </c>
      <c r="F1455">
        <v>1</v>
      </c>
      <c r="G1455">
        <v>0</v>
      </c>
      <c r="H1455">
        <v>0</v>
      </c>
      <c r="I1455">
        <v>6.6</v>
      </c>
      <c r="J1455">
        <v>5.7</v>
      </c>
      <c r="K1455">
        <f t="shared" ref="K1455:K1510" si="1102">SUM(D1455:J1455)</f>
        <v>18.3</v>
      </c>
      <c r="L1455">
        <v>0</v>
      </c>
      <c r="M1455">
        <v>0</v>
      </c>
      <c r="N1455">
        <v>0.9</v>
      </c>
      <c r="O1455">
        <f t="shared" si="1093"/>
        <v>0.9</v>
      </c>
      <c r="P1455">
        <v>0</v>
      </c>
      <c r="Q1455">
        <v>0</v>
      </c>
      <c r="R1455">
        <v>7.1</v>
      </c>
      <c r="S1455">
        <f t="shared" si="1094"/>
        <v>7.1</v>
      </c>
      <c r="T1455">
        <v>1.3</v>
      </c>
      <c r="U1455">
        <v>0</v>
      </c>
      <c r="V1455">
        <v>0</v>
      </c>
      <c r="W1455">
        <v>0</v>
      </c>
      <c r="X1455">
        <v>0</v>
      </c>
      <c r="Y1455">
        <v>0.5</v>
      </c>
      <c r="Z1455">
        <v>2.6</v>
      </c>
      <c r="AA1455">
        <f t="shared" si="1095"/>
        <v>4.4000000000000004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18.899999999999999</v>
      </c>
      <c r="AI1455">
        <v>0</v>
      </c>
      <c r="AJ1455" s="5">
        <f t="shared" si="1096"/>
        <v>18.899999999999999</v>
      </c>
      <c r="AK1455">
        <v>2.1</v>
      </c>
      <c r="AL1455">
        <v>0.48299999999999998</v>
      </c>
      <c r="AM1455">
        <f t="shared" si="1101"/>
        <v>0.496</v>
      </c>
      <c r="AN1455">
        <v>5510</v>
      </c>
      <c r="AO1455" s="3" t="s">
        <v>13</v>
      </c>
      <c r="AP1455" s="3">
        <f t="shared" si="1080"/>
        <v>10932.539682539682</v>
      </c>
      <c r="AQ1455" s="3" t="s">
        <v>13</v>
      </c>
      <c r="AR1455">
        <f t="shared" si="1100"/>
        <v>0.38104838709677413</v>
      </c>
      <c r="AS1455">
        <f t="shared" si="1097"/>
        <v>0.30699999999999994</v>
      </c>
      <c r="AT1455">
        <f t="shared" si="1098"/>
        <v>3356</v>
      </c>
      <c r="AU1455">
        <f t="shared" si="1099"/>
        <v>2066</v>
      </c>
      <c r="AV1455">
        <f t="shared" si="1083"/>
        <v>2356</v>
      </c>
      <c r="AW1455">
        <f t="shared" si="1084"/>
        <v>2339</v>
      </c>
      <c r="AX1455" s="3">
        <f t="shared" si="1085"/>
        <v>6237.539682539682</v>
      </c>
      <c r="AY1455">
        <f t="shared" si="1086"/>
        <v>1678</v>
      </c>
      <c r="AZ1455">
        <f t="shared" si="1087"/>
        <v>2524</v>
      </c>
      <c r="BA1455" s="3">
        <f t="shared" si="1088"/>
        <v>6730.539682539682</v>
      </c>
    </row>
    <row r="1456" spans="1:53" x14ac:dyDescent="0.2">
      <c r="A1456">
        <v>2012</v>
      </c>
      <c r="B1456" t="s">
        <v>122</v>
      </c>
      <c r="C1456" t="s">
        <v>63</v>
      </c>
      <c r="D1456">
        <v>8.9</v>
      </c>
      <c r="E1456">
        <v>1.6</v>
      </c>
      <c r="F1456">
        <v>0</v>
      </c>
      <c r="G1456">
        <v>1.8</v>
      </c>
      <c r="H1456">
        <v>0.5</v>
      </c>
      <c r="I1456">
        <v>3.1</v>
      </c>
      <c r="J1456">
        <v>2.2999999999999998</v>
      </c>
      <c r="K1456">
        <f t="shared" si="1102"/>
        <v>18.2</v>
      </c>
      <c r="L1456">
        <v>0</v>
      </c>
      <c r="M1456">
        <v>0</v>
      </c>
      <c r="N1456">
        <v>0</v>
      </c>
      <c r="O1456">
        <f t="shared" si="1093"/>
        <v>0</v>
      </c>
      <c r="P1456">
        <v>0</v>
      </c>
      <c r="Q1456">
        <v>0</v>
      </c>
      <c r="R1456">
        <v>3.1</v>
      </c>
      <c r="S1456">
        <f t="shared" si="1094"/>
        <v>3.1</v>
      </c>
      <c r="T1456">
        <v>0</v>
      </c>
      <c r="U1456">
        <v>0.2</v>
      </c>
      <c r="V1456">
        <v>0</v>
      </c>
      <c r="W1456">
        <v>0</v>
      </c>
      <c r="X1456">
        <v>0</v>
      </c>
      <c r="Y1456">
        <v>0</v>
      </c>
      <c r="Z1456">
        <v>0.5</v>
      </c>
      <c r="AA1456">
        <f t="shared" si="1095"/>
        <v>0.7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2.8</v>
      </c>
      <c r="AI1456">
        <v>0</v>
      </c>
      <c r="AJ1456" s="5">
        <f t="shared" si="1096"/>
        <v>2.8</v>
      </c>
      <c r="AK1456">
        <v>3.1</v>
      </c>
      <c r="AL1456">
        <v>0.72099999999999997</v>
      </c>
      <c r="AM1456">
        <f t="shared" si="1101"/>
        <v>0.24800000000000005</v>
      </c>
      <c r="AN1456">
        <v>13817</v>
      </c>
      <c r="AO1456" s="3" t="s">
        <v>13</v>
      </c>
      <c r="AP1456" s="3">
        <f t="shared" ref="AP1456:AP1519" si="1103">AN1456/(1-AM1456)</f>
        <v>18373.670212765959</v>
      </c>
      <c r="AQ1456" s="3" t="s">
        <v>13</v>
      </c>
      <c r="AR1456">
        <f t="shared" si="1100"/>
        <v>0.11290322580645158</v>
      </c>
      <c r="AS1456">
        <f t="shared" si="1097"/>
        <v>0.22</v>
      </c>
      <c r="AT1456">
        <f t="shared" si="1098"/>
        <v>4042</v>
      </c>
      <c r="AU1456">
        <f t="shared" si="1099"/>
        <v>514</v>
      </c>
      <c r="AV1456">
        <f t="shared" si="1083"/>
        <v>2370</v>
      </c>
      <c r="AW1456">
        <f t="shared" si="1084"/>
        <v>574</v>
      </c>
      <c r="AX1456" s="3">
        <f t="shared" si="1085"/>
        <v>15429.670212765959</v>
      </c>
      <c r="AY1456">
        <f t="shared" si="1086"/>
        <v>2021</v>
      </c>
      <c r="AZ1456">
        <f t="shared" si="1087"/>
        <v>586</v>
      </c>
      <c r="BA1456" s="3">
        <f t="shared" si="1088"/>
        <v>15766.670212765959</v>
      </c>
    </row>
    <row r="1457" spans="1:53" x14ac:dyDescent="0.2">
      <c r="A1457">
        <v>2013</v>
      </c>
      <c r="B1457" t="s">
        <v>122</v>
      </c>
      <c r="C1457" t="s">
        <v>63</v>
      </c>
      <c r="D1457">
        <v>4.5999999999999996</v>
      </c>
      <c r="E1457">
        <v>1.7</v>
      </c>
      <c r="F1457">
        <v>0</v>
      </c>
      <c r="G1457">
        <v>2.2999999999999998</v>
      </c>
      <c r="H1457">
        <v>0</v>
      </c>
      <c r="I1457">
        <v>1</v>
      </c>
      <c r="J1457">
        <v>9.3000000000000007</v>
      </c>
      <c r="K1457">
        <f t="shared" si="1102"/>
        <v>18.899999999999999</v>
      </c>
      <c r="L1457">
        <v>0</v>
      </c>
      <c r="M1457">
        <v>0</v>
      </c>
      <c r="N1457">
        <v>1.4</v>
      </c>
      <c r="O1457">
        <f t="shared" si="1093"/>
        <v>1.4</v>
      </c>
      <c r="P1457">
        <v>0</v>
      </c>
      <c r="Q1457">
        <v>0</v>
      </c>
      <c r="R1457">
        <v>6.9</v>
      </c>
      <c r="S1457">
        <f t="shared" si="1094"/>
        <v>6.9</v>
      </c>
      <c r="T1457">
        <v>1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1.7</v>
      </c>
      <c r="AA1457">
        <f t="shared" si="1095"/>
        <v>2.7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15.3</v>
      </c>
      <c r="AI1457">
        <v>0</v>
      </c>
      <c r="AJ1457" s="5">
        <f t="shared" si="1096"/>
        <v>15.3</v>
      </c>
      <c r="AK1457">
        <v>6.1</v>
      </c>
      <c r="AL1457">
        <v>0.48700000000000004</v>
      </c>
      <c r="AM1457">
        <f t="shared" si="1101"/>
        <v>0.45200000000000001</v>
      </c>
      <c r="AN1457">
        <v>10882</v>
      </c>
      <c r="AO1457" s="3" t="s">
        <v>13</v>
      </c>
      <c r="AP1457" s="3">
        <f t="shared" si="1103"/>
        <v>19857.664233576641</v>
      </c>
      <c r="AQ1457" s="3" t="s">
        <v>13</v>
      </c>
      <c r="AR1457">
        <f t="shared" si="1100"/>
        <v>0.33849557522123891</v>
      </c>
      <c r="AS1457">
        <f t="shared" si="1097"/>
        <v>0.29899999999999993</v>
      </c>
      <c r="AT1457">
        <f t="shared" si="1098"/>
        <v>5937</v>
      </c>
      <c r="AU1457">
        <f t="shared" si="1099"/>
        <v>3038</v>
      </c>
      <c r="AV1457">
        <f t="shared" si="1083"/>
        <v>4061</v>
      </c>
      <c r="AW1457">
        <f t="shared" si="1084"/>
        <v>3447</v>
      </c>
      <c r="AX1457" s="3">
        <f t="shared" si="1085"/>
        <v>12349.664233576641</v>
      </c>
      <c r="AY1457">
        <f t="shared" si="1086"/>
        <v>2969</v>
      </c>
      <c r="AZ1457">
        <f t="shared" si="1087"/>
        <v>3686</v>
      </c>
      <c r="BA1457" s="3">
        <f t="shared" si="1088"/>
        <v>13202.664233576641</v>
      </c>
    </row>
    <row r="1458" spans="1:53" x14ac:dyDescent="0.2">
      <c r="A1458">
        <v>2014</v>
      </c>
      <c r="B1458" t="s">
        <v>122</v>
      </c>
      <c r="C1458" t="s">
        <v>63</v>
      </c>
      <c r="D1458">
        <v>16.100000000000001</v>
      </c>
      <c r="E1458">
        <v>2</v>
      </c>
      <c r="F1458">
        <v>0</v>
      </c>
      <c r="G1458">
        <v>0</v>
      </c>
      <c r="H1458">
        <v>0</v>
      </c>
      <c r="I1458">
        <v>7.1</v>
      </c>
      <c r="J1458">
        <v>1.5</v>
      </c>
      <c r="K1458">
        <f t="shared" si="1102"/>
        <v>26.700000000000003</v>
      </c>
      <c r="L1458">
        <v>0</v>
      </c>
      <c r="M1458">
        <v>0</v>
      </c>
      <c r="N1458">
        <v>1.7</v>
      </c>
      <c r="O1458">
        <f t="shared" si="1093"/>
        <v>1.7</v>
      </c>
      <c r="P1458">
        <v>0</v>
      </c>
      <c r="Q1458">
        <v>0</v>
      </c>
      <c r="R1458">
        <v>17.3</v>
      </c>
      <c r="S1458">
        <f t="shared" si="1094"/>
        <v>17.3</v>
      </c>
      <c r="T1458">
        <v>1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2.7</v>
      </c>
      <c r="AA1458">
        <f t="shared" si="1095"/>
        <v>3.7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6.5</v>
      </c>
      <c r="AI1458">
        <v>0</v>
      </c>
      <c r="AJ1458" s="5">
        <f t="shared" si="1096"/>
        <v>6.5</v>
      </c>
      <c r="AK1458">
        <v>4.0999999999999996</v>
      </c>
      <c r="AL1458">
        <v>0.39899999999999997</v>
      </c>
      <c r="AM1458">
        <f t="shared" si="1101"/>
        <v>0.55899999999999994</v>
      </c>
      <c r="AN1458">
        <v>10480</v>
      </c>
      <c r="AO1458" s="3" t="s">
        <v>13</v>
      </c>
      <c r="AP1458" s="3">
        <f t="shared" si="1103"/>
        <v>23764.172335600902</v>
      </c>
      <c r="AQ1458" s="3" t="s">
        <v>13</v>
      </c>
      <c r="AR1458">
        <f t="shared" si="1100"/>
        <v>0.11627906976744187</v>
      </c>
      <c r="AS1458">
        <f t="shared" si="1097"/>
        <v>0.49400000000000005</v>
      </c>
      <c r="AT1458">
        <f t="shared" si="1098"/>
        <v>11740</v>
      </c>
      <c r="AU1458">
        <f t="shared" si="1099"/>
        <v>1545</v>
      </c>
      <c r="AV1458">
        <f t="shared" si="1083"/>
        <v>8567</v>
      </c>
      <c r="AW1458">
        <f t="shared" si="1084"/>
        <v>1953</v>
      </c>
      <c r="AX1458" s="3">
        <f t="shared" si="1085"/>
        <v>13244.172335600902</v>
      </c>
      <c r="AY1458">
        <f t="shared" si="1086"/>
        <v>5870</v>
      </c>
      <c r="AZ1458">
        <f t="shared" si="1087"/>
        <v>2299</v>
      </c>
      <c r="BA1458" s="3">
        <f t="shared" si="1088"/>
        <v>15595.172335600902</v>
      </c>
    </row>
    <row r="1459" spans="1:53" x14ac:dyDescent="0.2">
      <c r="A1459">
        <v>2015</v>
      </c>
      <c r="B1459" t="s">
        <v>122</v>
      </c>
      <c r="C1459" t="s">
        <v>63</v>
      </c>
      <c r="D1459">
        <v>14.2</v>
      </c>
      <c r="E1459">
        <v>0.4</v>
      </c>
      <c r="F1459">
        <v>1.1000000000000001</v>
      </c>
      <c r="G1459">
        <v>1.1000000000000001</v>
      </c>
      <c r="H1459">
        <v>1.1000000000000001</v>
      </c>
      <c r="I1459">
        <v>1.3</v>
      </c>
      <c r="J1459">
        <v>6.9</v>
      </c>
      <c r="K1459">
        <f t="shared" si="1102"/>
        <v>26.1</v>
      </c>
      <c r="L1459">
        <v>0</v>
      </c>
      <c r="M1459">
        <v>0</v>
      </c>
      <c r="N1459">
        <v>2.1</v>
      </c>
      <c r="O1459">
        <f t="shared" si="1093"/>
        <v>2.1</v>
      </c>
      <c r="P1459">
        <v>0</v>
      </c>
      <c r="Q1459">
        <v>0</v>
      </c>
      <c r="R1459">
        <v>11.9</v>
      </c>
      <c r="S1459">
        <f t="shared" si="1094"/>
        <v>11.9</v>
      </c>
      <c r="T1459">
        <v>1.8</v>
      </c>
      <c r="U1459">
        <v>0</v>
      </c>
      <c r="V1459">
        <v>0</v>
      </c>
      <c r="W1459">
        <v>0</v>
      </c>
      <c r="X1459">
        <v>0</v>
      </c>
      <c r="Y1459">
        <v>0.8</v>
      </c>
      <c r="Z1459">
        <v>2.2999999999999998</v>
      </c>
      <c r="AA1459">
        <f t="shared" si="1095"/>
        <v>4.9000000000000004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2.2999999999999998</v>
      </c>
      <c r="AI1459">
        <v>0</v>
      </c>
      <c r="AJ1459" s="5">
        <f t="shared" si="1096"/>
        <v>2.2999999999999998</v>
      </c>
      <c r="AK1459">
        <v>0</v>
      </c>
      <c r="AL1459">
        <v>0.52700000000000002</v>
      </c>
      <c r="AM1459">
        <f t="shared" si="1101"/>
        <v>0.47300000000000003</v>
      </c>
      <c r="AN1459">
        <v>13076</v>
      </c>
      <c r="AO1459" s="3" t="s">
        <v>13</v>
      </c>
      <c r="AP1459" s="3">
        <f t="shared" si="1103"/>
        <v>24812.144212523723</v>
      </c>
      <c r="AQ1459" s="3" t="s">
        <v>13</v>
      </c>
      <c r="AR1459">
        <f t="shared" si="1100"/>
        <v>4.8625792811839319E-2</v>
      </c>
      <c r="AS1459">
        <f t="shared" si="1097"/>
        <v>0.45</v>
      </c>
      <c r="AT1459">
        <f t="shared" si="1098"/>
        <v>11165</v>
      </c>
      <c r="AU1459">
        <f t="shared" si="1099"/>
        <v>571</v>
      </c>
      <c r="AV1459">
        <f t="shared" si="1083"/>
        <v>7927</v>
      </c>
      <c r="AW1459">
        <f t="shared" si="1084"/>
        <v>706</v>
      </c>
      <c r="AX1459" s="3">
        <f t="shared" si="1085"/>
        <v>16179.144212523723</v>
      </c>
      <c r="AY1459">
        <f t="shared" si="1086"/>
        <v>5583</v>
      </c>
      <c r="AZ1459">
        <f t="shared" si="1087"/>
        <v>805</v>
      </c>
      <c r="BA1459" s="3">
        <f t="shared" si="1088"/>
        <v>18424.144212523723</v>
      </c>
    </row>
    <row r="1460" spans="1:53" x14ac:dyDescent="0.2">
      <c r="A1460">
        <v>2016</v>
      </c>
      <c r="B1460" t="s">
        <v>122</v>
      </c>
      <c r="C1460" t="s">
        <v>63</v>
      </c>
      <c r="D1460">
        <v>8</v>
      </c>
      <c r="E1460">
        <v>1.4</v>
      </c>
      <c r="F1460">
        <v>0</v>
      </c>
      <c r="G1460">
        <v>0.5</v>
      </c>
      <c r="H1460">
        <v>2.2000000000000002</v>
      </c>
      <c r="I1460">
        <v>3</v>
      </c>
      <c r="J1460">
        <v>6.4</v>
      </c>
      <c r="K1460">
        <f t="shared" si="1102"/>
        <v>21.5</v>
      </c>
      <c r="L1460">
        <v>0</v>
      </c>
      <c r="M1460">
        <v>0</v>
      </c>
      <c r="N1460">
        <v>2.4</v>
      </c>
      <c r="O1460">
        <f t="shared" si="1093"/>
        <v>2.4</v>
      </c>
      <c r="P1460">
        <v>0</v>
      </c>
      <c r="Q1460">
        <v>0</v>
      </c>
      <c r="R1460">
        <v>21.1</v>
      </c>
      <c r="S1460">
        <f t="shared" si="1094"/>
        <v>21.1</v>
      </c>
      <c r="T1460">
        <v>0.9</v>
      </c>
      <c r="U1460">
        <v>1</v>
      </c>
      <c r="V1460">
        <v>0</v>
      </c>
      <c r="W1460">
        <v>0</v>
      </c>
      <c r="X1460">
        <v>0</v>
      </c>
      <c r="Y1460">
        <v>0</v>
      </c>
      <c r="Z1460">
        <v>2.6</v>
      </c>
      <c r="AA1460">
        <f t="shared" si="1095"/>
        <v>4.5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3.6</v>
      </c>
      <c r="AI1460">
        <v>0</v>
      </c>
      <c r="AJ1460" s="5">
        <f t="shared" si="1096"/>
        <v>3.6</v>
      </c>
      <c r="AK1460">
        <v>3.9</v>
      </c>
      <c r="AL1460">
        <v>0.43</v>
      </c>
      <c r="AM1460">
        <f t="shared" si="1101"/>
        <v>0.53100000000000003</v>
      </c>
      <c r="AN1460">
        <v>19290</v>
      </c>
      <c r="AO1460" s="3" t="s">
        <v>13</v>
      </c>
      <c r="AP1460" s="3">
        <f t="shared" si="1103"/>
        <v>41130.063965884867</v>
      </c>
      <c r="AQ1460" s="3" t="s">
        <v>13</v>
      </c>
      <c r="AR1460">
        <f t="shared" si="1100"/>
        <v>6.7796610169491525E-2</v>
      </c>
      <c r="AS1460">
        <f t="shared" si="1097"/>
        <v>0.495</v>
      </c>
      <c r="AT1460">
        <f t="shared" si="1098"/>
        <v>20359</v>
      </c>
      <c r="AU1460">
        <f t="shared" si="1099"/>
        <v>1481</v>
      </c>
      <c r="AV1460">
        <f t="shared" si="1083"/>
        <v>15938</v>
      </c>
      <c r="AW1460">
        <f t="shared" si="1084"/>
        <v>1796</v>
      </c>
      <c r="AX1460" s="3">
        <f t="shared" si="1085"/>
        <v>23396.063965884867</v>
      </c>
      <c r="AY1460">
        <f t="shared" si="1086"/>
        <v>10180</v>
      </c>
      <c r="AZ1460">
        <f t="shared" si="1087"/>
        <v>2207</v>
      </c>
      <c r="BA1460" s="3">
        <f t="shared" si="1088"/>
        <v>28743.063965884867</v>
      </c>
    </row>
    <row r="1461" spans="1:53" x14ac:dyDescent="0.2">
      <c r="A1461">
        <v>2017</v>
      </c>
      <c r="B1461" t="s">
        <v>122</v>
      </c>
      <c r="C1461" t="s">
        <v>63</v>
      </c>
      <c r="D1461">
        <v>5.4</v>
      </c>
      <c r="E1461">
        <v>1.9</v>
      </c>
      <c r="F1461">
        <v>1.1000000000000001</v>
      </c>
      <c r="G1461">
        <v>0.5</v>
      </c>
      <c r="H1461">
        <v>2.5</v>
      </c>
      <c r="I1461">
        <v>6.6</v>
      </c>
      <c r="J1461">
        <v>23.3</v>
      </c>
      <c r="K1461">
        <f t="shared" si="1102"/>
        <v>41.3</v>
      </c>
      <c r="L1461">
        <v>0</v>
      </c>
      <c r="M1461">
        <v>0</v>
      </c>
      <c r="N1461">
        <v>2.4</v>
      </c>
      <c r="O1461">
        <f t="shared" si="1093"/>
        <v>2.4</v>
      </c>
      <c r="P1461">
        <v>0</v>
      </c>
      <c r="Q1461">
        <v>0</v>
      </c>
      <c r="R1461">
        <v>16</v>
      </c>
      <c r="S1461">
        <f t="shared" si="1094"/>
        <v>16</v>
      </c>
      <c r="T1461">
        <v>0.5</v>
      </c>
      <c r="U1461">
        <v>0.7</v>
      </c>
      <c r="V1461">
        <v>0</v>
      </c>
      <c r="W1461">
        <v>0</v>
      </c>
      <c r="X1461">
        <v>0</v>
      </c>
      <c r="Y1461">
        <v>1.6</v>
      </c>
      <c r="Z1461">
        <v>2.1</v>
      </c>
      <c r="AA1461">
        <f t="shared" si="1095"/>
        <v>4.9000000000000004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3.6</v>
      </c>
      <c r="AI1461">
        <v>0</v>
      </c>
      <c r="AJ1461" s="5">
        <f t="shared" si="1096"/>
        <v>3.6</v>
      </c>
      <c r="AK1461">
        <v>0.1</v>
      </c>
      <c r="AL1461">
        <v>0.315</v>
      </c>
      <c r="AM1461">
        <f t="shared" si="1101"/>
        <v>0.68200000000000005</v>
      </c>
      <c r="AN1461">
        <v>12579</v>
      </c>
      <c r="AO1461" s="3" t="s">
        <v>13</v>
      </c>
      <c r="AP1461" s="3">
        <f t="shared" si="1103"/>
        <v>39556.60377358491</v>
      </c>
      <c r="AQ1461" s="3" t="s">
        <v>13</v>
      </c>
      <c r="AR1461">
        <f t="shared" si="1100"/>
        <v>5.2785923753665691E-2</v>
      </c>
      <c r="AS1461">
        <f t="shared" si="1097"/>
        <v>0.64599999999999991</v>
      </c>
      <c r="AT1461">
        <f t="shared" si="1098"/>
        <v>25554</v>
      </c>
      <c r="AU1461">
        <f t="shared" si="1099"/>
        <v>1424</v>
      </c>
      <c r="AV1461">
        <f t="shared" si="1083"/>
        <v>17385</v>
      </c>
      <c r="AW1461">
        <f t="shared" si="1084"/>
        <v>2255</v>
      </c>
      <c r="AX1461" s="3">
        <f t="shared" si="1085"/>
        <v>19916.60377358491</v>
      </c>
      <c r="AY1461">
        <f t="shared" si="1086"/>
        <v>12777</v>
      </c>
      <c r="AZ1461">
        <f t="shared" si="1087"/>
        <v>2723</v>
      </c>
      <c r="BA1461" s="3">
        <f t="shared" si="1088"/>
        <v>24056.60377358491</v>
      </c>
    </row>
    <row r="1462" spans="1:53" x14ac:dyDescent="0.2">
      <c r="A1462">
        <v>2018</v>
      </c>
      <c r="B1462" t="s">
        <v>122</v>
      </c>
      <c r="C1462" t="s">
        <v>63</v>
      </c>
      <c r="D1462">
        <v>4.8</v>
      </c>
      <c r="E1462">
        <v>1.1000000000000001</v>
      </c>
      <c r="F1462">
        <v>0.4</v>
      </c>
      <c r="G1462">
        <v>1.5</v>
      </c>
      <c r="H1462">
        <v>0</v>
      </c>
      <c r="I1462">
        <v>2.5</v>
      </c>
      <c r="J1462">
        <v>13.4</v>
      </c>
      <c r="K1462">
        <f t="shared" si="1102"/>
        <v>23.700000000000003</v>
      </c>
      <c r="L1462">
        <v>0</v>
      </c>
      <c r="M1462">
        <v>0</v>
      </c>
      <c r="N1462">
        <v>0.5</v>
      </c>
      <c r="O1462">
        <f t="shared" si="1093"/>
        <v>0.5</v>
      </c>
      <c r="P1462">
        <v>0</v>
      </c>
      <c r="Q1462">
        <v>0</v>
      </c>
      <c r="R1462">
        <v>12.8</v>
      </c>
      <c r="S1462">
        <f t="shared" si="1094"/>
        <v>12.8</v>
      </c>
      <c r="T1462">
        <v>1.2</v>
      </c>
      <c r="U1462">
        <v>0</v>
      </c>
      <c r="V1462">
        <v>0</v>
      </c>
      <c r="W1462">
        <v>0</v>
      </c>
      <c r="X1462">
        <v>0</v>
      </c>
      <c r="Y1462">
        <v>0.3</v>
      </c>
      <c r="Z1462">
        <v>3</v>
      </c>
      <c r="AA1462">
        <f t="shared" si="1095"/>
        <v>4.5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2.2999999999999998</v>
      </c>
      <c r="AI1462">
        <v>0</v>
      </c>
      <c r="AJ1462" s="5">
        <f t="shared" si="1096"/>
        <v>2.2999999999999998</v>
      </c>
      <c r="AK1462">
        <v>0.8</v>
      </c>
      <c r="AL1462">
        <v>0.55299999999999994</v>
      </c>
      <c r="AM1462">
        <f t="shared" si="1101"/>
        <v>0.43800000000000006</v>
      </c>
      <c r="AN1462">
        <v>10903</v>
      </c>
      <c r="AO1462" s="3" t="s">
        <v>13</v>
      </c>
      <c r="AP1462" s="3">
        <f t="shared" si="1103"/>
        <v>19400.355871886124</v>
      </c>
      <c r="AQ1462" s="3" t="s">
        <v>13</v>
      </c>
      <c r="AR1462">
        <f t="shared" si="1100"/>
        <v>5.2511415525114145E-2</v>
      </c>
      <c r="AS1462">
        <f t="shared" si="1097"/>
        <v>0.41499999999999998</v>
      </c>
      <c r="AT1462">
        <f t="shared" si="1098"/>
        <v>8051</v>
      </c>
      <c r="AU1462">
        <f t="shared" si="1099"/>
        <v>446</v>
      </c>
      <c r="AV1462">
        <f t="shared" si="1083"/>
        <v>5752</v>
      </c>
      <c r="AW1462">
        <f t="shared" si="1084"/>
        <v>536</v>
      </c>
      <c r="AX1462" s="3">
        <f t="shared" si="1085"/>
        <v>13112.355871886124</v>
      </c>
      <c r="AY1462">
        <f t="shared" si="1086"/>
        <v>4026</v>
      </c>
      <c r="AZ1462">
        <f t="shared" si="1087"/>
        <v>604</v>
      </c>
      <c r="BA1462" s="3">
        <f t="shared" si="1088"/>
        <v>14770.355871886124</v>
      </c>
    </row>
    <row r="1463" spans="1:53" x14ac:dyDescent="0.2">
      <c r="A1463">
        <v>2019</v>
      </c>
      <c r="B1463" t="s">
        <v>122</v>
      </c>
      <c r="C1463" t="s">
        <v>63</v>
      </c>
      <c r="D1463">
        <v>1.1000000000000001</v>
      </c>
      <c r="E1463">
        <v>0.2</v>
      </c>
      <c r="F1463">
        <v>0</v>
      </c>
      <c r="G1463">
        <v>0.3</v>
      </c>
      <c r="H1463">
        <v>0.2</v>
      </c>
      <c r="I1463">
        <v>0</v>
      </c>
      <c r="J1463">
        <v>9</v>
      </c>
      <c r="K1463">
        <f t="shared" si="1102"/>
        <v>10.8</v>
      </c>
      <c r="L1463">
        <v>0</v>
      </c>
      <c r="M1463">
        <v>0</v>
      </c>
      <c r="N1463">
        <v>1.5</v>
      </c>
      <c r="O1463">
        <f t="shared" si="1093"/>
        <v>1.5</v>
      </c>
      <c r="P1463">
        <v>0</v>
      </c>
      <c r="Q1463">
        <v>0.2</v>
      </c>
      <c r="R1463">
        <v>4</v>
      </c>
      <c r="S1463">
        <f t="shared" si="1094"/>
        <v>4.2</v>
      </c>
      <c r="T1463">
        <v>0.5</v>
      </c>
      <c r="U1463">
        <v>0.3</v>
      </c>
      <c r="V1463">
        <v>0</v>
      </c>
      <c r="W1463">
        <v>0</v>
      </c>
      <c r="X1463">
        <v>0</v>
      </c>
      <c r="Y1463">
        <v>0.3</v>
      </c>
      <c r="Z1463">
        <v>3.3</v>
      </c>
      <c r="AA1463">
        <f t="shared" si="1095"/>
        <v>4.4000000000000004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4.5999999999999996</v>
      </c>
      <c r="AI1463">
        <v>0</v>
      </c>
      <c r="AJ1463" s="5">
        <f t="shared" si="1096"/>
        <v>4.5999999999999996</v>
      </c>
      <c r="AK1463">
        <v>1.5</v>
      </c>
      <c r="AL1463">
        <v>0.73099999999999998</v>
      </c>
      <c r="AM1463">
        <f t="shared" si="1101"/>
        <v>0.25499999999999995</v>
      </c>
      <c r="AN1463">
        <v>11810</v>
      </c>
      <c r="AO1463" s="3" t="s">
        <v>13</v>
      </c>
      <c r="AP1463" s="3">
        <f t="shared" si="1103"/>
        <v>15852.348993288588</v>
      </c>
      <c r="AQ1463" s="3" t="s">
        <v>13</v>
      </c>
      <c r="AR1463">
        <f t="shared" si="1100"/>
        <v>0.18039215686274512</v>
      </c>
      <c r="AS1463">
        <f t="shared" si="1097"/>
        <v>0.20899999999999999</v>
      </c>
      <c r="AT1463">
        <f t="shared" si="1098"/>
        <v>3313</v>
      </c>
      <c r="AU1463">
        <f t="shared" si="1099"/>
        <v>729</v>
      </c>
      <c r="AV1463">
        <f t="shared" si="1083"/>
        <v>2457</v>
      </c>
      <c r="AW1463">
        <f t="shared" si="1084"/>
        <v>779</v>
      </c>
      <c r="AX1463" s="3">
        <f t="shared" si="1085"/>
        <v>12616.348993288588</v>
      </c>
      <c r="AY1463">
        <f t="shared" si="1086"/>
        <v>1657</v>
      </c>
      <c r="AZ1463">
        <f t="shared" si="1087"/>
        <v>825</v>
      </c>
      <c r="BA1463" s="3">
        <f t="shared" si="1088"/>
        <v>13370.348993288588</v>
      </c>
    </row>
    <row r="1464" spans="1:53" x14ac:dyDescent="0.2">
      <c r="A1464">
        <v>2020</v>
      </c>
      <c r="B1464" t="s">
        <v>122</v>
      </c>
      <c r="C1464" t="s">
        <v>63</v>
      </c>
      <c r="D1464">
        <v>4.0999999999999996</v>
      </c>
      <c r="E1464">
        <v>1.6</v>
      </c>
      <c r="F1464">
        <v>0</v>
      </c>
      <c r="G1464">
        <v>0</v>
      </c>
      <c r="H1464">
        <v>0</v>
      </c>
      <c r="I1464">
        <v>0.6</v>
      </c>
      <c r="J1464">
        <v>0</v>
      </c>
      <c r="K1464">
        <f t="shared" si="1102"/>
        <v>6.2999999999999989</v>
      </c>
      <c r="L1464">
        <v>0</v>
      </c>
      <c r="M1464">
        <v>0</v>
      </c>
      <c r="N1464">
        <v>0.6</v>
      </c>
      <c r="O1464">
        <f t="shared" si="1093"/>
        <v>0.6</v>
      </c>
      <c r="P1464">
        <v>0</v>
      </c>
      <c r="Q1464">
        <v>0.2</v>
      </c>
      <c r="R1464">
        <v>9.6</v>
      </c>
      <c r="S1464">
        <f t="shared" si="1094"/>
        <v>9.7999999999999989</v>
      </c>
      <c r="T1464">
        <v>0</v>
      </c>
      <c r="U1464">
        <v>0.6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f t="shared" si="1095"/>
        <v>0.6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5.2</v>
      </c>
      <c r="AI1464">
        <v>0</v>
      </c>
      <c r="AJ1464" s="5">
        <f t="shared" si="1096"/>
        <v>5.2</v>
      </c>
      <c r="AK1464">
        <v>0</v>
      </c>
      <c r="AL1464">
        <v>0.77400000000000002</v>
      </c>
      <c r="AM1464">
        <f t="shared" si="1101"/>
        <v>0.22500000000000001</v>
      </c>
      <c r="AN1464">
        <v>10865</v>
      </c>
      <c r="AO1464" s="3" t="s">
        <v>13</v>
      </c>
      <c r="AP1464" s="3">
        <f t="shared" si="1103"/>
        <v>14019.354838709676</v>
      </c>
      <c r="AQ1464" s="3" t="s">
        <v>13</v>
      </c>
      <c r="AR1464">
        <f t="shared" si="1100"/>
        <v>0.23111111111111113</v>
      </c>
      <c r="AS1464">
        <f t="shared" si="1097"/>
        <v>0.17299999999999996</v>
      </c>
      <c r="AT1464">
        <f t="shared" si="1098"/>
        <v>2425</v>
      </c>
      <c r="AU1464">
        <f t="shared" si="1099"/>
        <v>729</v>
      </c>
      <c r="AV1464">
        <f t="shared" si="1083"/>
        <v>1984</v>
      </c>
      <c r="AW1464">
        <f t="shared" si="1084"/>
        <v>757</v>
      </c>
      <c r="AX1464" s="3">
        <f t="shared" si="1085"/>
        <v>11278.354838709676</v>
      </c>
      <c r="AY1464">
        <f t="shared" si="1086"/>
        <v>1213</v>
      </c>
      <c r="AZ1464">
        <f t="shared" si="1087"/>
        <v>805</v>
      </c>
      <c r="BA1464" s="3">
        <f t="shared" si="1088"/>
        <v>12001.354838709676</v>
      </c>
    </row>
    <row r="1465" spans="1:53" x14ac:dyDescent="0.2">
      <c r="A1465">
        <v>2021</v>
      </c>
      <c r="B1465" t="s">
        <v>122</v>
      </c>
      <c r="C1465" t="s">
        <v>63</v>
      </c>
      <c r="D1465">
        <v>3.6</v>
      </c>
      <c r="E1465">
        <v>1.8</v>
      </c>
      <c r="F1465">
        <v>0.4</v>
      </c>
      <c r="G1465">
        <v>0</v>
      </c>
      <c r="H1465">
        <v>0</v>
      </c>
      <c r="I1465">
        <v>2.1</v>
      </c>
      <c r="J1465">
        <v>8.3000000000000007</v>
      </c>
      <c r="K1465">
        <f t="shared" si="1102"/>
        <v>16.200000000000003</v>
      </c>
      <c r="L1465">
        <v>0</v>
      </c>
      <c r="M1465">
        <v>0</v>
      </c>
      <c r="N1465">
        <v>0</v>
      </c>
      <c r="O1465">
        <f t="shared" si="1093"/>
        <v>0</v>
      </c>
      <c r="P1465">
        <v>0</v>
      </c>
      <c r="Q1465">
        <v>0</v>
      </c>
      <c r="R1465">
        <v>5</v>
      </c>
      <c r="S1465">
        <f t="shared" si="1094"/>
        <v>5</v>
      </c>
      <c r="T1465">
        <v>0.3</v>
      </c>
      <c r="U1465">
        <v>0</v>
      </c>
      <c r="V1465">
        <v>0.2</v>
      </c>
      <c r="W1465">
        <v>0</v>
      </c>
      <c r="X1465">
        <v>0</v>
      </c>
      <c r="Y1465">
        <v>0.1</v>
      </c>
      <c r="Z1465">
        <v>2.2000000000000002</v>
      </c>
      <c r="AA1465">
        <f t="shared" si="1095"/>
        <v>2.8000000000000003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3.8</v>
      </c>
      <c r="AI1465">
        <v>0</v>
      </c>
      <c r="AJ1465" s="5">
        <f t="shared" si="1096"/>
        <v>3.8</v>
      </c>
      <c r="AK1465">
        <v>11</v>
      </c>
      <c r="AL1465">
        <v>0.61299999999999999</v>
      </c>
      <c r="AM1465">
        <f t="shared" si="1101"/>
        <v>0.27800000000000002</v>
      </c>
      <c r="AN1465">
        <v>9177</v>
      </c>
      <c r="AO1465" s="3" t="s">
        <v>13</v>
      </c>
      <c r="AP1465" s="3">
        <f t="shared" si="1103"/>
        <v>12710.526315789473</v>
      </c>
      <c r="AQ1465" s="3" t="s">
        <v>13</v>
      </c>
      <c r="AR1465">
        <f t="shared" si="1100"/>
        <v>0.13669064748201437</v>
      </c>
      <c r="AS1465">
        <f t="shared" si="1097"/>
        <v>0.24000000000000005</v>
      </c>
      <c r="AT1465">
        <f t="shared" si="1098"/>
        <v>3051</v>
      </c>
      <c r="AU1465">
        <f t="shared" si="1099"/>
        <v>483</v>
      </c>
      <c r="AV1465">
        <f t="shared" si="1083"/>
        <v>2021</v>
      </c>
      <c r="AW1465">
        <f t="shared" si="1084"/>
        <v>535</v>
      </c>
      <c r="AX1465" s="3">
        <f t="shared" si="1085"/>
        <v>10154.526315789473</v>
      </c>
      <c r="AY1465">
        <f t="shared" si="1086"/>
        <v>1525</v>
      </c>
      <c r="AZ1465">
        <f t="shared" si="1087"/>
        <v>559</v>
      </c>
      <c r="BA1465" s="3">
        <f t="shared" si="1088"/>
        <v>10626.526315789473</v>
      </c>
    </row>
    <row r="1466" spans="1:53" x14ac:dyDescent="0.2">
      <c r="A1466">
        <v>2022</v>
      </c>
      <c r="B1466" t="s">
        <v>122</v>
      </c>
      <c r="C1466" t="s">
        <v>63</v>
      </c>
      <c r="D1466">
        <v>2.5</v>
      </c>
      <c r="E1466">
        <v>0.6</v>
      </c>
      <c r="F1466">
        <v>0.9</v>
      </c>
      <c r="G1466">
        <v>0.7</v>
      </c>
      <c r="H1466">
        <v>0</v>
      </c>
      <c r="I1466">
        <v>0.8</v>
      </c>
      <c r="J1466">
        <v>5.4</v>
      </c>
      <c r="K1466">
        <f t="shared" si="1102"/>
        <v>10.9</v>
      </c>
      <c r="L1466">
        <v>0</v>
      </c>
      <c r="M1466">
        <v>0</v>
      </c>
      <c r="N1466">
        <v>1.3</v>
      </c>
      <c r="O1466">
        <f t="shared" si="1093"/>
        <v>1.3</v>
      </c>
      <c r="P1466">
        <v>0</v>
      </c>
      <c r="Q1466">
        <v>0</v>
      </c>
      <c r="R1466">
        <v>2.8</v>
      </c>
      <c r="S1466">
        <f t="shared" si="1094"/>
        <v>2.8</v>
      </c>
      <c r="T1466">
        <v>0.2</v>
      </c>
      <c r="U1466">
        <v>0</v>
      </c>
      <c r="V1466">
        <v>0</v>
      </c>
      <c r="W1466">
        <v>0</v>
      </c>
      <c r="X1466">
        <v>0</v>
      </c>
      <c r="Y1466">
        <v>0.2</v>
      </c>
      <c r="Z1466">
        <v>3.2</v>
      </c>
      <c r="AA1466">
        <f t="shared" si="1095"/>
        <v>3.6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13.3</v>
      </c>
      <c r="AI1466">
        <v>0</v>
      </c>
      <c r="AJ1466" s="5">
        <f t="shared" si="1096"/>
        <v>13.3</v>
      </c>
      <c r="AK1466">
        <v>0.3</v>
      </c>
      <c r="AL1466">
        <v>0.68</v>
      </c>
      <c r="AM1466">
        <f t="shared" si="1101"/>
        <v>0.31900000000000001</v>
      </c>
      <c r="AN1466">
        <v>17323</v>
      </c>
      <c r="AO1466" s="3" t="s">
        <v>13</v>
      </c>
      <c r="AP1466" s="3">
        <f t="shared" si="1103"/>
        <v>25437.591776798825</v>
      </c>
      <c r="AQ1466" s="3" t="s">
        <v>13</v>
      </c>
      <c r="AR1466">
        <f t="shared" si="1100"/>
        <v>0.41692789968652039</v>
      </c>
      <c r="AS1466">
        <f t="shared" si="1097"/>
        <v>0.18600000000000003</v>
      </c>
      <c r="AT1466">
        <f t="shared" si="1098"/>
        <v>4731</v>
      </c>
      <c r="AU1466">
        <f t="shared" si="1099"/>
        <v>3383</v>
      </c>
      <c r="AV1466">
        <f t="shared" si="1083"/>
        <v>3345</v>
      </c>
      <c r="AW1466">
        <f t="shared" si="1084"/>
        <v>3609</v>
      </c>
      <c r="AX1466" s="3">
        <f t="shared" si="1085"/>
        <v>18483.591776798825</v>
      </c>
      <c r="AY1466">
        <f t="shared" si="1086"/>
        <v>2366</v>
      </c>
      <c r="AZ1466">
        <f t="shared" si="1087"/>
        <v>3769</v>
      </c>
      <c r="BA1466" s="3">
        <f t="shared" si="1088"/>
        <v>19302.591776798825</v>
      </c>
    </row>
    <row r="1467" spans="1:53" x14ac:dyDescent="0.2">
      <c r="A1467">
        <v>2023</v>
      </c>
      <c r="B1467" t="s">
        <v>122</v>
      </c>
      <c r="C1467" t="s">
        <v>63</v>
      </c>
      <c r="D1467" t="s">
        <v>13</v>
      </c>
      <c r="E1467" t="s">
        <v>13</v>
      </c>
      <c r="F1467" t="s">
        <v>13</v>
      </c>
      <c r="G1467" t="s">
        <v>13</v>
      </c>
      <c r="H1467" t="s">
        <v>13</v>
      </c>
      <c r="I1467" t="s">
        <v>13</v>
      </c>
      <c r="J1467" t="s">
        <v>13</v>
      </c>
      <c r="K1467" t="s">
        <v>13</v>
      </c>
      <c r="L1467" t="s">
        <v>13</v>
      </c>
      <c r="M1467" t="s">
        <v>13</v>
      </c>
      <c r="N1467" t="s">
        <v>13</v>
      </c>
      <c r="O1467" t="s">
        <v>13</v>
      </c>
      <c r="P1467" t="s">
        <v>13</v>
      </c>
      <c r="Q1467" t="s">
        <v>13</v>
      </c>
      <c r="R1467" t="s">
        <v>13</v>
      </c>
      <c r="S1467" t="s">
        <v>13</v>
      </c>
      <c r="T1467" t="s">
        <v>13</v>
      </c>
      <c r="U1467" t="s">
        <v>13</v>
      </c>
      <c r="V1467" t="s">
        <v>13</v>
      </c>
      <c r="W1467" t="s">
        <v>13</v>
      </c>
      <c r="X1467" t="s">
        <v>13</v>
      </c>
      <c r="Y1467" t="s">
        <v>13</v>
      </c>
      <c r="Z1467" t="s">
        <v>13</v>
      </c>
      <c r="AA1467" t="s">
        <v>13</v>
      </c>
      <c r="AB1467" t="s">
        <v>13</v>
      </c>
      <c r="AC1467" t="s">
        <v>13</v>
      </c>
      <c r="AD1467" t="s">
        <v>13</v>
      </c>
      <c r="AE1467" t="s">
        <v>13</v>
      </c>
      <c r="AF1467" t="s">
        <v>13</v>
      </c>
      <c r="AG1467" t="s">
        <v>13</v>
      </c>
      <c r="AH1467" t="s">
        <v>13</v>
      </c>
      <c r="AI1467" t="s">
        <v>13</v>
      </c>
      <c r="AJ1467" t="s">
        <v>13</v>
      </c>
      <c r="AK1467" t="s">
        <v>13</v>
      </c>
      <c r="AL1467" t="s">
        <v>13</v>
      </c>
      <c r="AM1467" t="s">
        <v>13</v>
      </c>
      <c r="AN1467">
        <v>11788</v>
      </c>
      <c r="AO1467" s="3" t="s">
        <v>13</v>
      </c>
      <c r="AP1467" s="3" t="s">
        <v>13</v>
      </c>
      <c r="AQ1467" s="3" t="s">
        <v>13</v>
      </c>
      <c r="AR1467" s="3" t="s">
        <v>13</v>
      </c>
      <c r="AS1467" s="3" t="s">
        <v>13</v>
      </c>
      <c r="AT1467" s="3" t="s">
        <v>13</v>
      </c>
      <c r="AU1467" s="3" t="s">
        <v>13</v>
      </c>
      <c r="AV1467" s="3" t="s">
        <v>13</v>
      </c>
      <c r="AW1467" s="3" t="s">
        <v>13</v>
      </c>
      <c r="AX1467" s="3" t="s">
        <v>13</v>
      </c>
      <c r="AY1467" s="3" t="s">
        <v>13</v>
      </c>
      <c r="AZ1467" s="3" t="s">
        <v>13</v>
      </c>
      <c r="BA1467" s="3" t="s">
        <v>13</v>
      </c>
    </row>
    <row r="1468" spans="1:53" x14ac:dyDescent="0.2">
      <c r="A1468">
        <v>1980</v>
      </c>
      <c r="B1468" t="s">
        <v>125</v>
      </c>
      <c r="C1468" t="s">
        <v>126</v>
      </c>
      <c r="D1468">
        <v>30.6</v>
      </c>
      <c r="E1468">
        <v>0</v>
      </c>
      <c r="F1468">
        <v>0.8</v>
      </c>
      <c r="G1468">
        <v>10.6</v>
      </c>
      <c r="H1468">
        <v>0</v>
      </c>
      <c r="I1468">
        <v>8.1</v>
      </c>
      <c r="J1468">
        <v>0</v>
      </c>
      <c r="K1468">
        <f t="shared" si="1102"/>
        <v>50.1</v>
      </c>
      <c r="L1468">
        <v>1.1000000000000001</v>
      </c>
      <c r="M1468">
        <v>1.3</v>
      </c>
      <c r="N1468">
        <v>0</v>
      </c>
      <c r="O1468">
        <f t="shared" si="1093"/>
        <v>2.4000000000000004</v>
      </c>
      <c r="P1468">
        <v>0</v>
      </c>
      <c r="Q1468">
        <v>0</v>
      </c>
      <c r="R1468">
        <v>0</v>
      </c>
      <c r="S1468">
        <f t="shared" si="1094"/>
        <v>0</v>
      </c>
      <c r="T1468">
        <v>0</v>
      </c>
      <c r="U1468">
        <v>0</v>
      </c>
      <c r="V1468">
        <v>0.9</v>
      </c>
      <c r="W1468">
        <v>0.2</v>
      </c>
      <c r="X1468">
        <v>0</v>
      </c>
      <c r="Y1468">
        <v>0</v>
      </c>
      <c r="Z1468">
        <v>0</v>
      </c>
      <c r="AA1468">
        <f t="shared" si="1095"/>
        <v>1.1000000000000001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4.9000000000000004</v>
      </c>
      <c r="AJ1468" s="5">
        <f t="shared" si="1096"/>
        <v>4.9000000000000004</v>
      </c>
      <c r="AK1468">
        <v>0</v>
      </c>
      <c r="AL1468">
        <v>0.41399999999999998</v>
      </c>
      <c r="AM1468">
        <f t="shared" si="1101"/>
        <v>0.58499999999999996</v>
      </c>
      <c r="AN1468">
        <v>5555</v>
      </c>
      <c r="AO1468" s="3" t="s">
        <v>13</v>
      </c>
      <c r="AP1468" s="3">
        <f t="shared" si="1103"/>
        <v>13385.542168674698</v>
      </c>
      <c r="AQ1468" s="3" t="s">
        <v>13</v>
      </c>
      <c r="AR1468">
        <f t="shared" si="1100"/>
        <v>8.3760683760683768E-2</v>
      </c>
      <c r="AS1468">
        <f t="shared" ref="AS1468:AS1510" si="1104">SUM(K1468,O1468,S1468,AA1468)/100</f>
        <v>0.53600000000000003</v>
      </c>
      <c r="AT1468">
        <f t="shared" ref="AT1468:AT1510" si="1105">ROUND(AS1468*AP1468,0)</f>
        <v>7175</v>
      </c>
      <c r="AU1468">
        <f t="shared" ref="AU1468:AU1510" si="1106">ROUND((AJ1468/100)*AP1468,0)</f>
        <v>656</v>
      </c>
      <c r="AV1468">
        <f t="shared" si="1083"/>
        <v>3822</v>
      </c>
      <c r="AW1468">
        <f t="shared" si="1084"/>
        <v>1010</v>
      </c>
      <c r="AX1468" s="3">
        <f t="shared" si="1085"/>
        <v>8553.5421686746977</v>
      </c>
      <c r="AY1468">
        <f t="shared" si="1086"/>
        <v>3587</v>
      </c>
      <c r="AZ1468">
        <f t="shared" si="1087"/>
        <v>1035</v>
      </c>
      <c r="BA1468" s="3">
        <f t="shared" si="1088"/>
        <v>8763.5421686746977</v>
      </c>
    </row>
    <row r="1469" spans="1:53" x14ac:dyDescent="0.2">
      <c r="A1469">
        <v>1981</v>
      </c>
      <c r="B1469" t="s">
        <v>125</v>
      </c>
      <c r="C1469" t="s">
        <v>126</v>
      </c>
      <c r="D1469">
        <v>23.9</v>
      </c>
      <c r="E1469">
        <v>0</v>
      </c>
      <c r="F1469">
        <v>0.6</v>
      </c>
      <c r="G1469">
        <v>24.2</v>
      </c>
      <c r="H1469">
        <v>0</v>
      </c>
      <c r="I1469">
        <v>3.2</v>
      </c>
      <c r="J1469">
        <v>0</v>
      </c>
      <c r="K1469">
        <f t="shared" si="1102"/>
        <v>51.900000000000006</v>
      </c>
      <c r="L1469">
        <v>0.3</v>
      </c>
      <c r="M1469">
        <v>2.2000000000000002</v>
      </c>
      <c r="N1469">
        <v>0</v>
      </c>
      <c r="O1469">
        <f t="shared" si="1093"/>
        <v>2.5</v>
      </c>
      <c r="P1469">
        <v>0</v>
      </c>
      <c r="Q1469">
        <v>0</v>
      </c>
      <c r="R1469">
        <v>0.7</v>
      </c>
      <c r="S1469">
        <f t="shared" si="1094"/>
        <v>0.7</v>
      </c>
      <c r="T1469">
        <v>0.2</v>
      </c>
      <c r="U1469">
        <v>0</v>
      </c>
      <c r="V1469">
        <v>0.4</v>
      </c>
      <c r="W1469">
        <v>0.6</v>
      </c>
      <c r="X1469">
        <v>0</v>
      </c>
      <c r="Y1469">
        <v>0</v>
      </c>
      <c r="Z1469">
        <v>0</v>
      </c>
      <c r="AA1469">
        <f t="shared" si="1095"/>
        <v>1.2000000000000002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1.9</v>
      </c>
      <c r="AJ1469" s="5">
        <f t="shared" si="1096"/>
        <v>1.9</v>
      </c>
      <c r="AK1469">
        <v>0</v>
      </c>
      <c r="AL1469">
        <v>0.41899999999999998</v>
      </c>
      <c r="AM1469">
        <f t="shared" si="1101"/>
        <v>0.58200000000000007</v>
      </c>
      <c r="AN1469">
        <v>10752</v>
      </c>
      <c r="AO1469" s="3" t="s">
        <v>13</v>
      </c>
      <c r="AP1469" s="3">
        <f t="shared" si="1103"/>
        <v>25722.488038277515</v>
      </c>
      <c r="AQ1469" s="3" t="s">
        <v>13</v>
      </c>
      <c r="AR1469">
        <f t="shared" si="1100"/>
        <v>3.2646048109965631E-2</v>
      </c>
      <c r="AS1469">
        <f t="shared" si="1104"/>
        <v>0.56300000000000017</v>
      </c>
      <c r="AT1469">
        <f t="shared" si="1105"/>
        <v>14482</v>
      </c>
      <c r="AU1469">
        <f t="shared" si="1106"/>
        <v>489</v>
      </c>
      <c r="AV1469">
        <f t="shared" si="1083"/>
        <v>7807</v>
      </c>
      <c r="AW1469">
        <f t="shared" si="1084"/>
        <v>779</v>
      </c>
      <c r="AX1469" s="3">
        <f t="shared" si="1085"/>
        <v>17136.488038277515</v>
      </c>
      <c r="AY1469">
        <f t="shared" si="1086"/>
        <v>7241</v>
      </c>
      <c r="AZ1469">
        <f t="shared" si="1087"/>
        <v>804</v>
      </c>
      <c r="BA1469" s="3">
        <f t="shared" si="1088"/>
        <v>17677.488038277515</v>
      </c>
    </row>
    <row r="1470" spans="1:53" x14ac:dyDescent="0.2">
      <c r="A1470">
        <v>1982</v>
      </c>
      <c r="B1470" t="s">
        <v>125</v>
      </c>
      <c r="C1470" t="s">
        <v>126</v>
      </c>
      <c r="D1470">
        <v>10.199999999999999</v>
      </c>
      <c r="E1470">
        <v>1.3</v>
      </c>
      <c r="F1470">
        <v>0.6</v>
      </c>
      <c r="G1470">
        <v>12.7</v>
      </c>
      <c r="H1470">
        <v>0</v>
      </c>
      <c r="I1470">
        <v>6.7</v>
      </c>
      <c r="J1470">
        <v>0</v>
      </c>
      <c r="K1470">
        <f t="shared" si="1102"/>
        <v>31.499999999999996</v>
      </c>
      <c r="L1470">
        <v>0.9</v>
      </c>
      <c r="M1470">
        <v>0.4</v>
      </c>
      <c r="N1470">
        <v>0</v>
      </c>
      <c r="O1470">
        <f t="shared" si="1093"/>
        <v>1.3</v>
      </c>
      <c r="P1470">
        <v>0</v>
      </c>
      <c r="Q1470">
        <v>0</v>
      </c>
      <c r="R1470">
        <v>0</v>
      </c>
      <c r="S1470">
        <f t="shared" si="1094"/>
        <v>0</v>
      </c>
      <c r="T1470">
        <v>0</v>
      </c>
      <c r="U1470">
        <v>0.8</v>
      </c>
      <c r="V1470">
        <v>0.8</v>
      </c>
      <c r="W1470">
        <v>0.2</v>
      </c>
      <c r="X1470">
        <v>0</v>
      </c>
      <c r="Y1470">
        <v>0</v>
      </c>
      <c r="Z1470">
        <v>0</v>
      </c>
      <c r="AA1470">
        <f t="shared" si="1095"/>
        <v>1.8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6.4</v>
      </c>
      <c r="AJ1470" s="5">
        <f t="shared" si="1096"/>
        <v>6.4</v>
      </c>
      <c r="AK1470">
        <v>0</v>
      </c>
      <c r="AL1470">
        <v>0.59099999999999997</v>
      </c>
      <c r="AM1470">
        <f t="shared" si="1101"/>
        <v>0.41</v>
      </c>
      <c r="AN1470">
        <v>5085</v>
      </c>
      <c r="AO1470" s="3" t="s">
        <v>13</v>
      </c>
      <c r="AP1470" s="3">
        <f t="shared" si="1103"/>
        <v>8618.6440677966093</v>
      </c>
      <c r="AQ1470" s="3" t="s">
        <v>13</v>
      </c>
      <c r="AR1470">
        <f t="shared" si="1100"/>
        <v>0.15609756097560976</v>
      </c>
      <c r="AS1470">
        <f t="shared" si="1104"/>
        <v>0.34599999999999992</v>
      </c>
      <c r="AT1470">
        <f t="shared" si="1105"/>
        <v>2982</v>
      </c>
      <c r="AU1470">
        <f t="shared" si="1106"/>
        <v>552</v>
      </c>
      <c r="AV1470">
        <f t="shared" si="1083"/>
        <v>1625</v>
      </c>
      <c r="AW1470">
        <f t="shared" si="1084"/>
        <v>685</v>
      </c>
      <c r="AX1470" s="3">
        <f t="shared" si="1085"/>
        <v>6308.6440677966093</v>
      </c>
      <c r="AY1470">
        <f t="shared" si="1086"/>
        <v>1491</v>
      </c>
      <c r="AZ1470">
        <f t="shared" si="1087"/>
        <v>698</v>
      </c>
      <c r="BA1470" s="3">
        <f t="shared" si="1088"/>
        <v>6429.6440677966093</v>
      </c>
    </row>
    <row r="1471" spans="1:53" x14ac:dyDescent="0.2">
      <c r="A1471">
        <v>1983</v>
      </c>
      <c r="B1471" t="s">
        <v>125</v>
      </c>
      <c r="C1471" t="s">
        <v>126</v>
      </c>
      <c r="D1471">
        <v>26.2</v>
      </c>
      <c r="E1471">
        <v>0.6</v>
      </c>
      <c r="F1471">
        <v>0.1</v>
      </c>
      <c r="G1471">
        <v>18.2</v>
      </c>
      <c r="H1471">
        <v>0</v>
      </c>
      <c r="I1471">
        <v>8.6</v>
      </c>
      <c r="J1471">
        <v>0</v>
      </c>
      <c r="K1471">
        <f t="shared" si="1102"/>
        <v>53.7</v>
      </c>
      <c r="L1471">
        <v>0.6</v>
      </c>
      <c r="M1471">
        <v>0</v>
      </c>
      <c r="N1471">
        <v>0</v>
      </c>
      <c r="O1471">
        <f t="shared" si="1093"/>
        <v>0.6</v>
      </c>
      <c r="P1471">
        <v>0</v>
      </c>
      <c r="Q1471">
        <v>0</v>
      </c>
      <c r="R1471">
        <v>0</v>
      </c>
      <c r="S1471">
        <f t="shared" si="1094"/>
        <v>0</v>
      </c>
      <c r="T1471">
        <v>0</v>
      </c>
      <c r="U1471">
        <v>0.8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f t="shared" si="1095"/>
        <v>0.8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4.0999999999999996</v>
      </c>
      <c r="AJ1471" s="5">
        <f t="shared" si="1096"/>
        <v>4.0999999999999996</v>
      </c>
      <c r="AK1471">
        <v>0</v>
      </c>
      <c r="AL1471">
        <v>0.40799999999999997</v>
      </c>
      <c r="AM1471">
        <f t="shared" si="1101"/>
        <v>0.59199999999999997</v>
      </c>
      <c r="AN1471">
        <v>4431</v>
      </c>
      <c r="AO1471" s="3" t="s">
        <v>13</v>
      </c>
      <c r="AP1471" s="3">
        <f t="shared" si="1103"/>
        <v>10860.294117647058</v>
      </c>
      <c r="AQ1471" s="3" t="s">
        <v>13</v>
      </c>
      <c r="AR1471">
        <f t="shared" si="1100"/>
        <v>6.9256756756756757E-2</v>
      </c>
      <c r="AS1471">
        <f t="shared" si="1104"/>
        <v>0.55100000000000005</v>
      </c>
      <c r="AT1471">
        <f t="shared" si="1105"/>
        <v>5984</v>
      </c>
      <c r="AU1471">
        <f t="shared" si="1106"/>
        <v>445</v>
      </c>
      <c r="AV1471">
        <f t="shared" si="1083"/>
        <v>3068</v>
      </c>
      <c r="AW1471">
        <f t="shared" si="1084"/>
        <v>711</v>
      </c>
      <c r="AX1471" s="3">
        <f t="shared" si="1085"/>
        <v>7081.2941176470576</v>
      </c>
      <c r="AY1471">
        <f t="shared" si="1086"/>
        <v>2992</v>
      </c>
      <c r="AZ1471">
        <f t="shared" si="1087"/>
        <v>718</v>
      </c>
      <c r="BA1471" s="3">
        <f t="shared" si="1088"/>
        <v>7150.2941176470576</v>
      </c>
    </row>
    <row r="1472" spans="1:53" x14ac:dyDescent="0.2">
      <c r="A1472">
        <v>1984</v>
      </c>
      <c r="B1472" t="s">
        <v>125</v>
      </c>
      <c r="C1472" t="s">
        <v>126</v>
      </c>
      <c r="D1472">
        <v>24.5</v>
      </c>
      <c r="E1472">
        <v>0</v>
      </c>
      <c r="F1472">
        <v>0</v>
      </c>
      <c r="G1472">
        <v>38.6</v>
      </c>
      <c r="H1472">
        <v>0</v>
      </c>
      <c r="I1472">
        <v>6.5</v>
      </c>
      <c r="J1472">
        <v>0</v>
      </c>
      <c r="K1472">
        <f t="shared" si="1102"/>
        <v>69.599999999999994</v>
      </c>
      <c r="L1472">
        <v>6.7</v>
      </c>
      <c r="M1472">
        <v>0.8</v>
      </c>
      <c r="N1472">
        <v>0</v>
      </c>
      <c r="O1472">
        <f t="shared" si="1093"/>
        <v>7.5</v>
      </c>
      <c r="P1472">
        <v>0</v>
      </c>
      <c r="Q1472">
        <v>1.5</v>
      </c>
      <c r="R1472">
        <v>0</v>
      </c>
      <c r="S1472">
        <f t="shared" si="1094"/>
        <v>1.5</v>
      </c>
      <c r="T1472">
        <v>0</v>
      </c>
      <c r="U1472">
        <v>0</v>
      </c>
      <c r="V1472">
        <v>0.5</v>
      </c>
      <c r="W1472">
        <v>0.5</v>
      </c>
      <c r="X1472">
        <v>0</v>
      </c>
      <c r="Y1472">
        <v>0</v>
      </c>
      <c r="Z1472">
        <v>0</v>
      </c>
      <c r="AA1472">
        <f t="shared" si="1095"/>
        <v>1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0.5</v>
      </c>
      <c r="AI1472">
        <v>1.1000000000000001</v>
      </c>
      <c r="AJ1472" s="5">
        <f t="shared" si="1096"/>
        <v>1.6</v>
      </c>
      <c r="AK1472">
        <v>0</v>
      </c>
      <c r="AL1472">
        <v>0.188</v>
      </c>
      <c r="AM1472">
        <f t="shared" si="1101"/>
        <v>0.81200000000000006</v>
      </c>
      <c r="AN1472">
        <v>20341</v>
      </c>
      <c r="AO1472" s="3" t="s">
        <v>13</v>
      </c>
      <c r="AP1472" s="3">
        <f t="shared" si="1103"/>
        <v>108196.80851063832</v>
      </c>
      <c r="AQ1472" s="3" t="s">
        <v>13</v>
      </c>
      <c r="AR1472">
        <f t="shared" si="1100"/>
        <v>1.9704433497536946E-2</v>
      </c>
      <c r="AS1472">
        <f t="shared" si="1104"/>
        <v>0.79599999999999993</v>
      </c>
      <c r="AT1472">
        <f t="shared" si="1105"/>
        <v>86125</v>
      </c>
      <c r="AU1472">
        <f t="shared" si="1106"/>
        <v>1731</v>
      </c>
      <c r="AV1472">
        <f t="shared" si="1083"/>
        <v>48472</v>
      </c>
      <c r="AW1472">
        <f t="shared" si="1084"/>
        <v>4684</v>
      </c>
      <c r="AX1472" s="3">
        <f t="shared" si="1085"/>
        <v>55040.808510638322</v>
      </c>
      <c r="AY1472">
        <f t="shared" si="1086"/>
        <v>43062</v>
      </c>
      <c r="AZ1472">
        <f t="shared" si="1087"/>
        <v>5108</v>
      </c>
      <c r="BA1472" s="3">
        <f t="shared" si="1088"/>
        <v>60026.808510638322</v>
      </c>
    </row>
    <row r="1473" spans="1:53" x14ac:dyDescent="0.2">
      <c r="A1473">
        <v>1985</v>
      </c>
      <c r="B1473" t="s">
        <v>125</v>
      </c>
      <c r="C1473" t="s">
        <v>126</v>
      </c>
      <c r="D1473">
        <v>33.700000000000003</v>
      </c>
      <c r="E1473">
        <v>2.2000000000000002</v>
      </c>
      <c r="F1473">
        <v>0</v>
      </c>
      <c r="G1473">
        <v>34.299999999999997</v>
      </c>
      <c r="H1473">
        <v>0</v>
      </c>
      <c r="I1473">
        <v>2.9</v>
      </c>
      <c r="J1473">
        <v>0</v>
      </c>
      <c r="K1473">
        <f t="shared" si="1102"/>
        <v>73.100000000000009</v>
      </c>
      <c r="L1473">
        <v>2</v>
      </c>
      <c r="M1473">
        <v>0.5</v>
      </c>
      <c r="N1473">
        <v>0</v>
      </c>
      <c r="O1473">
        <f t="shared" si="1093"/>
        <v>2.5</v>
      </c>
      <c r="P1473">
        <v>0</v>
      </c>
      <c r="Q1473">
        <v>0</v>
      </c>
      <c r="R1473">
        <v>0</v>
      </c>
      <c r="S1473">
        <f t="shared" si="1094"/>
        <v>0</v>
      </c>
      <c r="T1473">
        <v>0</v>
      </c>
      <c r="U1473">
        <v>0</v>
      </c>
      <c r="V1473">
        <v>0.1</v>
      </c>
      <c r="W1473">
        <v>0</v>
      </c>
      <c r="X1473">
        <v>0</v>
      </c>
      <c r="Y1473">
        <v>0</v>
      </c>
      <c r="Z1473">
        <v>0</v>
      </c>
      <c r="AA1473">
        <f t="shared" si="1095"/>
        <v>0.1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1</v>
      </c>
      <c r="AJ1473" s="5">
        <f t="shared" si="1096"/>
        <v>1</v>
      </c>
      <c r="AK1473">
        <v>0</v>
      </c>
      <c r="AL1473">
        <v>0.23300000000000001</v>
      </c>
      <c r="AM1473">
        <f t="shared" si="1101"/>
        <v>0.76700000000000013</v>
      </c>
      <c r="AN1473">
        <v>18670</v>
      </c>
      <c r="AO1473" s="3" t="s">
        <v>13</v>
      </c>
      <c r="AP1473" s="3">
        <f t="shared" si="1103"/>
        <v>80128.755364806915</v>
      </c>
      <c r="AQ1473" s="3" t="s">
        <v>13</v>
      </c>
      <c r="AR1473">
        <f t="shared" si="1100"/>
        <v>1.3037809647979138E-2</v>
      </c>
      <c r="AS1473">
        <f t="shared" si="1104"/>
        <v>0.75700000000000001</v>
      </c>
      <c r="AT1473">
        <f t="shared" si="1105"/>
        <v>60657</v>
      </c>
      <c r="AU1473">
        <f t="shared" si="1106"/>
        <v>801</v>
      </c>
      <c r="AV1473">
        <f t="shared" si="1083"/>
        <v>31370</v>
      </c>
      <c r="AW1473">
        <f t="shared" si="1084"/>
        <v>2006</v>
      </c>
      <c r="AX1473" s="3">
        <f t="shared" si="1085"/>
        <v>46752.755364806915</v>
      </c>
      <c r="AY1473">
        <f t="shared" si="1086"/>
        <v>30329</v>
      </c>
      <c r="AZ1473">
        <f t="shared" si="1087"/>
        <v>2049</v>
      </c>
      <c r="BA1473" s="3">
        <f t="shared" si="1088"/>
        <v>47750.755364806915</v>
      </c>
    </row>
    <row r="1474" spans="1:53" x14ac:dyDescent="0.2">
      <c r="A1474">
        <v>1986</v>
      </c>
      <c r="B1474" t="s">
        <v>125</v>
      </c>
      <c r="C1474" t="s">
        <v>126</v>
      </c>
      <c r="D1474">
        <v>26.1</v>
      </c>
      <c r="E1474">
        <v>0</v>
      </c>
      <c r="F1474">
        <v>0</v>
      </c>
      <c r="G1474">
        <v>16</v>
      </c>
      <c r="H1474">
        <v>0</v>
      </c>
      <c r="I1474">
        <v>3.7</v>
      </c>
      <c r="J1474">
        <v>0</v>
      </c>
      <c r="K1474">
        <f t="shared" si="1102"/>
        <v>45.800000000000004</v>
      </c>
      <c r="L1474">
        <v>4.4000000000000004</v>
      </c>
      <c r="M1474">
        <v>0.5</v>
      </c>
      <c r="N1474">
        <v>0</v>
      </c>
      <c r="O1474">
        <f t="shared" si="1093"/>
        <v>4.9000000000000004</v>
      </c>
      <c r="P1474">
        <v>0</v>
      </c>
      <c r="Q1474">
        <v>0</v>
      </c>
      <c r="R1474">
        <v>0</v>
      </c>
      <c r="S1474">
        <f t="shared" si="1094"/>
        <v>0</v>
      </c>
      <c r="T1474">
        <v>0.1</v>
      </c>
      <c r="U1474">
        <v>0</v>
      </c>
      <c r="V1474">
        <v>0.2</v>
      </c>
      <c r="W1474">
        <v>0.5</v>
      </c>
      <c r="X1474">
        <v>0</v>
      </c>
      <c r="Y1474">
        <v>0</v>
      </c>
      <c r="Z1474">
        <v>0</v>
      </c>
      <c r="AA1474">
        <f t="shared" si="1095"/>
        <v>0.8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4.8</v>
      </c>
      <c r="AJ1474" s="5">
        <f t="shared" si="1096"/>
        <v>4.8</v>
      </c>
      <c r="AK1474">
        <v>0</v>
      </c>
      <c r="AL1474">
        <v>0.43799999999999994</v>
      </c>
      <c r="AM1474">
        <f t="shared" si="1101"/>
        <v>0.56300000000000006</v>
      </c>
      <c r="AN1474">
        <v>10389</v>
      </c>
      <c r="AO1474" s="3" t="s">
        <v>13</v>
      </c>
      <c r="AP1474" s="3">
        <f t="shared" si="1103"/>
        <v>23773.455377574373</v>
      </c>
      <c r="AQ1474" s="3" t="s">
        <v>13</v>
      </c>
      <c r="AR1474">
        <f t="shared" si="1100"/>
        <v>8.5257548845470682E-2</v>
      </c>
      <c r="AS1474">
        <f t="shared" si="1104"/>
        <v>0.51500000000000001</v>
      </c>
      <c r="AT1474">
        <f t="shared" si="1105"/>
        <v>12243</v>
      </c>
      <c r="AU1474">
        <f t="shared" si="1106"/>
        <v>1141</v>
      </c>
      <c r="AV1474">
        <f t="shared" si="1083"/>
        <v>6799</v>
      </c>
      <c r="AW1474">
        <f t="shared" si="1084"/>
        <v>1680</v>
      </c>
      <c r="AX1474" s="3">
        <f t="shared" si="1085"/>
        <v>15294.455377574373</v>
      </c>
      <c r="AY1474">
        <f t="shared" si="1086"/>
        <v>6122</v>
      </c>
      <c r="AZ1474">
        <f t="shared" si="1087"/>
        <v>1747</v>
      </c>
      <c r="BA1474" s="3">
        <f t="shared" si="1088"/>
        <v>15904.455377574373</v>
      </c>
    </row>
    <row r="1475" spans="1:53" x14ac:dyDescent="0.2">
      <c r="A1475">
        <v>1987</v>
      </c>
      <c r="B1475" t="s">
        <v>125</v>
      </c>
      <c r="C1475" t="s">
        <v>126</v>
      </c>
      <c r="D1475">
        <v>17.3</v>
      </c>
      <c r="E1475">
        <v>1.4</v>
      </c>
      <c r="F1475">
        <v>0</v>
      </c>
      <c r="G1475">
        <v>16.5</v>
      </c>
      <c r="H1475">
        <v>0</v>
      </c>
      <c r="I1475">
        <v>2.2999999999999998</v>
      </c>
      <c r="J1475">
        <v>0</v>
      </c>
      <c r="K1475">
        <f t="shared" si="1102"/>
        <v>37.5</v>
      </c>
      <c r="L1475">
        <v>0.4</v>
      </c>
      <c r="M1475">
        <v>0</v>
      </c>
      <c r="N1475">
        <v>0</v>
      </c>
      <c r="O1475">
        <f t="shared" si="1093"/>
        <v>0.4</v>
      </c>
      <c r="P1475">
        <v>0</v>
      </c>
      <c r="Q1475">
        <v>0</v>
      </c>
      <c r="R1475">
        <v>0</v>
      </c>
      <c r="S1475">
        <f t="shared" si="1094"/>
        <v>0</v>
      </c>
      <c r="T1475">
        <v>0</v>
      </c>
      <c r="U1475">
        <v>0.3</v>
      </c>
      <c r="V1475">
        <v>2.2000000000000002</v>
      </c>
      <c r="W1475">
        <v>0.6</v>
      </c>
      <c r="X1475">
        <v>0</v>
      </c>
      <c r="Y1475">
        <v>0</v>
      </c>
      <c r="Z1475">
        <v>0</v>
      </c>
      <c r="AA1475">
        <f t="shared" si="1095"/>
        <v>3.1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7</v>
      </c>
      <c r="AJ1475" s="5">
        <f t="shared" si="1096"/>
        <v>7</v>
      </c>
      <c r="AK1475">
        <v>0.1</v>
      </c>
      <c r="AL1475">
        <v>0.51900000000000002</v>
      </c>
      <c r="AM1475">
        <f t="shared" si="1101"/>
        <v>0.48</v>
      </c>
      <c r="AN1475">
        <v>13560</v>
      </c>
      <c r="AO1475" s="3" t="s">
        <v>13</v>
      </c>
      <c r="AP1475" s="3">
        <f t="shared" si="1103"/>
        <v>26076.923076923074</v>
      </c>
      <c r="AQ1475" s="3" t="s">
        <v>13</v>
      </c>
      <c r="AR1475">
        <f t="shared" si="1100"/>
        <v>0.14583333333333334</v>
      </c>
      <c r="AS1475">
        <f t="shared" si="1104"/>
        <v>0.41</v>
      </c>
      <c r="AT1475">
        <f t="shared" si="1105"/>
        <v>10692</v>
      </c>
      <c r="AU1475">
        <f t="shared" si="1106"/>
        <v>1825</v>
      </c>
      <c r="AV1475">
        <f t="shared" ref="AV1475:AV1538" si="1107">ROUND((((K1475*0.5)+O1475+S1475+AA1475)/100)*AP1475,0)</f>
        <v>5802</v>
      </c>
      <c r="AW1475">
        <f t="shared" ref="AW1475:AW1538" si="1108">ROUND((AU1475/(AP1475-AT1475))*(AP1475-AV1475),0)</f>
        <v>2405</v>
      </c>
      <c r="AX1475" s="3">
        <f t="shared" ref="AX1475:AX1538" si="1109">AP1475-AV1475-AW1475</f>
        <v>17869.923076923074</v>
      </c>
      <c r="AY1475">
        <f t="shared" ref="AY1475:AY1538" si="1110">ROUND((0.5*AS1475)*AP1475,0)</f>
        <v>5346</v>
      </c>
      <c r="AZ1475">
        <f t="shared" ref="AZ1475:AZ1538" si="1111">ROUND((AU1475/(AP1475-AT1475))*(AP1475-AY1475),0)</f>
        <v>2459</v>
      </c>
      <c r="BA1475" s="3">
        <f t="shared" ref="BA1475:BA1538" si="1112">AP1475-AZ1475-AY1475</f>
        <v>18271.923076923074</v>
      </c>
    </row>
    <row r="1476" spans="1:53" x14ac:dyDescent="0.2">
      <c r="A1476">
        <v>1988</v>
      </c>
      <c r="B1476" t="s">
        <v>125</v>
      </c>
      <c r="C1476" t="s">
        <v>126</v>
      </c>
      <c r="D1476">
        <v>13.3</v>
      </c>
      <c r="E1476">
        <v>0</v>
      </c>
      <c r="F1476">
        <v>0</v>
      </c>
      <c r="G1476">
        <v>9</v>
      </c>
      <c r="H1476">
        <v>0</v>
      </c>
      <c r="I1476">
        <v>4.5</v>
      </c>
      <c r="J1476">
        <v>0</v>
      </c>
      <c r="K1476">
        <f t="shared" si="1102"/>
        <v>26.8</v>
      </c>
      <c r="L1476">
        <v>0.8</v>
      </c>
      <c r="M1476">
        <v>0</v>
      </c>
      <c r="N1476">
        <v>0</v>
      </c>
      <c r="O1476">
        <f t="shared" si="1093"/>
        <v>0.8</v>
      </c>
      <c r="P1476">
        <v>0</v>
      </c>
      <c r="Q1476">
        <v>0</v>
      </c>
      <c r="R1476">
        <v>0</v>
      </c>
      <c r="S1476">
        <f t="shared" si="1094"/>
        <v>0</v>
      </c>
      <c r="T1476">
        <v>0.4</v>
      </c>
      <c r="U1476">
        <v>0</v>
      </c>
      <c r="V1476">
        <v>0.4</v>
      </c>
      <c r="W1476">
        <v>1.3</v>
      </c>
      <c r="X1476">
        <v>0</v>
      </c>
      <c r="Y1476">
        <v>0</v>
      </c>
      <c r="Z1476">
        <v>0</v>
      </c>
      <c r="AA1476">
        <f t="shared" si="1095"/>
        <v>2.1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8.4</v>
      </c>
      <c r="AJ1476" s="5">
        <f t="shared" si="1096"/>
        <v>8.4</v>
      </c>
      <c r="AK1476">
        <v>0.1</v>
      </c>
      <c r="AL1476">
        <v>0.61799999999999999</v>
      </c>
      <c r="AM1476">
        <f t="shared" si="1101"/>
        <v>0.38100000000000001</v>
      </c>
      <c r="AN1476">
        <v>14889</v>
      </c>
      <c r="AO1476" s="3" t="s">
        <v>13</v>
      </c>
      <c r="AP1476" s="3">
        <f t="shared" si="1103"/>
        <v>24053.311793214863</v>
      </c>
      <c r="AQ1476" s="3" t="s">
        <v>13</v>
      </c>
      <c r="AR1476">
        <f t="shared" si="1100"/>
        <v>0.22047244094488189</v>
      </c>
      <c r="AS1476">
        <f t="shared" si="1104"/>
        <v>0.29700000000000004</v>
      </c>
      <c r="AT1476">
        <f t="shared" si="1105"/>
        <v>7144</v>
      </c>
      <c r="AU1476">
        <f t="shared" si="1106"/>
        <v>2020</v>
      </c>
      <c r="AV1476">
        <f t="shared" si="1107"/>
        <v>3921</v>
      </c>
      <c r="AW1476">
        <f t="shared" si="1108"/>
        <v>2405</v>
      </c>
      <c r="AX1476" s="3">
        <f t="shared" si="1109"/>
        <v>17727.311793214863</v>
      </c>
      <c r="AY1476">
        <f t="shared" si="1110"/>
        <v>3572</v>
      </c>
      <c r="AZ1476">
        <f t="shared" si="1111"/>
        <v>2447</v>
      </c>
      <c r="BA1476" s="3">
        <f t="shared" si="1112"/>
        <v>18034.311793214863</v>
      </c>
    </row>
    <row r="1477" spans="1:53" x14ac:dyDescent="0.2">
      <c r="A1477">
        <v>1989</v>
      </c>
      <c r="B1477" t="s">
        <v>125</v>
      </c>
      <c r="C1477" t="s">
        <v>126</v>
      </c>
      <c r="D1477">
        <v>14.3</v>
      </c>
      <c r="E1477">
        <v>0</v>
      </c>
      <c r="F1477">
        <v>0</v>
      </c>
      <c r="G1477">
        <v>13.9</v>
      </c>
      <c r="H1477">
        <v>0</v>
      </c>
      <c r="I1477">
        <v>4.2</v>
      </c>
      <c r="J1477">
        <v>0</v>
      </c>
      <c r="K1477">
        <f t="shared" si="1102"/>
        <v>32.400000000000006</v>
      </c>
      <c r="L1477">
        <v>0</v>
      </c>
      <c r="M1477">
        <v>0.1</v>
      </c>
      <c r="N1477">
        <v>0</v>
      </c>
      <c r="O1477">
        <f t="shared" si="1093"/>
        <v>0.1</v>
      </c>
      <c r="P1477">
        <v>0</v>
      </c>
      <c r="Q1477">
        <v>0.7</v>
      </c>
      <c r="R1477">
        <v>0</v>
      </c>
      <c r="S1477">
        <f t="shared" si="1094"/>
        <v>0.7</v>
      </c>
      <c r="T1477">
        <v>0</v>
      </c>
      <c r="U1477">
        <v>0</v>
      </c>
      <c r="V1477">
        <v>2.7</v>
      </c>
      <c r="W1477">
        <v>0.2</v>
      </c>
      <c r="X1477">
        <v>0</v>
      </c>
      <c r="Y1477">
        <v>0</v>
      </c>
      <c r="Z1477">
        <v>0.2</v>
      </c>
      <c r="AA1477">
        <f t="shared" si="1095"/>
        <v>3.1000000000000005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6.2</v>
      </c>
      <c r="AJ1477" s="5">
        <f t="shared" si="1096"/>
        <v>6.2</v>
      </c>
      <c r="AK1477">
        <v>0.2</v>
      </c>
      <c r="AL1477">
        <v>0.57299999999999995</v>
      </c>
      <c r="AM1477">
        <f t="shared" si="1101"/>
        <v>0.42499999999999999</v>
      </c>
      <c r="AN1477">
        <v>10389</v>
      </c>
      <c r="AO1477" s="3" t="s">
        <v>13</v>
      </c>
      <c r="AP1477" s="3">
        <f t="shared" si="1103"/>
        <v>18067.826086956524</v>
      </c>
      <c r="AQ1477" s="3" t="s">
        <v>13</v>
      </c>
      <c r="AR1477">
        <f t="shared" si="1100"/>
        <v>0.14588235294117646</v>
      </c>
      <c r="AS1477">
        <f t="shared" si="1104"/>
        <v>0.3630000000000001</v>
      </c>
      <c r="AT1477">
        <f t="shared" si="1105"/>
        <v>6559</v>
      </c>
      <c r="AU1477">
        <f t="shared" si="1106"/>
        <v>1120</v>
      </c>
      <c r="AV1477">
        <f t="shared" si="1107"/>
        <v>3632</v>
      </c>
      <c r="AW1477">
        <f t="shared" si="1108"/>
        <v>1405</v>
      </c>
      <c r="AX1477" s="3">
        <f t="shared" si="1109"/>
        <v>13030.826086956524</v>
      </c>
      <c r="AY1477">
        <f t="shared" si="1110"/>
        <v>3279</v>
      </c>
      <c r="AZ1477">
        <f t="shared" si="1111"/>
        <v>1439</v>
      </c>
      <c r="BA1477" s="3">
        <f t="shared" si="1112"/>
        <v>13349.826086956524</v>
      </c>
    </row>
    <row r="1478" spans="1:53" x14ac:dyDescent="0.2">
      <c r="A1478">
        <v>1990</v>
      </c>
      <c r="B1478" t="s">
        <v>125</v>
      </c>
      <c r="C1478" t="s">
        <v>126</v>
      </c>
      <c r="D1478">
        <v>17.100000000000001</v>
      </c>
      <c r="E1478">
        <v>1.8</v>
      </c>
      <c r="F1478">
        <v>0</v>
      </c>
      <c r="G1478">
        <v>12.3</v>
      </c>
      <c r="H1478">
        <v>1.4</v>
      </c>
      <c r="I1478">
        <v>7.3</v>
      </c>
      <c r="J1478">
        <v>0</v>
      </c>
      <c r="K1478">
        <f t="shared" si="1102"/>
        <v>39.9</v>
      </c>
      <c r="L1478">
        <v>0.2</v>
      </c>
      <c r="M1478">
        <v>0.5</v>
      </c>
      <c r="N1478">
        <v>0</v>
      </c>
      <c r="O1478">
        <f t="shared" si="1093"/>
        <v>0.7</v>
      </c>
      <c r="P1478">
        <v>0</v>
      </c>
      <c r="Q1478">
        <v>0.2</v>
      </c>
      <c r="R1478">
        <v>0</v>
      </c>
      <c r="S1478">
        <f t="shared" si="1094"/>
        <v>0.2</v>
      </c>
      <c r="T1478">
        <v>1.5</v>
      </c>
      <c r="U1478">
        <v>0.3</v>
      </c>
      <c r="V1478">
        <v>1.2</v>
      </c>
      <c r="W1478">
        <v>1</v>
      </c>
      <c r="X1478">
        <v>0</v>
      </c>
      <c r="Y1478">
        <v>0</v>
      </c>
      <c r="Z1478">
        <v>0</v>
      </c>
      <c r="AA1478">
        <f t="shared" si="1095"/>
        <v>4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8.8000000000000007</v>
      </c>
      <c r="AJ1478" s="5">
        <f t="shared" si="1096"/>
        <v>8.8000000000000007</v>
      </c>
      <c r="AK1478">
        <v>0</v>
      </c>
      <c r="AL1478">
        <v>0.46399999999999997</v>
      </c>
      <c r="AM1478">
        <f t="shared" si="1101"/>
        <v>0.53600000000000003</v>
      </c>
      <c r="AN1478">
        <v>5104</v>
      </c>
      <c r="AO1478" s="3" t="s">
        <v>13</v>
      </c>
      <c r="AP1478" s="3">
        <f t="shared" si="1103"/>
        <v>11000</v>
      </c>
      <c r="AQ1478" s="3" t="s">
        <v>13</v>
      </c>
      <c r="AR1478">
        <f t="shared" si="1100"/>
        <v>0.16417910447761194</v>
      </c>
      <c r="AS1478">
        <f t="shared" si="1104"/>
        <v>0.44800000000000006</v>
      </c>
      <c r="AT1478">
        <f t="shared" si="1105"/>
        <v>4928</v>
      </c>
      <c r="AU1478">
        <f t="shared" si="1106"/>
        <v>968</v>
      </c>
      <c r="AV1478">
        <f t="shared" si="1107"/>
        <v>2734</v>
      </c>
      <c r="AW1478">
        <f t="shared" si="1108"/>
        <v>1318</v>
      </c>
      <c r="AX1478" s="3">
        <f t="shared" si="1109"/>
        <v>6948</v>
      </c>
      <c r="AY1478">
        <f t="shared" si="1110"/>
        <v>2464</v>
      </c>
      <c r="AZ1478">
        <f t="shared" si="1111"/>
        <v>1361</v>
      </c>
      <c r="BA1478" s="3">
        <f t="shared" si="1112"/>
        <v>7175</v>
      </c>
    </row>
    <row r="1479" spans="1:53" x14ac:dyDescent="0.2">
      <c r="A1479">
        <v>1991</v>
      </c>
      <c r="B1479" t="s">
        <v>125</v>
      </c>
      <c r="C1479" t="s">
        <v>126</v>
      </c>
      <c r="D1479">
        <v>21.6</v>
      </c>
      <c r="E1479">
        <v>0</v>
      </c>
      <c r="F1479">
        <v>0.5</v>
      </c>
      <c r="G1479">
        <v>15.8</v>
      </c>
      <c r="H1479">
        <v>1</v>
      </c>
      <c r="I1479">
        <v>6.9</v>
      </c>
      <c r="J1479">
        <v>0</v>
      </c>
      <c r="K1479">
        <f t="shared" si="1102"/>
        <v>45.800000000000004</v>
      </c>
      <c r="L1479">
        <v>0.4</v>
      </c>
      <c r="M1479">
        <v>0.7</v>
      </c>
      <c r="N1479">
        <v>0</v>
      </c>
      <c r="O1479">
        <f t="shared" si="1093"/>
        <v>1.1000000000000001</v>
      </c>
      <c r="P1479">
        <v>0</v>
      </c>
      <c r="Q1479">
        <v>0</v>
      </c>
      <c r="R1479">
        <v>0</v>
      </c>
      <c r="S1479">
        <f t="shared" si="1094"/>
        <v>0</v>
      </c>
      <c r="T1479">
        <v>0.2</v>
      </c>
      <c r="U1479">
        <v>0</v>
      </c>
      <c r="V1479">
        <v>0.1</v>
      </c>
      <c r="W1479">
        <v>1</v>
      </c>
      <c r="X1479">
        <v>0</v>
      </c>
      <c r="Y1479">
        <v>0</v>
      </c>
      <c r="Z1479">
        <v>0.2</v>
      </c>
      <c r="AA1479">
        <f t="shared" si="1095"/>
        <v>1.5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10.1</v>
      </c>
      <c r="AJ1479" s="5">
        <f t="shared" si="1096"/>
        <v>10.1</v>
      </c>
      <c r="AK1479">
        <v>0</v>
      </c>
      <c r="AL1479">
        <v>0.41600000000000004</v>
      </c>
      <c r="AM1479">
        <f t="shared" si="1101"/>
        <v>0.58499999999999996</v>
      </c>
      <c r="AN1479">
        <v>5557</v>
      </c>
      <c r="AO1479" s="3" t="s">
        <v>13</v>
      </c>
      <c r="AP1479" s="3">
        <f t="shared" si="1103"/>
        <v>13390.361445783132</v>
      </c>
      <c r="AQ1479" s="3" t="s">
        <v>13</v>
      </c>
      <c r="AR1479">
        <f t="shared" si="1100"/>
        <v>0.17264957264957265</v>
      </c>
      <c r="AS1479">
        <f t="shared" si="1104"/>
        <v>0.48400000000000004</v>
      </c>
      <c r="AT1479">
        <f t="shared" si="1105"/>
        <v>6481</v>
      </c>
      <c r="AU1479">
        <f t="shared" si="1106"/>
        <v>1352</v>
      </c>
      <c r="AV1479">
        <f t="shared" si="1107"/>
        <v>3415</v>
      </c>
      <c r="AW1479">
        <f t="shared" si="1108"/>
        <v>1952</v>
      </c>
      <c r="AX1479" s="3">
        <f t="shared" si="1109"/>
        <v>8023.3614457831318</v>
      </c>
      <c r="AY1479">
        <f t="shared" si="1110"/>
        <v>3240</v>
      </c>
      <c r="AZ1479">
        <f t="shared" si="1111"/>
        <v>1986</v>
      </c>
      <c r="BA1479" s="3">
        <f t="shared" si="1112"/>
        <v>8164.3614457831318</v>
      </c>
    </row>
    <row r="1480" spans="1:53" x14ac:dyDescent="0.2">
      <c r="A1480">
        <v>1992</v>
      </c>
      <c r="B1480" t="s">
        <v>125</v>
      </c>
      <c r="C1480" t="s">
        <v>126</v>
      </c>
      <c r="D1480">
        <v>4.5</v>
      </c>
      <c r="E1480">
        <v>2.9</v>
      </c>
      <c r="F1480">
        <v>0</v>
      </c>
      <c r="G1480">
        <v>7.4</v>
      </c>
      <c r="H1480">
        <v>1.7</v>
      </c>
      <c r="I1480">
        <v>15</v>
      </c>
      <c r="J1480">
        <v>0</v>
      </c>
      <c r="K1480">
        <f t="shared" si="1102"/>
        <v>31.5</v>
      </c>
      <c r="L1480">
        <v>0.6</v>
      </c>
      <c r="M1480">
        <v>0.3</v>
      </c>
      <c r="N1480">
        <v>0</v>
      </c>
      <c r="O1480">
        <f t="shared" si="1093"/>
        <v>0.89999999999999991</v>
      </c>
      <c r="P1480">
        <v>0</v>
      </c>
      <c r="Q1480">
        <v>0</v>
      </c>
      <c r="R1480">
        <v>0.2</v>
      </c>
      <c r="S1480">
        <f t="shared" si="1094"/>
        <v>0.2</v>
      </c>
      <c r="T1480">
        <v>0.1</v>
      </c>
      <c r="U1480">
        <v>0.2</v>
      </c>
      <c r="V1480">
        <v>1.8</v>
      </c>
      <c r="W1480">
        <v>0.2</v>
      </c>
      <c r="X1480">
        <v>0</v>
      </c>
      <c r="Y1480">
        <v>0</v>
      </c>
      <c r="Z1480">
        <v>0.2</v>
      </c>
      <c r="AA1480">
        <f t="shared" si="1095"/>
        <v>2.5000000000000004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11.8</v>
      </c>
      <c r="AJ1480" s="5">
        <f t="shared" si="1096"/>
        <v>11.8</v>
      </c>
      <c r="AK1480">
        <v>0</v>
      </c>
      <c r="AL1480">
        <v>0.53</v>
      </c>
      <c r="AM1480">
        <f t="shared" si="1101"/>
        <v>0.46899999999999992</v>
      </c>
      <c r="AN1480">
        <v>9060</v>
      </c>
      <c r="AO1480" s="3" t="s">
        <v>13</v>
      </c>
      <c r="AP1480" s="3">
        <f t="shared" si="1103"/>
        <v>17062.146892655364</v>
      </c>
      <c r="AQ1480" s="3" t="s">
        <v>13</v>
      </c>
      <c r="AR1480">
        <f t="shared" si="1100"/>
        <v>0.25159914712153525</v>
      </c>
      <c r="AS1480">
        <f t="shared" si="1104"/>
        <v>0.35100000000000003</v>
      </c>
      <c r="AT1480">
        <f t="shared" si="1105"/>
        <v>5989</v>
      </c>
      <c r="AU1480">
        <f t="shared" si="1106"/>
        <v>2013</v>
      </c>
      <c r="AV1480">
        <f t="shared" si="1107"/>
        <v>3302</v>
      </c>
      <c r="AW1480">
        <f t="shared" si="1108"/>
        <v>2501</v>
      </c>
      <c r="AX1480" s="3">
        <f t="shared" si="1109"/>
        <v>11259.146892655364</v>
      </c>
      <c r="AY1480">
        <f t="shared" si="1110"/>
        <v>2994</v>
      </c>
      <c r="AZ1480">
        <f t="shared" si="1111"/>
        <v>2557</v>
      </c>
      <c r="BA1480" s="3">
        <f t="shared" si="1112"/>
        <v>11511.146892655364</v>
      </c>
    </row>
    <row r="1481" spans="1:53" x14ac:dyDescent="0.2">
      <c r="A1481">
        <v>1993</v>
      </c>
      <c r="B1481" t="s">
        <v>125</v>
      </c>
      <c r="C1481" t="s">
        <v>126</v>
      </c>
      <c r="D1481">
        <v>10.1</v>
      </c>
      <c r="E1481">
        <v>0.5</v>
      </c>
      <c r="F1481">
        <v>0.2</v>
      </c>
      <c r="G1481">
        <v>16.899999999999999</v>
      </c>
      <c r="H1481">
        <v>1</v>
      </c>
      <c r="I1481">
        <v>18.399999999999999</v>
      </c>
      <c r="J1481">
        <v>0</v>
      </c>
      <c r="K1481">
        <f t="shared" si="1102"/>
        <v>47.099999999999994</v>
      </c>
      <c r="L1481">
        <v>0.2</v>
      </c>
      <c r="M1481">
        <v>0</v>
      </c>
      <c r="N1481">
        <v>0</v>
      </c>
      <c r="O1481">
        <f t="shared" si="1093"/>
        <v>0.2</v>
      </c>
      <c r="P1481">
        <v>0</v>
      </c>
      <c r="Q1481">
        <v>0.4</v>
      </c>
      <c r="R1481">
        <v>0</v>
      </c>
      <c r="S1481">
        <f t="shared" si="1094"/>
        <v>0.4</v>
      </c>
      <c r="T1481">
        <v>0.5</v>
      </c>
      <c r="U1481">
        <v>0.1</v>
      </c>
      <c r="V1481">
        <v>2.2000000000000002</v>
      </c>
      <c r="W1481">
        <v>0</v>
      </c>
      <c r="X1481">
        <v>0</v>
      </c>
      <c r="Y1481">
        <v>0</v>
      </c>
      <c r="Z1481">
        <v>0</v>
      </c>
      <c r="AA1481">
        <f t="shared" si="1095"/>
        <v>2.8000000000000003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16</v>
      </c>
      <c r="AJ1481" s="5">
        <f t="shared" si="1096"/>
        <v>16</v>
      </c>
      <c r="AK1481">
        <v>0</v>
      </c>
      <c r="AL1481">
        <v>0.33500000000000002</v>
      </c>
      <c r="AM1481">
        <f t="shared" si="1101"/>
        <v>0.66500000000000004</v>
      </c>
      <c r="AN1481">
        <v>5345</v>
      </c>
      <c r="AO1481" s="3" t="s">
        <v>13</v>
      </c>
      <c r="AP1481" s="3">
        <f t="shared" si="1103"/>
        <v>15955.223880597017</v>
      </c>
      <c r="AQ1481" s="3" t="s">
        <v>13</v>
      </c>
      <c r="AR1481">
        <f t="shared" si="1100"/>
        <v>0.24060150375939848</v>
      </c>
      <c r="AS1481">
        <f t="shared" si="1104"/>
        <v>0.50499999999999989</v>
      </c>
      <c r="AT1481">
        <f t="shared" si="1105"/>
        <v>8057</v>
      </c>
      <c r="AU1481">
        <f t="shared" si="1106"/>
        <v>2553</v>
      </c>
      <c r="AV1481">
        <f t="shared" si="1107"/>
        <v>4300</v>
      </c>
      <c r="AW1481">
        <f t="shared" si="1108"/>
        <v>3767</v>
      </c>
      <c r="AX1481" s="3">
        <f t="shared" si="1109"/>
        <v>7888.2238805970173</v>
      </c>
      <c r="AY1481">
        <f t="shared" si="1110"/>
        <v>4029</v>
      </c>
      <c r="AZ1481">
        <f t="shared" si="1111"/>
        <v>3855</v>
      </c>
      <c r="BA1481" s="3">
        <f t="shared" si="1112"/>
        <v>8071.2238805970173</v>
      </c>
    </row>
    <row r="1482" spans="1:53" x14ac:dyDescent="0.2">
      <c r="A1482">
        <v>1994</v>
      </c>
      <c r="B1482" t="s">
        <v>125</v>
      </c>
      <c r="C1482" t="s">
        <v>126</v>
      </c>
      <c r="D1482">
        <v>13.8</v>
      </c>
      <c r="E1482">
        <v>0.5</v>
      </c>
      <c r="F1482">
        <v>0.8</v>
      </c>
      <c r="G1482">
        <v>14.6</v>
      </c>
      <c r="H1482">
        <v>1.8</v>
      </c>
      <c r="I1482">
        <v>4.8</v>
      </c>
      <c r="J1482">
        <v>0</v>
      </c>
      <c r="K1482">
        <f t="shared" si="1102"/>
        <v>36.300000000000004</v>
      </c>
      <c r="L1482">
        <v>0.2</v>
      </c>
      <c r="M1482">
        <v>0.1</v>
      </c>
      <c r="N1482">
        <v>0</v>
      </c>
      <c r="O1482">
        <f t="shared" si="1093"/>
        <v>0.30000000000000004</v>
      </c>
      <c r="P1482">
        <v>0</v>
      </c>
      <c r="Q1482">
        <v>0</v>
      </c>
      <c r="R1482">
        <v>0</v>
      </c>
      <c r="S1482">
        <f t="shared" si="1094"/>
        <v>0</v>
      </c>
      <c r="T1482">
        <v>0</v>
      </c>
      <c r="U1482">
        <v>0</v>
      </c>
      <c r="V1482">
        <v>1.2</v>
      </c>
      <c r="W1482">
        <v>0.6</v>
      </c>
      <c r="X1482">
        <v>0</v>
      </c>
      <c r="Y1482">
        <v>0</v>
      </c>
      <c r="Z1482">
        <v>0</v>
      </c>
      <c r="AA1482">
        <f t="shared" si="1095"/>
        <v>1.7999999999999998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13.4</v>
      </c>
      <c r="AJ1482" s="5">
        <f t="shared" si="1096"/>
        <v>13.4</v>
      </c>
      <c r="AK1482">
        <v>0</v>
      </c>
      <c r="AL1482">
        <v>0.48200000000000004</v>
      </c>
      <c r="AM1482">
        <f t="shared" si="1101"/>
        <v>0.5179999999999999</v>
      </c>
      <c r="AN1482">
        <v>6486</v>
      </c>
      <c r="AO1482" s="3" t="s">
        <v>13</v>
      </c>
      <c r="AP1482" s="3">
        <f t="shared" si="1103"/>
        <v>13456.431535269707</v>
      </c>
      <c r="AQ1482" s="3" t="s">
        <v>13</v>
      </c>
      <c r="AR1482">
        <f t="shared" si="1100"/>
        <v>0.25868725868725873</v>
      </c>
      <c r="AS1482">
        <f t="shared" si="1104"/>
        <v>0.38400000000000001</v>
      </c>
      <c r="AT1482">
        <f t="shared" si="1105"/>
        <v>5167</v>
      </c>
      <c r="AU1482">
        <f t="shared" si="1106"/>
        <v>1803</v>
      </c>
      <c r="AV1482">
        <f t="shared" si="1107"/>
        <v>2725</v>
      </c>
      <c r="AW1482">
        <f t="shared" si="1108"/>
        <v>2334</v>
      </c>
      <c r="AX1482" s="3">
        <f t="shared" si="1109"/>
        <v>8397.4315352697067</v>
      </c>
      <c r="AY1482">
        <f t="shared" si="1110"/>
        <v>2584</v>
      </c>
      <c r="AZ1482">
        <f t="shared" si="1111"/>
        <v>2365</v>
      </c>
      <c r="BA1482" s="3">
        <f t="shared" si="1112"/>
        <v>8507.4315352697067</v>
      </c>
    </row>
    <row r="1483" spans="1:53" x14ac:dyDescent="0.2">
      <c r="A1483">
        <v>1995</v>
      </c>
      <c r="B1483" t="s">
        <v>125</v>
      </c>
      <c r="C1483" t="s">
        <v>126</v>
      </c>
      <c r="D1483">
        <v>9.4</v>
      </c>
      <c r="E1483">
        <v>0.2</v>
      </c>
      <c r="F1483">
        <v>0.4</v>
      </c>
      <c r="G1483">
        <v>5.6</v>
      </c>
      <c r="H1483">
        <v>1.1000000000000001</v>
      </c>
      <c r="I1483">
        <v>1</v>
      </c>
      <c r="J1483">
        <v>0.2</v>
      </c>
      <c r="K1483">
        <f t="shared" si="1102"/>
        <v>17.899999999999999</v>
      </c>
      <c r="L1483">
        <v>0.1</v>
      </c>
      <c r="M1483">
        <v>0</v>
      </c>
      <c r="N1483">
        <v>0</v>
      </c>
      <c r="O1483">
        <f t="shared" si="1093"/>
        <v>0.1</v>
      </c>
      <c r="P1483">
        <v>0</v>
      </c>
      <c r="Q1483">
        <v>2.7</v>
      </c>
      <c r="R1483">
        <v>0</v>
      </c>
      <c r="S1483">
        <f t="shared" si="1094"/>
        <v>2.7</v>
      </c>
      <c r="T1483">
        <v>0</v>
      </c>
      <c r="U1483">
        <v>0</v>
      </c>
      <c r="V1483">
        <v>0.2</v>
      </c>
      <c r="W1483">
        <v>0.2</v>
      </c>
      <c r="X1483">
        <v>0</v>
      </c>
      <c r="Y1483">
        <v>0</v>
      </c>
      <c r="Z1483">
        <v>0</v>
      </c>
      <c r="AA1483">
        <f t="shared" si="1095"/>
        <v>0.4</v>
      </c>
      <c r="AB1483">
        <v>0.1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21.9</v>
      </c>
      <c r="AJ1483" s="5">
        <f t="shared" si="1096"/>
        <v>22</v>
      </c>
      <c r="AK1483">
        <v>0</v>
      </c>
      <c r="AL1483">
        <v>0.56799999999999995</v>
      </c>
      <c r="AM1483">
        <f t="shared" si="1101"/>
        <v>0.43100000000000011</v>
      </c>
      <c r="AN1483">
        <v>5194</v>
      </c>
      <c r="AO1483" s="3" t="s">
        <v>13</v>
      </c>
      <c r="AP1483" s="3">
        <f t="shared" si="1103"/>
        <v>9128.2952548330413</v>
      </c>
      <c r="AQ1483" s="3" t="s">
        <v>13</v>
      </c>
      <c r="AR1483">
        <f t="shared" si="1100"/>
        <v>0.51044083526682127</v>
      </c>
      <c r="AS1483">
        <f t="shared" si="1104"/>
        <v>0.21099999999999997</v>
      </c>
      <c r="AT1483">
        <f t="shared" si="1105"/>
        <v>1926</v>
      </c>
      <c r="AU1483">
        <f t="shared" si="1106"/>
        <v>2008</v>
      </c>
      <c r="AV1483">
        <f t="shared" si="1107"/>
        <v>1109</v>
      </c>
      <c r="AW1483">
        <f t="shared" si="1108"/>
        <v>2236</v>
      </c>
      <c r="AX1483" s="3">
        <f t="shared" si="1109"/>
        <v>5783.2952548330413</v>
      </c>
      <c r="AY1483">
        <f t="shared" si="1110"/>
        <v>963</v>
      </c>
      <c r="AZ1483">
        <f t="shared" si="1111"/>
        <v>2276</v>
      </c>
      <c r="BA1483" s="3">
        <f t="shared" si="1112"/>
        <v>5889.2952548330413</v>
      </c>
    </row>
    <row r="1484" spans="1:53" x14ac:dyDescent="0.2">
      <c r="A1484">
        <v>1996</v>
      </c>
      <c r="B1484" t="s">
        <v>125</v>
      </c>
      <c r="C1484" t="s">
        <v>126</v>
      </c>
      <c r="D1484">
        <v>18.600000000000001</v>
      </c>
      <c r="E1484">
        <v>0</v>
      </c>
      <c r="F1484">
        <v>0</v>
      </c>
      <c r="G1484">
        <v>1.3</v>
      </c>
      <c r="H1484">
        <v>0</v>
      </c>
      <c r="I1484">
        <v>0.6</v>
      </c>
      <c r="J1484">
        <v>0</v>
      </c>
      <c r="K1484">
        <f t="shared" si="1102"/>
        <v>20.500000000000004</v>
      </c>
      <c r="L1484">
        <v>0.1</v>
      </c>
      <c r="M1484">
        <v>0</v>
      </c>
      <c r="N1484">
        <v>0</v>
      </c>
      <c r="O1484">
        <f t="shared" si="1093"/>
        <v>0.1</v>
      </c>
      <c r="P1484">
        <v>0</v>
      </c>
      <c r="Q1484">
        <v>0.9</v>
      </c>
      <c r="R1484">
        <v>0</v>
      </c>
      <c r="S1484">
        <f t="shared" si="1094"/>
        <v>0.9</v>
      </c>
      <c r="T1484">
        <v>0.4</v>
      </c>
      <c r="U1484">
        <v>0</v>
      </c>
      <c r="V1484">
        <v>3.8</v>
      </c>
      <c r="W1484">
        <v>0.8</v>
      </c>
      <c r="X1484">
        <v>0</v>
      </c>
      <c r="Y1484">
        <v>0</v>
      </c>
      <c r="Z1484">
        <v>0</v>
      </c>
      <c r="AA1484">
        <f t="shared" si="1095"/>
        <v>5</v>
      </c>
      <c r="AB1484">
        <v>0</v>
      </c>
      <c r="AC1484">
        <v>0</v>
      </c>
      <c r="AD1484">
        <v>0</v>
      </c>
      <c r="AE1484">
        <v>0</v>
      </c>
      <c r="AF1484">
        <v>0.1</v>
      </c>
      <c r="AG1484">
        <v>0</v>
      </c>
      <c r="AH1484">
        <v>0</v>
      </c>
      <c r="AI1484">
        <v>14.5</v>
      </c>
      <c r="AJ1484" s="5">
        <f t="shared" si="1096"/>
        <v>14.6</v>
      </c>
      <c r="AK1484">
        <v>0</v>
      </c>
      <c r="AL1484">
        <v>0.59</v>
      </c>
      <c r="AM1484">
        <f t="shared" si="1101"/>
        <v>0.41100000000000003</v>
      </c>
      <c r="AN1484">
        <v>9211</v>
      </c>
      <c r="AO1484" s="3" t="s">
        <v>13</v>
      </c>
      <c r="AP1484" s="3">
        <f t="shared" si="1103"/>
        <v>15638.370118845502</v>
      </c>
      <c r="AQ1484" s="3" t="s">
        <v>13</v>
      </c>
      <c r="AR1484">
        <f t="shared" si="1100"/>
        <v>0.35523114355231139</v>
      </c>
      <c r="AS1484">
        <f t="shared" si="1104"/>
        <v>0.26500000000000001</v>
      </c>
      <c r="AT1484">
        <f t="shared" si="1105"/>
        <v>4144</v>
      </c>
      <c r="AU1484">
        <f t="shared" si="1106"/>
        <v>2283</v>
      </c>
      <c r="AV1484">
        <f t="shared" si="1107"/>
        <v>2541</v>
      </c>
      <c r="AW1484">
        <f t="shared" si="1108"/>
        <v>2601</v>
      </c>
      <c r="AX1484" s="3">
        <f t="shared" si="1109"/>
        <v>10496.370118845502</v>
      </c>
      <c r="AY1484">
        <f t="shared" si="1110"/>
        <v>2072</v>
      </c>
      <c r="AZ1484">
        <f t="shared" si="1111"/>
        <v>2695</v>
      </c>
      <c r="BA1484" s="3">
        <f t="shared" si="1112"/>
        <v>10871.370118845502</v>
      </c>
    </row>
    <row r="1485" spans="1:53" x14ac:dyDescent="0.2">
      <c r="A1485">
        <v>1997</v>
      </c>
      <c r="B1485" t="s">
        <v>125</v>
      </c>
      <c r="C1485" t="s">
        <v>126</v>
      </c>
      <c r="D1485">
        <v>29.6</v>
      </c>
      <c r="E1485">
        <v>0</v>
      </c>
      <c r="F1485">
        <v>2.1</v>
      </c>
      <c r="G1485">
        <v>3.2</v>
      </c>
      <c r="H1485">
        <v>0.4</v>
      </c>
      <c r="I1485">
        <v>0.2</v>
      </c>
      <c r="J1485">
        <v>0</v>
      </c>
      <c r="K1485">
        <f t="shared" si="1102"/>
        <v>35.500000000000007</v>
      </c>
      <c r="L1485">
        <v>0.1</v>
      </c>
      <c r="M1485">
        <v>0</v>
      </c>
      <c r="N1485">
        <v>0</v>
      </c>
      <c r="O1485">
        <f t="shared" si="1093"/>
        <v>0.1</v>
      </c>
      <c r="P1485">
        <v>0</v>
      </c>
      <c r="Q1485">
        <v>2</v>
      </c>
      <c r="R1485">
        <v>0</v>
      </c>
      <c r="S1485">
        <f t="shared" si="1094"/>
        <v>2</v>
      </c>
      <c r="T1485">
        <v>0</v>
      </c>
      <c r="U1485">
        <v>0.1</v>
      </c>
      <c r="V1485">
        <v>1.3</v>
      </c>
      <c r="W1485">
        <v>0.3</v>
      </c>
      <c r="X1485">
        <v>0</v>
      </c>
      <c r="Y1485">
        <v>0</v>
      </c>
      <c r="Z1485">
        <v>0</v>
      </c>
      <c r="AA1485">
        <f t="shared" si="1095"/>
        <v>1.7000000000000002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9.3000000000000007</v>
      </c>
      <c r="AJ1485" s="5">
        <f t="shared" si="1096"/>
        <v>9.3000000000000007</v>
      </c>
      <c r="AK1485">
        <v>0</v>
      </c>
      <c r="AL1485">
        <v>0.51500000000000001</v>
      </c>
      <c r="AM1485">
        <f t="shared" si="1101"/>
        <v>0.4860000000000001</v>
      </c>
      <c r="AN1485">
        <v>10026</v>
      </c>
      <c r="AO1485" s="3" t="s">
        <v>13</v>
      </c>
      <c r="AP1485" s="3">
        <f t="shared" si="1103"/>
        <v>19505.836575875492</v>
      </c>
      <c r="AQ1485" s="3" t="s">
        <v>13</v>
      </c>
      <c r="AR1485">
        <f t="shared" si="1100"/>
        <v>0.19135802469135801</v>
      </c>
      <c r="AS1485">
        <f t="shared" si="1104"/>
        <v>0.39300000000000013</v>
      </c>
      <c r="AT1485">
        <f t="shared" si="1105"/>
        <v>7666</v>
      </c>
      <c r="AU1485">
        <f t="shared" si="1106"/>
        <v>1814</v>
      </c>
      <c r="AV1485">
        <f t="shared" si="1107"/>
        <v>4204</v>
      </c>
      <c r="AW1485">
        <f t="shared" si="1108"/>
        <v>2344</v>
      </c>
      <c r="AX1485" s="3">
        <f t="shared" si="1109"/>
        <v>12957.836575875492</v>
      </c>
      <c r="AY1485">
        <f t="shared" si="1110"/>
        <v>3833</v>
      </c>
      <c r="AZ1485">
        <f t="shared" si="1111"/>
        <v>2401</v>
      </c>
      <c r="BA1485" s="3">
        <f t="shared" si="1112"/>
        <v>13271.836575875492</v>
      </c>
    </row>
    <row r="1486" spans="1:53" x14ac:dyDescent="0.2">
      <c r="A1486">
        <v>1998</v>
      </c>
      <c r="B1486" t="s">
        <v>125</v>
      </c>
      <c r="C1486" t="s">
        <v>126</v>
      </c>
      <c r="D1486">
        <v>9.1</v>
      </c>
      <c r="E1486">
        <v>0.6</v>
      </c>
      <c r="F1486">
        <v>0.4</v>
      </c>
      <c r="G1486">
        <v>10.4</v>
      </c>
      <c r="H1486">
        <v>2</v>
      </c>
      <c r="I1486">
        <v>0</v>
      </c>
      <c r="J1486">
        <v>0</v>
      </c>
      <c r="K1486">
        <f t="shared" si="1102"/>
        <v>22.5</v>
      </c>
      <c r="L1486">
        <v>0</v>
      </c>
      <c r="M1486">
        <v>0</v>
      </c>
      <c r="N1486">
        <v>0</v>
      </c>
      <c r="O1486">
        <f t="shared" si="1093"/>
        <v>0</v>
      </c>
      <c r="P1486">
        <v>0</v>
      </c>
      <c r="Q1486">
        <v>0.2</v>
      </c>
      <c r="R1486">
        <v>0</v>
      </c>
      <c r="S1486">
        <f t="shared" si="1094"/>
        <v>0.2</v>
      </c>
      <c r="T1486">
        <v>0</v>
      </c>
      <c r="U1486">
        <v>0</v>
      </c>
      <c r="V1486">
        <v>0.1</v>
      </c>
      <c r="W1486">
        <v>1.3</v>
      </c>
      <c r="X1486">
        <v>0</v>
      </c>
      <c r="Y1486">
        <v>0</v>
      </c>
      <c r="Z1486">
        <v>0</v>
      </c>
      <c r="AA1486">
        <f t="shared" si="1095"/>
        <v>1.4000000000000001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0.1</v>
      </c>
      <c r="AI1486">
        <v>11.2</v>
      </c>
      <c r="AJ1486" s="5">
        <f t="shared" si="1096"/>
        <v>11.299999999999999</v>
      </c>
      <c r="AK1486">
        <v>0</v>
      </c>
      <c r="AL1486">
        <v>0.64599999999999991</v>
      </c>
      <c r="AM1486">
        <f t="shared" si="1101"/>
        <v>0.35399999999999998</v>
      </c>
      <c r="AN1486">
        <v>8245</v>
      </c>
      <c r="AO1486" s="3" t="s">
        <v>13</v>
      </c>
      <c r="AP1486" s="3">
        <f t="shared" si="1103"/>
        <v>12763.157894736842</v>
      </c>
      <c r="AQ1486" s="3" t="s">
        <v>13</v>
      </c>
      <c r="AR1486">
        <f t="shared" si="1100"/>
        <v>0.3192090395480226</v>
      </c>
      <c r="AS1486">
        <f t="shared" si="1104"/>
        <v>0.24099999999999999</v>
      </c>
      <c r="AT1486">
        <f t="shared" si="1105"/>
        <v>3076</v>
      </c>
      <c r="AU1486">
        <f t="shared" si="1106"/>
        <v>1442</v>
      </c>
      <c r="AV1486">
        <f t="shared" si="1107"/>
        <v>1640</v>
      </c>
      <c r="AW1486">
        <f t="shared" si="1108"/>
        <v>1656</v>
      </c>
      <c r="AX1486" s="3">
        <f t="shared" si="1109"/>
        <v>9467.1578947368416</v>
      </c>
      <c r="AY1486">
        <f t="shared" si="1110"/>
        <v>1538</v>
      </c>
      <c r="AZ1486">
        <f t="shared" si="1111"/>
        <v>1671</v>
      </c>
      <c r="BA1486" s="3">
        <f t="shared" si="1112"/>
        <v>9554.1578947368416</v>
      </c>
    </row>
    <row r="1487" spans="1:53" x14ac:dyDescent="0.2">
      <c r="A1487">
        <v>1999</v>
      </c>
      <c r="B1487" t="s">
        <v>125</v>
      </c>
      <c r="C1487" t="s">
        <v>126</v>
      </c>
      <c r="D1487">
        <v>17.399999999999999</v>
      </c>
      <c r="E1487">
        <v>0.1</v>
      </c>
      <c r="F1487">
        <v>0.3</v>
      </c>
      <c r="G1487">
        <v>4.0999999999999996</v>
      </c>
      <c r="H1487">
        <v>4.5999999999999996</v>
      </c>
      <c r="I1487">
        <v>0</v>
      </c>
      <c r="J1487">
        <v>0</v>
      </c>
      <c r="K1487">
        <f t="shared" si="1102"/>
        <v>26.5</v>
      </c>
      <c r="L1487">
        <v>0</v>
      </c>
      <c r="M1487">
        <v>0</v>
      </c>
      <c r="N1487">
        <v>0</v>
      </c>
      <c r="O1487">
        <f t="shared" si="1093"/>
        <v>0</v>
      </c>
      <c r="P1487">
        <v>0</v>
      </c>
      <c r="Q1487">
        <v>0</v>
      </c>
      <c r="R1487">
        <v>0</v>
      </c>
      <c r="S1487">
        <f t="shared" si="1094"/>
        <v>0</v>
      </c>
      <c r="T1487">
        <v>0.2</v>
      </c>
      <c r="U1487">
        <v>0.1</v>
      </c>
      <c r="V1487">
        <v>0.3</v>
      </c>
      <c r="W1487">
        <v>1.3</v>
      </c>
      <c r="X1487">
        <v>0</v>
      </c>
      <c r="Y1487">
        <v>0</v>
      </c>
      <c r="Z1487">
        <v>0</v>
      </c>
      <c r="AA1487">
        <f t="shared" si="1095"/>
        <v>1.9000000000000001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8.6</v>
      </c>
      <c r="AJ1487" s="5">
        <f t="shared" si="1096"/>
        <v>8.6</v>
      </c>
      <c r="AK1487">
        <v>0.1</v>
      </c>
      <c r="AL1487">
        <v>0.629</v>
      </c>
      <c r="AM1487">
        <f t="shared" si="1101"/>
        <v>0.37</v>
      </c>
      <c r="AN1487">
        <v>8063</v>
      </c>
      <c r="AO1487" s="3" t="s">
        <v>13</v>
      </c>
      <c r="AP1487" s="3">
        <f t="shared" si="1103"/>
        <v>12798.412698412698</v>
      </c>
      <c r="AQ1487" s="3" t="s">
        <v>13</v>
      </c>
      <c r="AR1487">
        <f t="shared" si="1100"/>
        <v>0.23243243243243242</v>
      </c>
      <c r="AS1487">
        <f t="shared" si="1104"/>
        <v>0.28399999999999997</v>
      </c>
      <c r="AT1487">
        <f t="shared" si="1105"/>
        <v>3635</v>
      </c>
      <c r="AU1487">
        <f t="shared" si="1106"/>
        <v>1101</v>
      </c>
      <c r="AV1487">
        <f t="shared" si="1107"/>
        <v>1939</v>
      </c>
      <c r="AW1487">
        <f t="shared" si="1108"/>
        <v>1305</v>
      </c>
      <c r="AX1487" s="3">
        <f t="shared" si="1109"/>
        <v>9554.4126984126979</v>
      </c>
      <c r="AY1487">
        <f t="shared" si="1110"/>
        <v>1817</v>
      </c>
      <c r="AZ1487">
        <f t="shared" si="1111"/>
        <v>1319</v>
      </c>
      <c r="BA1487" s="3">
        <f t="shared" si="1112"/>
        <v>9662.4126984126979</v>
      </c>
    </row>
    <row r="1488" spans="1:53" x14ac:dyDescent="0.2">
      <c r="A1488">
        <v>2000</v>
      </c>
      <c r="B1488" t="s">
        <v>125</v>
      </c>
      <c r="C1488" t="s">
        <v>126</v>
      </c>
      <c r="D1488">
        <v>15.7</v>
      </c>
      <c r="E1488">
        <v>0</v>
      </c>
      <c r="F1488">
        <v>0.6</v>
      </c>
      <c r="G1488">
        <v>3.2</v>
      </c>
      <c r="H1488">
        <v>1.7</v>
      </c>
      <c r="I1488">
        <v>0.2</v>
      </c>
      <c r="J1488">
        <v>0</v>
      </c>
      <c r="K1488">
        <f t="shared" si="1102"/>
        <v>21.4</v>
      </c>
      <c r="L1488">
        <v>0</v>
      </c>
      <c r="M1488">
        <v>0</v>
      </c>
      <c r="N1488">
        <v>0</v>
      </c>
      <c r="O1488">
        <f t="shared" si="1093"/>
        <v>0</v>
      </c>
      <c r="P1488">
        <v>0</v>
      </c>
      <c r="Q1488">
        <v>0</v>
      </c>
      <c r="R1488">
        <v>0</v>
      </c>
      <c r="S1488">
        <f t="shared" si="1094"/>
        <v>0</v>
      </c>
      <c r="T1488">
        <v>0.1</v>
      </c>
      <c r="U1488">
        <v>0</v>
      </c>
      <c r="V1488">
        <v>0.3</v>
      </c>
      <c r="W1488">
        <v>1.3</v>
      </c>
      <c r="X1488">
        <v>0</v>
      </c>
      <c r="Y1488">
        <v>0</v>
      </c>
      <c r="Z1488">
        <v>0</v>
      </c>
      <c r="AA1488">
        <f t="shared" si="1095"/>
        <v>1.7000000000000002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10.4</v>
      </c>
      <c r="AJ1488" s="5">
        <f t="shared" si="1096"/>
        <v>10.4</v>
      </c>
      <c r="AK1488">
        <v>0</v>
      </c>
      <c r="AL1488">
        <v>0.66500000000000004</v>
      </c>
      <c r="AM1488">
        <f t="shared" si="1101"/>
        <v>0.33500000000000008</v>
      </c>
      <c r="AN1488">
        <v>6855</v>
      </c>
      <c r="AO1488" s="3" t="s">
        <v>13</v>
      </c>
      <c r="AP1488" s="3">
        <f t="shared" si="1103"/>
        <v>10308.270676691731</v>
      </c>
      <c r="AQ1488" s="3" t="s">
        <v>13</v>
      </c>
      <c r="AR1488">
        <f t="shared" si="1100"/>
        <v>0.31044776119402978</v>
      </c>
      <c r="AS1488">
        <f t="shared" si="1104"/>
        <v>0.23099999999999998</v>
      </c>
      <c r="AT1488">
        <f t="shared" si="1105"/>
        <v>2381</v>
      </c>
      <c r="AU1488">
        <f t="shared" si="1106"/>
        <v>1072</v>
      </c>
      <c r="AV1488">
        <f t="shared" si="1107"/>
        <v>1278</v>
      </c>
      <c r="AW1488">
        <f t="shared" si="1108"/>
        <v>1221</v>
      </c>
      <c r="AX1488" s="3">
        <f t="shared" si="1109"/>
        <v>7809.2706766917308</v>
      </c>
      <c r="AY1488">
        <f t="shared" si="1110"/>
        <v>1191</v>
      </c>
      <c r="AZ1488">
        <f t="shared" si="1111"/>
        <v>1233</v>
      </c>
      <c r="BA1488" s="3">
        <f t="shared" si="1112"/>
        <v>7884.2706766917308</v>
      </c>
    </row>
    <row r="1489" spans="1:53" x14ac:dyDescent="0.2">
      <c r="A1489">
        <v>2001</v>
      </c>
      <c r="B1489" t="s">
        <v>125</v>
      </c>
      <c r="C1489" t="s">
        <v>126</v>
      </c>
      <c r="D1489">
        <v>15</v>
      </c>
      <c r="E1489">
        <v>0</v>
      </c>
      <c r="F1489">
        <v>1.2</v>
      </c>
      <c r="G1489">
        <v>3.5</v>
      </c>
      <c r="H1489">
        <v>1.8</v>
      </c>
      <c r="I1489">
        <v>0.2</v>
      </c>
      <c r="J1489">
        <v>0.1</v>
      </c>
      <c r="K1489">
        <f t="shared" si="1102"/>
        <v>21.8</v>
      </c>
      <c r="L1489">
        <v>0</v>
      </c>
      <c r="M1489">
        <v>0</v>
      </c>
      <c r="N1489">
        <v>0</v>
      </c>
      <c r="O1489">
        <f t="shared" si="1093"/>
        <v>0</v>
      </c>
      <c r="P1489">
        <v>0</v>
      </c>
      <c r="Q1489">
        <v>0</v>
      </c>
      <c r="R1489">
        <v>0</v>
      </c>
      <c r="S1489">
        <f t="shared" si="1094"/>
        <v>0</v>
      </c>
      <c r="T1489">
        <v>0.1</v>
      </c>
      <c r="U1489">
        <v>0.2</v>
      </c>
      <c r="V1489">
        <v>2.2999999999999998</v>
      </c>
      <c r="W1489">
        <v>1.5</v>
      </c>
      <c r="X1489">
        <v>0</v>
      </c>
      <c r="Y1489">
        <v>0</v>
      </c>
      <c r="Z1489">
        <v>0</v>
      </c>
      <c r="AA1489">
        <f t="shared" si="1095"/>
        <v>4.0999999999999996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0.1</v>
      </c>
      <c r="AI1489">
        <v>13.8</v>
      </c>
      <c r="AJ1489" s="5">
        <f t="shared" si="1096"/>
        <v>13.9</v>
      </c>
      <c r="AK1489">
        <v>0.1</v>
      </c>
      <c r="AL1489">
        <v>0.6</v>
      </c>
      <c r="AM1489">
        <f t="shared" si="1101"/>
        <v>0.39800000000000002</v>
      </c>
      <c r="AN1489">
        <v>11662</v>
      </c>
      <c r="AO1489" s="3" t="s">
        <v>13</v>
      </c>
      <c r="AP1489" s="3">
        <f t="shared" si="1103"/>
        <v>19372.093023255813</v>
      </c>
      <c r="AQ1489" s="3" t="s">
        <v>13</v>
      </c>
      <c r="AR1489">
        <f t="shared" si="1100"/>
        <v>0.34924623115577891</v>
      </c>
      <c r="AS1489">
        <f t="shared" si="1104"/>
        <v>0.25900000000000001</v>
      </c>
      <c r="AT1489">
        <f t="shared" si="1105"/>
        <v>5017</v>
      </c>
      <c r="AU1489">
        <f t="shared" si="1106"/>
        <v>2693</v>
      </c>
      <c r="AV1489">
        <f t="shared" si="1107"/>
        <v>2906</v>
      </c>
      <c r="AW1489">
        <f t="shared" si="1108"/>
        <v>3089</v>
      </c>
      <c r="AX1489" s="3">
        <f t="shared" si="1109"/>
        <v>13377.093023255813</v>
      </c>
      <c r="AY1489">
        <f t="shared" si="1110"/>
        <v>2509</v>
      </c>
      <c r="AZ1489">
        <f t="shared" si="1111"/>
        <v>3163</v>
      </c>
      <c r="BA1489" s="3">
        <f t="shared" si="1112"/>
        <v>13700.093023255813</v>
      </c>
    </row>
    <row r="1490" spans="1:53" x14ac:dyDescent="0.2">
      <c r="A1490">
        <v>2002</v>
      </c>
      <c r="B1490" t="s">
        <v>125</v>
      </c>
      <c r="C1490" t="s">
        <v>126</v>
      </c>
      <c r="D1490">
        <v>20.399999999999999</v>
      </c>
      <c r="E1490">
        <v>0</v>
      </c>
      <c r="F1490">
        <v>1.1000000000000001</v>
      </c>
      <c r="G1490">
        <v>7.4</v>
      </c>
      <c r="H1490">
        <v>2.6</v>
      </c>
      <c r="I1490">
        <v>0.1</v>
      </c>
      <c r="J1490">
        <v>0</v>
      </c>
      <c r="K1490">
        <f t="shared" si="1102"/>
        <v>31.6</v>
      </c>
      <c r="L1490">
        <v>0</v>
      </c>
      <c r="M1490">
        <v>0</v>
      </c>
      <c r="N1490">
        <v>0</v>
      </c>
      <c r="O1490">
        <f t="shared" si="1093"/>
        <v>0</v>
      </c>
      <c r="P1490">
        <v>0</v>
      </c>
      <c r="Q1490">
        <v>0</v>
      </c>
      <c r="R1490">
        <v>0</v>
      </c>
      <c r="S1490">
        <f t="shared" si="1094"/>
        <v>0</v>
      </c>
      <c r="T1490">
        <v>0.1</v>
      </c>
      <c r="U1490">
        <v>0.2</v>
      </c>
      <c r="V1490">
        <v>1.2</v>
      </c>
      <c r="W1490">
        <v>1.9</v>
      </c>
      <c r="X1490">
        <v>0</v>
      </c>
      <c r="Y1490">
        <v>0</v>
      </c>
      <c r="Z1490">
        <v>0</v>
      </c>
      <c r="AA1490">
        <f t="shared" si="1095"/>
        <v>3.4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8.1</v>
      </c>
      <c r="AJ1490" s="5">
        <f t="shared" si="1096"/>
        <v>8.1</v>
      </c>
      <c r="AK1490">
        <v>0.1</v>
      </c>
      <c r="AL1490">
        <v>0.56799999999999995</v>
      </c>
      <c r="AM1490">
        <f t="shared" si="1101"/>
        <v>0.43099999999999999</v>
      </c>
      <c r="AN1490">
        <v>18089</v>
      </c>
      <c r="AO1490" s="3" t="s">
        <v>13</v>
      </c>
      <c r="AP1490" s="3">
        <f t="shared" si="1103"/>
        <v>31790.861159929704</v>
      </c>
      <c r="AQ1490" s="3" t="s">
        <v>13</v>
      </c>
      <c r="AR1490">
        <f t="shared" si="1100"/>
        <v>0.18793503480278423</v>
      </c>
      <c r="AS1490">
        <f t="shared" si="1104"/>
        <v>0.35</v>
      </c>
      <c r="AT1490">
        <f t="shared" si="1105"/>
        <v>11127</v>
      </c>
      <c r="AU1490">
        <f t="shared" si="1106"/>
        <v>2575</v>
      </c>
      <c r="AV1490">
        <f t="shared" si="1107"/>
        <v>6104</v>
      </c>
      <c r="AW1490">
        <f t="shared" si="1108"/>
        <v>3201</v>
      </c>
      <c r="AX1490" s="3">
        <f t="shared" si="1109"/>
        <v>22485.861159929704</v>
      </c>
      <c r="AY1490">
        <f t="shared" si="1110"/>
        <v>5563</v>
      </c>
      <c r="AZ1490">
        <f t="shared" si="1111"/>
        <v>3268</v>
      </c>
      <c r="BA1490" s="3">
        <f t="shared" si="1112"/>
        <v>22959.861159929704</v>
      </c>
    </row>
    <row r="1491" spans="1:53" x14ac:dyDescent="0.2">
      <c r="A1491">
        <v>2003</v>
      </c>
      <c r="B1491" t="s">
        <v>125</v>
      </c>
      <c r="C1491" t="s">
        <v>126</v>
      </c>
      <c r="D1491">
        <v>14.8</v>
      </c>
      <c r="E1491">
        <v>1.4</v>
      </c>
      <c r="F1491">
        <v>0.6</v>
      </c>
      <c r="G1491">
        <v>6.4</v>
      </c>
      <c r="H1491">
        <v>1.9</v>
      </c>
      <c r="I1491">
        <v>0</v>
      </c>
      <c r="J1491">
        <v>0.2</v>
      </c>
      <c r="K1491">
        <f t="shared" si="1102"/>
        <v>25.3</v>
      </c>
      <c r="L1491">
        <v>0</v>
      </c>
      <c r="M1491">
        <v>0</v>
      </c>
      <c r="N1491">
        <v>0</v>
      </c>
      <c r="O1491">
        <f t="shared" si="1093"/>
        <v>0</v>
      </c>
      <c r="P1491">
        <v>0</v>
      </c>
      <c r="Q1491">
        <v>0</v>
      </c>
      <c r="R1491">
        <v>0</v>
      </c>
      <c r="S1491">
        <f t="shared" si="1094"/>
        <v>0</v>
      </c>
      <c r="T1491">
        <v>0</v>
      </c>
      <c r="U1491">
        <v>0.2</v>
      </c>
      <c r="V1491">
        <v>1.3</v>
      </c>
      <c r="W1491">
        <v>2.6</v>
      </c>
      <c r="X1491">
        <v>0</v>
      </c>
      <c r="Y1491">
        <v>0</v>
      </c>
      <c r="Z1491">
        <v>0</v>
      </c>
      <c r="AA1491">
        <f t="shared" si="1095"/>
        <v>4.0999999999999996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7.8</v>
      </c>
      <c r="AJ1491" s="5">
        <f t="shared" si="1096"/>
        <v>7.8</v>
      </c>
      <c r="AK1491">
        <v>0.1</v>
      </c>
      <c r="AL1491">
        <v>0.626</v>
      </c>
      <c r="AM1491">
        <f t="shared" si="1101"/>
        <v>0.37200000000000005</v>
      </c>
      <c r="AN1491">
        <v>10906</v>
      </c>
      <c r="AO1491" s="3" t="s">
        <v>13</v>
      </c>
      <c r="AP1491" s="3">
        <f t="shared" si="1103"/>
        <v>17366.242038216562</v>
      </c>
      <c r="AQ1491" s="3" t="s">
        <v>13</v>
      </c>
      <c r="AR1491">
        <f t="shared" si="1100"/>
        <v>0.20967741935483869</v>
      </c>
      <c r="AS1491">
        <f t="shared" si="1104"/>
        <v>0.29399999999999998</v>
      </c>
      <c r="AT1491">
        <f t="shared" si="1105"/>
        <v>5106</v>
      </c>
      <c r="AU1491">
        <f t="shared" si="1106"/>
        <v>1355</v>
      </c>
      <c r="AV1491">
        <f t="shared" si="1107"/>
        <v>2909</v>
      </c>
      <c r="AW1491">
        <f t="shared" si="1108"/>
        <v>1598</v>
      </c>
      <c r="AX1491" s="3">
        <f t="shared" si="1109"/>
        <v>12859.242038216562</v>
      </c>
      <c r="AY1491">
        <f t="shared" si="1110"/>
        <v>2553</v>
      </c>
      <c r="AZ1491">
        <f t="shared" si="1111"/>
        <v>1637</v>
      </c>
      <c r="BA1491" s="3">
        <f t="shared" si="1112"/>
        <v>13176.242038216562</v>
      </c>
    </row>
    <row r="1492" spans="1:53" x14ac:dyDescent="0.2">
      <c r="A1492">
        <v>2004</v>
      </c>
      <c r="B1492" t="s">
        <v>125</v>
      </c>
      <c r="C1492" t="s">
        <v>126</v>
      </c>
      <c r="D1492">
        <v>19.399999999999999</v>
      </c>
      <c r="E1492">
        <v>1.3</v>
      </c>
      <c r="F1492">
        <v>0.9</v>
      </c>
      <c r="G1492">
        <v>7.5</v>
      </c>
      <c r="H1492">
        <v>4.5</v>
      </c>
      <c r="I1492">
        <v>2.2999999999999998</v>
      </c>
      <c r="J1492">
        <v>0</v>
      </c>
      <c r="K1492">
        <f t="shared" si="1102"/>
        <v>35.899999999999991</v>
      </c>
      <c r="L1492">
        <v>0</v>
      </c>
      <c r="M1492">
        <v>0</v>
      </c>
      <c r="N1492">
        <v>0</v>
      </c>
      <c r="O1492">
        <f t="shared" ref="O1492:O1510" si="1113">SUM(L1492:N1492)</f>
        <v>0</v>
      </c>
      <c r="P1492">
        <v>0</v>
      </c>
      <c r="Q1492">
        <v>0</v>
      </c>
      <c r="R1492">
        <v>0</v>
      </c>
      <c r="S1492">
        <f t="shared" ref="S1492:S1510" si="1114">SUM(P1492:R1492)</f>
        <v>0</v>
      </c>
      <c r="T1492">
        <v>0.4</v>
      </c>
      <c r="U1492">
        <v>0</v>
      </c>
      <c r="V1492">
        <v>0.2</v>
      </c>
      <c r="W1492">
        <v>0.9</v>
      </c>
      <c r="X1492">
        <v>0</v>
      </c>
      <c r="Y1492">
        <v>0</v>
      </c>
      <c r="Z1492">
        <v>0</v>
      </c>
      <c r="AA1492">
        <f t="shared" ref="AA1492:AA1510" si="1115">SUM(T1492:Z1492)</f>
        <v>1.5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13.6</v>
      </c>
      <c r="AJ1492" s="5">
        <f t="shared" ref="AJ1492:AJ1557" si="1116">SUM(AB1492:AI1492)</f>
        <v>13.6</v>
      </c>
      <c r="AK1492">
        <v>0</v>
      </c>
      <c r="AL1492">
        <v>0.48700000000000004</v>
      </c>
      <c r="AM1492">
        <f t="shared" si="1101"/>
        <v>0.5099999999999999</v>
      </c>
      <c r="AN1492">
        <v>9975</v>
      </c>
      <c r="AO1492" s="3" t="s">
        <v>13</v>
      </c>
      <c r="AP1492" s="3">
        <f t="shared" si="1103"/>
        <v>20357.142857142851</v>
      </c>
      <c r="AQ1492" s="3" t="s">
        <v>13</v>
      </c>
      <c r="AR1492">
        <f t="shared" si="1100"/>
        <v>0.26666666666666672</v>
      </c>
      <c r="AS1492">
        <f t="shared" si="1104"/>
        <v>0.37399999999999989</v>
      </c>
      <c r="AT1492">
        <f t="shared" si="1105"/>
        <v>7614</v>
      </c>
      <c r="AU1492">
        <f t="shared" si="1106"/>
        <v>2769</v>
      </c>
      <c r="AV1492">
        <f t="shared" si="1107"/>
        <v>3959</v>
      </c>
      <c r="AW1492">
        <f t="shared" si="1108"/>
        <v>3563</v>
      </c>
      <c r="AX1492" s="3">
        <f t="shared" si="1109"/>
        <v>12835.142857142851</v>
      </c>
      <c r="AY1492">
        <f t="shared" si="1110"/>
        <v>3807</v>
      </c>
      <c r="AZ1492">
        <f t="shared" si="1111"/>
        <v>3596</v>
      </c>
      <c r="BA1492" s="3">
        <f t="shared" si="1112"/>
        <v>12954.142857142851</v>
      </c>
    </row>
    <row r="1493" spans="1:53" x14ac:dyDescent="0.2">
      <c r="A1493">
        <v>2005</v>
      </c>
      <c r="B1493" t="s">
        <v>125</v>
      </c>
      <c r="C1493" t="s">
        <v>126</v>
      </c>
      <c r="D1493">
        <v>20.100000000000001</v>
      </c>
      <c r="E1493">
        <v>0</v>
      </c>
      <c r="F1493">
        <v>1.4</v>
      </c>
      <c r="G1493">
        <v>9.3000000000000007</v>
      </c>
      <c r="H1493">
        <v>5.3</v>
      </c>
      <c r="I1493">
        <v>2.2999999999999998</v>
      </c>
      <c r="J1493">
        <v>0.3</v>
      </c>
      <c r="K1493">
        <f t="shared" si="1102"/>
        <v>38.699999999999996</v>
      </c>
      <c r="L1493">
        <v>0</v>
      </c>
      <c r="M1493">
        <v>0</v>
      </c>
      <c r="N1493">
        <v>0</v>
      </c>
      <c r="O1493">
        <f t="shared" si="1113"/>
        <v>0</v>
      </c>
      <c r="P1493">
        <v>0</v>
      </c>
      <c r="Q1493">
        <v>0</v>
      </c>
      <c r="R1493">
        <v>0</v>
      </c>
      <c r="S1493">
        <f t="shared" si="1114"/>
        <v>0</v>
      </c>
      <c r="T1493">
        <v>0.6</v>
      </c>
      <c r="U1493">
        <v>0.3</v>
      </c>
      <c r="V1493">
        <v>0.8</v>
      </c>
      <c r="W1493">
        <v>1.1000000000000001</v>
      </c>
      <c r="X1493">
        <v>0.1</v>
      </c>
      <c r="Y1493">
        <v>0</v>
      </c>
      <c r="Z1493">
        <v>0</v>
      </c>
      <c r="AA1493">
        <f t="shared" si="1115"/>
        <v>2.9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8.8000000000000007</v>
      </c>
      <c r="AJ1493" s="5">
        <f t="shared" si="1116"/>
        <v>8.8000000000000007</v>
      </c>
      <c r="AK1493">
        <v>0</v>
      </c>
      <c r="AL1493">
        <v>0.496</v>
      </c>
      <c r="AM1493">
        <f t="shared" si="1101"/>
        <v>0.50399999999999989</v>
      </c>
      <c r="AN1493">
        <v>8114</v>
      </c>
      <c r="AO1493" s="3" t="s">
        <v>13</v>
      </c>
      <c r="AP1493" s="3">
        <f t="shared" si="1103"/>
        <v>16358.870967741932</v>
      </c>
      <c r="AQ1493" s="3" t="s">
        <v>13</v>
      </c>
      <c r="AR1493">
        <f t="shared" si="1100"/>
        <v>0.17460317460317465</v>
      </c>
      <c r="AS1493">
        <f t="shared" si="1104"/>
        <v>0.41599999999999993</v>
      </c>
      <c r="AT1493">
        <f t="shared" si="1105"/>
        <v>6805</v>
      </c>
      <c r="AU1493">
        <f t="shared" si="1106"/>
        <v>1440</v>
      </c>
      <c r="AV1493">
        <f t="shared" si="1107"/>
        <v>3640</v>
      </c>
      <c r="AW1493">
        <f t="shared" si="1108"/>
        <v>1917</v>
      </c>
      <c r="AX1493" s="3">
        <f t="shared" si="1109"/>
        <v>10801.870967741932</v>
      </c>
      <c r="AY1493">
        <f t="shared" si="1110"/>
        <v>3403</v>
      </c>
      <c r="AZ1493">
        <f t="shared" si="1111"/>
        <v>1953</v>
      </c>
      <c r="BA1493" s="3">
        <f t="shared" si="1112"/>
        <v>11002.870967741932</v>
      </c>
    </row>
    <row r="1494" spans="1:53" x14ac:dyDescent="0.2">
      <c r="A1494">
        <v>2006</v>
      </c>
      <c r="B1494" t="s">
        <v>125</v>
      </c>
      <c r="C1494" t="s">
        <v>126</v>
      </c>
      <c r="D1494">
        <v>26.9</v>
      </c>
      <c r="E1494">
        <v>0</v>
      </c>
      <c r="F1494">
        <v>2.2000000000000002</v>
      </c>
      <c r="G1494">
        <v>11.7</v>
      </c>
      <c r="H1494">
        <v>7.8</v>
      </c>
      <c r="I1494">
        <v>1.9</v>
      </c>
      <c r="J1494">
        <v>1.7</v>
      </c>
      <c r="K1494">
        <f t="shared" si="1102"/>
        <v>52.199999999999996</v>
      </c>
      <c r="L1494">
        <v>0</v>
      </c>
      <c r="M1494">
        <v>0</v>
      </c>
      <c r="N1494">
        <v>0</v>
      </c>
      <c r="O1494">
        <f t="shared" si="1113"/>
        <v>0</v>
      </c>
      <c r="P1494">
        <v>0</v>
      </c>
      <c r="Q1494">
        <v>0</v>
      </c>
      <c r="R1494">
        <v>0</v>
      </c>
      <c r="S1494">
        <f t="shared" si="1114"/>
        <v>0</v>
      </c>
      <c r="T1494">
        <v>0.1</v>
      </c>
      <c r="U1494">
        <v>0.2</v>
      </c>
      <c r="V1494">
        <v>1</v>
      </c>
      <c r="W1494">
        <v>3.2</v>
      </c>
      <c r="X1494">
        <v>0</v>
      </c>
      <c r="Y1494">
        <v>0</v>
      </c>
      <c r="Z1494">
        <v>0</v>
      </c>
      <c r="AA1494">
        <f t="shared" si="1115"/>
        <v>4.5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0.2</v>
      </c>
      <c r="AI1494">
        <v>6.9</v>
      </c>
      <c r="AJ1494" s="5">
        <f t="shared" si="1116"/>
        <v>7.1000000000000005</v>
      </c>
      <c r="AK1494">
        <v>0.2</v>
      </c>
      <c r="AL1494">
        <v>0.35899999999999999</v>
      </c>
      <c r="AM1494">
        <f t="shared" si="1101"/>
        <v>0.63800000000000001</v>
      </c>
      <c r="AN1494">
        <v>4711</v>
      </c>
      <c r="AO1494" s="3" t="s">
        <v>13</v>
      </c>
      <c r="AP1494" s="3">
        <f t="shared" si="1103"/>
        <v>13013.812154696134</v>
      </c>
      <c r="AQ1494" s="3" t="s">
        <v>13</v>
      </c>
      <c r="AR1494">
        <f t="shared" si="1100"/>
        <v>0.11128526645768026</v>
      </c>
      <c r="AS1494">
        <f t="shared" si="1104"/>
        <v>0.56699999999999995</v>
      </c>
      <c r="AT1494">
        <f t="shared" si="1105"/>
        <v>7379</v>
      </c>
      <c r="AU1494">
        <f t="shared" si="1106"/>
        <v>924</v>
      </c>
      <c r="AV1494">
        <f t="shared" si="1107"/>
        <v>3982</v>
      </c>
      <c r="AW1494">
        <f t="shared" si="1108"/>
        <v>1481</v>
      </c>
      <c r="AX1494" s="3">
        <f t="shared" si="1109"/>
        <v>7550.8121546961338</v>
      </c>
      <c r="AY1494">
        <f t="shared" si="1110"/>
        <v>3689</v>
      </c>
      <c r="AZ1494">
        <f t="shared" si="1111"/>
        <v>1529</v>
      </c>
      <c r="BA1494" s="3">
        <f t="shared" si="1112"/>
        <v>7795.8121546961338</v>
      </c>
    </row>
    <row r="1495" spans="1:53" x14ac:dyDescent="0.2">
      <c r="A1495">
        <v>2007</v>
      </c>
      <c r="B1495" t="s">
        <v>125</v>
      </c>
      <c r="C1495" t="s">
        <v>126</v>
      </c>
      <c r="D1495">
        <v>20.3</v>
      </c>
      <c r="E1495">
        <v>0</v>
      </c>
      <c r="F1495">
        <v>3.2</v>
      </c>
      <c r="G1495">
        <v>9.3000000000000007</v>
      </c>
      <c r="H1495">
        <v>6.7</v>
      </c>
      <c r="I1495">
        <v>0.2</v>
      </c>
      <c r="J1495">
        <v>1.6</v>
      </c>
      <c r="K1495">
        <f t="shared" si="1102"/>
        <v>41.300000000000004</v>
      </c>
      <c r="L1495">
        <v>0</v>
      </c>
      <c r="M1495">
        <v>0</v>
      </c>
      <c r="N1495">
        <v>0</v>
      </c>
      <c r="O1495">
        <f t="shared" si="1113"/>
        <v>0</v>
      </c>
      <c r="P1495">
        <v>0</v>
      </c>
      <c r="Q1495">
        <v>0</v>
      </c>
      <c r="R1495">
        <v>0.5</v>
      </c>
      <c r="S1495">
        <f t="shared" si="1114"/>
        <v>0.5</v>
      </c>
      <c r="T1495">
        <v>0</v>
      </c>
      <c r="U1495">
        <v>0.2</v>
      </c>
      <c r="V1495">
        <v>0</v>
      </c>
      <c r="W1495">
        <v>0.4</v>
      </c>
      <c r="X1495">
        <v>0</v>
      </c>
      <c r="Y1495">
        <v>0</v>
      </c>
      <c r="Z1495">
        <v>0</v>
      </c>
      <c r="AA1495">
        <f t="shared" si="1115"/>
        <v>0.60000000000000009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7.6</v>
      </c>
      <c r="AJ1495" s="5">
        <f t="shared" si="1116"/>
        <v>7.6</v>
      </c>
      <c r="AK1495">
        <v>0.1</v>
      </c>
      <c r="AL1495">
        <v>0.499</v>
      </c>
      <c r="AM1495">
        <f t="shared" si="1101"/>
        <v>0.50000000000000011</v>
      </c>
      <c r="AN1495">
        <v>4304</v>
      </c>
      <c r="AO1495" s="3" t="s">
        <v>13</v>
      </c>
      <c r="AP1495" s="3">
        <f t="shared" si="1103"/>
        <v>8608.0000000000018</v>
      </c>
      <c r="AQ1495" s="3" t="s">
        <v>13</v>
      </c>
      <c r="AR1495">
        <f t="shared" si="1100"/>
        <v>0.15199999999999997</v>
      </c>
      <c r="AS1495">
        <f t="shared" si="1104"/>
        <v>0.42400000000000004</v>
      </c>
      <c r="AT1495">
        <f t="shared" si="1105"/>
        <v>3650</v>
      </c>
      <c r="AU1495">
        <f t="shared" si="1106"/>
        <v>654</v>
      </c>
      <c r="AV1495">
        <f t="shared" si="1107"/>
        <v>1872</v>
      </c>
      <c r="AW1495">
        <f t="shared" si="1108"/>
        <v>889</v>
      </c>
      <c r="AX1495" s="3">
        <f t="shared" si="1109"/>
        <v>5847.0000000000018</v>
      </c>
      <c r="AY1495">
        <f t="shared" si="1110"/>
        <v>1825</v>
      </c>
      <c r="AZ1495">
        <f t="shared" si="1111"/>
        <v>895</v>
      </c>
      <c r="BA1495" s="3">
        <f t="shared" si="1112"/>
        <v>5888.0000000000018</v>
      </c>
    </row>
    <row r="1496" spans="1:53" x14ac:dyDescent="0.2">
      <c r="A1496">
        <v>2008</v>
      </c>
      <c r="B1496" t="s">
        <v>125</v>
      </c>
      <c r="C1496" t="s">
        <v>126</v>
      </c>
      <c r="D1496">
        <v>15.7</v>
      </c>
      <c r="E1496">
        <v>0</v>
      </c>
      <c r="F1496">
        <v>2</v>
      </c>
      <c r="G1496">
        <v>7.2</v>
      </c>
      <c r="H1496">
        <v>4.8</v>
      </c>
      <c r="I1496">
        <v>0.6</v>
      </c>
      <c r="J1496">
        <v>0.7</v>
      </c>
      <c r="K1496">
        <f t="shared" si="1102"/>
        <v>31</v>
      </c>
      <c r="L1496">
        <v>0</v>
      </c>
      <c r="M1496">
        <v>0.3</v>
      </c>
      <c r="N1496">
        <v>0</v>
      </c>
      <c r="O1496">
        <f t="shared" si="1113"/>
        <v>0.3</v>
      </c>
      <c r="P1496">
        <v>0</v>
      </c>
      <c r="Q1496">
        <v>0</v>
      </c>
      <c r="R1496">
        <v>0.6</v>
      </c>
      <c r="S1496">
        <f t="shared" si="1114"/>
        <v>0.6</v>
      </c>
      <c r="T1496">
        <v>0.8</v>
      </c>
      <c r="U1496">
        <v>0.1</v>
      </c>
      <c r="V1496">
        <v>0.2</v>
      </c>
      <c r="W1496">
        <v>0.7</v>
      </c>
      <c r="X1496">
        <v>0</v>
      </c>
      <c r="Y1496">
        <v>0</v>
      </c>
      <c r="Z1496">
        <v>0</v>
      </c>
      <c r="AA1496">
        <f t="shared" si="1115"/>
        <v>1.8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8.5</v>
      </c>
      <c r="AJ1496" s="5">
        <f t="shared" si="1116"/>
        <v>8.5</v>
      </c>
      <c r="AK1496">
        <v>0</v>
      </c>
      <c r="AL1496">
        <v>0.57700000000000007</v>
      </c>
      <c r="AM1496">
        <f t="shared" si="1101"/>
        <v>0.42200000000000004</v>
      </c>
      <c r="AN1496">
        <v>3810</v>
      </c>
      <c r="AO1496" s="3" t="s">
        <v>13</v>
      </c>
      <c r="AP1496" s="3">
        <f t="shared" si="1103"/>
        <v>6591.6955017301043</v>
      </c>
      <c r="AQ1496" s="3" t="s">
        <v>13</v>
      </c>
      <c r="AR1496">
        <f t="shared" si="1100"/>
        <v>0.2014218009478673</v>
      </c>
      <c r="AS1496">
        <f t="shared" si="1104"/>
        <v>0.33700000000000002</v>
      </c>
      <c r="AT1496">
        <f t="shared" si="1105"/>
        <v>2221</v>
      </c>
      <c r="AU1496">
        <f t="shared" si="1106"/>
        <v>560</v>
      </c>
      <c r="AV1496">
        <f t="shared" si="1107"/>
        <v>1200</v>
      </c>
      <c r="AW1496">
        <f t="shared" si="1108"/>
        <v>691</v>
      </c>
      <c r="AX1496" s="3">
        <f t="shared" si="1109"/>
        <v>4700.6955017301043</v>
      </c>
      <c r="AY1496">
        <f t="shared" si="1110"/>
        <v>1111</v>
      </c>
      <c r="AZ1496">
        <f t="shared" si="1111"/>
        <v>702</v>
      </c>
      <c r="BA1496" s="3">
        <f t="shared" si="1112"/>
        <v>4778.6955017301043</v>
      </c>
    </row>
    <row r="1497" spans="1:53" x14ac:dyDescent="0.2">
      <c r="A1497">
        <v>2009</v>
      </c>
      <c r="B1497" t="s">
        <v>125</v>
      </c>
      <c r="C1497" t="s">
        <v>126</v>
      </c>
      <c r="D1497">
        <v>18.2</v>
      </c>
      <c r="E1497">
        <v>1</v>
      </c>
      <c r="F1497">
        <v>3</v>
      </c>
      <c r="G1497">
        <v>13.1</v>
      </c>
      <c r="H1497">
        <v>4.5</v>
      </c>
      <c r="I1497">
        <v>0.3</v>
      </c>
      <c r="J1497">
        <v>0.3</v>
      </c>
      <c r="K1497">
        <f t="shared" si="1102"/>
        <v>40.399999999999991</v>
      </c>
      <c r="L1497">
        <v>0</v>
      </c>
      <c r="M1497">
        <v>0</v>
      </c>
      <c r="N1497">
        <v>0</v>
      </c>
      <c r="O1497">
        <f t="shared" si="1113"/>
        <v>0</v>
      </c>
      <c r="P1497">
        <v>0</v>
      </c>
      <c r="Q1497">
        <v>0</v>
      </c>
      <c r="R1497">
        <v>0</v>
      </c>
      <c r="S1497">
        <f t="shared" si="1114"/>
        <v>0</v>
      </c>
      <c r="T1497">
        <v>0.2</v>
      </c>
      <c r="U1497">
        <v>0.3</v>
      </c>
      <c r="V1497">
        <v>0</v>
      </c>
      <c r="W1497">
        <v>0.6</v>
      </c>
      <c r="X1497">
        <v>0</v>
      </c>
      <c r="Y1497">
        <v>0</v>
      </c>
      <c r="Z1497">
        <v>0</v>
      </c>
      <c r="AA1497">
        <f t="shared" si="1115"/>
        <v>1.1000000000000001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0.3</v>
      </c>
      <c r="AI1497">
        <v>0.8</v>
      </c>
      <c r="AJ1497" s="5">
        <f t="shared" si="1116"/>
        <v>1.1000000000000001</v>
      </c>
      <c r="AK1497">
        <v>0</v>
      </c>
      <c r="AL1497">
        <v>0.57299999999999995</v>
      </c>
      <c r="AM1497">
        <f t="shared" si="1101"/>
        <v>0.42599999999999993</v>
      </c>
      <c r="AN1497">
        <v>5390</v>
      </c>
      <c r="AO1497" s="3" t="s">
        <v>13</v>
      </c>
      <c r="AP1497" s="3">
        <f t="shared" si="1103"/>
        <v>9390.2439024390242</v>
      </c>
      <c r="AQ1497" s="3" t="s">
        <v>13</v>
      </c>
      <c r="AR1497">
        <f t="shared" si="1100"/>
        <v>2.582159624413146E-2</v>
      </c>
      <c r="AS1497">
        <f t="shared" si="1104"/>
        <v>0.41499999999999992</v>
      </c>
      <c r="AT1497">
        <f t="shared" si="1105"/>
        <v>3897</v>
      </c>
      <c r="AU1497">
        <f t="shared" si="1106"/>
        <v>103</v>
      </c>
      <c r="AV1497">
        <f t="shared" si="1107"/>
        <v>2000</v>
      </c>
      <c r="AW1497">
        <f t="shared" si="1108"/>
        <v>139</v>
      </c>
      <c r="AX1497" s="3">
        <f t="shared" si="1109"/>
        <v>7251.2439024390242</v>
      </c>
      <c r="AY1497">
        <f t="shared" si="1110"/>
        <v>1948</v>
      </c>
      <c r="AZ1497">
        <f t="shared" si="1111"/>
        <v>140</v>
      </c>
      <c r="BA1497" s="3">
        <f t="shared" si="1112"/>
        <v>7302.2439024390242</v>
      </c>
    </row>
    <row r="1498" spans="1:53" x14ac:dyDescent="0.2">
      <c r="A1498">
        <v>2010</v>
      </c>
      <c r="B1498" t="s">
        <v>125</v>
      </c>
      <c r="C1498" t="s">
        <v>126</v>
      </c>
      <c r="D1498">
        <v>12.9</v>
      </c>
      <c r="E1498">
        <v>0</v>
      </c>
      <c r="F1498">
        <v>1.6</v>
      </c>
      <c r="G1498">
        <v>7</v>
      </c>
      <c r="H1498">
        <v>1.6</v>
      </c>
      <c r="I1498">
        <v>0</v>
      </c>
      <c r="J1498">
        <v>0</v>
      </c>
      <c r="K1498">
        <f t="shared" si="1102"/>
        <v>23.1</v>
      </c>
      <c r="L1498">
        <v>0</v>
      </c>
      <c r="M1498">
        <v>0</v>
      </c>
      <c r="N1498">
        <v>0</v>
      </c>
      <c r="O1498">
        <f t="shared" si="1113"/>
        <v>0</v>
      </c>
      <c r="P1498">
        <v>0</v>
      </c>
      <c r="Q1498">
        <v>0</v>
      </c>
      <c r="R1498">
        <v>0.3</v>
      </c>
      <c r="S1498">
        <f t="shared" si="1114"/>
        <v>0.3</v>
      </c>
      <c r="T1498">
        <v>0.3</v>
      </c>
      <c r="U1498">
        <v>0.3</v>
      </c>
      <c r="V1498">
        <v>0.2</v>
      </c>
      <c r="W1498">
        <v>0.3</v>
      </c>
      <c r="X1498">
        <v>0</v>
      </c>
      <c r="Y1498">
        <v>0</v>
      </c>
      <c r="Z1498">
        <v>0</v>
      </c>
      <c r="AA1498">
        <f t="shared" si="1115"/>
        <v>1.1000000000000001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6.8</v>
      </c>
      <c r="AJ1498" s="5">
        <f t="shared" si="1116"/>
        <v>6.8</v>
      </c>
      <c r="AK1498">
        <v>0.1</v>
      </c>
      <c r="AL1498">
        <v>0.68400000000000005</v>
      </c>
      <c r="AM1498">
        <f t="shared" si="1101"/>
        <v>0.31300000000000006</v>
      </c>
      <c r="AN1498">
        <v>5384</v>
      </c>
      <c r="AO1498" s="3" t="s">
        <v>13</v>
      </c>
      <c r="AP1498" s="3">
        <f t="shared" si="1103"/>
        <v>7836.9723435225624</v>
      </c>
      <c r="AQ1498" s="3" t="s">
        <v>13</v>
      </c>
      <c r="AR1498">
        <f t="shared" si="1100"/>
        <v>0.21725239616613415</v>
      </c>
      <c r="AS1498">
        <f t="shared" si="1104"/>
        <v>0.24500000000000002</v>
      </c>
      <c r="AT1498">
        <f t="shared" si="1105"/>
        <v>1920</v>
      </c>
      <c r="AU1498">
        <f t="shared" si="1106"/>
        <v>533</v>
      </c>
      <c r="AV1498">
        <f t="shared" si="1107"/>
        <v>1015</v>
      </c>
      <c r="AW1498">
        <f t="shared" si="1108"/>
        <v>615</v>
      </c>
      <c r="AX1498" s="3">
        <f t="shared" si="1109"/>
        <v>6206.9723435225624</v>
      </c>
      <c r="AY1498">
        <f t="shared" si="1110"/>
        <v>960</v>
      </c>
      <c r="AZ1498">
        <f t="shared" si="1111"/>
        <v>619</v>
      </c>
      <c r="BA1498" s="3">
        <f t="shared" si="1112"/>
        <v>6257.9723435225624</v>
      </c>
    </row>
    <row r="1499" spans="1:53" x14ac:dyDescent="0.2">
      <c r="A1499">
        <v>2011</v>
      </c>
      <c r="B1499" t="s">
        <v>125</v>
      </c>
      <c r="C1499" t="s">
        <v>126</v>
      </c>
      <c r="D1499">
        <v>10.7</v>
      </c>
      <c r="E1499">
        <v>0</v>
      </c>
      <c r="F1499">
        <v>1.3</v>
      </c>
      <c r="G1499">
        <v>5.7</v>
      </c>
      <c r="H1499">
        <v>2.5</v>
      </c>
      <c r="I1499">
        <v>2.1</v>
      </c>
      <c r="J1499">
        <v>1.5</v>
      </c>
      <c r="K1499">
        <f t="shared" si="1102"/>
        <v>23.8</v>
      </c>
      <c r="L1499">
        <v>0</v>
      </c>
      <c r="M1499">
        <v>0</v>
      </c>
      <c r="N1499">
        <v>0</v>
      </c>
      <c r="O1499">
        <f t="shared" si="1113"/>
        <v>0</v>
      </c>
      <c r="P1499">
        <v>0</v>
      </c>
      <c r="Q1499">
        <v>0</v>
      </c>
      <c r="R1499">
        <v>0</v>
      </c>
      <c r="S1499">
        <f t="shared" si="1114"/>
        <v>0</v>
      </c>
      <c r="T1499">
        <v>1.5</v>
      </c>
      <c r="U1499">
        <v>0.5</v>
      </c>
      <c r="V1499">
        <v>0.3</v>
      </c>
      <c r="W1499">
        <v>0.9</v>
      </c>
      <c r="X1499">
        <v>0</v>
      </c>
      <c r="Y1499">
        <v>0</v>
      </c>
      <c r="Z1499">
        <v>0</v>
      </c>
      <c r="AA1499">
        <f t="shared" si="1115"/>
        <v>3.1999999999999997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0.1</v>
      </c>
      <c r="AI1499">
        <v>11.6</v>
      </c>
      <c r="AJ1499" s="5">
        <f t="shared" si="1116"/>
        <v>11.7</v>
      </c>
      <c r="AK1499">
        <v>0</v>
      </c>
      <c r="AL1499">
        <v>0.61399999999999999</v>
      </c>
      <c r="AM1499">
        <f t="shared" si="1101"/>
        <v>0.38700000000000001</v>
      </c>
      <c r="AN1499">
        <v>7665</v>
      </c>
      <c r="AO1499" s="3" t="s">
        <v>13</v>
      </c>
      <c r="AP1499" s="3">
        <f t="shared" si="1103"/>
        <v>12504.078303425775</v>
      </c>
      <c r="AQ1499" s="3" t="s">
        <v>13</v>
      </c>
      <c r="AR1499">
        <f t="shared" si="1100"/>
        <v>0.30232558139534882</v>
      </c>
      <c r="AS1499">
        <f t="shared" si="1104"/>
        <v>0.27</v>
      </c>
      <c r="AT1499">
        <f t="shared" si="1105"/>
        <v>3376</v>
      </c>
      <c r="AU1499">
        <f t="shared" si="1106"/>
        <v>1463</v>
      </c>
      <c r="AV1499">
        <f t="shared" si="1107"/>
        <v>1888</v>
      </c>
      <c r="AW1499">
        <f t="shared" si="1108"/>
        <v>1701</v>
      </c>
      <c r="AX1499" s="3">
        <f t="shared" si="1109"/>
        <v>8915.0783034257747</v>
      </c>
      <c r="AY1499">
        <f t="shared" si="1110"/>
        <v>1688</v>
      </c>
      <c r="AZ1499">
        <f t="shared" si="1111"/>
        <v>1734</v>
      </c>
      <c r="BA1499" s="3">
        <f t="shared" si="1112"/>
        <v>9082.0783034257747</v>
      </c>
    </row>
    <row r="1500" spans="1:53" x14ac:dyDescent="0.2">
      <c r="A1500">
        <v>2012</v>
      </c>
      <c r="B1500" t="s">
        <v>125</v>
      </c>
      <c r="C1500" t="s">
        <v>126</v>
      </c>
      <c r="D1500">
        <v>17.100000000000001</v>
      </c>
      <c r="E1500">
        <v>0.3</v>
      </c>
      <c r="F1500">
        <v>1.2</v>
      </c>
      <c r="G1500">
        <v>9.5</v>
      </c>
      <c r="H1500">
        <v>2.9</v>
      </c>
      <c r="I1500">
        <v>1.9</v>
      </c>
      <c r="J1500">
        <v>2.4</v>
      </c>
      <c r="K1500">
        <f t="shared" si="1102"/>
        <v>35.299999999999997</v>
      </c>
      <c r="L1500">
        <v>0</v>
      </c>
      <c r="M1500">
        <v>0</v>
      </c>
      <c r="N1500">
        <v>0</v>
      </c>
      <c r="O1500">
        <f t="shared" si="1113"/>
        <v>0</v>
      </c>
      <c r="P1500">
        <v>0</v>
      </c>
      <c r="Q1500">
        <v>0</v>
      </c>
      <c r="R1500">
        <v>0.1</v>
      </c>
      <c r="S1500">
        <f t="shared" si="1114"/>
        <v>0.1</v>
      </c>
      <c r="T1500">
        <v>4.2</v>
      </c>
      <c r="U1500">
        <v>0.4</v>
      </c>
      <c r="V1500">
        <v>0.1</v>
      </c>
      <c r="W1500">
        <v>2.8</v>
      </c>
      <c r="X1500">
        <v>0</v>
      </c>
      <c r="Y1500">
        <v>0</v>
      </c>
      <c r="Z1500">
        <v>0.1</v>
      </c>
      <c r="AA1500">
        <f t="shared" si="1115"/>
        <v>7.6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7.8</v>
      </c>
      <c r="AJ1500" s="5">
        <f t="shared" si="1116"/>
        <v>7.8</v>
      </c>
      <c r="AK1500">
        <v>0.1</v>
      </c>
      <c r="AL1500">
        <v>0.49200000000000005</v>
      </c>
      <c r="AM1500">
        <f t="shared" si="1101"/>
        <v>0.50800000000000001</v>
      </c>
      <c r="AN1500">
        <v>7515</v>
      </c>
      <c r="AO1500" s="3" t="s">
        <v>13</v>
      </c>
      <c r="AP1500" s="3">
        <f t="shared" si="1103"/>
        <v>15274.390243902439</v>
      </c>
      <c r="AQ1500" s="3" t="s">
        <v>13</v>
      </c>
      <c r="AR1500">
        <f t="shared" si="1100"/>
        <v>0.15354330708661418</v>
      </c>
      <c r="AS1500">
        <f t="shared" si="1104"/>
        <v>0.43</v>
      </c>
      <c r="AT1500">
        <f t="shared" si="1105"/>
        <v>6568</v>
      </c>
      <c r="AU1500">
        <f t="shared" si="1106"/>
        <v>1191</v>
      </c>
      <c r="AV1500">
        <f t="shared" si="1107"/>
        <v>3872</v>
      </c>
      <c r="AW1500">
        <f t="shared" si="1108"/>
        <v>1560</v>
      </c>
      <c r="AX1500" s="3">
        <f t="shared" si="1109"/>
        <v>9842.3902439024387</v>
      </c>
      <c r="AY1500">
        <f t="shared" si="1110"/>
        <v>3284</v>
      </c>
      <c r="AZ1500">
        <f t="shared" si="1111"/>
        <v>1640</v>
      </c>
      <c r="BA1500" s="3">
        <f t="shared" si="1112"/>
        <v>10350.390243902439</v>
      </c>
    </row>
    <row r="1501" spans="1:53" x14ac:dyDescent="0.2">
      <c r="A1501">
        <v>2013</v>
      </c>
      <c r="B1501" t="s">
        <v>125</v>
      </c>
      <c r="C1501" t="s">
        <v>126</v>
      </c>
      <c r="D1501">
        <v>5.7</v>
      </c>
      <c r="E1501">
        <v>0.2</v>
      </c>
      <c r="F1501">
        <v>1.7</v>
      </c>
      <c r="G1501">
        <v>8.1</v>
      </c>
      <c r="H1501">
        <v>4.3</v>
      </c>
      <c r="I1501">
        <v>0.5</v>
      </c>
      <c r="J1501">
        <v>0.8</v>
      </c>
      <c r="K1501">
        <f t="shared" si="1102"/>
        <v>21.3</v>
      </c>
      <c r="L1501">
        <v>0</v>
      </c>
      <c r="M1501">
        <v>0</v>
      </c>
      <c r="N1501">
        <v>0</v>
      </c>
      <c r="O1501">
        <f t="shared" si="1113"/>
        <v>0</v>
      </c>
      <c r="P1501">
        <v>0</v>
      </c>
      <c r="Q1501">
        <v>0</v>
      </c>
      <c r="R1501">
        <v>0.3</v>
      </c>
      <c r="S1501">
        <f t="shared" si="1114"/>
        <v>0.3</v>
      </c>
      <c r="T1501">
        <v>2.1</v>
      </c>
      <c r="U1501">
        <v>0.5</v>
      </c>
      <c r="V1501">
        <v>0.4</v>
      </c>
      <c r="W1501">
        <v>1.2</v>
      </c>
      <c r="X1501">
        <v>0</v>
      </c>
      <c r="Y1501">
        <v>0</v>
      </c>
      <c r="Z1501">
        <v>0</v>
      </c>
      <c r="AA1501">
        <f t="shared" si="1115"/>
        <v>4.2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14.2</v>
      </c>
      <c r="AJ1501" s="5">
        <f t="shared" si="1116"/>
        <v>14.2</v>
      </c>
      <c r="AK1501">
        <v>0</v>
      </c>
      <c r="AL1501">
        <v>0.6</v>
      </c>
      <c r="AM1501">
        <f t="shared" si="1101"/>
        <v>0.39999999999999991</v>
      </c>
      <c r="AN1501">
        <v>18194</v>
      </c>
      <c r="AO1501" s="3" t="s">
        <v>13</v>
      </c>
      <c r="AP1501" s="3">
        <f t="shared" si="1103"/>
        <v>30323.333333333328</v>
      </c>
      <c r="AQ1501" s="3" t="s">
        <v>13</v>
      </c>
      <c r="AR1501">
        <f t="shared" si="1100"/>
        <v>0.35500000000000004</v>
      </c>
      <c r="AS1501">
        <f t="shared" si="1104"/>
        <v>0.25800000000000001</v>
      </c>
      <c r="AT1501">
        <f t="shared" si="1105"/>
        <v>7823</v>
      </c>
      <c r="AU1501">
        <f t="shared" si="1106"/>
        <v>4306</v>
      </c>
      <c r="AV1501">
        <f t="shared" si="1107"/>
        <v>4594</v>
      </c>
      <c r="AW1501">
        <f t="shared" si="1108"/>
        <v>4924</v>
      </c>
      <c r="AX1501" s="3">
        <f t="shared" si="1109"/>
        <v>20805.333333333328</v>
      </c>
      <c r="AY1501">
        <f t="shared" si="1110"/>
        <v>3912</v>
      </c>
      <c r="AZ1501">
        <f t="shared" si="1111"/>
        <v>5054</v>
      </c>
      <c r="BA1501" s="3">
        <f t="shared" si="1112"/>
        <v>21357.333333333328</v>
      </c>
    </row>
    <row r="1502" spans="1:53" x14ac:dyDescent="0.2">
      <c r="A1502">
        <v>2014</v>
      </c>
      <c r="B1502" t="s">
        <v>125</v>
      </c>
      <c r="C1502" t="s">
        <v>126</v>
      </c>
      <c r="D1502">
        <v>9.4</v>
      </c>
      <c r="E1502">
        <v>0.1</v>
      </c>
      <c r="F1502">
        <v>1.6</v>
      </c>
      <c r="G1502">
        <v>5.5</v>
      </c>
      <c r="H1502">
        <v>2.2999999999999998</v>
      </c>
      <c r="I1502">
        <v>1.6</v>
      </c>
      <c r="J1502">
        <v>0.1</v>
      </c>
      <c r="K1502">
        <f t="shared" si="1102"/>
        <v>20.600000000000005</v>
      </c>
      <c r="L1502">
        <v>0.1</v>
      </c>
      <c r="M1502">
        <v>0</v>
      </c>
      <c r="N1502">
        <v>0.1</v>
      </c>
      <c r="O1502">
        <f t="shared" si="1113"/>
        <v>0.2</v>
      </c>
      <c r="P1502">
        <v>0</v>
      </c>
      <c r="Q1502">
        <v>0</v>
      </c>
      <c r="R1502">
        <v>0</v>
      </c>
      <c r="S1502">
        <f t="shared" si="1114"/>
        <v>0</v>
      </c>
      <c r="T1502">
        <v>1.3</v>
      </c>
      <c r="U1502">
        <v>0.2</v>
      </c>
      <c r="V1502">
        <v>0.4</v>
      </c>
      <c r="W1502">
        <v>0.6</v>
      </c>
      <c r="X1502">
        <v>0</v>
      </c>
      <c r="Y1502">
        <v>0</v>
      </c>
      <c r="Z1502">
        <v>0</v>
      </c>
      <c r="AA1502">
        <f t="shared" si="1115"/>
        <v>2.5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0.2</v>
      </c>
      <c r="AI1502">
        <v>18.100000000000001</v>
      </c>
      <c r="AJ1502" s="5">
        <f t="shared" si="1116"/>
        <v>18.3</v>
      </c>
      <c r="AK1502">
        <v>0</v>
      </c>
      <c r="AL1502">
        <v>0.58200000000000007</v>
      </c>
      <c r="AM1502">
        <f t="shared" si="1101"/>
        <v>0.41600000000000009</v>
      </c>
      <c r="AN1502">
        <v>11452</v>
      </c>
      <c r="AO1502" s="3" t="s">
        <v>13</v>
      </c>
      <c r="AP1502" s="3">
        <f t="shared" si="1103"/>
        <v>19609.589041095896</v>
      </c>
      <c r="AQ1502" s="3" t="s">
        <v>13</v>
      </c>
      <c r="AR1502">
        <f t="shared" si="1100"/>
        <v>0.43990384615384603</v>
      </c>
      <c r="AS1502">
        <f t="shared" si="1104"/>
        <v>0.23300000000000004</v>
      </c>
      <c r="AT1502">
        <f t="shared" si="1105"/>
        <v>4569</v>
      </c>
      <c r="AU1502">
        <f t="shared" si="1106"/>
        <v>3589</v>
      </c>
      <c r="AV1502">
        <f t="shared" si="1107"/>
        <v>2549</v>
      </c>
      <c r="AW1502">
        <f t="shared" si="1108"/>
        <v>4071</v>
      </c>
      <c r="AX1502" s="3">
        <f t="shared" si="1109"/>
        <v>12989.589041095896</v>
      </c>
      <c r="AY1502">
        <f t="shared" si="1110"/>
        <v>2285</v>
      </c>
      <c r="AZ1502">
        <f t="shared" si="1111"/>
        <v>4134</v>
      </c>
      <c r="BA1502" s="3">
        <f t="shared" si="1112"/>
        <v>13190.589041095896</v>
      </c>
    </row>
    <row r="1503" spans="1:53" x14ac:dyDescent="0.2">
      <c r="A1503">
        <v>2015</v>
      </c>
      <c r="B1503" t="s">
        <v>125</v>
      </c>
      <c r="C1503" t="s">
        <v>126</v>
      </c>
      <c r="D1503">
        <v>7.7</v>
      </c>
      <c r="E1503">
        <v>0.1</v>
      </c>
      <c r="F1503">
        <v>0.8</v>
      </c>
      <c r="G1503">
        <v>3.8</v>
      </c>
      <c r="H1503">
        <v>2.2000000000000002</v>
      </c>
      <c r="I1503">
        <v>0.7</v>
      </c>
      <c r="J1503">
        <v>0.4</v>
      </c>
      <c r="K1503">
        <f t="shared" si="1102"/>
        <v>15.699999999999998</v>
      </c>
      <c r="L1503">
        <v>0</v>
      </c>
      <c r="M1503">
        <v>0</v>
      </c>
      <c r="N1503">
        <v>0.1</v>
      </c>
      <c r="O1503">
        <f t="shared" si="1113"/>
        <v>0.1</v>
      </c>
      <c r="P1503">
        <v>0</v>
      </c>
      <c r="Q1503">
        <v>0</v>
      </c>
      <c r="R1503">
        <v>0</v>
      </c>
      <c r="S1503">
        <f t="shared" si="1114"/>
        <v>0</v>
      </c>
      <c r="T1503">
        <v>1.9</v>
      </c>
      <c r="U1503">
        <v>0.8</v>
      </c>
      <c r="V1503">
        <v>0.5</v>
      </c>
      <c r="W1503">
        <v>1.6</v>
      </c>
      <c r="X1503">
        <v>0</v>
      </c>
      <c r="Y1503">
        <v>0</v>
      </c>
      <c r="Z1503">
        <v>0</v>
      </c>
      <c r="AA1503">
        <f t="shared" si="1115"/>
        <v>4.8000000000000007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21.9</v>
      </c>
      <c r="AJ1503" s="5">
        <f t="shared" si="1116"/>
        <v>21.9</v>
      </c>
      <c r="AK1503">
        <v>0.2</v>
      </c>
      <c r="AL1503">
        <v>0.57299999999999995</v>
      </c>
      <c r="AM1503">
        <f t="shared" si="1101"/>
        <v>0.42499999999999999</v>
      </c>
      <c r="AN1503">
        <v>12678</v>
      </c>
      <c r="AO1503" s="3" t="s">
        <v>13</v>
      </c>
      <c r="AP1503" s="3">
        <f t="shared" si="1103"/>
        <v>22048.695652173916</v>
      </c>
      <c r="AQ1503" s="3" t="s">
        <v>13</v>
      </c>
      <c r="AR1503">
        <f t="shared" si="1100"/>
        <v>0.51529411764705879</v>
      </c>
      <c r="AS1503">
        <f t="shared" si="1104"/>
        <v>0.20599999999999999</v>
      </c>
      <c r="AT1503">
        <f t="shared" si="1105"/>
        <v>4542</v>
      </c>
      <c r="AU1503">
        <f t="shared" si="1106"/>
        <v>4829</v>
      </c>
      <c r="AV1503">
        <f t="shared" si="1107"/>
        <v>2811</v>
      </c>
      <c r="AW1503">
        <f t="shared" si="1108"/>
        <v>5306</v>
      </c>
      <c r="AX1503" s="3">
        <f t="shared" si="1109"/>
        <v>13931.695652173916</v>
      </c>
      <c r="AY1503">
        <f t="shared" si="1110"/>
        <v>2271</v>
      </c>
      <c r="AZ1503">
        <f t="shared" si="1111"/>
        <v>5455</v>
      </c>
      <c r="BA1503" s="3">
        <f t="shared" si="1112"/>
        <v>14322.695652173916</v>
      </c>
    </row>
    <row r="1504" spans="1:53" x14ac:dyDescent="0.2">
      <c r="A1504">
        <v>2016</v>
      </c>
      <c r="B1504" t="s">
        <v>125</v>
      </c>
      <c r="C1504" t="s">
        <v>126</v>
      </c>
      <c r="D1504">
        <v>15.6</v>
      </c>
      <c r="E1504">
        <v>0</v>
      </c>
      <c r="F1504">
        <v>1.3</v>
      </c>
      <c r="G1504">
        <v>14.6</v>
      </c>
      <c r="H1504">
        <v>2</v>
      </c>
      <c r="I1504">
        <v>1.3</v>
      </c>
      <c r="J1504">
        <v>0.8</v>
      </c>
      <c r="K1504">
        <f t="shared" si="1102"/>
        <v>35.599999999999994</v>
      </c>
      <c r="L1504">
        <v>0</v>
      </c>
      <c r="M1504">
        <v>0</v>
      </c>
      <c r="N1504">
        <v>0</v>
      </c>
      <c r="O1504">
        <f t="shared" si="1113"/>
        <v>0</v>
      </c>
      <c r="P1504">
        <v>0</v>
      </c>
      <c r="Q1504">
        <v>0</v>
      </c>
      <c r="R1504">
        <v>0</v>
      </c>
      <c r="S1504">
        <f t="shared" si="1114"/>
        <v>0</v>
      </c>
      <c r="T1504">
        <v>0.4</v>
      </c>
      <c r="U1504">
        <v>0.2</v>
      </c>
      <c r="V1504">
        <v>0.2</v>
      </c>
      <c r="W1504">
        <v>0.8</v>
      </c>
      <c r="X1504">
        <v>0</v>
      </c>
      <c r="Y1504">
        <v>0</v>
      </c>
      <c r="Z1504">
        <v>0</v>
      </c>
      <c r="AA1504">
        <f t="shared" si="1115"/>
        <v>1.6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10.8</v>
      </c>
      <c r="AJ1504" s="5">
        <f t="shared" si="1116"/>
        <v>10.8</v>
      </c>
      <c r="AK1504">
        <v>0</v>
      </c>
      <c r="AL1504">
        <v>0.52</v>
      </c>
      <c r="AM1504">
        <f t="shared" si="1101"/>
        <v>0.47999999999999993</v>
      </c>
      <c r="AN1504">
        <v>10074</v>
      </c>
      <c r="AO1504" s="3" t="s">
        <v>13</v>
      </c>
      <c r="AP1504" s="3">
        <f t="shared" si="1103"/>
        <v>19373.076923076922</v>
      </c>
      <c r="AQ1504" s="3" t="s">
        <v>13</v>
      </c>
      <c r="AR1504">
        <f t="shared" si="1100"/>
        <v>0.22500000000000006</v>
      </c>
      <c r="AS1504">
        <f t="shared" si="1104"/>
        <v>0.37199999999999994</v>
      </c>
      <c r="AT1504">
        <f t="shared" si="1105"/>
        <v>7207</v>
      </c>
      <c r="AU1504">
        <f t="shared" si="1106"/>
        <v>2092</v>
      </c>
      <c r="AV1504">
        <f t="shared" si="1107"/>
        <v>3758</v>
      </c>
      <c r="AW1504">
        <f t="shared" si="1108"/>
        <v>2685</v>
      </c>
      <c r="AX1504" s="3">
        <f t="shared" si="1109"/>
        <v>12930.076923076922</v>
      </c>
      <c r="AY1504">
        <f t="shared" si="1110"/>
        <v>3603</v>
      </c>
      <c r="AZ1504">
        <f t="shared" si="1111"/>
        <v>2712</v>
      </c>
      <c r="BA1504" s="3">
        <f t="shared" si="1112"/>
        <v>13058.076923076922</v>
      </c>
    </row>
    <row r="1505" spans="1:53" x14ac:dyDescent="0.2">
      <c r="A1505">
        <v>2017</v>
      </c>
      <c r="B1505" t="s">
        <v>125</v>
      </c>
      <c r="C1505" t="s">
        <v>126</v>
      </c>
      <c r="D1505">
        <v>10.8</v>
      </c>
      <c r="E1505">
        <v>0</v>
      </c>
      <c r="F1505">
        <v>1.2</v>
      </c>
      <c r="G1505">
        <v>15.8</v>
      </c>
      <c r="H1505">
        <v>3.2</v>
      </c>
      <c r="I1505">
        <v>0.9</v>
      </c>
      <c r="J1505">
        <v>0</v>
      </c>
      <c r="K1505">
        <f t="shared" si="1102"/>
        <v>31.9</v>
      </c>
      <c r="L1505">
        <v>0</v>
      </c>
      <c r="M1505">
        <v>0</v>
      </c>
      <c r="N1505">
        <v>0</v>
      </c>
      <c r="O1505">
        <f t="shared" si="1113"/>
        <v>0</v>
      </c>
      <c r="P1505">
        <v>0</v>
      </c>
      <c r="Q1505">
        <v>0</v>
      </c>
      <c r="R1505">
        <v>0.7</v>
      </c>
      <c r="S1505">
        <f t="shared" si="1114"/>
        <v>0.7</v>
      </c>
      <c r="T1505">
        <v>1.3</v>
      </c>
      <c r="U1505">
        <v>0</v>
      </c>
      <c r="V1505">
        <v>0.1</v>
      </c>
      <c r="W1505">
        <v>0.3</v>
      </c>
      <c r="X1505">
        <v>0</v>
      </c>
      <c r="Y1505">
        <v>0</v>
      </c>
      <c r="Z1505">
        <v>0</v>
      </c>
      <c r="AA1505">
        <f t="shared" si="1115"/>
        <v>1.7000000000000002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12.7</v>
      </c>
      <c r="AJ1505" s="5">
        <f t="shared" si="1116"/>
        <v>12.7</v>
      </c>
      <c r="AK1505">
        <v>0.1</v>
      </c>
      <c r="AL1505">
        <v>0.52800000000000002</v>
      </c>
      <c r="AM1505">
        <f t="shared" si="1101"/>
        <v>0.47</v>
      </c>
      <c r="AN1505">
        <v>6473</v>
      </c>
      <c r="AO1505" s="3" t="s">
        <v>13</v>
      </c>
      <c r="AP1505" s="3">
        <f t="shared" si="1103"/>
        <v>12213.20754716981</v>
      </c>
      <c r="AQ1505" s="3" t="s">
        <v>13</v>
      </c>
      <c r="AR1505">
        <f t="shared" si="1100"/>
        <v>0.27021276595744681</v>
      </c>
      <c r="AS1505">
        <f t="shared" si="1104"/>
        <v>0.34300000000000003</v>
      </c>
      <c r="AT1505">
        <f t="shared" si="1105"/>
        <v>4189</v>
      </c>
      <c r="AU1505">
        <f t="shared" si="1106"/>
        <v>1551</v>
      </c>
      <c r="AV1505">
        <f t="shared" si="1107"/>
        <v>2241</v>
      </c>
      <c r="AW1505">
        <f t="shared" si="1108"/>
        <v>1928</v>
      </c>
      <c r="AX1505" s="3">
        <f t="shared" si="1109"/>
        <v>8044.2075471698099</v>
      </c>
      <c r="AY1505">
        <f t="shared" si="1110"/>
        <v>2095</v>
      </c>
      <c r="AZ1505">
        <f t="shared" si="1111"/>
        <v>1956</v>
      </c>
      <c r="BA1505" s="3">
        <f t="shared" si="1112"/>
        <v>8162.2075471698099</v>
      </c>
    </row>
    <row r="1506" spans="1:53" x14ac:dyDescent="0.2">
      <c r="A1506">
        <v>2018</v>
      </c>
      <c r="B1506" t="s">
        <v>125</v>
      </c>
      <c r="C1506" t="s">
        <v>126</v>
      </c>
      <c r="D1506">
        <v>25.6</v>
      </c>
      <c r="E1506">
        <v>0</v>
      </c>
      <c r="F1506">
        <v>4.0999999999999996</v>
      </c>
      <c r="G1506">
        <v>26.4</v>
      </c>
      <c r="H1506">
        <v>8.3000000000000007</v>
      </c>
      <c r="I1506">
        <v>2.1</v>
      </c>
      <c r="J1506">
        <v>1.1000000000000001</v>
      </c>
      <c r="K1506">
        <f t="shared" si="1102"/>
        <v>67.599999999999994</v>
      </c>
      <c r="L1506">
        <v>0</v>
      </c>
      <c r="M1506">
        <v>0</v>
      </c>
      <c r="N1506">
        <v>0</v>
      </c>
      <c r="O1506">
        <f t="shared" si="1113"/>
        <v>0</v>
      </c>
      <c r="P1506">
        <v>0</v>
      </c>
      <c r="Q1506">
        <v>0</v>
      </c>
      <c r="R1506">
        <v>0</v>
      </c>
      <c r="S1506">
        <f t="shared" si="1114"/>
        <v>0</v>
      </c>
      <c r="T1506">
        <v>0.3</v>
      </c>
      <c r="U1506">
        <v>0.6</v>
      </c>
      <c r="V1506">
        <v>0.5</v>
      </c>
      <c r="W1506">
        <v>1.1000000000000001</v>
      </c>
      <c r="X1506">
        <v>0</v>
      </c>
      <c r="Y1506">
        <v>0</v>
      </c>
      <c r="Z1506">
        <v>0</v>
      </c>
      <c r="AA1506">
        <f t="shared" si="1115"/>
        <v>2.5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6.5</v>
      </c>
      <c r="AJ1506" s="5">
        <f t="shared" si="1116"/>
        <v>6.5</v>
      </c>
      <c r="AK1506">
        <v>0.1</v>
      </c>
      <c r="AL1506">
        <v>0.23300000000000001</v>
      </c>
      <c r="AM1506">
        <f t="shared" si="1101"/>
        <v>0.76599999999999979</v>
      </c>
      <c r="AN1506">
        <v>6420</v>
      </c>
      <c r="AO1506" s="3" t="s">
        <v>13</v>
      </c>
      <c r="AP1506" s="3">
        <f t="shared" si="1103"/>
        <v>27435.897435897412</v>
      </c>
      <c r="AQ1506" s="3" t="s">
        <v>13</v>
      </c>
      <c r="AR1506">
        <f t="shared" si="1100"/>
        <v>8.4856396866840753E-2</v>
      </c>
      <c r="AS1506">
        <f t="shared" si="1104"/>
        <v>0.70099999999999996</v>
      </c>
      <c r="AT1506">
        <f t="shared" si="1105"/>
        <v>19233</v>
      </c>
      <c r="AU1506">
        <f t="shared" si="1106"/>
        <v>1783</v>
      </c>
      <c r="AV1506">
        <f t="shared" si="1107"/>
        <v>9959</v>
      </c>
      <c r="AW1506">
        <f t="shared" si="1108"/>
        <v>3799</v>
      </c>
      <c r="AX1506" s="3">
        <f t="shared" si="1109"/>
        <v>13677.897435897412</v>
      </c>
      <c r="AY1506">
        <f t="shared" si="1110"/>
        <v>9616</v>
      </c>
      <c r="AZ1506">
        <f t="shared" si="1111"/>
        <v>3873</v>
      </c>
      <c r="BA1506" s="3">
        <f t="shared" si="1112"/>
        <v>13946.897435897412</v>
      </c>
    </row>
    <row r="1507" spans="1:53" x14ac:dyDescent="0.2">
      <c r="A1507">
        <v>2019</v>
      </c>
      <c r="B1507" t="s">
        <v>125</v>
      </c>
      <c r="C1507" t="s">
        <v>126</v>
      </c>
      <c r="D1507">
        <v>4.4000000000000004</v>
      </c>
      <c r="E1507">
        <v>0</v>
      </c>
      <c r="F1507">
        <v>1.3</v>
      </c>
      <c r="G1507">
        <v>8.5</v>
      </c>
      <c r="H1507">
        <v>2.2000000000000002</v>
      </c>
      <c r="I1507">
        <v>1.2</v>
      </c>
      <c r="J1507">
        <v>0.5</v>
      </c>
      <c r="K1507">
        <f t="shared" si="1102"/>
        <v>18.099999999999998</v>
      </c>
      <c r="L1507">
        <v>0</v>
      </c>
      <c r="M1507">
        <v>0</v>
      </c>
      <c r="N1507">
        <v>0</v>
      </c>
      <c r="O1507">
        <f t="shared" si="1113"/>
        <v>0</v>
      </c>
      <c r="P1507">
        <v>0</v>
      </c>
      <c r="Q1507">
        <v>0</v>
      </c>
      <c r="R1507">
        <v>0</v>
      </c>
      <c r="S1507">
        <f t="shared" si="1114"/>
        <v>0</v>
      </c>
      <c r="T1507">
        <v>0.8</v>
      </c>
      <c r="U1507">
        <v>0.1</v>
      </c>
      <c r="V1507">
        <v>0</v>
      </c>
      <c r="W1507">
        <v>0.7</v>
      </c>
      <c r="X1507">
        <v>0</v>
      </c>
      <c r="Y1507">
        <v>0</v>
      </c>
      <c r="Z1507">
        <v>0</v>
      </c>
      <c r="AA1507">
        <f t="shared" si="1115"/>
        <v>1.6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0.1</v>
      </c>
      <c r="AI1507">
        <v>12</v>
      </c>
      <c r="AJ1507" s="5">
        <f t="shared" si="1116"/>
        <v>12.1</v>
      </c>
      <c r="AK1507">
        <v>0</v>
      </c>
      <c r="AL1507">
        <v>0.68200000000000005</v>
      </c>
      <c r="AM1507">
        <f t="shared" si="1101"/>
        <v>0.318</v>
      </c>
      <c r="AN1507">
        <v>9746</v>
      </c>
      <c r="AO1507" s="3" t="s">
        <v>13</v>
      </c>
      <c r="AP1507" s="3">
        <f t="shared" si="1103"/>
        <v>14290.322580645163</v>
      </c>
      <c r="AQ1507" s="3" t="s">
        <v>13</v>
      </c>
      <c r="AR1507">
        <f t="shared" si="1100"/>
        <v>0.38050314465408802</v>
      </c>
      <c r="AS1507">
        <f t="shared" si="1104"/>
        <v>0.19699999999999998</v>
      </c>
      <c r="AT1507">
        <f t="shared" si="1105"/>
        <v>2815</v>
      </c>
      <c r="AU1507">
        <f t="shared" si="1106"/>
        <v>1729</v>
      </c>
      <c r="AV1507">
        <f t="shared" si="1107"/>
        <v>1522</v>
      </c>
      <c r="AW1507">
        <f t="shared" si="1108"/>
        <v>1924</v>
      </c>
      <c r="AX1507" s="3">
        <f t="shared" si="1109"/>
        <v>10844.322580645163</v>
      </c>
      <c r="AY1507">
        <f t="shared" si="1110"/>
        <v>1408</v>
      </c>
      <c r="AZ1507">
        <f t="shared" si="1111"/>
        <v>1941</v>
      </c>
      <c r="BA1507" s="3">
        <f t="shared" si="1112"/>
        <v>10941.322580645163</v>
      </c>
    </row>
    <row r="1508" spans="1:53" x14ac:dyDescent="0.2">
      <c r="A1508">
        <v>2020</v>
      </c>
      <c r="B1508" t="s">
        <v>125</v>
      </c>
      <c r="C1508" t="s">
        <v>126</v>
      </c>
      <c r="D1508">
        <v>15.1</v>
      </c>
      <c r="E1508">
        <v>0</v>
      </c>
      <c r="F1508">
        <v>0.9</v>
      </c>
      <c r="G1508">
        <v>5.3</v>
      </c>
      <c r="H1508">
        <v>0.1</v>
      </c>
      <c r="I1508">
        <v>1.9</v>
      </c>
      <c r="J1508">
        <v>0.8</v>
      </c>
      <c r="K1508">
        <f t="shared" si="1102"/>
        <v>24.1</v>
      </c>
      <c r="L1508">
        <v>0</v>
      </c>
      <c r="M1508">
        <v>0</v>
      </c>
      <c r="N1508">
        <v>0</v>
      </c>
      <c r="O1508">
        <f t="shared" si="1113"/>
        <v>0</v>
      </c>
      <c r="P1508">
        <v>0</v>
      </c>
      <c r="Q1508">
        <v>0</v>
      </c>
      <c r="R1508">
        <v>0.5</v>
      </c>
      <c r="S1508">
        <f t="shared" si="1114"/>
        <v>0.5</v>
      </c>
      <c r="T1508">
        <v>1.2</v>
      </c>
      <c r="U1508">
        <v>0</v>
      </c>
      <c r="V1508">
        <v>0.1</v>
      </c>
      <c r="W1508">
        <v>1.2</v>
      </c>
      <c r="X1508">
        <v>0</v>
      </c>
      <c r="Y1508">
        <v>0</v>
      </c>
      <c r="Z1508">
        <v>0</v>
      </c>
      <c r="AA1508">
        <f t="shared" si="1115"/>
        <v>2.5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10.5</v>
      </c>
      <c r="AJ1508" s="5">
        <f t="shared" si="1116"/>
        <v>10.5</v>
      </c>
      <c r="AK1508">
        <v>0</v>
      </c>
      <c r="AL1508">
        <v>0.623</v>
      </c>
      <c r="AM1508">
        <f t="shared" si="1101"/>
        <v>0.37599999999999995</v>
      </c>
      <c r="AN1508">
        <v>20046</v>
      </c>
      <c r="AO1508" s="3" t="s">
        <v>13</v>
      </c>
      <c r="AP1508" s="3">
        <f t="shared" si="1103"/>
        <v>32124.999999999993</v>
      </c>
      <c r="AQ1508" s="3" t="s">
        <v>13</v>
      </c>
      <c r="AR1508">
        <f t="shared" ref="AR1508:AR1571" si="1117">(AJ1508/100)/AM1508</f>
        <v>0.2792553191489362</v>
      </c>
      <c r="AS1508">
        <f t="shared" si="1104"/>
        <v>0.27100000000000002</v>
      </c>
      <c r="AT1508">
        <f t="shared" si="1105"/>
        <v>8706</v>
      </c>
      <c r="AU1508">
        <f t="shared" si="1106"/>
        <v>3373</v>
      </c>
      <c r="AV1508">
        <f t="shared" si="1107"/>
        <v>4835</v>
      </c>
      <c r="AW1508">
        <f t="shared" si="1108"/>
        <v>3931</v>
      </c>
      <c r="AX1508" s="3">
        <f t="shared" si="1109"/>
        <v>23358.999999999993</v>
      </c>
      <c r="AY1508">
        <f t="shared" si="1110"/>
        <v>4353</v>
      </c>
      <c r="AZ1508">
        <f t="shared" si="1111"/>
        <v>4000</v>
      </c>
      <c r="BA1508" s="3">
        <f t="shared" si="1112"/>
        <v>23771.999999999993</v>
      </c>
    </row>
    <row r="1509" spans="1:53" x14ac:dyDescent="0.2">
      <c r="A1509">
        <v>2021</v>
      </c>
      <c r="B1509" t="s">
        <v>125</v>
      </c>
      <c r="C1509" t="s">
        <v>126</v>
      </c>
      <c r="D1509">
        <v>15</v>
      </c>
      <c r="E1509">
        <v>0.9</v>
      </c>
      <c r="F1509">
        <v>1.2</v>
      </c>
      <c r="G1509">
        <v>8.9</v>
      </c>
      <c r="H1509">
        <v>2</v>
      </c>
      <c r="I1509">
        <v>4.5</v>
      </c>
      <c r="J1509">
        <v>0.4</v>
      </c>
      <c r="K1509">
        <f t="shared" si="1102"/>
        <v>32.9</v>
      </c>
      <c r="L1509">
        <v>0</v>
      </c>
      <c r="M1509">
        <v>0</v>
      </c>
      <c r="N1509">
        <v>0</v>
      </c>
      <c r="O1509">
        <f t="shared" si="1113"/>
        <v>0</v>
      </c>
      <c r="P1509">
        <v>0</v>
      </c>
      <c r="Q1509">
        <v>0</v>
      </c>
      <c r="R1509">
        <v>0.3</v>
      </c>
      <c r="S1509">
        <f t="shared" si="1114"/>
        <v>0.3</v>
      </c>
      <c r="T1509">
        <v>1.4</v>
      </c>
      <c r="U1509">
        <v>0.3</v>
      </c>
      <c r="V1509">
        <v>0.1</v>
      </c>
      <c r="W1509">
        <v>0.6</v>
      </c>
      <c r="X1509">
        <v>0</v>
      </c>
      <c r="Y1509">
        <v>0</v>
      </c>
      <c r="Z1509">
        <v>0</v>
      </c>
      <c r="AA1509">
        <f t="shared" si="1115"/>
        <v>2.4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13.7</v>
      </c>
      <c r="AJ1509" s="5">
        <f t="shared" si="1116"/>
        <v>13.7</v>
      </c>
      <c r="AK1509">
        <v>0</v>
      </c>
      <c r="AL1509">
        <v>0.50700000000000001</v>
      </c>
      <c r="AM1509">
        <f t="shared" si="1101"/>
        <v>0.49300000000000005</v>
      </c>
      <c r="AN1509">
        <v>6974</v>
      </c>
      <c r="AO1509" s="3" t="s">
        <v>13</v>
      </c>
      <c r="AP1509" s="3">
        <f t="shared" si="1103"/>
        <v>13755.424063116374</v>
      </c>
      <c r="AQ1509" s="3" t="s">
        <v>13</v>
      </c>
      <c r="AR1509">
        <f t="shared" si="1117"/>
        <v>0.27789046653144012</v>
      </c>
      <c r="AS1509">
        <f t="shared" si="1104"/>
        <v>0.35599999999999993</v>
      </c>
      <c r="AT1509">
        <f t="shared" si="1105"/>
        <v>4897</v>
      </c>
      <c r="AU1509">
        <f t="shared" si="1106"/>
        <v>1884</v>
      </c>
      <c r="AV1509">
        <f t="shared" si="1107"/>
        <v>2634</v>
      </c>
      <c r="AW1509">
        <f t="shared" si="1108"/>
        <v>2365</v>
      </c>
      <c r="AX1509" s="3">
        <f t="shared" si="1109"/>
        <v>8756.4240631163739</v>
      </c>
      <c r="AY1509">
        <f t="shared" si="1110"/>
        <v>2448</v>
      </c>
      <c r="AZ1509">
        <f t="shared" si="1111"/>
        <v>2405</v>
      </c>
      <c r="BA1509" s="3">
        <f t="shared" si="1112"/>
        <v>8902.4240631163739</v>
      </c>
    </row>
    <row r="1510" spans="1:53" x14ac:dyDescent="0.2">
      <c r="A1510">
        <v>2022</v>
      </c>
      <c r="B1510" t="s">
        <v>125</v>
      </c>
      <c r="C1510" t="s">
        <v>126</v>
      </c>
      <c r="D1510">
        <v>16.399999999999999</v>
      </c>
      <c r="E1510">
        <v>0</v>
      </c>
      <c r="F1510">
        <v>2</v>
      </c>
      <c r="G1510">
        <v>11.9</v>
      </c>
      <c r="H1510">
        <v>3.5</v>
      </c>
      <c r="I1510">
        <v>2.2000000000000002</v>
      </c>
      <c r="J1510">
        <v>0</v>
      </c>
      <c r="K1510">
        <f t="shared" si="1102"/>
        <v>36</v>
      </c>
      <c r="L1510">
        <v>0</v>
      </c>
      <c r="M1510">
        <v>0</v>
      </c>
      <c r="N1510">
        <v>0</v>
      </c>
      <c r="O1510">
        <f t="shared" si="1113"/>
        <v>0</v>
      </c>
      <c r="P1510">
        <v>0</v>
      </c>
      <c r="Q1510">
        <v>0</v>
      </c>
      <c r="R1510">
        <v>0.3</v>
      </c>
      <c r="S1510">
        <f t="shared" si="1114"/>
        <v>0.3</v>
      </c>
      <c r="T1510">
        <v>1.2</v>
      </c>
      <c r="U1510">
        <v>0.6</v>
      </c>
      <c r="V1510">
        <v>0.4</v>
      </c>
      <c r="W1510">
        <v>0.6</v>
      </c>
      <c r="X1510">
        <v>0</v>
      </c>
      <c r="Y1510">
        <v>0</v>
      </c>
      <c r="Z1510">
        <v>0</v>
      </c>
      <c r="AA1510">
        <f t="shared" si="1115"/>
        <v>2.8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21.3</v>
      </c>
      <c r="AJ1510" s="5">
        <f t="shared" si="1116"/>
        <v>21.3</v>
      </c>
      <c r="AK1510">
        <v>0</v>
      </c>
      <c r="AL1510">
        <v>0.39799999999999996</v>
      </c>
      <c r="AM1510">
        <f t="shared" si="1101"/>
        <v>0.60399999999999998</v>
      </c>
      <c r="AN1510">
        <v>4434</v>
      </c>
      <c r="AO1510" s="3" t="s">
        <v>13</v>
      </c>
      <c r="AP1510" s="3">
        <f t="shared" si="1103"/>
        <v>11196.969696969696</v>
      </c>
      <c r="AQ1510" s="3" t="s">
        <v>13</v>
      </c>
      <c r="AR1510">
        <f t="shared" si="1117"/>
        <v>0.35264900662251658</v>
      </c>
      <c r="AS1510">
        <f t="shared" si="1104"/>
        <v>0.39099999999999996</v>
      </c>
      <c r="AT1510">
        <f t="shared" si="1105"/>
        <v>4378</v>
      </c>
      <c r="AU1510">
        <f t="shared" si="1106"/>
        <v>2385</v>
      </c>
      <c r="AV1510">
        <f t="shared" si="1107"/>
        <v>2363</v>
      </c>
      <c r="AW1510">
        <f t="shared" si="1108"/>
        <v>3090</v>
      </c>
      <c r="AX1510" s="3">
        <f t="shared" si="1109"/>
        <v>5743.9696969696961</v>
      </c>
      <c r="AY1510">
        <f t="shared" si="1110"/>
        <v>2189</v>
      </c>
      <c r="AZ1510">
        <f t="shared" si="1111"/>
        <v>3151</v>
      </c>
      <c r="BA1510" s="3">
        <f t="shared" si="1112"/>
        <v>5856.9696969696961</v>
      </c>
    </row>
    <row r="1511" spans="1:53" x14ac:dyDescent="0.2">
      <c r="A1511">
        <v>2023</v>
      </c>
      <c r="B1511" t="s">
        <v>125</v>
      </c>
      <c r="C1511" t="s">
        <v>126</v>
      </c>
      <c r="D1511" t="s">
        <v>13</v>
      </c>
      <c r="E1511" t="s">
        <v>13</v>
      </c>
      <c r="F1511" t="s">
        <v>13</v>
      </c>
      <c r="G1511" t="s">
        <v>13</v>
      </c>
      <c r="H1511" t="s">
        <v>13</v>
      </c>
      <c r="I1511" t="s">
        <v>13</v>
      </c>
      <c r="J1511" t="s">
        <v>13</v>
      </c>
      <c r="K1511" t="s">
        <v>13</v>
      </c>
      <c r="L1511" t="s">
        <v>13</v>
      </c>
      <c r="M1511" t="s">
        <v>13</v>
      </c>
      <c r="N1511" t="s">
        <v>13</v>
      </c>
      <c r="O1511" t="s">
        <v>13</v>
      </c>
      <c r="P1511" t="s">
        <v>13</v>
      </c>
      <c r="Q1511" t="s">
        <v>13</v>
      </c>
      <c r="R1511" t="s">
        <v>13</v>
      </c>
      <c r="S1511" t="s">
        <v>13</v>
      </c>
      <c r="T1511" t="s">
        <v>13</v>
      </c>
      <c r="U1511" t="s">
        <v>13</v>
      </c>
      <c r="V1511" t="s">
        <v>13</v>
      </c>
      <c r="W1511" t="s">
        <v>13</v>
      </c>
      <c r="X1511" t="s">
        <v>13</v>
      </c>
      <c r="Y1511" t="s">
        <v>13</v>
      </c>
      <c r="Z1511" t="s">
        <v>13</v>
      </c>
      <c r="AA1511" t="s">
        <v>13</v>
      </c>
      <c r="AB1511" t="s">
        <v>13</v>
      </c>
      <c r="AC1511" t="s">
        <v>13</v>
      </c>
      <c r="AD1511" t="s">
        <v>13</v>
      </c>
      <c r="AE1511" t="s">
        <v>13</v>
      </c>
      <c r="AF1511" t="s">
        <v>13</v>
      </c>
      <c r="AG1511" t="s">
        <v>13</v>
      </c>
      <c r="AH1511" t="s">
        <v>13</v>
      </c>
      <c r="AI1511" t="s">
        <v>13</v>
      </c>
      <c r="AJ1511" t="s">
        <v>13</v>
      </c>
      <c r="AK1511" t="s">
        <v>13</v>
      </c>
      <c r="AL1511" t="s">
        <v>13</v>
      </c>
      <c r="AM1511" t="s">
        <v>13</v>
      </c>
      <c r="AN1511">
        <v>9095</v>
      </c>
      <c r="AO1511" s="3" t="s">
        <v>13</v>
      </c>
      <c r="AP1511" s="3" t="s">
        <v>13</v>
      </c>
      <c r="AQ1511" s="3" t="s">
        <v>13</v>
      </c>
      <c r="AR1511" s="3" t="s">
        <v>13</v>
      </c>
      <c r="AS1511" s="3" t="s">
        <v>13</v>
      </c>
      <c r="AT1511" s="3" t="s">
        <v>13</v>
      </c>
      <c r="AU1511" s="3" t="s">
        <v>13</v>
      </c>
      <c r="AV1511" s="3" t="s">
        <v>13</v>
      </c>
      <c r="AW1511" s="3" t="s">
        <v>13</v>
      </c>
      <c r="AX1511" s="3" t="s">
        <v>13</v>
      </c>
      <c r="AY1511" s="3" t="s">
        <v>13</v>
      </c>
      <c r="AZ1511" s="3" t="s">
        <v>13</v>
      </c>
      <c r="BA1511" s="3" t="s">
        <v>13</v>
      </c>
    </row>
    <row r="1512" spans="1:53" x14ac:dyDescent="0.2">
      <c r="A1512">
        <v>1980</v>
      </c>
      <c r="B1512" t="s">
        <v>127</v>
      </c>
      <c r="C1512" t="s">
        <v>126</v>
      </c>
      <c r="D1512">
        <v>30.6</v>
      </c>
      <c r="E1512">
        <v>0</v>
      </c>
      <c r="F1512">
        <v>0.8</v>
      </c>
      <c r="G1512">
        <v>10.6</v>
      </c>
      <c r="H1512">
        <v>0</v>
      </c>
      <c r="I1512">
        <v>8.1</v>
      </c>
      <c r="J1512">
        <v>0</v>
      </c>
      <c r="K1512">
        <f t="shared" ref="K1512:K1554" si="1118">SUM(D1512:J1512)</f>
        <v>50.1</v>
      </c>
      <c r="L1512">
        <v>1.1000000000000001</v>
      </c>
      <c r="M1512">
        <v>1.3</v>
      </c>
      <c r="N1512">
        <v>0</v>
      </c>
      <c r="O1512">
        <f t="shared" ref="O1512:O1554" si="1119">SUM(L1512:N1512)</f>
        <v>2.4000000000000004</v>
      </c>
      <c r="P1512">
        <v>0</v>
      </c>
      <c r="Q1512">
        <v>0</v>
      </c>
      <c r="R1512">
        <v>0</v>
      </c>
      <c r="S1512">
        <f t="shared" ref="S1512:S1554" si="1120">SUM(P1512:R1512)</f>
        <v>0</v>
      </c>
      <c r="T1512">
        <v>0</v>
      </c>
      <c r="U1512">
        <v>0</v>
      </c>
      <c r="V1512">
        <v>0.9</v>
      </c>
      <c r="W1512">
        <v>0.2</v>
      </c>
      <c r="X1512">
        <v>0</v>
      </c>
      <c r="Y1512">
        <v>0</v>
      </c>
      <c r="Z1512">
        <v>0</v>
      </c>
      <c r="AA1512">
        <f t="shared" ref="AA1512:AA1554" si="1121">SUM(T1512:Z1512)</f>
        <v>1.1000000000000001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4.5999999999999996</v>
      </c>
      <c r="AJ1512" s="5">
        <f t="shared" si="1116"/>
        <v>4.5999999999999996</v>
      </c>
      <c r="AK1512">
        <v>0</v>
      </c>
      <c r="AL1512">
        <v>0.41700000000000004</v>
      </c>
      <c r="AM1512">
        <f t="shared" si="1101"/>
        <v>0.58200000000000007</v>
      </c>
      <c r="AN1512">
        <v>3680</v>
      </c>
      <c r="AO1512">
        <v>3680</v>
      </c>
      <c r="AP1512" s="3">
        <f t="shared" si="1103"/>
        <v>8803.8277511961733</v>
      </c>
      <c r="AQ1512" s="3">
        <f t="shared" ref="AQ1512:AQ1554" si="1122">AO1512/(1-AM1512)</f>
        <v>8803.8277511961733</v>
      </c>
      <c r="AR1512">
        <f t="shared" si="1117"/>
        <v>7.9037800687285206E-2</v>
      </c>
      <c r="AS1512">
        <f t="shared" ref="AS1512:AS1554" si="1123">SUM(K1512,O1512,S1512,AA1512)/100</f>
        <v>0.53600000000000003</v>
      </c>
      <c r="AT1512">
        <f t="shared" ref="AT1512:AT1554" si="1124">ROUND(AS1512*AP1512,0)</f>
        <v>4719</v>
      </c>
      <c r="AU1512">
        <f t="shared" ref="AU1512:AU1554" si="1125">ROUND((AJ1512/100)*AP1512,0)</f>
        <v>405</v>
      </c>
      <c r="AV1512">
        <f t="shared" si="1107"/>
        <v>2513</v>
      </c>
      <c r="AW1512">
        <f t="shared" si="1108"/>
        <v>624</v>
      </c>
      <c r="AX1512" s="3">
        <f t="shared" si="1109"/>
        <v>5666.8277511961733</v>
      </c>
      <c r="AY1512">
        <f t="shared" si="1110"/>
        <v>2359</v>
      </c>
      <c r="AZ1512">
        <f t="shared" si="1111"/>
        <v>639</v>
      </c>
      <c r="BA1512" s="3">
        <f t="shared" si="1112"/>
        <v>5805.8277511961733</v>
      </c>
    </row>
    <row r="1513" spans="1:53" x14ac:dyDescent="0.2">
      <c r="A1513">
        <v>1981</v>
      </c>
      <c r="B1513" t="s">
        <v>127</v>
      </c>
      <c r="C1513" t="s">
        <v>126</v>
      </c>
      <c r="D1513">
        <v>23.9</v>
      </c>
      <c r="E1513">
        <v>0</v>
      </c>
      <c r="F1513">
        <v>0.6</v>
      </c>
      <c r="G1513">
        <v>24.2</v>
      </c>
      <c r="H1513">
        <v>0</v>
      </c>
      <c r="I1513">
        <v>3.2</v>
      </c>
      <c r="J1513">
        <v>0</v>
      </c>
      <c r="K1513">
        <f t="shared" si="1118"/>
        <v>51.900000000000006</v>
      </c>
      <c r="L1513">
        <v>0.3</v>
      </c>
      <c r="M1513">
        <v>2.2000000000000002</v>
      </c>
      <c r="N1513">
        <v>0</v>
      </c>
      <c r="O1513">
        <f t="shared" si="1119"/>
        <v>2.5</v>
      </c>
      <c r="P1513">
        <v>0</v>
      </c>
      <c r="Q1513">
        <v>0</v>
      </c>
      <c r="R1513">
        <v>0.7</v>
      </c>
      <c r="S1513">
        <f t="shared" si="1120"/>
        <v>0.7</v>
      </c>
      <c r="T1513">
        <v>0.2</v>
      </c>
      <c r="U1513">
        <v>0</v>
      </c>
      <c r="V1513">
        <v>0.4</v>
      </c>
      <c r="W1513">
        <v>0.6</v>
      </c>
      <c r="X1513">
        <v>0</v>
      </c>
      <c r="Y1513">
        <v>0</v>
      </c>
      <c r="Z1513">
        <v>0</v>
      </c>
      <c r="AA1513">
        <f t="shared" si="1121"/>
        <v>1.2000000000000002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6.6</v>
      </c>
      <c r="AJ1513" s="5">
        <f t="shared" si="1116"/>
        <v>6.6</v>
      </c>
      <c r="AK1513">
        <v>0</v>
      </c>
      <c r="AL1513">
        <v>0.37200000000000005</v>
      </c>
      <c r="AM1513">
        <f t="shared" si="1101"/>
        <v>0.629</v>
      </c>
      <c r="AN1513">
        <v>4435</v>
      </c>
      <c r="AO1513">
        <v>4435</v>
      </c>
      <c r="AP1513" s="3">
        <f t="shared" si="1103"/>
        <v>11954.177897574124</v>
      </c>
      <c r="AQ1513" s="3">
        <f t="shared" si="1122"/>
        <v>11954.177897574124</v>
      </c>
      <c r="AR1513">
        <f t="shared" si="1117"/>
        <v>0.10492845786963434</v>
      </c>
      <c r="AS1513">
        <f t="shared" si="1123"/>
        <v>0.56300000000000017</v>
      </c>
      <c r="AT1513">
        <f t="shared" si="1124"/>
        <v>6730</v>
      </c>
      <c r="AU1513">
        <f t="shared" si="1125"/>
        <v>789</v>
      </c>
      <c r="AV1513">
        <f t="shared" si="1107"/>
        <v>3628</v>
      </c>
      <c r="AW1513">
        <f t="shared" si="1108"/>
        <v>1257</v>
      </c>
      <c r="AX1513" s="3">
        <f t="shared" si="1109"/>
        <v>7069.1778975741236</v>
      </c>
      <c r="AY1513">
        <f t="shared" si="1110"/>
        <v>3365</v>
      </c>
      <c r="AZ1513">
        <f t="shared" si="1111"/>
        <v>1297</v>
      </c>
      <c r="BA1513" s="3">
        <f t="shared" si="1112"/>
        <v>7292.1778975741236</v>
      </c>
    </row>
    <row r="1514" spans="1:53" x14ac:dyDescent="0.2">
      <c r="A1514">
        <v>1982</v>
      </c>
      <c r="B1514" t="s">
        <v>127</v>
      </c>
      <c r="C1514" t="s">
        <v>126</v>
      </c>
      <c r="D1514">
        <v>10.199999999999999</v>
      </c>
      <c r="E1514">
        <v>1.3</v>
      </c>
      <c r="F1514">
        <v>0.6</v>
      </c>
      <c r="G1514">
        <v>12.7</v>
      </c>
      <c r="H1514">
        <v>0</v>
      </c>
      <c r="I1514">
        <v>6.7</v>
      </c>
      <c r="J1514">
        <v>0</v>
      </c>
      <c r="K1514">
        <f t="shared" si="1118"/>
        <v>31.499999999999996</v>
      </c>
      <c r="L1514">
        <v>0.9</v>
      </c>
      <c r="M1514">
        <v>0.4</v>
      </c>
      <c r="N1514">
        <v>0</v>
      </c>
      <c r="O1514">
        <f t="shared" si="1119"/>
        <v>1.3</v>
      </c>
      <c r="P1514">
        <v>0</v>
      </c>
      <c r="Q1514">
        <v>0</v>
      </c>
      <c r="R1514">
        <v>0</v>
      </c>
      <c r="S1514">
        <f t="shared" si="1120"/>
        <v>0</v>
      </c>
      <c r="T1514">
        <v>0</v>
      </c>
      <c r="U1514">
        <v>0.8</v>
      </c>
      <c r="V1514">
        <v>0.8</v>
      </c>
      <c r="W1514">
        <v>0.2</v>
      </c>
      <c r="X1514">
        <v>0</v>
      </c>
      <c r="Y1514">
        <v>0</v>
      </c>
      <c r="Z1514">
        <v>0</v>
      </c>
      <c r="AA1514">
        <f t="shared" si="1121"/>
        <v>1.8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6.7</v>
      </c>
      <c r="AJ1514" s="5">
        <f t="shared" si="1116"/>
        <v>6.7</v>
      </c>
      <c r="AK1514">
        <v>0</v>
      </c>
      <c r="AL1514">
        <v>0.58899999999999997</v>
      </c>
      <c r="AM1514">
        <f t="shared" ref="AM1514:AM1577" si="1126">SUM(AB1514:AI1514,T1514:Z1514,P1514:R1514,L1514:N1514,D1514:J1514)/100</f>
        <v>0.41300000000000003</v>
      </c>
      <c r="AN1514">
        <v>3415</v>
      </c>
      <c r="AO1514">
        <v>3415</v>
      </c>
      <c r="AP1514" s="3">
        <f t="shared" si="1103"/>
        <v>5817.7172061328793</v>
      </c>
      <c r="AQ1514" s="3">
        <f t="shared" si="1122"/>
        <v>5817.7172061328793</v>
      </c>
      <c r="AR1514">
        <f t="shared" si="1117"/>
        <v>0.16222760290556901</v>
      </c>
      <c r="AS1514">
        <f t="shared" si="1123"/>
        <v>0.34599999999999992</v>
      </c>
      <c r="AT1514">
        <f t="shared" si="1124"/>
        <v>2013</v>
      </c>
      <c r="AU1514">
        <f t="shared" si="1125"/>
        <v>390</v>
      </c>
      <c r="AV1514">
        <f t="shared" si="1107"/>
        <v>1097</v>
      </c>
      <c r="AW1514">
        <f t="shared" si="1108"/>
        <v>484</v>
      </c>
      <c r="AX1514" s="3">
        <f t="shared" si="1109"/>
        <v>4236.7172061328793</v>
      </c>
      <c r="AY1514">
        <f t="shared" si="1110"/>
        <v>1006</v>
      </c>
      <c r="AZ1514">
        <f t="shared" si="1111"/>
        <v>493</v>
      </c>
      <c r="BA1514" s="3">
        <f t="shared" si="1112"/>
        <v>4318.7172061328793</v>
      </c>
    </row>
    <row r="1515" spans="1:53" x14ac:dyDescent="0.2">
      <c r="A1515">
        <v>1983</v>
      </c>
      <c r="B1515" t="s">
        <v>127</v>
      </c>
      <c r="C1515" t="s">
        <v>126</v>
      </c>
      <c r="D1515">
        <v>26.2</v>
      </c>
      <c r="E1515">
        <v>0.6</v>
      </c>
      <c r="F1515">
        <v>0.1</v>
      </c>
      <c r="G1515">
        <v>18.2</v>
      </c>
      <c r="H1515">
        <v>0</v>
      </c>
      <c r="I1515">
        <v>8.6</v>
      </c>
      <c r="J1515">
        <v>0</v>
      </c>
      <c r="K1515">
        <f t="shared" si="1118"/>
        <v>53.7</v>
      </c>
      <c r="L1515">
        <v>0.6</v>
      </c>
      <c r="M1515">
        <v>0</v>
      </c>
      <c r="N1515">
        <v>0</v>
      </c>
      <c r="O1515">
        <f t="shared" si="1119"/>
        <v>0.6</v>
      </c>
      <c r="P1515">
        <v>0</v>
      </c>
      <c r="Q1515">
        <v>0</v>
      </c>
      <c r="R1515">
        <v>0</v>
      </c>
      <c r="S1515">
        <f t="shared" si="1120"/>
        <v>0</v>
      </c>
      <c r="T1515">
        <v>0</v>
      </c>
      <c r="U1515">
        <v>0.8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f t="shared" si="1121"/>
        <v>0.8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6.1</v>
      </c>
      <c r="AJ1515" s="5">
        <f t="shared" si="1116"/>
        <v>6.1</v>
      </c>
      <c r="AK1515">
        <v>0</v>
      </c>
      <c r="AL1515">
        <v>0.38799999999999996</v>
      </c>
      <c r="AM1515">
        <f t="shared" si="1126"/>
        <v>0.61199999999999999</v>
      </c>
      <c r="AN1515">
        <v>2136</v>
      </c>
      <c r="AO1515">
        <v>2136</v>
      </c>
      <c r="AP1515" s="3">
        <f t="shared" si="1103"/>
        <v>5505.1546391752572</v>
      </c>
      <c r="AQ1515" s="3">
        <f t="shared" si="1122"/>
        <v>5505.1546391752572</v>
      </c>
      <c r="AR1515">
        <f t="shared" si="1117"/>
        <v>9.9673202614379078E-2</v>
      </c>
      <c r="AS1515">
        <f t="shared" si="1123"/>
        <v>0.55100000000000005</v>
      </c>
      <c r="AT1515">
        <f t="shared" si="1124"/>
        <v>3033</v>
      </c>
      <c r="AU1515">
        <f t="shared" si="1125"/>
        <v>336</v>
      </c>
      <c r="AV1515">
        <f t="shared" si="1107"/>
        <v>1555</v>
      </c>
      <c r="AW1515">
        <f t="shared" si="1108"/>
        <v>537</v>
      </c>
      <c r="AX1515" s="3">
        <f t="shared" si="1109"/>
        <v>3413.1546391752572</v>
      </c>
      <c r="AY1515">
        <f t="shared" si="1110"/>
        <v>1517</v>
      </c>
      <c r="AZ1515">
        <f t="shared" si="1111"/>
        <v>542</v>
      </c>
      <c r="BA1515" s="3">
        <f t="shared" si="1112"/>
        <v>3446.1546391752572</v>
      </c>
    </row>
    <row r="1516" spans="1:53" x14ac:dyDescent="0.2">
      <c r="A1516">
        <v>1984</v>
      </c>
      <c r="B1516" t="s">
        <v>127</v>
      </c>
      <c r="C1516" t="s">
        <v>126</v>
      </c>
      <c r="D1516">
        <v>24.5</v>
      </c>
      <c r="E1516">
        <v>0</v>
      </c>
      <c r="F1516">
        <v>0</v>
      </c>
      <c r="G1516">
        <v>38.6</v>
      </c>
      <c r="H1516">
        <v>0</v>
      </c>
      <c r="I1516">
        <v>6.5</v>
      </c>
      <c r="J1516">
        <v>0</v>
      </c>
      <c r="K1516">
        <f t="shared" si="1118"/>
        <v>69.599999999999994</v>
      </c>
      <c r="L1516">
        <v>6.7</v>
      </c>
      <c r="M1516">
        <v>0.8</v>
      </c>
      <c r="N1516">
        <v>0</v>
      </c>
      <c r="O1516">
        <f t="shared" si="1119"/>
        <v>7.5</v>
      </c>
      <c r="P1516">
        <v>0</v>
      </c>
      <c r="Q1516">
        <v>1.5</v>
      </c>
      <c r="R1516">
        <v>0</v>
      </c>
      <c r="S1516">
        <f t="shared" si="1120"/>
        <v>1.5</v>
      </c>
      <c r="T1516">
        <v>0</v>
      </c>
      <c r="U1516">
        <v>0</v>
      </c>
      <c r="V1516">
        <v>0.5</v>
      </c>
      <c r="W1516">
        <v>0.5</v>
      </c>
      <c r="X1516">
        <v>0</v>
      </c>
      <c r="Y1516">
        <v>0</v>
      </c>
      <c r="Z1516">
        <v>0</v>
      </c>
      <c r="AA1516">
        <f t="shared" si="1121"/>
        <v>1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0.5</v>
      </c>
      <c r="AI1516">
        <v>2.1</v>
      </c>
      <c r="AJ1516" s="5">
        <f t="shared" si="1116"/>
        <v>2.6</v>
      </c>
      <c r="AK1516">
        <v>0</v>
      </c>
      <c r="AL1516">
        <v>0.17800000000000002</v>
      </c>
      <c r="AM1516">
        <f t="shared" si="1126"/>
        <v>0.82200000000000006</v>
      </c>
      <c r="AN1516">
        <v>3461</v>
      </c>
      <c r="AO1516">
        <v>3461</v>
      </c>
      <c r="AP1516" s="3">
        <f t="shared" si="1103"/>
        <v>19443.820224719108</v>
      </c>
      <c r="AQ1516" s="3">
        <f t="shared" si="1122"/>
        <v>19443.820224719108</v>
      </c>
      <c r="AR1516">
        <f t="shared" si="1117"/>
        <v>3.1630170316301706E-2</v>
      </c>
      <c r="AS1516">
        <f t="shared" si="1123"/>
        <v>0.79599999999999993</v>
      </c>
      <c r="AT1516">
        <f t="shared" si="1124"/>
        <v>15477</v>
      </c>
      <c r="AU1516">
        <f t="shared" si="1125"/>
        <v>506</v>
      </c>
      <c r="AV1516">
        <f t="shared" si="1107"/>
        <v>8711</v>
      </c>
      <c r="AW1516">
        <f t="shared" si="1108"/>
        <v>1369</v>
      </c>
      <c r="AX1516" s="3">
        <f t="shared" si="1109"/>
        <v>9363.8202247191075</v>
      </c>
      <c r="AY1516">
        <f t="shared" si="1110"/>
        <v>7739</v>
      </c>
      <c r="AZ1516">
        <f t="shared" si="1111"/>
        <v>1493</v>
      </c>
      <c r="BA1516" s="3">
        <f t="shared" si="1112"/>
        <v>10211.820224719108</v>
      </c>
    </row>
    <row r="1517" spans="1:53" x14ac:dyDescent="0.2">
      <c r="A1517">
        <v>1985</v>
      </c>
      <c r="B1517" t="s">
        <v>127</v>
      </c>
      <c r="C1517" t="s">
        <v>126</v>
      </c>
      <c r="D1517">
        <v>33.700000000000003</v>
      </c>
      <c r="E1517">
        <v>2.2000000000000002</v>
      </c>
      <c r="F1517">
        <v>0</v>
      </c>
      <c r="G1517">
        <v>34.299999999999997</v>
      </c>
      <c r="H1517">
        <v>0</v>
      </c>
      <c r="I1517">
        <v>2.9</v>
      </c>
      <c r="J1517">
        <v>0</v>
      </c>
      <c r="K1517">
        <f t="shared" si="1118"/>
        <v>73.100000000000009</v>
      </c>
      <c r="L1517">
        <v>2</v>
      </c>
      <c r="M1517">
        <v>0.5</v>
      </c>
      <c r="N1517">
        <v>0</v>
      </c>
      <c r="O1517">
        <f t="shared" si="1119"/>
        <v>2.5</v>
      </c>
      <c r="P1517">
        <v>0</v>
      </c>
      <c r="Q1517">
        <v>0</v>
      </c>
      <c r="R1517">
        <v>0</v>
      </c>
      <c r="S1517">
        <f t="shared" si="1120"/>
        <v>0</v>
      </c>
      <c r="T1517">
        <v>0</v>
      </c>
      <c r="U1517">
        <v>0</v>
      </c>
      <c r="V1517">
        <v>0.1</v>
      </c>
      <c r="W1517">
        <v>0</v>
      </c>
      <c r="X1517">
        <v>0</v>
      </c>
      <c r="Y1517">
        <v>0</v>
      </c>
      <c r="Z1517">
        <v>0</v>
      </c>
      <c r="AA1517">
        <f t="shared" si="1121"/>
        <v>0.1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1.5</v>
      </c>
      <c r="AJ1517" s="5">
        <f t="shared" si="1116"/>
        <v>1.5</v>
      </c>
      <c r="AK1517">
        <v>0</v>
      </c>
      <c r="AL1517">
        <v>0.22800000000000001</v>
      </c>
      <c r="AM1517">
        <f t="shared" si="1126"/>
        <v>0.77200000000000013</v>
      </c>
      <c r="AN1517">
        <v>6628</v>
      </c>
      <c r="AO1517">
        <v>6628</v>
      </c>
      <c r="AP1517" s="3">
        <f t="shared" si="1103"/>
        <v>29070.175438596507</v>
      </c>
      <c r="AQ1517" s="3">
        <f t="shared" si="1122"/>
        <v>29070.175438596507</v>
      </c>
      <c r="AR1517">
        <f t="shared" si="1117"/>
        <v>1.9430051813471499E-2</v>
      </c>
      <c r="AS1517">
        <f t="shared" si="1123"/>
        <v>0.75700000000000001</v>
      </c>
      <c r="AT1517">
        <f t="shared" si="1124"/>
        <v>22006</v>
      </c>
      <c r="AU1517">
        <f t="shared" si="1125"/>
        <v>436</v>
      </c>
      <c r="AV1517">
        <f t="shared" si="1107"/>
        <v>11381</v>
      </c>
      <c r="AW1517">
        <f t="shared" si="1108"/>
        <v>1092</v>
      </c>
      <c r="AX1517" s="3">
        <f t="shared" si="1109"/>
        <v>16597.175438596507</v>
      </c>
      <c r="AY1517">
        <f t="shared" si="1110"/>
        <v>11003</v>
      </c>
      <c r="AZ1517">
        <f t="shared" si="1111"/>
        <v>1115</v>
      </c>
      <c r="BA1517" s="3">
        <f t="shared" si="1112"/>
        <v>16952.175438596507</v>
      </c>
    </row>
    <row r="1518" spans="1:53" x14ac:dyDescent="0.2">
      <c r="A1518">
        <v>1986</v>
      </c>
      <c r="B1518" t="s">
        <v>127</v>
      </c>
      <c r="C1518" t="s">
        <v>126</v>
      </c>
      <c r="D1518">
        <v>26.1</v>
      </c>
      <c r="E1518">
        <v>0</v>
      </c>
      <c r="F1518">
        <v>0</v>
      </c>
      <c r="G1518">
        <v>16</v>
      </c>
      <c r="H1518">
        <v>0</v>
      </c>
      <c r="I1518">
        <v>3.7</v>
      </c>
      <c r="J1518">
        <v>0</v>
      </c>
      <c r="K1518">
        <f t="shared" si="1118"/>
        <v>45.800000000000004</v>
      </c>
      <c r="L1518">
        <v>4.4000000000000004</v>
      </c>
      <c r="M1518">
        <v>0.5</v>
      </c>
      <c r="N1518">
        <v>0</v>
      </c>
      <c r="O1518">
        <f t="shared" si="1119"/>
        <v>4.9000000000000004</v>
      </c>
      <c r="P1518">
        <v>0</v>
      </c>
      <c r="Q1518">
        <v>0</v>
      </c>
      <c r="R1518">
        <v>0</v>
      </c>
      <c r="S1518">
        <f t="shared" si="1120"/>
        <v>0</v>
      </c>
      <c r="T1518">
        <v>0.1</v>
      </c>
      <c r="U1518">
        <v>0</v>
      </c>
      <c r="V1518">
        <v>0.2</v>
      </c>
      <c r="W1518">
        <v>0.5</v>
      </c>
      <c r="X1518">
        <v>0</v>
      </c>
      <c r="Y1518">
        <v>0</v>
      </c>
      <c r="Z1518">
        <v>0</v>
      </c>
      <c r="AA1518">
        <f t="shared" si="1121"/>
        <v>0.8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3.2</v>
      </c>
      <c r="AJ1518" s="5">
        <f t="shared" si="1116"/>
        <v>3.2</v>
      </c>
      <c r="AK1518">
        <v>0</v>
      </c>
      <c r="AL1518">
        <v>0.45299999999999996</v>
      </c>
      <c r="AM1518">
        <f t="shared" si="1126"/>
        <v>0.54700000000000004</v>
      </c>
      <c r="AN1518">
        <v>6748</v>
      </c>
      <c r="AO1518">
        <v>6748</v>
      </c>
      <c r="AP1518" s="3">
        <f t="shared" si="1103"/>
        <v>14896.247240618102</v>
      </c>
      <c r="AQ1518" s="3">
        <f t="shared" si="1122"/>
        <v>14896.247240618102</v>
      </c>
      <c r="AR1518">
        <f t="shared" si="1117"/>
        <v>5.850091407678245E-2</v>
      </c>
      <c r="AS1518">
        <f t="shared" si="1123"/>
        <v>0.51500000000000001</v>
      </c>
      <c r="AT1518">
        <f t="shared" si="1124"/>
        <v>7672</v>
      </c>
      <c r="AU1518">
        <f t="shared" si="1125"/>
        <v>477</v>
      </c>
      <c r="AV1518">
        <f t="shared" si="1107"/>
        <v>4260</v>
      </c>
      <c r="AW1518">
        <f t="shared" si="1108"/>
        <v>702</v>
      </c>
      <c r="AX1518" s="3">
        <f t="shared" si="1109"/>
        <v>9934.2472406181023</v>
      </c>
      <c r="AY1518">
        <f t="shared" si="1110"/>
        <v>3836</v>
      </c>
      <c r="AZ1518">
        <f t="shared" si="1111"/>
        <v>730</v>
      </c>
      <c r="BA1518" s="3">
        <f t="shared" si="1112"/>
        <v>10330.247240618102</v>
      </c>
    </row>
    <row r="1519" spans="1:53" x14ac:dyDescent="0.2">
      <c r="A1519">
        <v>1987</v>
      </c>
      <c r="B1519" t="s">
        <v>127</v>
      </c>
      <c r="C1519" t="s">
        <v>126</v>
      </c>
      <c r="D1519">
        <v>17.3</v>
      </c>
      <c r="E1519">
        <v>1.4</v>
      </c>
      <c r="F1519">
        <v>0</v>
      </c>
      <c r="G1519">
        <v>16.5</v>
      </c>
      <c r="H1519">
        <v>0</v>
      </c>
      <c r="I1519">
        <v>2.2999999999999998</v>
      </c>
      <c r="J1519">
        <v>0</v>
      </c>
      <c r="K1519">
        <f t="shared" si="1118"/>
        <v>37.5</v>
      </c>
      <c r="L1519">
        <v>0.4</v>
      </c>
      <c r="M1519">
        <v>0</v>
      </c>
      <c r="N1519">
        <v>0</v>
      </c>
      <c r="O1519">
        <f t="shared" si="1119"/>
        <v>0.4</v>
      </c>
      <c r="P1519">
        <v>0</v>
      </c>
      <c r="Q1519">
        <v>0</v>
      </c>
      <c r="R1519">
        <v>0</v>
      </c>
      <c r="S1519">
        <f t="shared" si="1120"/>
        <v>0</v>
      </c>
      <c r="T1519">
        <v>0</v>
      </c>
      <c r="U1519">
        <v>0.3</v>
      </c>
      <c r="V1519">
        <v>2.2000000000000002</v>
      </c>
      <c r="W1519">
        <v>0.6</v>
      </c>
      <c r="X1519">
        <v>0</v>
      </c>
      <c r="Y1519">
        <v>0</v>
      </c>
      <c r="Z1519">
        <v>0</v>
      </c>
      <c r="AA1519">
        <f t="shared" si="1121"/>
        <v>3.1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8.1999999999999993</v>
      </c>
      <c r="AJ1519" s="5">
        <f t="shared" si="1116"/>
        <v>8.1999999999999993</v>
      </c>
      <c r="AK1519">
        <v>0.1</v>
      </c>
      <c r="AL1519">
        <v>0.50800000000000001</v>
      </c>
      <c r="AM1519">
        <f t="shared" si="1126"/>
        <v>0.49199999999999994</v>
      </c>
      <c r="AN1519">
        <v>4577</v>
      </c>
      <c r="AO1519">
        <v>4577</v>
      </c>
      <c r="AP1519" s="3">
        <f t="shared" si="1103"/>
        <v>9009.8425196850385</v>
      </c>
      <c r="AQ1519" s="3">
        <f t="shared" si="1122"/>
        <v>9009.8425196850385</v>
      </c>
      <c r="AR1519">
        <f t="shared" si="1117"/>
        <v>0.16666666666666666</v>
      </c>
      <c r="AS1519">
        <f t="shared" si="1123"/>
        <v>0.41</v>
      </c>
      <c r="AT1519">
        <f t="shared" si="1124"/>
        <v>3694</v>
      </c>
      <c r="AU1519">
        <f t="shared" si="1125"/>
        <v>739</v>
      </c>
      <c r="AV1519">
        <f t="shared" si="1107"/>
        <v>2005</v>
      </c>
      <c r="AW1519">
        <f t="shared" si="1108"/>
        <v>974</v>
      </c>
      <c r="AX1519" s="3">
        <f t="shared" si="1109"/>
        <v>6030.8425196850385</v>
      </c>
      <c r="AY1519">
        <f t="shared" si="1110"/>
        <v>1847</v>
      </c>
      <c r="AZ1519">
        <f t="shared" si="1111"/>
        <v>996</v>
      </c>
      <c r="BA1519" s="3">
        <f t="shared" si="1112"/>
        <v>6166.8425196850385</v>
      </c>
    </row>
    <row r="1520" spans="1:53" x14ac:dyDescent="0.2">
      <c r="A1520">
        <v>1988</v>
      </c>
      <c r="B1520" t="s">
        <v>127</v>
      </c>
      <c r="C1520" t="s">
        <v>126</v>
      </c>
      <c r="D1520">
        <v>13.3</v>
      </c>
      <c r="E1520">
        <v>0</v>
      </c>
      <c r="F1520">
        <v>0</v>
      </c>
      <c r="G1520">
        <v>9</v>
      </c>
      <c r="H1520">
        <v>0</v>
      </c>
      <c r="I1520">
        <v>4.5</v>
      </c>
      <c r="J1520">
        <v>0</v>
      </c>
      <c r="K1520">
        <f t="shared" si="1118"/>
        <v>26.8</v>
      </c>
      <c r="L1520">
        <v>0.8</v>
      </c>
      <c r="M1520">
        <v>0</v>
      </c>
      <c r="N1520">
        <v>0</v>
      </c>
      <c r="O1520">
        <f t="shared" si="1119"/>
        <v>0.8</v>
      </c>
      <c r="P1520">
        <v>0</v>
      </c>
      <c r="Q1520">
        <v>0</v>
      </c>
      <c r="R1520">
        <v>0</v>
      </c>
      <c r="S1520">
        <f t="shared" si="1120"/>
        <v>0</v>
      </c>
      <c r="T1520">
        <v>0.4</v>
      </c>
      <c r="U1520">
        <v>0</v>
      </c>
      <c r="V1520">
        <v>0.4</v>
      </c>
      <c r="W1520">
        <v>1.3</v>
      </c>
      <c r="X1520">
        <v>0</v>
      </c>
      <c r="Y1520">
        <v>0</v>
      </c>
      <c r="Z1520">
        <v>0</v>
      </c>
      <c r="AA1520">
        <f t="shared" si="1121"/>
        <v>2.1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5.5</v>
      </c>
      <c r="AJ1520" s="5">
        <f t="shared" si="1116"/>
        <v>5.5</v>
      </c>
      <c r="AK1520">
        <v>0.1</v>
      </c>
      <c r="AL1520">
        <v>0.64700000000000002</v>
      </c>
      <c r="AM1520">
        <f t="shared" si="1126"/>
        <v>0.35200000000000004</v>
      </c>
      <c r="AN1520">
        <v>7805</v>
      </c>
      <c r="AO1520">
        <v>7805</v>
      </c>
      <c r="AP1520" s="3">
        <f t="shared" ref="AP1520:AP1583" si="1127">AN1520/(1-AM1520)</f>
        <v>12044.753086419754</v>
      </c>
      <c r="AQ1520" s="3">
        <f t="shared" si="1122"/>
        <v>12044.753086419754</v>
      </c>
      <c r="AR1520">
        <f t="shared" si="1117"/>
        <v>0.15624999999999997</v>
      </c>
      <c r="AS1520">
        <f t="shared" si="1123"/>
        <v>0.29700000000000004</v>
      </c>
      <c r="AT1520">
        <f t="shared" si="1124"/>
        <v>3577</v>
      </c>
      <c r="AU1520">
        <f t="shared" si="1125"/>
        <v>662</v>
      </c>
      <c r="AV1520">
        <f t="shared" si="1107"/>
        <v>1963</v>
      </c>
      <c r="AW1520">
        <f t="shared" si="1108"/>
        <v>788</v>
      </c>
      <c r="AX1520" s="3">
        <f t="shared" si="1109"/>
        <v>9293.7530864197543</v>
      </c>
      <c r="AY1520">
        <f t="shared" si="1110"/>
        <v>1789</v>
      </c>
      <c r="AZ1520">
        <f t="shared" si="1111"/>
        <v>802</v>
      </c>
      <c r="BA1520" s="3">
        <f t="shared" si="1112"/>
        <v>9453.7530864197543</v>
      </c>
    </row>
    <row r="1521" spans="1:53" x14ac:dyDescent="0.2">
      <c r="A1521">
        <v>1989</v>
      </c>
      <c r="B1521" t="s">
        <v>127</v>
      </c>
      <c r="C1521" t="s">
        <v>126</v>
      </c>
      <c r="D1521">
        <v>14.3</v>
      </c>
      <c r="E1521">
        <v>0</v>
      </c>
      <c r="F1521">
        <v>0</v>
      </c>
      <c r="G1521">
        <v>13.9</v>
      </c>
      <c r="H1521">
        <v>0</v>
      </c>
      <c r="I1521">
        <v>4.2</v>
      </c>
      <c r="J1521">
        <v>0</v>
      </c>
      <c r="K1521">
        <f t="shared" si="1118"/>
        <v>32.400000000000006</v>
      </c>
      <c r="L1521">
        <v>0</v>
      </c>
      <c r="M1521">
        <v>0.1</v>
      </c>
      <c r="N1521">
        <v>0</v>
      </c>
      <c r="O1521">
        <f t="shared" si="1119"/>
        <v>0.1</v>
      </c>
      <c r="P1521">
        <v>0</v>
      </c>
      <c r="Q1521">
        <v>0.7</v>
      </c>
      <c r="R1521">
        <v>0</v>
      </c>
      <c r="S1521">
        <f t="shared" si="1120"/>
        <v>0.7</v>
      </c>
      <c r="T1521">
        <v>0</v>
      </c>
      <c r="U1521">
        <v>0</v>
      </c>
      <c r="V1521">
        <v>2.7</v>
      </c>
      <c r="W1521">
        <v>0.2</v>
      </c>
      <c r="X1521">
        <v>0</v>
      </c>
      <c r="Y1521">
        <v>0</v>
      </c>
      <c r="Z1521">
        <v>0.2</v>
      </c>
      <c r="AA1521">
        <f t="shared" si="1121"/>
        <v>3.1000000000000005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8.3000000000000007</v>
      </c>
      <c r="AJ1521" s="5">
        <f t="shared" si="1116"/>
        <v>8.3000000000000007</v>
      </c>
      <c r="AK1521">
        <v>0.2</v>
      </c>
      <c r="AL1521">
        <v>0.55200000000000005</v>
      </c>
      <c r="AM1521">
        <f t="shared" si="1126"/>
        <v>0.44600000000000001</v>
      </c>
      <c r="AN1521">
        <v>4401</v>
      </c>
      <c r="AO1521">
        <v>4401</v>
      </c>
      <c r="AP1521" s="3">
        <f t="shared" si="1127"/>
        <v>7944.0433212996386</v>
      </c>
      <c r="AQ1521" s="3">
        <f t="shared" si="1122"/>
        <v>7944.0433212996386</v>
      </c>
      <c r="AR1521">
        <f t="shared" si="1117"/>
        <v>0.18609865470852019</v>
      </c>
      <c r="AS1521">
        <f t="shared" si="1123"/>
        <v>0.3630000000000001</v>
      </c>
      <c r="AT1521">
        <f t="shared" si="1124"/>
        <v>2884</v>
      </c>
      <c r="AU1521">
        <f t="shared" si="1125"/>
        <v>659</v>
      </c>
      <c r="AV1521">
        <f t="shared" si="1107"/>
        <v>1597</v>
      </c>
      <c r="AW1521">
        <f t="shared" si="1108"/>
        <v>827</v>
      </c>
      <c r="AX1521" s="3">
        <f t="shared" si="1109"/>
        <v>5520.0433212996386</v>
      </c>
      <c r="AY1521">
        <f t="shared" si="1110"/>
        <v>1442</v>
      </c>
      <c r="AZ1521">
        <f t="shared" si="1111"/>
        <v>847</v>
      </c>
      <c r="BA1521" s="3">
        <f t="shared" si="1112"/>
        <v>5655.0433212996386</v>
      </c>
    </row>
    <row r="1522" spans="1:53" x14ac:dyDescent="0.2">
      <c r="A1522">
        <v>1990</v>
      </c>
      <c r="B1522" t="s">
        <v>127</v>
      </c>
      <c r="C1522" t="s">
        <v>126</v>
      </c>
      <c r="D1522">
        <v>17.100000000000001</v>
      </c>
      <c r="E1522">
        <v>1.8</v>
      </c>
      <c r="F1522">
        <v>0</v>
      </c>
      <c r="G1522">
        <v>12.3</v>
      </c>
      <c r="H1522">
        <v>1.4</v>
      </c>
      <c r="I1522">
        <v>7.3</v>
      </c>
      <c r="J1522">
        <v>0</v>
      </c>
      <c r="K1522">
        <f t="shared" si="1118"/>
        <v>39.9</v>
      </c>
      <c r="L1522">
        <v>0.2</v>
      </c>
      <c r="M1522">
        <v>0.5</v>
      </c>
      <c r="N1522">
        <v>0</v>
      </c>
      <c r="O1522">
        <f t="shared" si="1119"/>
        <v>0.7</v>
      </c>
      <c r="P1522">
        <v>0</v>
      </c>
      <c r="Q1522">
        <v>0.2</v>
      </c>
      <c r="R1522">
        <v>0</v>
      </c>
      <c r="S1522">
        <f t="shared" si="1120"/>
        <v>0.2</v>
      </c>
      <c r="T1522">
        <v>1.5</v>
      </c>
      <c r="U1522">
        <v>0.3</v>
      </c>
      <c r="V1522">
        <v>1.2</v>
      </c>
      <c r="W1522">
        <v>1</v>
      </c>
      <c r="X1522">
        <v>0</v>
      </c>
      <c r="Y1522">
        <v>0</v>
      </c>
      <c r="Z1522">
        <v>0</v>
      </c>
      <c r="AA1522">
        <f t="shared" si="1121"/>
        <v>4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4.5999999999999996</v>
      </c>
      <c r="AJ1522" s="5">
        <f t="shared" si="1116"/>
        <v>4.5999999999999996</v>
      </c>
      <c r="AK1522">
        <v>0</v>
      </c>
      <c r="AL1522">
        <v>0.50600000000000001</v>
      </c>
      <c r="AM1522">
        <f t="shared" si="1126"/>
        <v>0.49399999999999999</v>
      </c>
      <c r="AN1522">
        <v>4313</v>
      </c>
      <c r="AO1522">
        <v>4313</v>
      </c>
      <c r="AP1522" s="3">
        <f t="shared" si="1127"/>
        <v>8523.7154150197621</v>
      </c>
      <c r="AQ1522" s="3">
        <f t="shared" si="1122"/>
        <v>8523.7154150197621</v>
      </c>
      <c r="AR1522">
        <f t="shared" si="1117"/>
        <v>9.3117408906882596E-2</v>
      </c>
      <c r="AS1522">
        <f t="shared" si="1123"/>
        <v>0.44800000000000006</v>
      </c>
      <c r="AT1522">
        <f t="shared" si="1124"/>
        <v>3819</v>
      </c>
      <c r="AU1522">
        <f t="shared" si="1125"/>
        <v>392</v>
      </c>
      <c r="AV1522">
        <f t="shared" si="1107"/>
        <v>2118</v>
      </c>
      <c r="AW1522">
        <f t="shared" si="1108"/>
        <v>534</v>
      </c>
      <c r="AX1522" s="3">
        <f t="shared" si="1109"/>
        <v>5871.7154150197621</v>
      </c>
      <c r="AY1522">
        <f t="shared" si="1110"/>
        <v>1909</v>
      </c>
      <c r="AZ1522">
        <f t="shared" si="1111"/>
        <v>551</v>
      </c>
      <c r="BA1522" s="3">
        <f t="shared" si="1112"/>
        <v>6063.7154150197621</v>
      </c>
    </row>
    <row r="1523" spans="1:53" x14ac:dyDescent="0.2">
      <c r="A1523">
        <v>1991</v>
      </c>
      <c r="B1523" t="s">
        <v>127</v>
      </c>
      <c r="C1523" t="s">
        <v>126</v>
      </c>
      <c r="D1523">
        <v>21.6</v>
      </c>
      <c r="E1523">
        <v>0</v>
      </c>
      <c r="F1523">
        <v>0.5</v>
      </c>
      <c r="G1523">
        <v>15.8</v>
      </c>
      <c r="H1523">
        <v>1</v>
      </c>
      <c r="I1523">
        <v>6.9</v>
      </c>
      <c r="J1523">
        <v>0</v>
      </c>
      <c r="K1523">
        <f t="shared" si="1118"/>
        <v>45.800000000000004</v>
      </c>
      <c r="L1523">
        <v>0.4</v>
      </c>
      <c r="M1523">
        <v>0.7</v>
      </c>
      <c r="N1523">
        <v>0</v>
      </c>
      <c r="O1523">
        <f t="shared" si="1119"/>
        <v>1.1000000000000001</v>
      </c>
      <c r="P1523">
        <v>0</v>
      </c>
      <c r="Q1523">
        <v>0</v>
      </c>
      <c r="R1523">
        <v>0</v>
      </c>
      <c r="S1523">
        <f t="shared" si="1120"/>
        <v>0</v>
      </c>
      <c r="T1523">
        <v>0.2</v>
      </c>
      <c r="U1523">
        <v>0</v>
      </c>
      <c r="V1523">
        <v>0.1</v>
      </c>
      <c r="W1523">
        <v>1</v>
      </c>
      <c r="X1523">
        <v>0</v>
      </c>
      <c r="Y1523">
        <v>0</v>
      </c>
      <c r="Z1523">
        <v>0.2</v>
      </c>
      <c r="AA1523">
        <f t="shared" si="1121"/>
        <v>1.5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4.7</v>
      </c>
      <c r="AJ1523" s="5">
        <f t="shared" si="1116"/>
        <v>4.7</v>
      </c>
      <c r="AK1523">
        <v>0</v>
      </c>
      <c r="AL1523">
        <v>0.47</v>
      </c>
      <c r="AM1523">
        <f t="shared" si="1126"/>
        <v>0.53100000000000003</v>
      </c>
      <c r="AN1523">
        <v>5633</v>
      </c>
      <c r="AO1523">
        <v>5633</v>
      </c>
      <c r="AP1523" s="3">
        <f t="shared" si="1127"/>
        <v>12010.660980810235</v>
      </c>
      <c r="AQ1523" s="3">
        <f t="shared" si="1122"/>
        <v>12010.660980810235</v>
      </c>
      <c r="AR1523">
        <f t="shared" si="1117"/>
        <v>8.851224105461393E-2</v>
      </c>
      <c r="AS1523">
        <f t="shared" si="1123"/>
        <v>0.48400000000000004</v>
      </c>
      <c r="AT1523">
        <f t="shared" si="1124"/>
        <v>5813</v>
      </c>
      <c r="AU1523">
        <f t="shared" si="1125"/>
        <v>565</v>
      </c>
      <c r="AV1523">
        <f t="shared" si="1107"/>
        <v>3063</v>
      </c>
      <c r="AW1523">
        <f t="shared" si="1108"/>
        <v>816</v>
      </c>
      <c r="AX1523" s="3">
        <f t="shared" si="1109"/>
        <v>8131.6609808102348</v>
      </c>
      <c r="AY1523">
        <f t="shared" si="1110"/>
        <v>2907</v>
      </c>
      <c r="AZ1523">
        <f t="shared" si="1111"/>
        <v>830</v>
      </c>
      <c r="BA1523" s="3">
        <f t="shared" si="1112"/>
        <v>8273.6609808102348</v>
      </c>
    </row>
    <row r="1524" spans="1:53" x14ac:dyDescent="0.2">
      <c r="A1524">
        <v>1992</v>
      </c>
      <c r="B1524" t="s">
        <v>127</v>
      </c>
      <c r="C1524" t="s">
        <v>126</v>
      </c>
      <c r="D1524">
        <v>4.5</v>
      </c>
      <c r="E1524">
        <v>2.9</v>
      </c>
      <c r="F1524">
        <v>0</v>
      </c>
      <c r="G1524">
        <v>7.4</v>
      </c>
      <c r="H1524">
        <v>1.7</v>
      </c>
      <c r="I1524">
        <v>15</v>
      </c>
      <c r="J1524">
        <v>0</v>
      </c>
      <c r="K1524">
        <f t="shared" si="1118"/>
        <v>31.5</v>
      </c>
      <c r="L1524">
        <v>0.6</v>
      </c>
      <c r="M1524">
        <v>0.3</v>
      </c>
      <c r="N1524">
        <v>0</v>
      </c>
      <c r="O1524">
        <f t="shared" si="1119"/>
        <v>0.89999999999999991</v>
      </c>
      <c r="P1524">
        <v>0</v>
      </c>
      <c r="Q1524">
        <v>0</v>
      </c>
      <c r="R1524">
        <v>0.2</v>
      </c>
      <c r="S1524">
        <f t="shared" si="1120"/>
        <v>0.2</v>
      </c>
      <c r="T1524">
        <v>0.1</v>
      </c>
      <c r="U1524">
        <v>0.2</v>
      </c>
      <c r="V1524">
        <v>1.8</v>
      </c>
      <c r="W1524">
        <v>0.2</v>
      </c>
      <c r="X1524">
        <v>0</v>
      </c>
      <c r="Y1524">
        <v>0</v>
      </c>
      <c r="Z1524">
        <v>0.2</v>
      </c>
      <c r="AA1524">
        <f t="shared" si="1121"/>
        <v>2.5000000000000004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5.7</v>
      </c>
      <c r="AJ1524" s="5">
        <f t="shared" si="1116"/>
        <v>5.7</v>
      </c>
      <c r="AK1524">
        <v>0</v>
      </c>
      <c r="AL1524">
        <v>0.59099999999999997</v>
      </c>
      <c r="AM1524">
        <f t="shared" si="1126"/>
        <v>0.40799999999999997</v>
      </c>
      <c r="AN1524">
        <v>6044</v>
      </c>
      <c r="AO1524">
        <v>6044</v>
      </c>
      <c r="AP1524" s="3">
        <f t="shared" si="1127"/>
        <v>10209.459459459458</v>
      </c>
      <c r="AQ1524" s="3">
        <f t="shared" si="1122"/>
        <v>10209.459459459458</v>
      </c>
      <c r="AR1524">
        <f t="shared" si="1117"/>
        <v>0.13970588235294118</v>
      </c>
      <c r="AS1524">
        <f t="shared" si="1123"/>
        <v>0.35100000000000003</v>
      </c>
      <c r="AT1524">
        <f t="shared" si="1124"/>
        <v>3584</v>
      </c>
      <c r="AU1524">
        <f t="shared" si="1125"/>
        <v>582</v>
      </c>
      <c r="AV1524">
        <f t="shared" si="1107"/>
        <v>1976</v>
      </c>
      <c r="AW1524">
        <f t="shared" si="1108"/>
        <v>723</v>
      </c>
      <c r="AX1524" s="3">
        <f t="shared" si="1109"/>
        <v>7510.4594594594582</v>
      </c>
      <c r="AY1524">
        <f t="shared" si="1110"/>
        <v>1792</v>
      </c>
      <c r="AZ1524">
        <f t="shared" si="1111"/>
        <v>739</v>
      </c>
      <c r="BA1524" s="3">
        <f t="shared" si="1112"/>
        <v>7678.4594594594582</v>
      </c>
    </row>
    <row r="1525" spans="1:53" x14ac:dyDescent="0.2">
      <c r="A1525">
        <v>1993</v>
      </c>
      <c r="B1525" t="s">
        <v>127</v>
      </c>
      <c r="C1525" t="s">
        <v>126</v>
      </c>
      <c r="D1525">
        <v>10.1</v>
      </c>
      <c r="E1525">
        <v>0.5</v>
      </c>
      <c r="F1525">
        <v>0.2</v>
      </c>
      <c r="G1525">
        <v>16.899999999999999</v>
      </c>
      <c r="H1525">
        <v>1</v>
      </c>
      <c r="I1525">
        <v>18.399999999999999</v>
      </c>
      <c r="J1525">
        <v>0</v>
      </c>
      <c r="K1525">
        <f t="shared" si="1118"/>
        <v>47.099999999999994</v>
      </c>
      <c r="L1525">
        <v>0.2</v>
      </c>
      <c r="M1525">
        <v>0</v>
      </c>
      <c r="N1525">
        <v>0</v>
      </c>
      <c r="O1525">
        <f t="shared" si="1119"/>
        <v>0.2</v>
      </c>
      <c r="P1525">
        <v>0</v>
      </c>
      <c r="Q1525">
        <v>0.4</v>
      </c>
      <c r="R1525">
        <v>0</v>
      </c>
      <c r="S1525">
        <f t="shared" si="1120"/>
        <v>0.4</v>
      </c>
      <c r="T1525">
        <v>0.5</v>
      </c>
      <c r="U1525">
        <v>0.1</v>
      </c>
      <c r="V1525">
        <v>2.2000000000000002</v>
      </c>
      <c r="W1525">
        <v>0</v>
      </c>
      <c r="X1525">
        <v>0</v>
      </c>
      <c r="Y1525">
        <v>0</v>
      </c>
      <c r="Z1525">
        <v>0</v>
      </c>
      <c r="AA1525">
        <f t="shared" si="1121"/>
        <v>2.8000000000000003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10.7</v>
      </c>
      <c r="AJ1525" s="5">
        <f t="shared" si="1116"/>
        <v>10.7</v>
      </c>
      <c r="AK1525">
        <v>0</v>
      </c>
      <c r="AL1525">
        <v>0.38799999999999996</v>
      </c>
      <c r="AM1525">
        <f t="shared" si="1126"/>
        <v>0.61199999999999999</v>
      </c>
      <c r="AN1525">
        <v>4342</v>
      </c>
      <c r="AO1525">
        <v>4342</v>
      </c>
      <c r="AP1525" s="3">
        <f t="shared" si="1127"/>
        <v>11190.721649484536</v>
      </c>
      <c r="AQ1525" s="3">
        <f t="shared" si="1122"/>
        <v>11190.721649484536</v>
      </c>
      <c r="AR1525">
        <f t="shared" si="1117"/>
        <v>0.17483660130718953</v>
      </c>
      <c r="AS1525">
        <f t="shared" si="1123"/>
        <v>0.50499999999999989</v>
      </c>
      <c r="AT1525">
        <f t="shared" si="1124"/>
        <v>5651</v>
      </c>
      <c r="AU1525">
        <f t="shared" si="1125"/>
        <v>1197</v>
      </c>
      <c r="AV1525">
        <f t="shared" si="1107"/>
        <v>3016</v>
      </c>
      <c r="AW1525">
        <f t="shared" si="1108"/>
        <v>1766</v>
      </c>
      <c r="AX1525" s="3">
        <f t="shared" si="1109"/>
        <v>6408.7216494845361</v>
      </c>
      <c r="AY1525">
        <f t="shared" si="1110"/>
        <v>2826</v>
      </c>
      <c r="AZ1525">
        <f t="shared" si="1111"/>
        <v>1807</v>
      </c>
      <c r="BA1525" s="3">
        <f t="shared" si="1112"/>
        <v>6557.7216494845361</v>
      </c>
    </row>
    <row r="1526" spans="1:53" x14ac:dyDescent="0.2">
      <c r="A1526">
        <v>1994</v>
      </c>
      <c r="B1526" t="s">
        <v>127</v>
      </c>
      <c r="C1526" t="s">
        <v>126</v>
      </c>
      <c r="D1526">
        <v>13.8</v>
      </c>
      <c r="E1526">
        <v>0.5</v>
      </c>
      <c r="F1526">
        <v>0.8</v>
      </c>
      <c r="G1526">
        <v>14.6</v>
      </c>
      <c r="H1526">
        <v>1.8</v>
      </c>
      <c r="I1526">
        <v>4.8</v>
      </c>
      <c r="J1526">
        <v>0</v>
      </c>
      <c r="K1526">
        <f t="shared" si="1118"/>
        <v>36.300000000000004</v>
      </c>
      <c r="L1526">
        <v>0.2</v>
      </c>
      <c r="M1526">
        <v>0.1</v>
      </c>
      <c r="N1526">
        <v>0</v>
      </c>
      <c r="O1526">
        <f t="shared" si="1119"/>
        <v>0.30000000000000004</v>
      </c>
      <c r="P1526">
        <v>0</v>
      </c>
      <c r="Q1526">
        <v>0</v>
      </c>
      <c r="R1526">
        <v>0</v>
      </c>
      <c r="S1526">
        <f t="shared" si="1120"/>
        <v>0</v>
      </c>
      <c r="T1526">
        <v>0</v>
      </c>
      <c r="U1526">
        <v>0</v>
      </c>
      <c r="V1526">
        <v>1.2</v>
      </c>
      <c r="W1526">
        <v>0.6</v>
      </c>
      <c r="X1526">
        <v>0</v>
      </c>
      <c r="Y1526">
        <v>0</v>
      </c>
      <c r="Z1526">
        <v>0</v>
      </c>
      <c r="AA1526">
        <f t="shared" si="1121"/>
        <v>1.7999999999999998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4</v>
      </c>
      <c r="AJ1526" s="5">
        <f t="shared" si="1116"/>
        <v>4</v>
      </c>
      <c r="AK1526">
        <v>0</v>
      </c>
      <c r="AL1526">
        <v>0.57600000000000007</v>
      </c>
      <c r="AM1526">
        <f t="shared" si="1126"/>
        <v>0.42399999999999993</v>
      </c>
      <c r="AN1526">
        <v>10475</v>
      </c>
      <c r="AO1526">
        <v>10475</v>
      </c>
      <c r="AP1526" s="3">
        <f t="shared" si="1127"/>
        <v>18185.763888888887</v>
      </c>
      <c r="AQ1526" s="3">
        <f t="shared" si="1122"/>
        <v>18185.763888888887</v>
      </c>
      <c r="AR1526">
        <f t="shared" si="1117"/>
        <v>9.4339622641509455E-2</v>
      </c>
      <c r="AS1526">
        <f t="shared" si="1123"/>
        <v>0.38400000000000001</v>
      </c>
      <c r="AT1526">
        <f t="shared" si="1124"/>
        <v>6983</v>
      </c>
      <c r="AU1526">
        <f t="shared" si="1125"/>
        <v>727</v>
      </c>
      <c r="AV1526">
        <f t="shared" si="1107"/>
        <v>3683</v>
      </c>
      <c r="AW1526">
        <f t="shared" si="1108"/>
        <v>941</v>
      </c>
      <c r="AX1526" s="3">
        <f t="shared" si="1109"/>
        <v>13561.763888888887</v>
      </c>
      <c r="AY1526">
        <f t="shared" si="1110"/>
        <v>3492</v>
      </c>
      <c r="AZ1526">
        <f t="shared" si="1111"/>
        <v>954</v>
      </c>
      <c r="BA1526" s="3">
        <f t="shared" si="1112"/>
        <v>13739.763888888887</v>
      </c>
    </row>
    <row r="1527" spans="1:53" x14ac:dyDescent="0.2">
      <c r="A1527">
        <v>1995</v>
      </c>
      <c r="B1527" t="s">
        <v>127</v>
      </c>
      <c r="C1527" t="s">
        <v>126</v>
      </c>
      <c r="D1527">
        <v>9.4</v>
      </c>
      <c r="E1527">
        <v>0.2</v>
      </c>
      <c r="F1527">
        <v>0.4</v>
      </c>
      <c r="G1527">
        <v>5.6</v>
      </c>
      <c r="H1527">
        <v>1.1000000000000001</v>
      </c>
      <c r="I1527">
        <v>1</v>
      </c>
      <c r="J1527">
        <v>0.2</v>
      </c>
      <c r="K1527">
        <f t="shared" si="1118"/>
        <v>17.899999999999999</v>
      </c>
      <c r="L1527">
        <v>0.1</v>
      </c>
      <c r="M1527">
        <v>0</v>
      </c>
      <c r="N1527">
        <v>0</v>
      </c>
      <c r="O1527">
        <f t="shared" si="1119"/>
        <v>0.1</v>
      </c>
      <c r="P1527">
        <v>0</v>
      </c>
      <c r="Q1527">
        <v>2.7</v>
      </c>
      <c r="R1527">
        <v>0</v>
      </c>
      <c r="S1527">
        <f t="shared" si="1120"/>
        <v>2.7</v>
      </c>
      <c r="T1527">
        <v>0</v>
      </c>
      <c r="U1527">
        <v>0</v>
      </c>
      <c r="V1527">
        <v>0.2</v>
      </c>
      <c r="W1527">
        <v>0.2</v>
      </c>
      <c r="X1527">
        <v>0</v>
      </c>
      <c r="Y1527">
        <v>0</v>
      </c>
      <c r="Z1527">
        <v>0</v>
      </c>
      <c r="AA1527">
        <f t="shared" si="1121"/>
        <v>0.4</v>
      </c>
      <c r="AB1527">
        <v>0.1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12.9</v>
      </c>
      <c r="AJ1527" s="5">
        <f t="shared" si="1116"/>
        <v>13</v>
      </c>
      <c r="AK1527">
        <v>0</v>
      </c>
      <c r="AL1527">
        <v>0.65799999999999992</v>
      </c>
      <c r="AM1527">
        <f t="shared" si="1126"/>
        <v>0.34100000000000003</v>
      </c>
      <c r="AN1527">
        <v>5164</v>
      </c>
      <c r="AO1527">
        <v>5164</v>
      </c>
      <c r="AP1527" s="3">
        <f t="shared" si="1127"/>
        <v>7836.1153262518965</v>
      </c>
      <c r="AQ1527" s="3">
        <f t="shared" si="1122"/>
        <v>7836.1153262518965</v>
      </c>
      <c r="AR1527">
        <f t="shared" si="1117"/>
        <v>0.38123167155425219</v>
      </c>
      <c r="AS1527">
        <f t="shared" si="1123"/>
        <v>0.21099999999999997</v>
      </c>
      <c r="AT1527">
        <f t="shared" si="1124"/>
        <v>1653</v>
      </c>
      <c r="AU1527">
        <f t="shared" si="1125"/>
        <v>1019</v>
      </c>
      <c r="AV1527">
        <f t="shared" si="1107"/>
        <v>952</v>
      </c>
      <c r="AW1527">
        <f t="shared" si="1108"/>
        <v>1135</v>
      </c>
      <c r="AX1527" s="3">
        <f t="shared" si="1109"/>
        <v>5749.1153262518965</v>
      </c>
      <c r="AY1527">
        <f t="shared" si="1110"/>
        <v>827</v>
      </c>
      <c r="AZ1527">
        <f t="shared" si="1111"/>
        <v>1155</v>
      </c>
      <c r="BA1527" s="3">
        <f t="shared" si="1112"/>
        <v>5854.1153262518965</v>
      </c>
    </row>
    <row r="1528" spans="1:53" x14ac:dyDescent="0.2">
      <c r="A1528">
        <v>1996</v>
      </c>
      <c r="B1528" t="s">
        <v>127</v>
      </c>
      <c r="C1528" t="s">
        <v>126</v>
      </c>
      <c r="D1528">
        <v>18.600000000000001</v>
      </c>
      <c r="E1528">
        <v>0</v>
      </c>
      <c r="F1528">
        <v>0</v>
      </c>
      <c r="G1528">
        <v>1.3</v>
      </c>
      <c r="H1528">
        <v>0</v>
      </c>
      <c r="I1528">
        <v>0.6</v>
      </c>
      <c r="J1528">
        <v>0</v>
      </c>
      <c r="K1528">
        <f t="shared" si="1118"/>
        <v>20.500000000000004</v>
      </c>
      <c r="L1528">
        <v>0.1</v>
      </c>
      <c r="M1528">
        <v>0</v>
      </c>
      <c r="N1528">
        <v>0</v>
      </c>
      <c r="O1528">
        <f t="shared" si="1119"/>
        <v>0.1</v>
      </c>
      <c r="P1528">
        <v>0</v>
      </c>
      <c r="Q1528">
        <v>0.9</v>
      </c>
      <c r="R1528">
        <v>0</v>
      </c>
      <c r="S1528">
        <f t="shared" si="1120"/>
        <v>0.9</v>
      </c>
      <c r="T1528">
        <v>0.4</v>
      </c>
      <c r="U1528">
        <v>0</v>
      </c>
      <c r="V1528">
        <v>3.8</v>
      </c>
      <c r="W1528">
        <v>0.8</v>
      </c>
      <c r="X1528">
        <v>0</v>
      </c>
      <c r="Y1528">
        <v>0</v>
      </c>
      <c r="Z1528">
        <v>0</v>
      </c>
      <c r="AA1528">
        <f t="shared" si="1121"/>
        <v>5</v>
      </c>
      <c r="AB1528">
        <v>0</v>
      </c>
      <c r="AC1528">
        <v>0</v>
      </c>
      <c r="AD1528">
        <v>0</v>
      </c>
      <c r="AE1528">
        <v>0</v>
      </c>
      <c r="AF1528">
        <v>0.1</v>
      </c>
      <c r="AG1528">
        <v>0</v>
      </c>
      <c r="AH1528">
        <v>0</v>
      </c>
      <c r="AI1528">
        <v>7.8</v>
      </c>
      <c r="AJ1528" s="5">
        <f t="shared" si="1116"/>
        <v>7.8999999999999995</v>
      </c>
      <c r="AK1528">
        <v>0</v>
      </c>
      <c r="AL1528">
        <v>0.65700000000000003</v>
      </c>
      <c r="AM1528">
        <f t="shared" si="1126"/>
        <v>0.34399999999999997</v>
      </c>
      <c r="AN1528">
        <v>7394</v>
      </c>
      <c r="AO1528">
        <v>7394</v>
      </c>
      <c r="AP1528" s="3">
        <f t="shared" si="1127"/>
        <v>11271.341463414634</v>
      </c>
      <c r="AQ1528" s="3">
        <f t="shared" si="1122"/>
        <v>11271.341463414634</v>
      </c>
      <c r="AR1528">
        <f t="shared" si="1117"/>
        <v>0.22965116279069769</v>
      </c>
      <c r="AS1528">
        <f t="shared" si="1123"/>
        <v>0.26500000000000001</v>
      </c>
      <c r="AT1528">
        <f t="shared" si="1124"/>
        <v>2987</v>
      </c>
      <c r="AU1528">
        <f t="shared" si="1125"/>
        <v>890</v>
      </c>
      <c r="AV1528">
        <f t="shared" si="1107"/>
        <v>1832</v>
      </c>
      <c r="AW1528">
        <f t="shared" si="1108"/>
        <v>1014</v>
      </c>
      <c r="AX1528" s="3">
        <f t="shared" si="1109"/>
        <v>8425.3414634146338</v>
      </c>
      <c r="AY1528">
        <f t="shared" si="1110"/>
        <v>1493</v>
      </c>
      <c r="AZ1528">
        <f t="shared" si="1111"/>
        <v>1051</v>
      </c>
      <c r="BA1528" s="3">
        <f t="shared" si="1112"/>
        <v>8727.3414634146338</v>
      </c>
    </row>
    <row r="1529" spans="1:53" x14ac:dyDescent="0.2">
      <c r="A1529">
        <v>1997</v>
      </c>
      <c r="B1529" t="s">
        <v>127</v>
      </c>
      <c r="C1529" t="s">
        <v>126</v>
      </c>
      <c r="D1529">
        <v>29.6</v>
      </c>
      <c r="E1529">
        <v>0</v>
      </c>
      <c r="F1529">
        <v>2.1</v>
      </c>
      <c r="G1529">
        <v>3.2</v>
      </c>
      <c r="H1529">
        <v>0.4</v>
      </c>
      <c r="I1529">
        <v>0.2</v>
      </c>
      <c r="J1529">
        <v>0</v>
      </c>
      <c r="K1529">
        <f t="shared" si="1118"/>
        <v>35.500000000000007</v>
      </c>
      <c r="L1529">
        <v>0.1</v>
      </c>
      <c r="M1529">
        <v>0</v>
      </c>
      <c r="N1529">
        <v>0</v>
      </c>
      <c r="O1529">
        <f t="shared" si="1119"/>
        <v>0.1</v>
      </c>
      <c r="P1529">
        <v>0</v>
      </c>
      <c r="Q1529">
        <v>2</v>
      </c>
      <c r="R1529">
        <v>0</v>
      </c>
      <c r="S1529">
        <f t="shared" si="1120"/>
        <v>2</v>
      </c>
      <c r="T1529">
        <v>0</v>
      </c>
      <c r="U1529">
        <v>0.1</v>
      </c>
      <c r="V1529">
        <v>1.3</v>
      </c>
      <c r="W1529">
        <v>0.3</v>
      </c>
      <c r="X1529">
        <v>0</v>
      </c>
      <c r="Y1529">
        <v>0</v>
      </c>
      <c r="Z1529">
        <v>0</v>
      </c>
      <c r="AA1529">
        <f t="shared" si="1121"/>
        <v>1.7000000000000002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11.4</v>
      </c>
      <c r="AJ1529" s="5">
        <f t="shared" si="1116"/>
        <v>11.4</v>
      </c>
      <c r="AK1529">
        <v>0</v>
      </c>
      <c r="AL1529">
        <v>0.49299999999999999</v>
      </c>
      <c r="AM1529">
        <f t="shared" si="1126"/>
        <v>0.50700000000000012</v>
      </c>
      <c r="AN1529">
        <v>3726</v>
      </c>
      <c r="AO1529">
        <v>3726</v>
      </c>
      <c r="AP1529" s="3">
        <f t="shared" si="1127"/>
        <v>7557.8093306288047</v>
      </c>
      <c r="AQ1529" s="3">
        <f t="shared" si="1122"/>
        <v>7557.8093306288047</v>
      </c>
      <c r="AR1529">
        <f t="shared" si="1117"/>
        <v>0.22485207100591711</v>
      </c>
      <c r="AS1529">
        <f t="shared" si="1123"/>
        <v>0.39300000000000013</v>
      </c>
      <c r="AT1529">
        <f t="shared" si="1124"/>
        <v>2970</v>
      </c>
      <c r="AU1529">
        <f t="shared" si="1125"/>
        <v>862</v>
      </c>
      <c r="AV1529">
        <f t="shared" si="1107"/>
        <v>1629</v>
      </c>
      <c r="AW1529">
        <f t="shared" si="1108"/>
        <v>1114</v>
      </c>
      <c r="AX1529" s="3">
        <f t="shared" si="1109"/>
        <v>4814.8093306288047</v>
      </c>
      <c r="AY1529">
        <f t="shared" si="1110"/>
        <v>1485</v>
      </c>
      <c r="AZ1529">
        <f t="shared" si="1111"/>
        <v>1141</v>
      </c>
      <c r="BA1529" s="3">
        <f t="shared" si="1112"/>
        <v>4931.8093306288047</v>
      </c>
    </row>
    <row r="1530" spans="1:53" x14ac:dyDescent="0.2">
      <c r="A1530">
        <v>1998</v>
      </c>
      <c r="B1530" t="s">
        <v>127</v>
      </c>
      <c r="C1530" t="s">
        <v>126</v>
      </c>
      <c r="D1530">
        <v>9.1</v>
      </c>
      <c r="E1530">
        <v>0.6</v>
      </c>
      <c r="F1530">
        <v>0.4</v>
      </c>
      <c r="G1530">
        <v>10.4</v>
      </c>
      <c r="H1530">
        <v>2</v>
      </c>
      <c r="I1530">
        <v>0</v>
      </c>
      <c r="J1530">
        <v>0</v>
      </c>
      <c r="K1530">
        <f t="shared" si="1118"/>
        <v>22.5</v>
      </c>
      <c r="L1530">
        <v>0</v>
      </c>
      <c r="M1530">
        <v>0</v>
      </c>
      <c r="N1530">
        <v>0</v>
      </c>
      <c r="O1530">
        <f t="shared" si="1119"/>
        <v>0</v>
      </c>
      <c r="P1530">
        <v>0</v>
      </c>
      <c r="Q1530">
        <v>0.2</v>
      </c>
      <c r="R1530">
        <v>0</v>
      </c>
      <c r="S1530">
        <f t="shared" si="1120"/>
        <v>0.2</v>
      </c>
      <c r="T1530">
        <v>0</v>
      </c>
      <c r="U1530">
        <v>0</v>
      </c>
      <c r="V1530">
        <v>0.1</v>
      </c>
      <c r="W1530">
        <v>1.3</v>
      </c>
      <c r="X1530">
        <v>0</v>
      </c>
      <c r="Y1530">
        <v>0</v>
      </c>
      <c r="Z1530">
        <v>0</v>
      </c>
      <c r="AA1530">
        <f t="shared" si="1121"/>
        <v>1.4000000000000001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0.1</v>
      </c>
      <c r="AI1530">
        <v>6.5</v>
      </c>
      <c r="AJ1530" s="5">
        <f t="shared" si="1116"/>
        <v>6.6</v>
      </c>
      <c r="AK1530">
        <v>0</v>
      </c>
      <c r="AL1530">
        <v>0.69200000000000006</v>
      </c>
      <c r="AM1530">
        <f t="shared" si="1126"/>
        <v>0.30699999999999994</v>
      </c>
      <c r="AN1530">
        <v>5516</v>
      </c>
      <c r="AO1530">
        <v>5516</v>
      </c>
      <c r="AP1530" s="3">
        <f t="shared" si="1127"/>
        <v>7959.5959595959594</v>
      </c>
      <c r="AQ1530" s="3">
        <f t="shared" si="1122"/>
        <v>7959.5959595959594</v>
      </c>
      <c r="AR1530">
        <f t="shared" si="1117"/>
        <v>0.2149837133550489</v>
      </c>
      <c r="AS1530">
        <f t="shared" si="1123"/>
        <v>0.24099999999999999</v>
      </c>
      <c r="AT1530">
        <f t="shared" si="1124"/>
        <v>1918</v>
      </c>
      <c r="AU1530">
        <f t="shared" si="1125"/>
        <v>525</v>
      </c>
      <c r="AV1530">
        <f t="shared" si="1107"/>
        <v>1023</v>
      </c>
      <c r="AW1530">
        <f t="shared" si="1108"/>
        <v>603</v>
      </c>
      <c r="AX1530" s="3">
        <f t="shared" si="1109"/>
        <v>6333.5959595959594</v>
      </c>
      <c r="AY1530">
        <f t="shared" si="1110"/>
        <v>959</v>
      </c>
      <c r="AZ1530">
        <f t="shared" si="1111"/>
        <v>608</v>
      </c>
      <c r="BA1530" s="3">
        <f t="shared" si="1112"/>
        <v>6392.5959595959594</v>
      </c>
    </row>
    <row r="1531" spans="1:53" x14ac:dyDescent="0.2">
      <c r="A1531">
        <v>1999</v>
      </c>
      <c r="B1531" t="s">
        <v>127</v>
      </c>
      <c r="C1531" t="s">
        <v>126</v>
      </c>
      <c r="D1531">
        <v>17.399999999999999</v>
      </c>
      <c r="E1531">
        <v>0.1</v>
      </c>
      <c r="F1531">
        <v>0.3</v>
      </c>
      <c r="G1531">
        <v>4.0999999999999996</v>
      </c>
      <c r="H1531">
        <v>4.5999999999999996</v>
      </c>
      <c r="I1531">
        <v>0</v>
      </c>
      <c r="J1531">
        <v>0</v>
      </c>
      <c r="K1531">
        <f t="shared" si="1118"/>
        <v>26.5</v>
      </c>
      <c r="L1531">
        <v>0</v>
      </c>
      <c r="M1531">
        <v>0</v>
      </c>
      <c r="N1531">
        <v>0</v>
      </c>
      <c r="O1531">
        <f t="shared" si="1119"/>
        <v>0</v>
      </c>
      <c r="P1531">
        <v>0</v>
      </c>
      <c r="Q1531">
        <v>0</v>
      </c>
      <c r="R1531">
        <v>0</v>
      </c>
      <c r="S1531">
        <f t="shared" si="1120"/>
        <v>0</v>
      </c>
      <c r="T1531">
        <v>0.2</v>
      </c>
      <c r="U1531">
        <v>0.1</v>
      </c>
      <c r="V1531">
        <v>0.3</v>
      </c>
      <c r="W1531">
        <v>1.3</v>
      </c>
      <c r="X1531">
        <v>0</v>
      </c>
      <c r="Y1531">
        <v>0</v>
      </c>
      <c r="Z1531">
        <v>0</v>
      </c>
      <c r="AA1531">
        <f t="shared" si="1121"/>
        <v>1.9000000000000001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10.4</v>
      </c>
      <c r="AJ1531" s="5">
        <f t="shared" si="1116"/>
        <v>10.4</v>
      </c>
      <c r="AK1531">
        <v>0.1</v>
      </c>
      <c r="AL1531">
        <v>0.61</v>
      </c>
      <c r="AM1531">
        <f t="shared" si="1126"/>
        <v>0.38800000000000007</v>
      </c>
      <c r="AN1531">
        <v>4166</v>
      </c>
      <c r="AO1531">
        <v>4166</v>
      </c>
      <c r="AP1531" s="3">
        <f t="shared" si="1127"/>
        <v>6807.1895424836612</v>
      </c>
      <c r="AQ1531" s="3">
        <f t="shared" si="1122"/>
        <v>6807.1895424836612</v>
      </c>
      <c r="AR1531">
        <f t="shared" si="1117"/>
        <v>0.26804123711340205</v>
      </c>
      <c r="AS1531">
        <f t="shared" si="1123"/>
        <v>0.28399999999999997</v>
      </c>
      <c r="AT1531">
        <f t="shared" si="1124"/>
        <v>1933</v>
      </c>
      <c r="AU1531">
        <f t="shared" si="1125"/>
        <v>708</v>
      </c>
      <c r="AV1531">
        <f t="shared" si="1107"/>
        <v>1031</v>
      </c>
      <c r="AW1531">
        <f t="shared" si="1108"/>
        <v>839</v>
      </c>
      <c r="AX1531" s="3">
        <f t="shared" si="1109"/>
        <v>4937.1895424836612</v>
      </c>
      <c r="AY1531">
        <f t="shared" si="1110"/>
        <v>967</v>
      </c>
      <c r="AZ1531">
        <f t="shared" si="1111"/>
        <v>848</v>
      </c>
      <c r="BA1531" s="3">
        <f t="shared" si="1112"/>
        <v>4992.1895424836612</v>
      </c>
    </row>
    <row r="1532" spans="1:53" x14ac:dyDescent="0.2">
      <c r="A1532">
        <v>2000</v>
      </c>
      <c r="B1532" t="s">
        <v>127</v>
      </c>
      <c r="C1532" t="s">
        <v>126</v>
      </c>
      <c r="D1532">
        <v>15.7</v>
      </c>
      <c r="E1532">
        <v>0</v>
      </c>
      <c r="F1532">
        <v>0.6</v>
      </c>
      <c r="G1532">
        <v>3.2</v>
      </c>
      <c r="H1532">
        <v>1.7</v>
      </c>
      <c r="I1532">
        <v>0.2</v>
      </c>
      <c r="J1532">
        <v>0</v>
      </c>
      <c r="K1532">
        <f t="shared" si="1118"/>
        <v>21.4</v>
      </c>
      <c r="L1532">
        <v>0</v>
      </c>
      <c r="M1532">
        <v>0</v>
      </c>
      <c r="N1532">
        <v>0</v>
      </c>
      <c r="O1532">
        <f t="shared" si="1119"/>
        <v>0</v>
      </c>
      <c r="P1532">
        <v>0</v>
      </c>
      <c r="Q1532">
        <v>0</v>
      </c>
      <c r="R1532">
        <v>0</v>
      </c>
      <c r="S1532">
        <f t="shared" si="1120"/>
        <v>0</v>
      </c>
      <c r="T1532">
        <v>0.1</v>
      </c>
      <c r="U1532">
        <v>0</v>
      </c>
      <c r="V1532">
        <v>0.3</v>
      </c>
      <c r="W1532">
        <v>1.3</v>
      </c>
      <c r="X1532">
        <v>0</v>
      </c>
      <c r="Y1532">
        <v>0</v>
      </c>
      <c r="Z1532">
        <v>0</v>
      </c>
      <c r="AA1532">
        <f t="shared" si="1121"/>
        <v>1.7000000000000002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11.7</v>
      </c>
      <c r="AJ1532" s="5">
        <f t="shared" si="1116"/>
        <v>11.7</v>
      </c>
      <c r="AK1532">
        <v>0</v>
      </c>
      <c r="AL1532">
        <v>0.65200000000000002</v>
      </c>
      <c r="AM1532">
        <f t="shared" si="1126"/>
        <v>0.34800000000000009</v>
      </c>
      <c r="AN1532">
        <v>6787</v>
      </c>
      <c r="AO1532">
        <v>6787</v>
      </c>
      <c r="AP1532" s="3">
        <f t="shared" si="1127"/>
        <v>10409.50920245399</v>
      </c>
      <c r="AQ1532" s="3">
        <f t="shared" si="1122"/>
        <v>10409.50920245399</v>
      </c>
      <c r="AR1532">
        <f t="shared" si="1117"/>
        <v>0.33620689655172403</v>
      </c>
      <c r="AS1532">
        <f t="shared" si="1123"/>
        <v>0.23099999999999998</v>
      </c>
      <c r="AT1532">
        <f t="shared" si="1124"/>
        <v>2405</v>
      </c>
      <c r="AU1532">
        <f t="shared" si="1125"/>
        <v>1218</v>
      </c>
      <c r="AV1532">
        <f t="shared" si="1107"/>
        <v>1291</v>
      </c>
      <c r="AW1532">
        <f t="shared" si="1108"/>
        <v>1388</v>
      </c>
      <c r="AX1532" s="3">
        <f t="shared" si="1109"/>
        <v>7730.5092024539899</v>
      </c>
      <c r="AY1532">
        <f t="shared" si="1110"/>
        <v>1202</v>
      </c>
      <c r="AZ1532">
        <f t="shared" si="1111"/>
        <v>1401</v>
      </c>
      <c r="BA1532" s="3">
        <f t="shared" si="1112"/>
        <v>7806.5092024539899</v>
      </c>
    </row>
    <row r="1533" spans="1:53" x14ac:dyDescent="0.2">
      <c r="A1533">
        <v>2001</v>
      </c>
      <c r="B1533" t="s">
        <v>127</v>
      </c>
      <c r="C1533" t="s">
        <v>126</v>
      </c>
      <c r="D1533">
        <v>15</v>
      </c>
      <c r="E1533">
        <v>0</v>
      </c>
      <c r="F1533">
        <v>1.2</v>
      </c>
      <c r="G1533">
        <v>3.5</v>
      </c>
      <c r="H1533">
        <v>1.8</v>
      </c>
      <c r="I1533">
        <v>0.2</v>
      </c>
      <c r="J1533">
        <v>0.1</v>
      </c>
      <c r="K1533">
        <f t="shared" si="1118"/>
        <v>21.8</v>
      </c>
      <c r="L1533">
        <v>0</v>
      </c>
      <c r="M1533">
        <v>0</v>
      </c>
      <c r="N1533">
        <v>0</v>
      </c>
      <c r="O1533">
        <f t="shared" si="1119"/>
        <v>0</v>
      </c>
      <c r="P1533">
        <v>0</v>
      </c>
      <c r="Q1533">
        <v>0</v>
      </c>
      <c r="R1533">
        <v>0</v>
      </c>
      <c r="S1533">
        <f t="shared" si="1120"/>
        <v>0</v>
      </c>
      <c r="T1533">
        <v>0.1</v>
      </c>
      <c r="U1533">
        <v>0.2</v>
      </c>
      <c r="V1533">
        <v>2.2999999999999998</v>
      </c>
      <c r="W1533">
        <v>1.5</v>
      </c>
      <c r="X1533">
        <v>0</v>
      </c>
      <c r="Y1533">
        <v>0</v>
      </c>
      <c r="Z1533">
        <v>0</v>
      </c>
      <c r="AA1533">
        <f t="shared" si="1121"/>
        <v>4.0999999999999996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0.1</v>
      </c>
      <c r="AI1533">
        <v>8.1999999999999993</v>
      </c>
      <c r="AJ1533" s="5">
        <f t="shared" si="1116"/>
        <v>8.2999999999999989</v>
      </c>
      <c r="AK1533">
        <v>0.1</v>
      </c>
      <c r="AL1533">
        <v>0.65599999999999992</v>
      </c>
      <c r="AM1533">
        <f t="shared" si="1126"/>
        <v>0.34199999999999997</v>
      </c>
      <c r="AN1533">
        <v>10563</v>
      </c>
      <c r="AO1533">
        <v>10563</v>
      </c>
      <c r="AP1533" s="3">
        <f t="shared" si="1127"/>
        <v>16053.191489361701</v>
      </c>
      <c r="AQ1533" s="3">
        <f t="shared" si="1122"/>
        <v>16053.191489361701</v>
      </c>
      <c r="AR1533">
        <f t="shared" si="1117"/>
        <v>0.24269005847953215</v>
      </c>
      <c r="AS1533">
        <f t="shared" si="1123"/>
        <v>0.25900000000000001</v>
      </c>
      <c r="AT1533">
        <f t="shared" si="1124"/>
        <v>4158</v>
      </c>
      <c r="AU1533">
        <f t="shared" si="1125"/>
        <v>1332</v>
      </c>
      <c r="AV1533">
        <f t="shared" si="1107"/>
        <v>2408</v>
      </c>
      <c r="AW1533">
        <f t="shared" si="1108"/>
        <v>1528</v>
      </c>
      <c r="AX1533" s="3">
        <f t="shared" si="1109"/>
        <v>12117.191489361701</v>
      </c>
      <c r="AY1533">
        <f t="shared" si="1110"/>
        <v>2079</v>
      </c>
      <c r="AZ1533">
        <f t="shared" si="1111"/>
        <v>1565</v>
      </c>
      <c r="BA1533" s="3">
        <f t="shared" si="1112"/>
        <v>12409.191489361701</v>
      </c>
    </row>
    <row r="1534" spans="1:53" x14ac:dyDescent="0.2">
      <c r="A1534">
        <v>2002</v>
      </c>
      <c r="B1534" t="s">
        <v>127</v>
      </c>
      <c r="C1534" t="s">
        <v>126</v>
      </c>
      <c r="D1534">
        <v>20.399999999999999</v>
      </c>
      <c r="E1534">
        <v>0</v>
      </c>
      <c r="F1534">
        <v>1.1000000000000001</v>
      </c>
      <c r="G1534">
        <v>7.4</v>
      </c>
      <c r="H1534">
        <v>2.6</v>
      </c>
      <c r="I1534">
        <v>0.1</v>
      </c>
      <c r="J1534">
        <v>0</v>
      </c>
      <c r="K1534">
        <f t="shared" si="1118"/>
        <v>31.6</v>
      </c>
      <c r="L1534">
        <v>0</v>
      </c>
      <c r="M1534">
        <v>0</v>
      </c>
      <c r="N1534">
        <v>0</v>
      </c>
      <c r="O1534">
        <f t="shared" si="1119"/>
        <v>0</v>
      </c>
      <c r="P1534">
        <v>0</v>
      </c>
      <c r="Q1534">
        <v>0</v>
      </c>
      <c r="R1534">
        <v>0</v>
      </c>
      <c r="S1534">
        <f t="shared" si="1120"/>
        <v>0</v>
      </c>
      <c r="T1534">
        <v>0.1</v>
      </c>
      <c r="U1534">
        <v>0.2</v>
      </c>
      <c r="V1534">
        <v>1.2</v>
      </c>
      <c r="W1534">
        <v>1.9</v>
      </c>
      <c r="X1534">
        <v>0</v>
      </c>
      <c r="Y1534">
        <v>0</v>
      </c>
      <c r="Z1534">
        <v>0</v>
      </c>
      <c r="AA1534">
        <f t="shared" si="1121"/>
        <v>3.4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6.4</v>
      </c>
      <c r="AJ1534" s="5">
        <f t="shared" si="1116"/>
        <v>6.4</v>
      </c>
      <c r="AK1534">
        <v>0.1</v>
      </c>
      <c r="AL1534">
        <v>0.58499999999999996</v>
      </c>
      <c r="AM1534">
        <f t="shared" si="1126"/>
        <v>0.41400000000000003</v>
      </c>
      <c r="AN1534">
        <v>14054</v>
      </c>
      <c r="AO1534">
        <v>14054</v>
      </c>
      <c r="AP1534" s="3">
        <f t="shared" si="1127"/>
        <v>23982.935153583618</v>
      </c>
      <c r="AQ1534" s="3">
        <f t="shared" si="1122"/>
        <v>23982.935153583618</v>
      </c>
      <c r="AR1534">
        <f t="shared" si="1117"/>
        <v>0.15458937198067632</v>
      </c>
      <c r="AS1534">
        <f t="shared" si="1123"/>
        <v>0.35</v>
      </c>
      <c r="AT1534">
        <f t="shared" si="1124"/>
        <v>8394</v>
      </c>
      <c r="AU1534">
        <f t="shared" si="1125"/>
        <v>1535</v>
      </c>
      <c r="AV1534">
        <f t="shared" si="1107"/>
        <v>4605</v>
      </c>
      <c r="AW1534">
        <f t="shared" si="1108"/>
        <v>1908</v>
      </c>
      <c r="AX1534" s="3">
        <f t="shared" si="1109"/>
        <v>17469.935153583618</v>
      </c>
      <c r="AY1534">
        <f t="shared" si="1110"/>
        <v>4197</v>
      </c>
      <c r="AZ1534">
        <f t="shared" si="1111"/>
        <v>1948</v>
      </c>
      <c r="BA1534" s="3">
        <f t="shared" si="1112"/>
        <v>17837.935153583618</v>
      </c>
    </row>
    <row r="1535" spans="1:53" x14ac:dyDescent="0.2">
      <c r="A1535">
        <v>2003</v>
      </c>
      <c r="B1535" t="s">
        <v>127</v>
      </c>
      <c r="C1535" t="s">
        <v>126</v>
      </c>
      <c r="D1535">
        <v>14.8</v>
      </c>
      <c r="E1535">
        <v>1.4</v>
      </c>
      <c r="F1535">
        <v>0.6</v>
      </c>
      <c r="G1535">
        <v>6.4</v>
      </c>
      <c r="H1535">
        <v>1.9</v>
      </c>
      <c r="I1535">
        <v>0</v>
      </c>
      <c r="J1535">
        <v>0.2</v>
      </c>
      <c r="K1535">
        <f t="shared" si="1118"/>
        <v>25.3</v>
      </c>
      <c r="L1535">
        <v>0</v>
      </c>
      <c r="M1535">
        <v>0</v>
      </c>
      <c r="N1535">
        <v>0</v>
      </c>
      <c r="O1535">
        <f t="shared" si="1119"/>
        <v>0</v>
      </c>
      <c r="P1535">
        <v>0</v>
      </c>
      <c r="Q1535">
        <v>0</v>
      </c>
      <c r="R1535">
        <v>0</v>
      </c>
      <c r="S1535">
        <f t="shared" si="1120"/>
        <v>0</v>
      </c>
      <c r="T1535">
        <v>0</v>
      </c>
      <c r="U1535">
        <v>0.2</v>
      </c>
      <c r="V1535">
        <v>1.3</v>
      </c>
      <c r="W1535">
        <v>2.6</v>
      </c>
      <c r="X1535">
        <v>0</v>
      </c>
      <c r="Y1535">
        <v>0</v>
      </c>
      <c r="Z1535">
        <v>0</v>
      </c>
      <c r="AA1535">
        <f t="shared" si="1121"/>
        <v>4.0999999999999996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9.3000000000000007</v>
      </c>
      <c r="AJ1535" s="5">
        <f t="shared" si="1116"/>
        <v>9.3000000000000007</v>
      </c>
      <c r="AK1535">
        <v>0.1</v>
      </c>
      <c r="AL1535">
        <v>0.61099999999999999</v>
      </c>
      <c r="AM1535">
        <f t="shared" si="1126"/>
        <v>0.38700000000000001</v>
      </c>
      <c r="AN1535">
        <v>11149</v>
      </c>
      <c r="AO1535">
        <v>11149</v>
      </c>
      <c r="AP1535" s="3">
        <f t="shared" si="1127"/>
        <v>18187.601957585644</v>
      </c>
      <c r="AQ1535" s="3">
        <f t="shared" si="1122"/>
        <v>18187.601957585644</v>
      </c>
      <c r="AR1535">
        <f t="shared" si="1117"/>
        <v>0.24031007751937988</v>
      </c>
      <c r="AS1535">
        <f t="shared" si="1123"/>
        <v>0.29399999999999998</v>
      </c>
      <c r="AT1535">
        <f t="shared" si="1124"/>
        <v>5347</v>
      </c>
      <c r="AU1535">
        <f t="shared" si="1125"/>
        <v>1691</v>
      </c>
      <c r="AV1535">
        <f t="shared" si="1107"/>
        <v>3046</v>
      </c>
      <c r="AW1535">
        <f t="shared" si="1108"/>
        <v>1994</v>
      </c>
      <c r="AX1535" s="3">
        <f t="shared" si="1109"/>
        <v>13147.601957585644</v>
      </c>
      <c r="AY1535">
        <f t="shared" si="1110"/>
        <v>2674</v>
      </c>
      <c r="AZ1535">
        <f t="shared" si="1111"/>
        <v>2043</v>
      </c>
      <c r="BA1535" s="3">
        <f t="shared" si="1112"/>
        <v>13470.601957585644</v>
      </c>
    </row>
    <row r="1536" spans="1:53" x14ac:dyDescent="0.2">
      <c r="A1536">
        <v>2004</v>
      </c>
      <c r="B1536" t="s">
        <v>127</v>
      </c>
      <c r="C1536" t="s">
        <v>126</v>
      </c>
      <c r="D1536">
        <v>19.399999999999999</v>
      </c>
      <c r="E1536">
        <v>1.3</v>
      </c>
      <c r="F1536">
        <v>0.9</v>
      </c>
      <c r="G1536">
        <v>7.5</v>
      </c>
      <c r="H1536">
        <v>4.5</v>
      </c>
      <c r="I1536">
        <v>2.2999999999999998</v>
      </c>
      <c r="J1536">
        <v>0</v>
      </c>
      <c r="K1536">
        <f t="shared" si="1118"/>
        <v>35.899999999999991</v>
      </c>
      <c r="L1536">
        <v>0</v>
      </c>
      <c r="M1536">
        <v>0</v>
      </c>
      <c r="N1536">
        <v>0</v>
      </c>
      <c r="O1536">
        <f t="shared" si="1119"/>
        <v>0</v>
      </c>
      <c r="P1536">
        <v>0</v>
      </c>
      <c r="Q1536">
        <v>0</v>
      </c>
      <c r="R1536">
        <v>0</v>
      </c>
      <c r="S1536">
        <f t="shared" si="1120"/>
        <v>0</v>
      </c>
      <c r="T1536">
        <v>0.4</v>
      </c>
      <c r="U1536">
        <v>0</v>
      </c>
      <c r="V1536">
        <v>0.2</v>
      </c>
      <c r="W1536">
        <v>0.9</v>
      </c>
      <c r="X1536">
        <v>0</v>
      </c>
      <c r="Y1536">
        <v>0</v>
      </c>
      <c r="Z1536">
        <v>0</v>
      </c>
      <c r="AA1536">
        <f t="shared" si="1121"/>
        <v>1.5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28.1</v>
      </c>
      <c r="AJ1536" s="5">
        <f t="shared" si="1116"/>
        <v>28.1</v>
      </c>
      <c r="AK1536">
        <v>0</v>
      </c>
      <c r="AL1536">
        <v>0.34200000000000003</v>
      </c>
      <c r="AM1536">
        <f t="shared" si="1126"/>
        <v>0.65500000000000003</v>
      </c>
      <c r="AN1536">
        <v>3902</v>
      </c>
      <c r="AO1536">
        <v>3902</v>
      </c>
      <c r="AP1536" s="3">
        <f t="shared" si="1127"/>
        <v>11310.144927536232</v>
      </c>
      <c r="AQ1536" s="3">
        <f t="shared" si="1122"/>
        <v>11310.144927536232</v>
      </c>
      <c r="AR1536">
        <f t="shared" si="1117"/>
        <v>0.42900763358778626</v>
      </c>
      <c r="AS1536">
        <f t="shared" si="1123"/>
        <v>0.37399999999999989</v>
      </c>
      <c r="AT1536">
        <f t="shared" si="1124"/>
        <v>4230</v>
      </c>
      <c r="AU1536">
        <f t="shared" si="1125"/>
        <v>3178</v>
      </c>
      <c r="AV1536">
        <f t="shared" si="1107"/>
        <v>2200</v>
      </c>
      <c r="AW1536">
        <f t="shared" si="1108"/>
        <v>4089</v>
      </c>
      <c r="AX1536" s="3">
        <f t="shared" si="1109"/>
        <v>5021.144927536232</v>
      </c>
      <c r="AY1536">
        <f t="shared" si="1110"/>
        <v>2115</v>
      </c>
      <c r="AZ1536">
        <f t="shared" si="1111"/>
        <v>4127</v>
      </c>
      <c r="BA1536" s="3">
        <f t="shared" si="1112"/>
        <v>5068.144927536232</v>
      </c>
    </row>
    <row r="1537" spans="1:53" x14ac:dyDescent="0.2">
      <c r="A1537">
        <v>2005</v>
      </c>
      <c r="B1537" t="s">
        <v>127</v>
      </c>
      <c r="C1537" t="s">
        <v>126</v>
      </c>
      <c r="D1537">
        <v>20.100000000000001</v>
      </c>
      <c r="E1537">
        <v>0</v>
      </c>
      <c r="F1537">
        <v>1.4</v>
      </c>
      <c r="G1537">
        <v>9.3000000000000007</v>
      </c>
      <c r="H1537">
        <v>5.3</v>
      </c>
      <c r="I1537">
        <v>2.2999999999999998</v>
      </c>
      <c r="J1537">
        <v>0.3</v>
      </c>
      <c r="K1537">
        <f t="shared" si="1118"/>
        <v>38.699999999999996</v>
      </c>
      <c r="L1537">
        <v>0</v>
      </c>
      <c r="M1537">
        <v>0</v>
      </c>
      <c r="N1537">
        <v>0</v>
      </c>
      <c r="O1537">
        <f t="shared" si="1119"/>
        <v>0</v>
      </c>
      <c r="P1537">
        <v>0</v>
      </c>
      <c r="Q1537">
        <v>0</v>
      </c>
      <c r="R1537">
        <v>0</v>
      </c>
      <c r="S1537">
        <f t="shared" si="1120"/>
        <v>0</v>
      </c>
      <c r="T1537">
        <v>0.6</v>
      </c>
      <c r="U1537">
        <v>0.3</v>
      </c>
      <c r="V1537">
        <v>0.8</v>
      </c>
      <c r="W1537">
        <v>1.1000000000000001</v>
      </c>
      <c r="X1537">
        <v>0.1</v>
      </c>
      <c r="Y1537">
        <v>0</v>
      </c>
      <c r="Z1537">
        <v>0</v>
      </c>
      <c r="AA1537">
        <f t="shared" si="1121"/>
        <v>2.9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13</v>
      </c>
      <c r="AJ1537" s="5">
        <f t="shared" si="1116"/>
        <v>13</v>
      </c>
      <c r="AK1537">
        <v>0</v>
      </c>
      <c r="AL1537">
        <v>0.45399999999999996</v>
      </c>
      <c r="AM1537">
        <f t="shared" si="1126"/>
        <v>0.54599999999999993</v>
      </c>
      <c r="AN1537">
        <v>6631</v>
      </c>
      <c r="AO1537">
        <v>6631</v>
      </c>
      <c r="AP1537" s="3">
        <f t="shared" si="1127"/>
        <v>14605.726872246694</v>
      </c>
      <c r="AQ1537" s="3">
        <f t="shared" si="1122"/>
        <v>14605.726872246694</v>
      </c>
      <c r="AR1537">
        <f t="shared" si="1117"/>
        <v>0.23809523809523814</v>
      </c>
      <c r="AS1537">
        <f t="shared" si="1123"/>
        <v>0.41599999999999993</v>
      </c>
      <c r="AT1537">
        <f t="shared" si="1124"/>
        <v>6076</v>
      </c>
      <c r="AU1537">
        <f t="shared" si="1125"/>
        <v>1899</v>
      </c>
      <c r="AV1537">
        <f t="shared" si="1107"/>
        <v>3250</v>
      </c>
      <c r="AW1537">
        <f t="shared" si="1108"/>
        <v>2528</v>
      </c>
      <c r="AX1537" s="3">
        <f t="shared" si="1109"/>
        <v>8827.7268722466943</v>
      </c>
      <c r="AY1537">
        <f t="shared" si="1110"/>
        <v>3038</v>
      </c>
      <c r="AZ1537">
        <f t="shared" si="1111"/>
        <v>2575</v>
      </c>
      <c r="BA1537" s="3">
        <f t="shared" si="1112"/>
        <v>8992.7268722466943</v>
      </c>
    </row>
    <row r="1538" spans="1:53" x14ac:dyDescent="0.2">
      <c r="A1538">
        <v>2006</v>
      </c>
      <c r="B1538" t="s">
        <v>127</v>
      </c>
      <c r="C1538" t="s">
        <v>126</v>
      </c>
      <c r="D1538">
        <v>26.9</v>
      </c>
      <c r="E1538">
        <v>0</v>
      </c>
      <c r="F1538">
        <v>2.2000000000000002</v>
      </c>
      <c r="G1538">
        <v>11.7</v>
      </c>
      <c r="H1538">
        <v>7.8</v>
      </c>
      <c r="I1538">
        <v>1.9</v>
      </c>
      <c r="J1538">
        <v>1.7</v>
      </c>
      <c r="K1538">
        <f t="shared" si="1118"/>
        <v>52.199999999999996</v>
      </c>
      <c r="L1538">
        <v>0</v>
      </c>
      <c r="M1538">
        <v>0</v>
      </c>
      <c r="N1538">
        <v>0</v>
      </c>
      <c r="O1538">
        <f t="shared" si="1119"/>
        <v>0</v>
      </c>
      <c r="P1538">
        <v>0</v>
      </c>
      <c r="Q1538">
        <v>0</v>
      </c>
      <c r="R1538">
        <v>0</v>
      </c>
      <c r="S1538">
        <f t="shared" si="1120"/>
        <v>0</v>
      </c>
      <c r="T1538">
        <v>0.1</v>
      </c>
      <c r="U1538">
        <v>0.2</v>
      </c>
      <c r="V1538">
        <v>1</v>
      </c>
      <c r="W1538">
        <v>3.2</v>
      </c>
      <c r="X1538">
        <v>0</v>
      </c>
      <c r="Y1538">
        <v>0</v>
      </c>
      <c r="Z1538">
        <v>0</v>
      </c>
      <c r="AA1538">
        <f t="shared" si="1121"/>
        <v>4.5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0.2</v>
      </c>
      <c r="AI1538">
        <v>7.3</v>
      </c>
      <c r="AJ1538" s="5">
        <f t="shared" si="1116"/>
        <v>7.5</v>
      </c>
      <c r="AK1538">
        <v>0.2</v>
      </c>
      <c r="AL1538">
        <v>0.35600000000000004</v>
      </c>
      <c r="AM1538">
        <f t="shared" si="1126"/>
        <v>0.6419999999999999</v>
      </c>
      <c r="AN1538">
        <v>4108</v>
      </c>
      <c r="AO1538">
        <v>4108</v>
      </c>
      <c r="AP1538" s="3">
        <f t="shared" si="1127"/>
        <v>11474.860335195528</v>
      </c>
      <c r="AQ1538" s="3">
        <f t="shared" si="1122"/>
        <v>11474.860335195528</v>
      </c>
      <c r="AR1538">
        <f t="shared" si="1117"/>
        <v>0.11682242990654207</v>
      </c>
      <c r="AS1538">
        <f t="shared" si="1123"/>
        <v>0.56699999999999995</v>
      </c>
      <c r="AT1538">
        <f t="shared" si="1124"/>
        <v>6506</v>
      </c>
      <c r="AU1538">
        <f t="shared" si="1125"/>
        <v>861</v>
      </c>
      <c r="AV1538">
        <f t="shared" si="1107"/>
        <v>3511</v>
      </c>
      <c r="AW1538">
        <f t="shared" si="1108"/>
        <v>1380</v>
      </c>
      <c r="AX1538" s="3">
        <f t="shared" si="1109"/>
        <v>6583.860335195528</v>
      </c>
      <c r="AY1538">
        <f t="shared" si="1110"/>
        <v>3253</v>
      </c>
      <c r="AZ1538">
        <f t="shared" si="1111"/>
        <v>1425</v>
      </c>
      <c r="BA1538" s="3">
        <f t="shared" si="1112"/>
        <v>6796.860335195528</v>
      </c>
    </row>
    <row r="1539" spans="1:53" x14ac:dyDescent="0.2">
      <c r="A1539">
        <v>2007</v>
      </c>
      <c r="B1539" t="s">
        <v>127</v>
      </c>
      <c r="C1539" t="s">
        <v>126</v>
      </c>
      <c r="D1539">
        <v>20.3</v>
      </c>
      <c r="E1539">
        <v>0</v>
      </c>
      <c r="F1539">
        <v>3.2</v>
      </c>
      <c r="G1539">
        <v>9.3000000000000007</v>
      </c>
      <c r="H1539">
        <v>6.7</v>
      </c>
      <c r="I1539">
        <v>0.2</v>
      </c>
      <c r="J1539">
        <v>1.6</v>
      </c>
      <c r="K1539">
        <f t="shared" si="1118"/>
        <v>41.300000000000004</v>
      </c>
      <c r="L1539">
        <v>0</v>
      </c>
      <c r="M1539">
        <v>0</v>
      </c>
      <c r="N1539">
        <v>0</v>
      </c>
      <c r="O1539">
        <f t="shared" si="1119"/>
        <v>0</v>
      </c>
      <c r="P1539">
        <v>0</v>
      </c>
      <c r="Q1539">
        <v>0</v>
      </c>
      <c r="R1539">
        <v>0.5</v>
      </c>
      <c r="S1539">
        <f t="shared" si="1120"/>
        <v>0.5</v>
      </c>
      <c r="T1539">
        <v>0</v>
      </c>
      <c r="U1539">
        <v>0.2</v>
      </c>
      <c r="V1539">
        <v>0</v>
      </c>
      <c r="W1539">
        <v>0.4</v>
      </c>
      <c r="X1539">
        <v>0</v>
      </c>
      <c r="Y1539">
        <v>0</v>
      </c>
      <c r="Z1539">
        <v>0</v>
      </c>
      <c r="AA1539">
        <f t="shared" si="1121"/>
        <v>0.60000000000000009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15.7</v>
      </c>
      <c r="AJ1539" s="5">
        <f t="shared" si="1116"/>
        <v>15.7</v>
      </c>
      <c r="AK1539">
        <v>0.1</v>
      </c>
      <c r="AL1539">
        <v>0.41799999999999998</v>
      </c>
      <c r="AM1539">
        <f t="shared" si="1126"/>
        <v>0.58099999999999996</v>
      </c>
      <c r="AN1539">
        <v>528</v>
      </c>
      <c r="AO1539">
        <v>528</v>
      </c>
      <c r="AP1539" s="3">
        <f t="shared" si="1127"/>
        <v>1260.1431980906921</v>
      </c>
      <c r="AQ1539" s="3">
        <f t="shared" si="1122"/>
        <v>1260.1431980906921</v>
      </c>
      <c r="AR1539">
        <f t="shared" si="1117"/>
        <v>0.27022375215146299</v>
      </c>
      <c r="AS1539">
        <f t="shared" si="1123"/>
        <v>0.42400000000000004</v>
      </c>
      <c r="AT1539">
        <f t="shared" si="1124"/>
        <v>534</v>
      </c>
      <c r="AU1539">
        <f t="shared" si="1125"/>
        <v>198</v>
      </c>
      <c r="AV1539">
        <f t="shared" ref="AV1539:AV1602" si="1128">ROUND((((K1539*0.5)+O1539+S1539+AA1539)/100)*AP1539,0)</f>
        <v>274</v>
      </c>
      <c r="AW1539">
        <f t="shared" ref="AW1539:AW1602" si="1129">ROUND((AU1539/(AP1539-AT1539))*(AP1539-AV1539),0)</f>
        <v>269</v>
      </c>
      <c r="AX1539" s="3">
        <f t="shared" ref="AX1539:AX1602" si="1130">AP1539-AV1539-AW1539</f>
        <v>717.14319809069207</v>
      </c>
      <c r="AY1539">
        <f t="shared" ref="AY1539:AY1602" si="1131">ROUND((0.5*AS1539)*AP1539,0)</f>
        <v>267</v>
      </c>
      <c r="AZ1539">
        <f t="shared" ref="AZ1539:AZ1602" si="1132">ROUND((AU1539/(AP1539-AT1539))*(AP1539-AY1539),0)</f>
        <v>271</v>
      </c>
      <c r="BA1539" s="3">
        <f t="shared" ref="BA1539:BA1602" si="1133">AP1539-AZ1539-AY1539</f>
        <v>722.14319809069207</v>
      </c>
    </row>
    <row r="1540" spans="1:53" x14ac:dyDescent="0.2">
      <c r="A1540">
        <v>2008</v>
      </c>
      <c r="B1540" t="s">
        <v>127</v>
      </c>
      <c r="C1540" t="s">
        <v>126</v>
      </c>
      <c r="D1540">
        <v>15.7</v>
      </c>
      <c r="E1540">
        <v>0</v>
      </c>
      <c r="F1540">
        <v>2</v>
      </c>
      <c r="G1540">
        <v>7.2</v>
      </c>
      <c r="H1540">
        <v>4.8</v>
      </c>
      <c r="I1540">
        <v>0.6</v>
      </c>
      <c r="J1540">
        <v>0.7</v>
      </c>
      <c r="K1540">
        <f t="shared" si="1118"/>
        <v>31</v>
      </c>
      <c r="L1540">
        <v>0</v>
      </c>
      <c r="M1540">
        <v>0.3</v>
      </c>
      <c r="N1540">
        <v>0</v>
      </c>
      <c r="O1540">
        <f t="shared" si="1119"/>
        <v>0.3</v>
      </c>
      <c r="P1540">
        <v>0</v>
      </c>
      <c r="Q1540">
        <v>0</v>
      </c>
      <c r="R1540">
        <v>0.6</v>
      </c>
      <c r="S1540">
        <f t="shared" si="1120"/>
        <v>0.6</v>
      </c>
      <c r="T1540">
        <v>0.8</v>
      </c>
      <c r="U1540">
        <v>0.1</v>
      </c>
      <c r="V1540">
        <v>0.2</v>
      </c>
      <c r="W1540">
        <v>0.7</v>
      </c>
      <c r="X1540">
        <v>0</v>
      </c>
      <c r="Y1540">
        <v>0</v>
      </c>
      <c r="Z1540">
        <v>0</v>
      </c>
      <c r="AA1540">
        <f t="shared" si="1121"/>
        <v>1.8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16.399999999999999</v>
      </c>
      <c r="AJ1540" s="5">
        <f t="shared" si="1116"/>
        <v>16.399999999999999</v>
      </c>
      <c r="AK1540">
        <v>0</v>
      </c>
      <c r="AL1540">
        <v>0.498</v>
      </c>
      <c r="AM1540">
        <f t="shared" si="1126"/>
        <v>0.501</v>
      </c>
      <c r="AN1540">
        <v>1203</v>
      </c>
      <c r="AO1540">
        <v>1203</v>
      </c>
      <c r="AP1540" s="3">
        <f t="shared" si="1127"/>
        <v>2410.8216432865734</v>
      </c>
      <c r="AQ1540" s="3">
        <f t="shared" si="1122"/>
        <v>2410.8216432865734</v>
      </c>
      <c r="AR1540">
        <f t="shared" si="1117"/>
        <v>0.32734530938123746</v>
      </c>
      <c r="AS1540">
        <f t="shared" si="1123"/>
        <v>0.33700000000000002</v>
      </c>
      <c r="AT1540">
        <f t="shared" si="1124"/>
        <v>812</v>
      </c>
      <c r="AU1540">
        <f t="shared" si="1125"/>
        <v>395</v>
      </c>
      <c r="AV1540">
        <f t="shared" si="1128"/>
        <v>439</v>
      </c>
      <c r="AW1540">
        <f t="shared" si="1129"/>
        <v>487</v>
      </c>
      <c r="AX1540" s="3">
        <f t="shared" si="1130"/>
        <v>1484.8216432865734</v>
      </c>
      <c r="AY1540">
        <f t="shared" si="1131"/>
        <v>406</v>
      </c>
      <c r="AZ1540">
        <f t="shared" si="1132"/>
        <v>495</v>
      </c>
      <c r="BA1540" s="3">
        <f t="shared" si="1133"/>
        <v>1509.8216432865734</v>
      </c>
    </row>
    <row r="1541" spans="1:53" x14ac:dyDescent="0.2">
      <c r="A1541">
        <v>2009</v>
      </c>
      <c r="B1541" t="s">
        <v>127</v>
      </c>
      <c r="C1541" t="s">
        <v>126</v>
      </c>
      <c r="D1541">
        <v>18.2</v>
      </c>
      <c r="E1541">
        <v>1</v>
      </c>
      <c r="F1541">
        <v>3</v>
      </c>
      <c r="G1541">
        <v>13.1</v>
      </c>
      <c r="H1541">
        <v>4.5</v>
      </c>
      <c r="I1541">
        <v>0.3</v>
      </c>
      <c r="J1541">
        <v>0.3</v>
      </c>
      <c r="K1541">
        <f t="shared" si="1118"/>
        <v>40.399999999999991</v>
      </c>
      <c r="L1541">
        <v>0</v>
      </c>
      <c r="M1541">
        <v>0</v>
      </c>
      <c r="N1541">
        <v>0</v>
      </c>
      <c r="O1541">
        <f t="shared" si="1119"/>
        <v>0</v>
      </c>
      <c r="P1541">
        <v>0</v>
      </c>
      <c r="Q1541">
        <v>0</v>
      </c>
      <c r="R1541">
        <v>0</v>
      </c>
      <c r="S1541">
        <f t="shared" si="1120"/>
        <v>0</v>
      </c>
      <c r="T1541">
        <v>0.2</v>
      </c>
      <c r="U1541">
        <v>0.3</v>
      </c>
      <c r="V1541">
        <v>0</v>
      </c>
      <c r="W1541">
        <v>0.6</v>
      </c>
      <c r="X1541">
        <v>0</v>
      </c>
      <c r="Y1541">
        <v>0</v>
      </c>
      <c r="Z1541">
        <v>0</v>
      </c>
      <c r="AA1541">
        <f t="shared" si="1121"/>
        <v>1.1000000000000001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0.3</v>
      </c>
      <c r="AI1541">
        <v>10</v>
      </c>
      <c r="AJ1541" s="5">
        <f t="shared" si="1116"/>
        <v>10.3</v>
      </c>
      <c r="AK1541">
        <v>0</v>
      </c>
      <c r="AL1541">
        <v>0.48100000000000004</v>
      </c>
      <c r="AM1541">
        <f t="shared" si="1126"/>
        <v>0.51800000000000002</v>
      </c>
      <c r="AN1541">
        <v>2905</v>
      </c>
      <c r="AO1541">
        <v>2905</v>
      </c>
      <c r="AP1541" s="3">
        <f t="shared" si="1127"/>
        <v>6026.970954356847</v>
      </c>
      <c r="AQ1541" s="3">
        <f t="shared" si="1122"/>
        <v>6026.970954356847</v>
      </c>
      <c r="AR1541">
        <f t="shared" si="1117"/>
        <v>0.19884169884169886</v>
      </c>
      <c r="AS1541">
        <f t="shared" si="1123"/>
        <v>0.41499999999999992</v>
      </c>
      <c r="AT1541">
        <f t="shared" si="1124"/>
        <v>2501</v>
      </c>
      <c r="AU1541">
        <f t="shared" si="1125"/>
        <v>621</v>
      </c>
      <c r="AV1541">
        <f t="shared" si="1128"/>
        <v>1284</v>
      </c>
      <c r="AW1541">
        <f t="shared" si="1129"/>
        <v>835</v>
      </c>
      <c r="AX1541" s="3">
        <f t="shared" si="1130"/>
        <v>3907.970954356847</v>
      </c>
      <c r="AY1541">
        <f t="shared" si="1131"/>
        <v>1251</v>
      </c>
      <c r="AZ1541">
        <f t="shared" si="1132"/>
        <v>841</v>
      </c>
      <c r="BA1541" s="3">
        <f t="shared" si="1133"/>
        <v>3934.970954356847</v>
      </c>
    </row>
    <row r="1542" spans="1:53" x14ac:dyDescent="0.2">
      <c r="A1542">
        <v>2010</v>
      </c>
      <c r="B1542" t="s">
        <v>127</v>
      </c>
      <c r="C1542" t="s">
        <v>126</v>
      </c>
      <c r="D1542">
        <v>12.9</v>
      </c>
      <c r="E1542">
        <v>0</v>
      </c>
      <c r="F1542">
        <v>1.6</v>
      </c>
      <c r="G1542">
        <v>7</v>
      </c>
      <c r="H1542">
        <v>1.6</v>
      </c>
      <c r="I1542">
        <v>0</v>
      </c>
      <c r="J1542">
        <v>0</v>
      </c>
      <c r="K1542">
        <f t="shared" si="1118"/>
        <v>23.1</v>
      </c>
      <c r="L1542">
        <v>0</v>
      </c>
      <c r="M1542">
        <v>0</v>
      </c>
      <c r="N1542">
        <v>0</v>
      </c>
      <c r="O1542">
        <f t="shared" si="1119"/>
        <v>0</v>
      </c>
      <c r="P1542">
        <v>0</v>
      </c>
      <c r="Q1542">
        <v>0</v>
      </c>
      <c r="R1542">
        <v>0.3</v>
      </c>
      <c r="S1542">
        <f t="shared" si="1120"/>
        <v>0.3</v>
      </c>
      <c r="T1542">
        <v>0.3</v>
      </c>
      <c r="U1542">
        <v>0.3</v>
      </c>
      <c r="V1542">
        <v>0.2</v>
      </c>
      <c r="W1542">
        <v>0.3</v>
      </c>
      <c r="X1542">
        <v>0</v>
      </c>
      <c r="Y1542">
        <v>0</v>
      </c>
      <c r="Z1542">
        <v>0</v>
      </c>
      <c r="AA1542">
        <f t="shared" si="1121"/>
        <v>1.1000000000000001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5.5</v>
      </c>
      <c r="AJ1542" s="5">
        <f t="shared" si="1116"/>
        <v>5.5</v>
      </c>
      <c r="AK1542">
        <v>0.1</v>
      </c>
      <c r="AL1542">
        <v>0.69700000000000006</v>
      </c>
      <c r="AM1542">
        <f t="shared" si="1126"/>
        <v>0.30000000000000004</v>
      </c>
      <c r="AN1542">
        <v>4225</v>
      </c>
      <c r="AO1542">
        <v>4225</v>
      </c>
      <c r="AP1542" s="3">
        <f t="shared" si="1127"/>
        <v>6035.7142857142862</v>
      </c>
      <c r="AQ1542" s="3">
        <f t="shared" si="1122"/>
        <v>6035.7142857142862</v>
      </c>
      <c r="AR1542">
        <f t="shared" si="1117"/>
        <v>0.18333333333333332</v>
      </c>
      <c r="AS1542">
        <f t="shared" si="1123"/>
        <v>0.24500000000000002</v>
      </c>
      <c r="AT1542">
        <f t="shared" si="1124"/>
        <v>1479</v>
      </c>
      <c r="AU1542">
        <f t="shared" si="1125"/>
        <v>332</v>
      </c>
      <c r="AV1542">
        <f t="shared" si="1128"/>
        <v>782</v>
      </c>
      <c r="AW1542">
        <f t="shared" si="1129"/>
        <v>383</v>
      </c>
      <c r="AX1542" s="3">
        <f t="shared" si="1130"/>
        <v>4870.7142857142862</v>
      </c>
      <c r="AY1542">
        <f t="shared" si="1131"/>
        <v>739</v>
      </c>
      <c r="AZ1542">
        <f t="shared" si="1132"/>
        <v>386</v>
      </c>
      <c r="BA1542" s="3">
        <f t="shared" si="1133"/>
        <v>4910.7142857142862</v>
      </c>
    </row>
    <row r="1543" spans="1:53" x14ac:dyDescent="0.2">
      <c r="A1543">
        <v>2011</v>
      </c>
      <c r="B1543" t="s">
        <v>127</v>
      </c>
      <c r="C1543" t="s">
        <v>126</v>
      </c>
      <c r="D1543">
        <v>10.7</v>
      </c>
      <c r="E1543">
        <v>0</v>
      </c>
      <c r="F1543">
        <v>1.3</v>
      </c>
      <c r="G1543">
        <v>5.7</v>
      </c>
      <c r="H1543">
        <v>2.5</v>
      </c>
      <c r="I1543">
        <v>2.1</v>
      </c>
      <c r="J1543">
        <v>1.5</v>
      </c>
      <c r="K1543">
        <f t="shared" si="1118"/>
        <v>23.8</v>
      </c>
      <c r="L1543">
        <v>0</v>
      </c>
      <c r="M1543">
        <v>0</v>
      </c>
      <c r="N1543">
        <v>0</v>
      </c>
      <c r="O1543">
        <f t="shared" si="1119"/>
        <v>0</v>
      </c>
      <c r="P1543">
        <v>0</v>
      </c>
      <c r="Q1543">
        <v>0</v>
      </c>
      <c r="R1543">
        <v>0</v>
      </c>
      <c r="S1543">
        <f t="shared" si="1120"/>
        <v>0</v>
      </c>
      <c r="T1543">
        <v>1.5</v>
      </c>
      <c r="U1543">
        <v>0.5</v>
      </c>
      <c r="V1543">
        <v>0.3</v>
      </c>
      <c r="W1543">
        <v>0.9</v>
      </c>
      <c r="X1543">
        <v>0</v>
      </c>
      <c r="Y1543">
        <v>0</v>
      </c>
      <c r="Z1543">
        <v>0</v>
      </c>
      <c r="AA1543">
        <f t="shared" si="1121"/>
        <v>3.1999999999999997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0.1</v>
      </c>
      <c r="AI1543">
        <v>26.6</v>
      </c>
      <c r="AJ1543" s="5">
        <f t="shared" si="1116"/>
        <v>26.700000000000003</v>
      </c>
      <c r="AK1543">
        <v>0</v>
      </c>
      <c r="AL1543">
        <v>0.46399999999999997</v>
      </c>
      <c r="AM1543">
        <f t="shared" si="1126"/>
        <v>0.53700000000000003</v>
      </c>
      <c r="AN1543">
        <v>3638</v>
      </c>
      <c r="AO1543">
        <v>3638</v>
      </c>
      <c r="AP1543" s="3">
        <f t="shared" si="1127"/>
        <v>7857.4514038876896</v>
      </c>
      <c r="AQ1543" s="3">
        <f t="shared" si="1122"/>
        <v>7857.4514038876896</v>
      </c>
      <c r="AR1543">
        <f t="shared" si="1117"/>
        <v>0.4972067039106145</v>
      </c>
      <c r="AS1543">
        <f t="shared" si="1123"/>
        <v>0.27</v>
      </c>
      <c r="AT1543">
        <f t="shared" si="1124"/>
        <v>2122</v>
      </c>
      <c r="AU1543">
        <f t="shared" si="1125"/>
        <v>2098</v>
      </c>
      <c r="AV1543">
        <f t="shared" si="1128"/>
        <v>1186</v>
      </c>
      <c r="AW1543">
        <f t="shared" si="1129"/>
        <v>2440</v>
      </c>
      <c r="AX1543" s="3">
        <f t="shared" si="1130"/>
        <v>4231.4514038876896</v>
      </c>
      <c r="AY1543">
        <f t="shared" si="1131"/>
        <v>1061</v>
      </c>
      <c r="AZ1543">
        <f t="shared" si="1132"/>
        <v>2486</v>
      </c>
      <c r="BA1543" s="3">
        <f t="shared" si="1133"/>
        <v>4310.4514038876896</v>
      </c>
    </row>
    <row r="1544" spans="1:53" x14ac:dyDescent="0.2">
      <c r="A1544">
        <v>2012</v>
      </c>
      <c r="B1544" t="s">
        <v>127</v>
      </c>
      <c r="C1544" t="s">
        <v>126</v>
      </c>
      <c r="D1544">
        <v>17.100000000000001</v>
      </c>
      <c r="E1544">
        <v>0.3</v>
      </c>
      <c r="F1544">
        <v>1.2</v>
      </c>
      <c r="G1544">
        <v>9.5</v>
      </c>
      <c r="H1544">
        <v>2.9</v>
      </c>
      <c r="I1544">
        <v>1.9</v>
      </c>
      <c r="J1544">
        <v>2.4</v>
      </c>
      <c r="K1544">
        <f t="shared" si="1118"/>
        <v>35.299999999999997</v>
      </c>
      <c r="L1544">
        <v>0</v>
      </c>
      <c r="M1544">
        <v>0</v>
      </c>
      <c r="N1544">
        <v>0</v>
      </c>
      <c r="O1544">
        <f t="shared" si="1119"/>
        <v>0</v>
      </c>
      <c r="P1544">
        <v>0</v>
      </c>
      <c r="Q1544">
        <v>0</v>
      </c>
      <c r="R1544">
        <v>0.1</v>
      </c>
      <c r="S1544">
        <f t="shared" si="1120"/>
        <v>0.1</v>
      </c>
      <c r="T1544">
        <v>4.2</v>
      </c>
      <c r="U1544">
        <v>0.4</v>
      </c>
      <c r="V1544">
        <v>0.1</v>
      </c>
      <c r="W1544">
        <v>2.8</v>
      </c>
      <c r="X1544">
        <v>0</v>
      </c>
      <c r="Y1544">
        <v>0</v>
      </c>
      <c r="Z1544">
        <v>0.1</v>
      </c>
      <c r="AA1544">
        <f t="shared" si="1121"/>
        <v>7.6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10.5</v>
      </c>
      <c r="AJ1544" s="5">
        <f t="shared" si="1116"/>
        <v>10.5</v>
      </c>
      <c r="AK1544">
        <v>0.1</v>
      </c>
      <c r="AL1544">
        <v>0.46600000000000003</v>
      </c>
      <c r="AM1544">
        <f t="shared" si="1126"/>
        <v>0.53500000000000003</v>
      </c>
      <c r="AN1544">
        <v>4812</v>
      </c>
      <c r="AO1544">
        <v>4812</v>
      </c>
      <c r="AP1544" s="3">
        <f t="shared" si="1127"/>
        <v>10348.387096774195</v>
      </c>
      <c r="AQ1544" s="3">
        <f t="shared" si="1122"/>
        <v>10348.387096774195</v>
      </c>
      <c r="AR1544">
        <f t="shared" si="1117"/>
        <v>0.19626168224299065</v>
      </c>
      <c r="AS1544">
        <f t="shared" si="1123"/>
        <v>0.43</v>
      </c>
      <c r="AT1544">
        <f t="shared" si="1124"/>
        <v>4450</v>
      </c>
      <c r="AU1544">
        <f t="shared" si="1125"/>
        <v>1087</v>
      </c>
      <c r="AV1544">
        <f t="shared" si="1128"/>
        <v>2623</v>
      </c>
      <c r="AW1544">
        <f t="shared" si="1129"/>
        <v>1424</v>
      </c>
      <c r="AX1544" s="3">
        <f t="shared" si="1130"/>
        <v>6301.387096774195</v>
      </c>
      <c r="AY1544">
        <f t="shared" si="1131"/>
        <v>2225</v>
      </c>
      <c r="AZ1544">
        <f t="shared" si="1132"/>
        <v>1497</v>
      </c>
      <c r="BA1544" s="3">
        <f t="shared" si="1133"/>
        <v>6626.387096774195</v>
      </c>
    </row>
    <row r="1545" spans="1:53" x14ac:dyDescent="0.2">
      <c r="A1545">
        <v>2013</v>
      </c>
      <c r="B1545" t="s">
        <v>127</v>
      </c>
      <c r="C1545" t="s">
        <v>126</v>
      </c>
      <c r="D1545">
        <v>5.7</v>
      </c>
      <c r="E1545">
        <v>0.2</v>
      </c>
      <c r="F1545">
        <v>1.7</v>
      </c>
      <c r="G1545">
        <v>8.1</v>
      </c>
      <c r="H1545">
        <v>4.3</v>
      </c>
      <c r="I1545">
        <v>0.5</v>
      </c>
      <c r="J1545">
        <v>0.8</v>
      </c>
      <c r="K1545">
        <f t="shared" si="1118"/>
        <v>21.3</v>
      </c>
      <c r="L1545">
        <v>0</v>
      </c>
      <c r="M1545">
        <v>0</v>
      </c>
      <c r="N1545">
        <v>0</v>
      </c>
      <c r="O1545">
        <f t="shared" si="1119"/>
        <v>0</v>
      </c>
      <c r="P1545">
        <v>0</v>
      </c>
      <c r="Q1545">
        <v>0</v>
      </c>
      <c r="R1545">
        <v>0.3</v>
      </c>
      <c r="S1545">
        <f t="shared" si="1120"/>
        <v>0.3</v>
      </c>
      <c r="T1545">
        <v>2.1</v>
      </c>
      <c r="U1545">
        <v>0.5</v>
      </c>
      <c r="V1545">
        <v>0.4</v>
      </c>
      <c r="W1545">
        <v>1.2</v>
      </c>
      <c r="X1545">
        <v>0</v>
      </c>
      <c r="Y1545">
        <v>0</v>
      </c>
      <c r="Z1545">
        <v>0</v>
      </c>
      <c r="AA1545">
        <f t="shared" si="1121"/>
        <v>4.2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14.8</v>
      </c>
      <c r="AJ1545" s="5">
        <f t="shared" si="1116"/>
        <v>14.8</v>
      </c>
      <c r="AK1545">
        <v>0</v>
      </c>
      <c r="AL1545">
        <v>0.59299999999999997</v>
      </c>
      <c r="AM1545">
        <f t="shared" si="1126"/>
        <v>0.40599999999999992</v>
      </c>
      <c r="AN1545">
        <v>7364</v>
      </c>
      <c r="AO1545">
        <v>7364</v>
      </c>
      <c r="AP1545" s="3">
        <f t="shared" si="1127"/>
        <v>12397.306397306396</v>
      </c>
      <c r="AQ1545" s="3">
        <f t="shared" si="1122"/>
        <v>12397.306397306396</v>
      </c>
      <c r="AR1545">
        <f t="shared" si="1117"/>
        <v>0.36453201970443361</v>
      </c>
      <c r="AS1545">
        <f t="shared" si="1123"/>
        <v>0.25800000000000001</v>
      </c>
      <c r="AT1545">
        <f t="shared" si="1124"/>
        <v>3199</v>
      </c>
      <c r="AU1545">
        <f t="shared" si="1125"/>
        <v>1835</v>
      </c>
      <c r="AV1545">
        <f t="shared" si="1128"/>
        <v>1878</v>
      </c>
      <c r="AW1545">
        <f t="shared" si="1129"/>
        <v>2099</v>
      </c>
      <c r="AX1545" s="3">
        <f t="shared" si="1130"/>
        <v>8420.3063973063963</v>
      </c>
      <c r="AY1545">
        <f t="shared" si="1131"/>
        <v>1599</v>
      </c>
      <c r="AZ1545">
        <f t="shared" si="1132"/>
        <v>2154</v>
      </c>
      <c r="BA1545" s="3">
        <f t="shared" si="1133"/>
        <v>8644.3063973063963</v>
      </c>
    </row>
    <row r="1546" spans="1:53" x14ac:dyDescent="0.2">
      <c r="A1546">
        <v>2014</v>
      </c>
      <c r="B1546" t="s">
        <v>127</v>
      </c>
      <c r="C1546" t="s">
        <v>126</v>
      </c>
      <c r="D1546">
        <v>9.4</v>
      </c>
      <c r="E1546">
        <v>0.1</v>
      </c>
      <c r="F1546">
        <v>1.6</v>
      </c>
      <c r="G1546">
        <v>5.5</v>
      </c>
      <c r="H1546">
        <v>2.2999999999999998</v>
      </c>
      <c r="I1546">
        <v>1.6</v>
      </c>
      <c r="J1546">
        <v>0.1</v>
      </c>
      <c r="K1546">
        <f t="shared" si="1118"/>
        <v>20.600000000000005</v>
      </c>
      <c r="L1546">
        <v>0.1</v>
      </c>
      <c r="M1546">
        <v>0</v>
      </c>
      <c r="N1546">
        <v>0.1</v>
      </c>
      <c r="O1546">
        <f t="shared" si="1119"/>
        <v>0.2</v>
      </c>
      <c r="P1546">
        <v>0</v>
      </c>
      <c r="Q1546">
        <v>0</v>
      </c>
      <c r="R1546">
        <v>0</v>
      </c>
      <c r="S1546">
        <f t="shared" si="1120"/>
        <v>0</v>
      </c>
      <c r="T1546">
        <v>1.3</v>
      </c>
      <c r="U1546">
        <v>0.2</v>
      </c>
      <c r="V1546">
        <v>0.4</v>
      </c>
      <c r="W1546">
        <v>0.6</v>
      </c>
      <c r="X1546">
        <v>0</v>
      </c>
      <c r="Y1546">
        <v>0</v>
      </c>
      <c r="Z1546">
        <v>0</v>
      </c>
      <c r="AA1546">
        <f t="shared" si="1121"/>
        <v>2.5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0.2</v>
      </c>
      <c r="AI1546">
        <v>15.1</v>
      </c>
      <c r="AJ1546" s="5">
        <f t="shared" si="1116"/>
        <v>15.299999999999999</v>
      </c>
      <c r="AK1546">
        <v>0</v>
      </c>
      <c r="AL1546">
        <v>0.61199999999999999</v>
      </c>
      <c r="AM1546">
        <f t="shared" si="1126"/>
        <v>0.38600000000000001</v>
      </c>
      <c r="AN1546">
        <v>8655</v>
      </c>
      <c r="AO1546">
        <v>8655</v>
      </c>
      <c r="AP1546" s="3">
        <f t="shared" si="1127"/>
        <v>14096.091205211727</v>
      </c>
      <c r="AQ1546" s="3">
        <f t="shared" si="1122"/>
        <v>14096.091205211727</v>
      </c>
      <c r="AR1546">
        <f t="shared" si="1117"/>
        <v>0.39637305699481862</v>
      </c>
      <c r="AS1546">
        <f t="shared" si="1123"/>
        <v>0.23300000000000004</v>
      </c>
      <c r="AT1546">
        <f t="shared" si="1124"/>
        <v>3284</v>
      </c>
      <c r="AU1546">
        <f t="shared" si="1125"/>
        <v>2157</v>
      </c>
      <c r="AV1546">
        <f t="shared" si="1128"/>
        <v>1832</v>
      </c>
      <c r="AW1546">
        <f t="shared" si="1129"/>
        <v>2447</v>
      </c>
      <c r="AX1546" s="3">
        <f t="shared" si="1130"/>
        <v>9817.0912052117274</v>
      </c>
      <c r="AY1546">
        <f t="shared" si="1131"/>
        <v>1642</v>
      </c>
      <c r="AZ1546">
        <f t="shared" si="1132"/>
        <v>2485</v>
      </c>
      <c r="BA1546" s="3">
        <f t="shared" si="1133"/>
        <v>9969.0912052117274</v>
      </c>
    </row>
    <row r="1547" spans="1:53" x14ac:dyDescent="0.2">
      <c r="A1547">
        <v>2015</v>
      </c>
      <c r="B1547" t="s">
        <v>127</v>
      </c>
      <c r="C1547" t="s">
        <v>126</v>
      </c>
      <c r="D1547">
        <v>7.7</v>
      </c>
      <c r="E1547">
        <v>0.1</v>
      </c>
      <c r="F1547">
        <v>0.8</v>
      </c>
      <c r="G1547">
        <v>3.8</v>
      </c>
      <c r="H1547">
        <v>2.2000000000000002</v>
      </c>
      <c r="I1547">
        <v>0.7</v>
      </c>
      <c r="J1547">
        <v>0.4</v>
      </c>
      <c r="K1547">
        <f t="shared" si="1118"/>
        <v>15.699999999999998</v>
      </c>
      <c r="L1547">
        <v>0</v>
      </c>
      <c r="M1547">
        <v>0</v>
      </c>
      <c r="N1547">
        <v>0.1</v>
      </c>
      <c r="O1547">
        <f t="shared" si="1119"/>
        <v>0.1</v>
      </c>
      <c r="P1547">
        <v>0</v>
      </c>
      <c r="Q1547">
        <v>0</v>
      </c>
      <c r="R1547">
        <v>0</v>
      </c>
      <c r="S1547">
        <f t="shared" si="1120"/>
        <v>0</v>
      </c>
      <c r="T1547">
        <v>1.9</v>
      </c>
      <c r="U1547">
        <v>0.8</v>
      </c>
      <c r="V1547">
        <v>0.5</v>
      </c>
      <c r="W1547">
        <v>1.6</v>
      </c>
      <c r="X1547">
        <v>0</v>
      </c>
      <c r="Y1547">
        <v>0</v>
      </c>
      <c r="Z1547">
        <v>0</v>
      </c>
      <c r="AA1547">
        <f t="shared" si="1121"/>
        <v>4.8000000000000007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32.799999999999997</v>
      </c>
      <c r="AJ1547" s="5">
        <f t="shared" si="1116"/>
        <v>32.799999999999997</v>
      </c>
      <c r="AK1547">
        <v>0.2</v>
      </c>
      <c r="AL1547">
        <v>0.46399999999999997</v>
      </c>
      <c r="AM1547">
        <f t="shared" si="1126"/>
        <v>0.53400000000000003</v>
      </c>
      <c r="AN1547">
        <v>6367</v>
      </c>
      <c r="AO1547">
        <v>6367</v>
      </c>
      <c r="AP1547" s="3">
        <f t="shared" si="1127"/>
        <v>13663.090128755366</v>
      </c>
      <c r="AQ1547" s="3">
        <f t="shared" si="1122"/>
        <v>13663.090128755366</v>
      </c>
      <c r="AR1547">
        <f t="shared" si="1117"/>
        <v>0.61423220973782755</v>
      </c>
      <c r="AS1547">
        <f t="shared" si="1123"/>
        <v>0.20599999999999999</v>
      </c>
      <c r="AT1547">
        <f t="shared" si="1124"/>
        <v>2815</v>
      </c>
      <c r="AU1547">
        <f t="shared" si="1125"/>
        <v>4481</v>
      </c>
      <c r="AV1547">
        <f t="shared" si="1128"/>
        <v>1742</v>
      </c>
      <c r="AW1547">
        <f t="shared" si="1129"/>
        <v>4924</v>
      </c>
      <c r="AX1547" s="3">
        <f t="shared" si="1130"/>
        <v>6997.0901287553661</v>
      </c>
      <c r="AY1547">
        <f t="shared" si="1131"/>
        <v>1407</v>
      </c>
      <c r="AZ1547">
        <f t="shared" si="1132"/>
        <v>5063</v>
      </c>
      <c r="BA1547" s="3">
        <f t="shared" si="1133"/>
        <v>7193.0901287553661</v>
      </c>
    </row>
    <row r="1548" spans="1:53" x14ac:dyDescent="0.2">
      <c r="A1548">
        <v>2016</v>
      </c>
      <c r="B1548" t="s">
        <v>127</v>
      </c>
      <c r="C1548" t="s">
        <v>126</v>
      </c>
      <c r="D1548">
        <v>15.6</v>
      </c>
      <c r="E1548">
        <v>0</v>
      </c>
      <c r="F1548">
        <v>1.3</v>
      </c>
      <c r="G1548">
        <v>14.6</v>
      </c>
      <c r="H1548">
        <v>2</v>
      </c>
      <c r="I1548">
        <v>1.3</v>
      </c>
      <c r="J1548">
        <v>0.8</v>
      </c>
      <c r="K1548">
        <f t="shared" si="1118"/>
        <v>35.599999999999994</v>
      </c>
      <c r="L1548">
        <v>0</v>
      </c>
      <c r="M1548">
        <v>0</v>
      </c>
      <c r="N1548">
        <v>0</v>
      </c>
      <c r="O1548">
        <f t="shared" si="1119"/>
        <v>0</v>
      </c>
      <c r="P1548">
        <v>0</v>
      </c>
      <c r="Q1548">
        <v>0</v>
      </c>
      <c r="R1548">
        <v>0</v>
      </c>
      <c r="S1548">
        <f t="shared" si="1120"/>
        <v>0</v>
      </c>
      <c r="T1548">
        <v>0.4</v>
      </c>
      <c r="U1548">
        <v>0.2</v>
      </c>
      <c r="V1548">
        <v>0.2</v>
      </c>
      <c r="W1548">
        <v>0.8</v>
      </c>
      <c r="X1548">
        <v>0</v>
      </c>
      <c r="Y1548">
        <v>0</v>
      </c>
      <c r="Z1548">
        <v>0</v>
      </c>
      <c r="AA1548">
        <f t="shared" si="1121"/>
        <v>1.6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13.4</v>
      </c>
      <c r="AJ1548" s="5">
        <f t="shared" si="1116"/>
        <v>13.4</v>
      </c>
      <c r="AK1548">
        <v>0</v>
      </c>
      <c r="AL1548">
        <v>0.49399999999999999</v>
      </c>
      <c r="AM1548">
        <f t="shared" si="1126"/>
        <v>0.50599999999999989</v>
      </c>
      <c r="AN1548">
        <v>8479</v>
      </c>
      <c r="AO1548">
        <v>8479</v>
      </c>
      <c r="AP1548" s="3">
        <f t="shared" si="1127"/>
        <v>17163.967611336029</v>
      </c>
      <c r="AQ1548" s="3">
        <f t="shared" si="1122"/>
        <v>17163.967611336029</v>
      </c>
      <c r="AR1548">
        <f t="shared" si="1117"/>
        <v>0.26482213438735186</v>
      </c>
      <c r="AS1548">
        <f t="shared" si="1123"/>
        <v>0.37199999999999994</v>
      </c>
      <c r="AT1548">
        <f t="shared" si="1124"/>
        <v>6385</v>
      </c>
      <c r="AU1548">
        <f t="shared" si="1125"/>
        <v>2300</v>
      </c>
      <c r="AV1548">
        <f t="shared" si="1128"/>
        <v>3330</v>
      </c>
      <c r="AW1548">
        <f t="shared" si="1129"/>
        <v>2952</v>
      </c>
      <c r="AX1548" s="3">
        <f t="shared" si="1130"/>
        <v>10881.967611336029</v>
      </c>
      <c r="AY1548">
        <f t="shared" si="1131"/>
        <v>3192</v>
      </c>
      <c r="AZ1548">
        <f t="shared" si="1132"/>
        <v>2981</v>
      </c>
      <c r="BA1548" s="3">
        <f t="shared" si="1133"/>
        <v>10990.967611336029</v>
      </c>
    </row>
    <row r="1549" spans="1:53" x14ac:dyDescent="0.2">
      <c r="A1549">
        <v>2017</v>
      </c>
      <c r="B1549" t="s">
        <v>127</v>
      </c>
      <c r="C1549" t="s">
        <v>126</v>
      </c>
      <c r="D1549">
        <v>10.8</v>
      </c>
      <c r="E1549">
        <v>0</v>
      </c>
      <c r="F1549">
        <v>1.2</v>
      </c>
      <c r="G1549">
        <v>15.8</v>
      </c>
      <c r="H1549">
        <v>3.2</v>
      </c>
      <c r="I1549">
        <v>0.9</v>
      </c>
      <c r="J1549">
        <v>0</v>
      </c>
      <c r="K1549">
        <f t="shared" si="1118"/>
        <v>31.9</v>
      </c>
      <c r="L1549">
        <v>0</v>
      </c>
      <c r="M1549">
        <v>0</v>
      </c>
      <c r="N1549">
        <v>0</v>
      </c>
      <c r="O1549">
        <f t="shared" si="1119"/>
        <v>0</v>
      </c>
      <c r="P1549">
        <v>0</v>
      </c>
      <c r="Q1549">
        <v>0</v>
      </c>
      <c r="R1549">
        <v>0.7</v>
      </c>
      <c r="S1549">
        <f t="shared" si="1120"/>
        <v>0.7</v>
      </c>
      <c r="T1549">
        <v>1.3</v>
      </c>
      <c r="U1549">
        <v>0</v>
      </c>
      <c r="V1549">
        <v>0.1</v>
      </c>
      <c r="W1549">
        <v>0.3</v>
      </c>
      <c r="X1549">
        <v>0</v>
      </c>
      <c r="Y1549">
        <v>0</v>
      </c>
      <c r="Z1549">
        <v>0</v>
      </c>
      <c r="AA1549">
        <f t="shared" si="1121"/>
        <v>1.7000000000000002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19.8</v>
      </c>
      <c r="AJ1549" s="5">
        <f t="shared" si="1116"/>
        <v>19.8</v>
      </c>
      <c r="AK1549">
        <v>0.1</v>
      </c>
      <c r="AL1549">
        <v>0.45799999999999996</v>
      </c>
      <c r="AM1549">
        <f t="shared" si="1126"/>
        <v>0.54100000000000004</v>
      </c>
      <c r="AN1549">
        <v>7364</v>
      </c>
      <c r="AO1549">
        <v>7364</v>
      </c>
      <c r="AP1549" s="3">
        <f t="shared" si="1127"/>
        <v>16043.572984749457</v>
      </c>
      <c r="AQ1549" s="3">
        <f t="shared" si="1122"/>
        <v>16043.572984749457</v>
      </c>
      <c r="AR1549">
        <f t="shared" si="1117"/>
        <v>0.36598890942698703</v>
      </c>
      <c r="AS1549">
        <f t="shared" si="1123"/>
        <v>0.34300000000000003</v>
      </c>
      <c r="AT1549">
        <f t="shared" si="1124"/>
        <v>5503</v>
      </c>
      <c r="AU1549">
        <f t="shared" si="1125"/>
        <v>3177</v>
      </c>
      <c r="AV1549">
        <f t="shared" si="1128"/>
        <v>2944</v>
      </c>
      <c r="AW1549">
        <f t="shared" si="1129"/>
        <v>3948</v>
      </c>
      <c r="AX1549" s="3">
        <f t="shared" si="1130"/>
        <v>9151.5729847494567</v>
      </c>
      <c r="AY1549">
        <f t="shared" si="1131"/>
        <v>2751</v>
      </c>
      <c r="AZ1549">
        <f t="shared" si="1132"/>
        <v>4006</v>
      </c>
      <c r="BA1549" s="3">
        <f t="shared" si="1133"/>
        <v>9286.5729847494567</v>
      </c>
    </row>
    <row r="1550" spans="1:53" x14ac:dyDescent="0.2">
      <c r="A1550">
        <v>2018</v>
      </c>
      <c r="B1550" t="s">
        <v>127</v>
      </c>
      <c r="C1550" t="s">
        <v>126</v>
      </c>
      <c r="D1550">
        <v>25.6</v>
      </c>
      <c r="E1550">
        <v>0</v>
      </c>
      <c r="F1550">
        <v>4.0999999999999996</v>
      </c>
      <c r="G1550">
        <v>26.4</v>
      </c>
      <c r="H1550">
        <v>8.3000000000000007</v>
      </c>
      <c r="I1550">
        <v>2.1</v>
      </c>
      <c r="J1550">
        <v>1.1000000000000001</v>
      </c>
      <c r="K1550">
        <f t="shared" si="1118"/>
        <v>67.599999999999994</v>
      </c>
      <c r="L1550">
        <v>0</v>
      </c>
      <c r="M1550">
        <v>0</v>
      </c>
      <c r="N1550">
        <v>0</v>
      </c>
      <c r="O1550">
        <f t="shared" si="1119"/>
        <v>0</v>
      </c>
      <c r="P1550">
        <v>0</v>
      </c>
      <c r="Q1550">
        <v>0</v>
      </c>
      <c r="R1550">
        <v>0</v>
      </c>
      <c r="S1550">
        <f t="shared" si="1120"/>
        <v>0</v>
      </c>
      <c r="T1550">
        <v>0.3</v>
      </c>
      <c r="U1550">
        <v>0.6</v>
      </c>
      <c r="V1550">
        <v>0.5</v>
      </c>
      <c r="W1550">
        <v>1.1000000000000001</v>
      </c>
      <c r="X1550">
        <v>0</v>
      </c>
      <c r="Y1550">
        <v>0</v>
      </c>
      <c r="Z1550">
        <v>0</v>
      </c>
      <c r="AA1550">
        <f t="shared" si="1121"/>
        <v>2.5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8.6999999999999993</v>
      </c>
      <c r="AJ1550" s="5">
        <f t="shared" si="1116"/>
        <v>8.6999999999999993</v>
      </c>
      <c r="AK1550">
        <v>0.1</v>
      </c>
      <c r="AL1550">
        <v>0.21100000000000002</v>
      </c>
      <c r="AM1550">
        <f t="shared" si="1126"/>
        <v>0.78799999999999981</v>
      </c>
      <c r="AN1550">
        <v>4929</v>
      </c>
      <c r="AO1550">
        <v>4929</v>
      </c>
      <c r="AP1550" s="3">
        <f t="shared" si="1127"/>
        <v>23249.999999999978</v>
      </c>
      <c r="AQ1550" s="3">
        <f t="shared" si="1122"/>
        <v>23249.999999999978</v>
      </c>
      <c r="AR1550">
        <f t="shared" si="1117"/>
        <v>0.1104060913705584</v>
      </c>
      <c r="AS1550">
        <f t="shared" si="1123"/>
        <v>0.70099999999999996</v>
      </c>
      <c r="AT1550">
        <f t="shared" si="1124"/>
        <v>16298</v>
      </c>
      <c r="AU1550">
        <f t="shared" si="1125"/>
        <v>2023</v>
      </c>
      <c r="AV1550">
        <f t="shared" si="1128"/>
        <v>8440</v>
      </c>
      <c r="AW1550">
        <f t="shared" si="1129"/>
        <v>4310</v>
      </c>
      <c r="AX1550" s="3">
        <f t="shared" si="1130"/>
        <v>10499.999999999978</v>
      </c>
      <c r="AY1550">
        <f t="shared" si="1131"/>
        <v>8149</v>
      </c>
      <c r="AZ1550">
        <f t="shared" si="1132"/>
        <v>4394</v>
      </c>
      <c r="BA1550" s="3">
        <f t="shared" si="1133"/>
        <v>10706.999999999978</v>
      </c>
    </row>
    <row r="1551" spans="1:53" x14ac:dyDescent="0.2">
      <c r="A1551">
        <v>2019</v>
      </c>
      <c r="B1551" t="s">
        <v>127</v>
      </c>
      <c r="C1551" t="s">
        <v>126</v>
      </c>
      <c r="D1551">
        <v>4.4000000000000004</v>
      </c>
      <c r="E1551">
        <v>0</v>
      </c>
      <c r="F1551">
        <v>1.3</v>
      </c>
      <c r="G1551">
        <v>8.5</v>
      </c>
      <c r="H1551">
        <v>2.2000000000000002</v>
      </c>
      <c r="I1551">
        <v>1.2</v>
      </c>
      <c r="J1551">
        <v>0.5</v>
      </c>
      <c r="K1551">
        <f t="shared" si="1118"/>
        <v>18.099999999999998</v>
      </c>
      <c r="L1551">
        <v>0</v>
      </c>
      <c r="M1551">
        <v>0</v>
      </c>
      <c r="N1551">
        <v>0</v>
      </c>
      <c r="O1551">
        <f t="shared" si="1119"/>
        <v>0</v>
      </c>
      <c r="P1551">
        <v>0</v>
      </c>
      <c r="Q1551">
        <v>0</v>
      </c>
      <c r="R1551">
        <v>0</v>
      </c>
      <c r="S1551">
        <f t="shared" si="1120"/>
        <v>0</v>
      </c>
      <c r="T1551">
        <v>0.8</v>
      </c>
      <c r="U1551">
        <v>0.1</v>
      </c>
      <c r="V1551">
        <v>0</v>
      </c>
      <c r="W1551">
        <v>0.7</v>
      </c>
      <c r="X1551">
        <v>0</v>
      </c>
      <c r="Y1551">
        <v>0</v>
      </c>
      <c r="Z1551">
        <v>0</v>
      </c>
      <c r="AA1551">
        <f t="shared" si="1121"/>
        <v>1.6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0.1</v>
      </c>
      <c r="AI1551">
        <v>31.5</v>
      </c>
      <c r="AJ1551" s="5">
        <f t="shared" si="1116"/>
        <v>31.6</v>
      </c>
      <c r="AK1551">
        <v>0</v>
      </c>
      <c r="AL1551">
        <v>0.48599999999999999</v>
      </c>
      <c r="AM1551">
        <f t="shared" si="1126"/>
        <v>0.51300000000000001</v>
      </c>
      <c r="AN1551">
        <v>3521</v>
      </c>
      <c r="AO1551">
        <v>3521</v>
      </c>
      <c r="AP1551" s="3">
        <f t="shared" si="1127"/>
        <v>7229.9794661190963</v>
      </c>
      <c r="AQ1551" s="3">
        <f t="shared" si="1122"/>
        <v>7229.9794661190963</v>
      </c>
      <c r="AR1551">
        <f t="shared" si="1117"/>
        <v>0.61598440545808963</v>
      </c>
      <c r="AS1551">
        <f t="shared" si="1123"/>
        <v>0.19699999999999998</v>
      </c>
      <c r="AT1551">
        <f t="shared" si="1124"/>
        <v>1424</v>
      </c>
      <c r="AU1551">
        <f t="shared" si="1125"/>
        <v>2285</v>
      </c>
      <c r="AV1551">
        <f t="shared" si="1128"/>
        <v>770</v>
      </c>
      <c r="AW1551">
        <f t="shared" si="1129"/>
        <v>2542</v>
      </c>
      <c r="AX1551" s="3">
        <f t="shared" si="1130"/>
        <v>3917.9794661190963</v>
      </c>
      <c r="AY1551">
        <f t="shared" si="1131"/>
        <v>712</v>
      </c>
      <c r="AZ1551">
        <f t="shared" si="1132"/>
        <v>2565</v>
      </c>
      <c r="BA1551" s="3">
        <f t="shared" si="1133"/>
        <v>3952.9794661190963</v>
      </c>
    </row>
    <row r="1552" spans="1:53" x14ac:dyDescent="0.2">
      <c r="A1552">
        <v>2020</v>
      </c>
      <c r="B1552" t="s">
        <v>127</v>
      </c>
      <c r="C1552" t="s">
        <v>126</v>
      </c>
      <c r="D1552">
        <v>15.1</v>
      </c>
      <c r="E1552">
        <v>0</v>
      </c>
      <c r="F1552">
        <v>0.9</v>
      </c>
      <c r="G1552">
        <v>5.3</v>
      </c>
      <c r="H1552">
        <v>0.1</v>
      </c>
      <c r="I1552">
        <v>1.9</v>
      </c>
      <c r="J1552">
        <v>0.8</v>
      </c>
      <c r="K1552">
        <f t="shared" si="1118"/>
        <v>24.1</v>
      </c>
      <c r="L1552">
        <v>0</v>
      </c>
      <c r="M1552">
        <v>0</v>
      </c>
      <c r="N1552">
        <v>0</v>
      </c>
      <c r="O1552">
        <f t="shared" si="1119"/>
        <v>0</v>
      </c>
      <c r="P1552">
        <v>0</v>
      </c>
      <c r="Q1552">
        <v>0</v>
      </c>
      <c r="R1552">
        <v>0.5</v>
      </c>
      <c r="S1552">
        <f t="shared" si="1120"/>
        <v>0.5</v>
      </c>
      <c r="T1552">
        <v>1.2</v>
      </c>
      <c r="U1552">
        <v>0</v>
      </c>
      <c r="V1552">
        <v>0.1</v>
      </c>
      <c r="W1552">
        <v>1.2</v>
      </c>
      <c r="X1552">
        <v>0</v>
      </c>
      <c r="Y1552">
        <v>0</v>
      </c>
      <c r="Z1552">
        <v>0</v>
      </c>
      <c r="AA1552">
        <f t="shared" si="1121"/>
        <v>2.5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11</v>
      </c>
      <c r="AJ1552" s="5">
        <f t="shared" si="1116"/>
        <v>11</v>
      </c>
      <c r="AK1552">
        <v>0</v>
      </c>
      <c r="AL1552">
        <v>0.61799999999999999</v>
      </c>
      <c r="AM1552">
        <f t="shared" si="1126"/>
        <v>0.38099999999999995</v>
      </c>
      <c r="AN1552">
        <v>6543</v>
      </c>
      <c r="AO1552">
        <v>6543</v>
      </c>
      <c r="AP1552" s="3">
        <f t="shared" si="1127"/>
        <v>10570.274636510501</v>
      </c>
      <c r="AQ1552" s="3">
        <f t="shared" si="1122"/>
        <v>10570.274636510501</v>
      </c>
      <c r="AR1552">
        <f t="shared" si="1117"/>
        <v>0.28871391076115488</v>
      </c>
      <c r="AS1552">
        <f t="shared" si="1123"/>
        <v>0.27100000000000002</v>
      </c>
      <c r="AT1552">
        <f t="shared" si="1124"/>
        <v>2865</v>
      </c>
      <c r="AU1552">
        <f t="shared" si="1125"/>
        <v>1163</v>
      </c>
      <c r="AV1552">
        <f t="shared" si="1128"/>
        <v>1591</v>
      </c>
      <c r="AW1552">
        <f t="shared" si="1129"/>
        <v>1355</v>
      </c>
      <c r="AX1552" s="3">
        <f t="shared" si="1130"/>
        <v>7624.2746365105013</v>
      </c>
      <c r="AY1552">
        <f t="shared" si="1131"/>
        <v>1432</v>
      </c>
      <c r="AZ1552">
        <f t="shared" si="1132"/>
        <v>1379</v>
      </c>
      <c r="BA1552" s="3">
        <f t="shared" si="1133"/>
        <v>7759.2746365105013</v>
      </c>
    </row>
    <row r="1553" spans="1:53" x14ac:dyDescent="0.2">
      <c r="A1553">
        <v>2021</v>
      </c>
      <c r="B1553" t="s">
        <v>127</v>
      </c>
      <c r="C1553" t="s">
        <v>126</v>
      </c>
      <c r="D1553">
        <v>15</v>
      </c>
      <c r="E1553">
        <v>0.9</v>
      </c>
      <c r="F1553">
        <v>1.2</v>
      </c>
      <c r="G1553">
        <v>8.9</v>
      </c>
      <c r="H1553">
        <v>2</v>
      </c>
      <c r="I1553">
        <v>4.5</v>
      </c>
      <c r="J1553">
        <v>0.4</v>
      </c>
      <c r="K1553">
        <f t="shared" si="1118"/>
        <v>32.9</v>
      </c>
      <c r="L1553">
        <v>0</v>
      </c>
      <c r="M1553">
        <v>0</v>
      </c>
      <c r="N1553">
        <v>0</v>
      </c>
      <c r="O1553">
        <f t="shared" si="1119"/>
        <v>0</v>
      </c>
      <c r="P1553">
        <v>0</v>
      </c>
      <c r="Q1553">
        <v>0</v>
      </c>
      <c r="R1553">
        <v>0.3</v>
      </c>
      <c r="S1553">
        <f t="shared" si="1120"/>
        <v>0.3</v>
      </c>
      <c r="T1553">
        <v>1.4</v>
      </c>
      <c r="U1553">
        <v>0.3</v>
      </c>
      <c r="V1553">
        <v>0.1</v>
      </c>
      <c r="W1553">
        <v>0.6</v>
      </c>
      <c r="X1553">
        <v>0</v>
      </c>
      <c r="Y1553">
        <v>0</v>
      </c>
      <c r="Z1553">
        <v>0</v>
      </c>
      <c r="AA1553">
        <f t="shared" si="1121"/>
        <v>2.4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20.2</v>
      </c>
      <c r="AJ1553" s="5">
        <f t="shared" si="1116"/>
        <v>20.2</v>
      </c>
      <c r="AK1553">
        <v>0</v>
      </c>
      <c r="AL1553">
        <v>0.442</v>
      </c>
      <c r="AM1553">
        <f t="shared" si="1126"/>
        <v>0.55800000000000005</v>
      </c>
      <c r="AN1553">
        <v>3374</v>
      </c>
      <c r="AO1553">
        <v>3374</v>
      </c>
      <c r="AP1553" s="3">
        <f t="shared" si="1127"/>
        <v>7633.4841628959284</v>
      </c>
      <c r="AQ1553" s="3">
        <f t="shared" si="1122"/>
        <v>7633.4841628959284</v>
      </c>
      <c r="AR1553">
        <f t="shared" si="1117"/>
        <v>0.36200716845878128</v>
      </c>
      <c r="AS1553">
        <f t="shared" si="1123"/>
        <v>0.35599999999999993</v>
      </c>
      <c r="AT1553">
        <f t="shared" si="1124"/>
        <v>2718</v>
      </c>
      <c r="AU1553">
        <f t="shared" si="1125"/>
        <v>1542</v>
      </c>
      <c r="AV1553">
        <f t="shared" si="1128"/>
        <v>1462</v>
      </c>
      <c r="AW1553">
        <f t="shared" si="1129"/>
        <v>1936</v>
      </c>
      <c r="AX1553" s="3">
        <f t="shared" si="1130"/>
        <v>4235.4841628959284</v>
      </c>
      <c r="AY1553">
        <f t="shared" si="1131"/>
        <v>1359</v>
      </c>
      <c r="AZ1553">
        <f t="shared" si="1132"/>
        <v>1968</v>
      </c>
      <c r="BA1553" s="3">
        <f t="shared" si="1133"/>
        <v>4306.4841628959284</v>
      </c>
    </row>
    <row r="1554" spans="1:53" x14ac:dyDescent="0.2">
      <c r="A1554">
        <v>2022</v>
      </c>
      <c r="B1554" t="s">
        <v>127</v>
      </c>
      <c r="C1554" t="s">
        <v>126</v>
      </c>
      <c r="D1554">
        <v>16.399999999999999</v>
      </c>
      <c r="E1554">
        <v>0</v>
      </c>
      <c r="F1554">
        <v>2</v>
      </c>
      <c r="G1554">
        <v>11.9</v>
      </c>
      <c r="H1554">
        <v>3.5</v>
      </c>
      <c r="I1554">
        <v>2.2000000000000002</v>
      </c>
      <c r="J1554">
        <v>0</v>
      </c>
      <c r="K1554">
        <f t="shared" si="1118"/>
        <v>36</v>
      </c>
      <c r="L1554">
        <v>0</v>
      </c>
      <c r="M1554">
        <v>0</v>
      </c>
      <c r="N1554">
        <v>0</v>
      </c>
      <c r="O1554">
        <f t="shared" si="1119"/>
        <v>0</v>
      </c>
      <c r="P1554">
        <v>0</v>
      </c>
      <c r="Q1554">
        <v>0</v>
      </c>
      <c r="R1554">
        <v>0.3</v>
      </c>
      <c r="S1554">
        <f t="shared" si="1120"/>
        <v>0.3</v>
      </c>
      <c r="T1554">
        <v>1.2</v>
      </c>
      <c r="U1554">
        <v>0.6</v>
      </c>
      <c r="V1554">
        <v>0.4</v>
      </c>
      <c r="W1554">
        <v>0.6</v>
      </c>
      <c r="X1554">
        <v>0</v>
      </c>
      <c r="Y1554">
        <v>0</v>
      </c>
      <c r="Z1554">
        <v>0</v>
      </c>
      <c r="AA1554">
        <f t="shared" si="1121"/>
        <v>2.8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11.9</v>
      </c>
      <c r="AJ1554" s="5">
        <f t="shared" si="1116"/>
        <v>11.9</v>
      </c>
      <c r="AK1554">
        <v>0</v>
      </c>
      <c r="AL1554">
        <v>0.49099999999999999</v>
      </c>
      <c r="AM1554">
        <f t="shared" si="1126"/>
        <v>0.51</v>
      </c>
      <c r="AN1554">
        <v>4694</v>
      </c>
      <c r="AO1554">
        <v>4694</v>
      </c>
      <c r="AP1554" s="3">
        <f t="shared" si="1127"/>
        <v>9579.5918367346949</v>
      </c>
      <c r="AQ1554" s="3">
        <f t="shared" si="1122"/>
        <v>9579.5918367346949</v>
      </c>
      <c r="AR1554">
        <f t="shared" si="1117"/>
        <v>0.23333333333333334</v>
      </c>
      <c r="AS1554">
        <f t="shared" si="1123"/>
        <v>0.39099999999999996</v>
      </c>
      <c r="AT1554">
        <f t="shared" si="1124"/>
        <v>3746</v>
      </c>
      <c r="AU1554">
        <f t="shared" si="1125"/>
        <v>1140</v>
      </c>
      <c r="AV1554">
        <f t="shared" si="1128"/>
        <v>2021</v>
      </c>
      <c r="AW1554">
        <f t="shared" si="1129"/>
        <v>1477</v>
      </c>
      <c r="AX1554" s="3">
        <f t="shared" si="1130"/>
        <v>6081.5918367346949</v>
      </c>
      <c r="AY1554">
        <f t="shared" si="1131"/>
        <v>1873</v>
      </c>
      <c r="AZ1554">
        <f t="shared" si="1132"/>
        <v>1506</v>
      </c>
      <c r="BA1554" s="3">
        <f t="shared" si="1133"/>
        <v>6200.5918367346949</v>
      </c>
    </row>
    <row r="1555" spans="1:53" x14ac:dyDescent="0.2">
      <c r="A1555">
        <v>2023</v>
      </c>
      <c r="B1555" t="s">
        <v>127</v>
      </c>
      <c r="C1555" t="s">
        <v>126</v>
      </c>
      <c r="D1555" t="s">
        <v>13</v>
      </c>
      <c r="E1555" t="s">
        <v>13</v>
      </c>
      <c r="F1555" t="s">
        <v>13</v>
      </c>
      <c r="G1555" t="s">
        <v>13</v>
      </c>
      <c r="H1555" t="s">
        <v>13</v>
      </c>
      <c r="I1555" t="s">
        <v>13</v>
      </c>
      <c r="J1555" t="s">
        <v>13</v>
      </c>
      <c r="K1555" t="s">
        <v>13</v>
      </c>
      <c r="L1555" t="s">
        <v>13</v>
      </c>
      <c r="M1555" t="s">
        <v>13</v>
      </c>
      <c r="N1555" t="s">
        <v>13</v>
      </c>
      <c r="O1555" t="s">
        <v>13</v>
      </c>
      <c r="P1555" t="s">
        <v>13</v>
      </c>
      <c r="Q1555" t="s">
        <v>13</v>
      </c>
      <c r="R1555" t="s">
        <v>13</v>
      </c>
      <c r="S1555" t="s">
        <v>13</v>
      </c>
      <c r="T1555" t="s">
        <v>13</v>
      </c>
      <c r="U1555" t="s">
        <v>13</v>
      </c>
      <c r="V1555" t="s">
        <v>13</v>
      </c>
      <c r="W1555" t="s">
        <v>13</v>
      </c>
      <c r="X1555" t="s">
        <v>13</v>
      </c>
      <c r="Y1555" t="s">
        <v>13</v>
      </c>
      <c r="Z1555" t="s">
        <v>13</v>
      </c>
      <c r="AA1555" t="s">
        <v>13</v>
      </c>
      <c r="AB1555" t="s">
        <v>13</v>
      </c>
      <c r="AC1555" t="s">
        <v>13</v>
      </c>
      <c r="AD1555" t="s">
        <v>13</v>
      </c>
      <c r="AE1555" t="s">
        <v>13</v>
      </c>
      <c r="AF1555" t="s">
        <v>13</v>
      </c>
      <c r="AG1555" t="s">
        <v>13</v>
      </c>
      <c r="AH1555" t="s">
        <v>13</v>
      </c>
      <c r="AI1555" t="s">
        <v>13</v>
      </c>
      <c r="AJ1555" t="s">
        <v>13</v>
      </c>
      <c r="AK1555" t="s">
        <v>13</v>
      </c>
      <c r="AL1555" t="s">
        <v>13</v>
      </c>
      <c r="AM1555" t="s">
        <v>13</v>
      </c>
      <c r="AN1555">
        <v>6220</v>
      </c>
      <c r="AO1555">
        <v>6220</v>
      </c>
      <c r="AP1555" t="s">
        <v>13</v>
      </c>
      <c r="AQ1555" t="s">
        <v>13</v>
      </c>
      <c r="AR1555" t="s">
        <v>13</v>
      </c>
      <c r="AS1555" t="s">
        <v>13</v>
      </c>
      <c r="AT1555" t="s">
        <v>13</v>
      </c>
      <c r="AU1555" t="s">
        <v>13</v>
      </c>
      <c r="AV1555" t="s">
        <v>13</v>
      </c>
      <c r="AW1555" t="s">
        <v>13</v>
      </c>
      <c r="AX1555" t="s">
        <v>13</v>
      </c>
      <c r="AY1555" t="s">
        <v>13</v>
      </c>
      <c r="AZ1555" t="s">
        <v>13</v>
      </c>
      <c r="BA1555" t="s">
        <v>13</v>
      </c>
    </row>
    <row r="1556" spans="1:53" x14ac:dyDescent="0.2">
      <c r="A1556">
        <v>1980</v>
      </c>
      <c r="B1556" t="s">
        <v>128</v>
      </c>
      <c r="C1556" t="s">
        <v>126</v>
      </c>
      <c r="D1556">
        <v>30.6</v>
      </c>
      <c r="E1556">
        <v>0</v>
      </c>
      <c r="F1556">
        <v>0.8</v>
      </c>
      <c r="G1556">
        <v>10.6</v>
      </c>
      <c r="H1556">
        <v>0</v>
      </c>
      <c r="I1556">
        <v>8.1</v>
      </c>
      <c r="J1556">
        <v>0</v>
      </c>
      <c r="K1556">
        <f t="shared" ref="K1556:K1622" si="1134">SUM(D1556:J1556)</f>
        <v>50.1</v>
      </c>
      <c r="L1556">
        <v>1.1000000000000001</v>
      </c>
      <c r="M1556">
        <v>1.3</v>
      </c>
      <c r="N1556">
        <v>0</v>
      </c>
      <c r="O1556">
        <f t="shared" ref="O1556:O1622" si="1135">SUM(L1556:N1556)</f>
        <v>2.4000000000000004</v>
      </c>
      <c r="P1556">
        <v>0</v>
      </c>
      <c r="Q1556">
        <v>0</v>
      </c>
      <c r="R1556">
        <v>0</v>
      </c>
      <c r="S1556">
        <f t="shared" ref="S1556:S1622" si="1136">SUM(P1556:R1556)</f>
        <v>0</v>
      </c>
      <c r="T1556">
        <v>0</v>
      </c>
      <c r="U1556">
        <v>0</v>
      </c>
      <c r="V1556">
        <v>0.9</v>
      </c>
      <c r="W1556">
        <v>0.2</v>
      </c>
      <c r="X1556">
        <v>0</v>
      </c>
      <c r="Y1556">
        <v>0</v>
      </c>
      <c r="Z1556">
        <v>0</v>
      </c>
      <c r="AA1556">
        <f t="shared" ref="AA1556:AA1622" si="1137">SUM(T1556:Z1556)</f>
        <v>1.1000000000000001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4.5</v>
      </c>
      <c r="AJ1556" s="5">
        <f t="shared" si="1116"/>
        <v>4.5</v>
      </c>
      <c r="AK1556">
        <v>0</v>
      </c>
      <c r="AL1556">
        <v>0.41899999999999998</v>
      </c>
      <c r="AM1556">
        <f t="shared" si="1126"/>
        <v>0.58099999999999996</v>
      </c>
      <c r="AN1556">
        <v>10630</v>
      </c>
      <c r="AO1556" t="s">
        <v>13</v>
      </c>
      <c r="AP1556" s="3">
        <f t="shared" si="1127"/>
        <v>25369.92840095465</v>
      </c>
      <c r="AQ1556" t="s">
        <v>13</v>
      </c>
      <c r="AR1556">
        <f t="shared" si="1117"/>
        <v>7.7452667814113599E-2</v>
      </c>
      <c r="AS1556">
        <f t="shared" ref="AS1556:AS1598" si="1138">SUM(K1556,O1556,S1556,AA1556)/100</f>
        <v>0.53600000000000003</v>
      </c>
      <c r="AT1556">
        <f t="shared" ref="AT1556:AT1598" si="1139">ROUND(AS1556*AP1556,0)</f>
        <v>13598</v>
      </c>
      <c r="AU1556">
        <f t="shared" ref="AU1556:AU1598" si="1140">ROUND((AJ1556/100)*AP1556,0)</f>
        <v>1142</v>
      </c>
      <c r="AV1556">
        <f t="shared" si="1128"/>
        <v>7243</v>
      </c>
      <c r="AW1556">
        <f t="shared" si="1129"/>
        <v>1759</v>
      </c>
      <c r="AX1556" s="3">
        <f t="shared" si="1130"/>
        <v>16367.92840095465</v>
      </c>
      <c r="AY1556">
        <f t="shared" si="1131"/>
        <v>6799</v>
      </c>
      <c r="AZ1556">
        <f t="shared" si="1132"/>
        <v>1802</v>
      </c>
      <c r="BA1556" s="3">
        <f t="shared" si="1133"/>
        <v>16768.92840095465</v>
      </c>
    </row>
    <row r="1557" spans="1:53" x14ac:dyDescent="0.2">
      <c r="A1557">
        <v>1981</v>
      </c>
      <c r="B1557" t="s">
        <v>128</v>
      </c>
      <c r="C1557" t="s">
        <v>126</v>
      </c>
      <c r="D1557">
        <v>23.9</v>
      </c>
      <c r="E1557">
        <v>0</v>
      </c>
      <c r="F1557">
        <v>0.6</v>
      </c>
      <c r="G1557">
        <v>24.2</v>
      </c>
      <c r="H1557">
        <v>0</v>
      </c>
      <c r="I1557">
        <v>3.2</v>
      </c>
      <c r="J1557">
        <v>0</v>
      </c>
      <c r="K1557">
        <f t="shared" si="1134"/>
        <v>51.900000000000006</v>
      </c>
      <c r="L1557">
        <v>0.3</v>
      </c>
      <c r="M1557">
        <v>2.2000000000000002</v>
      </c>
      <c r="N1557">
        <v>0</v>
      </c>
      <c r="O1557">
        <f t="shared" si="1135"/>
        <v>2.5</v>
      </c>
      <c r="P1557">
        <v>0</v>
      </c>
      <c r="Q1557">
        <v>0</v>
      </c>
      <c r="R1557">
        <v>0.7</v>
      </c>
      <c r="S1557">
        <f t="shared" si="1136"/>
        <v>0.7</v>
      </c>
      <c r="T1557">
        <v>0.2</v>
      </c>
      <c r="U1557">
        <v>0</v>
      </c>
      <c r="V1557">
        <v>0.4</v>
      </c>
      <c r="W1557">
        <v>0.6</v>
      </c>
      <c r="X1557">
        <v>0</v>
      </c>
      <c r="Y1557">
        <v>0</v>
      </c>
      <c r="Z1557">
        <v>0</v>
      </c>
      <c r="AA1557">
        <f t="shared" si="1137"/>
        <v>1.2000000000000002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6.2</v>
      </c>
      <c r="AJ1557" s="5">
        <f t="shared" si="1116"/>
        <v>6.2</v>
      </c>
      <c r="AK1557">
        <v>0</v>
      </c>
      <c r="AL1557">
        <v>0.376</v>
      </c>
      <c r="AM1557">
        <f t="shared" si="1126"/>
        <v>0.625</v>
      </c>
      <c r="AN1557">
        <v>8724</v>
      </c>
      <c r="AO1557" t="s">
        <v>13</v>
      </c>
      <c r="AP1557" s="3">
        <f t="shared" si="1127"/>
        <v>23264</v>
      </c>
      <c r="AQ1557" t="s">
        <v>13</v>
      </c>
      <c r="AR1557">
        <f t="shared" si="1117"/>
        <v>9.9199999999999997E-2</v>
      </c>
      <c r="AS1557">
        <f t="shared" si="1138"/>
        <v>0.56300000000000017</v>
      </c>
      <c r="AT1557">
        <f t="shared" si="1139"/>
        <v>13098</v>
      </c>
      <c r="AU1557">
        <f t="shared" si="1140"/>
        <v>1442</v>
      </c>
      <c r="AV1557">
        <f t="shared" si="1128"/>
        <v>7061</v>
      </c>
      <c r="AW1557">
        <f t="shared" si="1129"/>
        <v>2298</v>
      </c>
      <c r="AX1557" s="3">
        <f t="shared" si="1130"/>
        <v>13905</v>
      </c>
      <c r="AY1557">
        <f t="shared" si="1131"/>
        <v>6549</v>
      </c>
      <c r="AZ1557">
        <f t="shared" si="1132"/>
        <v>2371</v>
      </c>
      <c r="BA1557" s="3">
        <f t="shared" si="1133"/>
        <v>14344</v>
      </c>
    </row>
    <row r="1558" spans="1:53" x14ac:dyDescent="0.2">
      <c r="A1558">
        <v>1982</v>
      </c>
      <c r="B1558" t="s">
        <v>128</v>
      </c>
      <c r="C1558" t="s">
        <v>126</v>
      </c>
      <c r="D1558">
        <v>10.199999999999999</v>
      </c>
      <c r="E1558">
        <v>1.3</v>
      </c>
      <c r="F1558">
        <v>0.6</v>
      </c>
      <c r="G1558">
        <v>12.7</v>
      </c>
      <c r="H1558">
        <v>0</v>
      </c>
      <c r="I1558">
        <v>6.7</v>
      </c>
      <c r="J1558">
        <v>0</v>
      </c>
      <c r="K1558">
        <f t="shared" si="1134"/>
        <v>31.499999999999996</v>
      </c>
      <c r="L1558">
        <v>0.9</v>
      </c>
      <c r="M1558">
        <v>0.4</v>
      </c>
      <c r="N1558">
        <v>0</v>
      </c>
      <c r="O1558">
        <f t="shared" si="1135"/>
        <v>1.3</v>
      </c>
      <c r="P1558">
        <v>0</v>
      </c>
      <c r="Q1558">
        <v>0</v>
      </c>
      <c r="R1558">
        <v>0</v>
      </c>
      <c r="S1558">
        <f t="shared" si="1136"/>
        <v>0</v>
      </c>
      <c r="T1558">
        <v>0</v>
      </c>
      <c r="U1558">
        <v>0.8</v>
      </c>
      <c r="V1558">
        <v>0.8</v>
      </c>
      <c r="W1558">
        <v>0.2</v>
      </c>
      <c r="X1558">
        <v>0</v>
      </c>
      <c r="Y1558">
        <v>0</v>
      </c>
      <c r="Z1558">
        <v>0</v>
      </c>
      <c r="AA1558">
        <f t="shared" si="1137"/>
        <v>1.8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9.9</v>
      </c>
      <c r="AJ1558" s="5">
        <f t="shared" ref="AJ1558:AJ1622" si="1141">SUM(AB1558:AI1558)</f>
        <v>9.9</v>
      </c>
      <c r="AK1558">
        <v>0</v>
      </c>
      <c r="AL1558">
        <v>0.55700000000000005</v>
      </c>
      <c r="AM1558">
        <f t="shared" si="1126"/>
        <v>0.44500000000000006</v>
      </c>
      <c r="AN1558">
        <v>10870</v>
      </c>
      <c r="AO1558" t="s">
        <v>13</v>
      </c>
      <c r="AP1558" s="3">
        <f t="shared" si="1127"/>
        <v>19585.585585585588</v>
      </c>
      <c r="AQ1558" t="s">
        <v>13</v>
      </c>
      <c r="AR1558">
        <f t="shared" si="1117"/>
        <v>0.22247191011235953</v>
      </c>
      <c r="AS1558">
        <f t="shared" si="1138"/>
        <v>0.34599999999999992</v>
      </c>
      <c r="AT1558">
        <f t="shared" si="1139"/>
        <v>6777</v>
      </c>
      <c r="AU1558">
        <f t="shared" si="1140"/>
        <v>1939</v>
      </c>
      <c r="AV1558">
        <f t="shared" si="1128"/>
        <v>3692</v>
      </c>
      <c r="AW1558">
        <f t="shared" si="1129"/>
        <v>2406</v>
      </c>
      <c r="AX1558" s="3">
        <f t="shared" si="1130"/>
        <v>13487.585585585588</v>
      </c>
      <c r="AY1558">
        <f t="shared" si="1131"/>
        <v>3388</v>
      </c>
      <c r="AZ1558">
        <f t="shared" si="1132"/>
        <v>2452</v>
      </c>
      <c r="BA1558" s="3">
        <f t="shared" si="1133"/>
        <v>13745.585585585588</v>
      </c>
    </row>
    <row r="1559" spans="1:53" x14ac:dyDescent="0.2">
      <c r="A1559">
        <v>1983</v>
      </c>
      <c r="B1559" t="s">
        <v>128</v>
      </c>
      <c r="C1559" t="s">
        <v>126</v>
      </c>
      <c r="D1559">
        <v>26.2</v>
      </c>
      <c r="E1559">
        <v>0.6</v>
      </c>
      <c r="F1559">
        <v>0.1</v>
      </c>
      <c r="G1559">
        <v>18.2</v>
      </c>
      <c r="H1559">
        <v>0</v>
      </c>
      <c r="I1559">
        <v>8.6</v>
      </c>
      <c r="J1559">
        <v>0</v>
      </c>
      <c r="K1559">
        <f t="shared" si="1134"/>
        <v>53.7</v>
      </c>
      <c r="L1559">
        <v>0.6</v>
      </c>
      <c r="M1559">
        <v>0</v>
      </c>
      <c r="N1559">
        <v>0</v>
      </c>
      <c r="O1559">
        <f t="shared" si="1135"/>
        <v>0.6</v>
      </c>
      <c r="P1559">
        <v>0</v>
      </c>
      <c r="Q1559">
        <v>0</v>
      </c>
      <c r="R1559">
        <v>0</v>
      </c>
      <c r="S1559">
        <f t="shared" si="1136"/>
        <v>0</v>
      </c>
      <c r="T1559">
        <v>0</v>
      </c>
      <c r="U1559">
        <v>0.8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f t="shared" si="1137"/>
        <v>0.8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15.8</v>
      </c>
      <c r="AJ1559" s="5">
        <f t="shared" si="1141"/>
        <v>15.8</v>
      </c>
      <c r="AK1559">
        <v>0</v>
      </c>
      <c r="AL1559">
        <v>0.29199999999999998</v>
      </c>
      <c r="AM1559">
        <f t="shared" si="1126"/>
        <v>0.70900000000000007</v>
      </c>
      <c r="AN1559">
        <v>4186</v>
      </c>
      <c r="AO1559" t="s">
        <v>13</v>
      </c>
      <c r="AP1559" s="3">
        <f t="shared" si="1127"/>
        <v>14384.879725085915</v>
      </c>
      <c r="AQ1559" t="s">
        <v>13</v>
      </c>
      <c r="AR1559">
        <f t="shared" si="1117"/>
        <v>0.22284908321579688</v>
      </c>
      <c r="AS1559">
        <f t="shared" si="1138"/>
        <v>0.55100000000000005</v>
      </c>
      <c r="AT1559">
        <f t="shared" si="1139"/>
        <v>7926</v>
      </c>
      <c r="AU1559">
        <f t="shared" si="1140"/>
        <v>2273</v>
      </c>
      <c r="AV1559">
        <f t="shared" si="1128"/>
        <v>4064</v>
      </c>
      <c r="AW1559">
        <f t="shared" si="1129"/>
        <v>3632</v>
      </c>
      <c r="AX1559" s="3">
        <f t="shared" si="1130"/>
        <v>6688.8797250859152</v>
      </c>
      <c r="AY1559">
        <f t="shared" si="1131"/>
        <v>3963</v>
      </c>
      <c r="AZ1559">
        <f t="shared" si="1132"/>
        <v>3668</v>
      </c>
      <c r="BA1559" s="3">
        <f t="shared" si="1133"/>
        <v>6753.8797250859152</v>
      </c>
    </row>
    <row r="1560" spans="1:53" x14ac:dyDescent="0.2">
      <c r="A1560">
        <v>1984</v>
      </c>
      <c r="B1560" t="s">
        <v>128</v>
      </c>
      <c r="C1560" t="s">
        <v>126</v>
      </c>
      <c r="D1560">
        <v>24.5</v>
      </c>
      <c r="E1560">
        <v>0</v>
      </c>
      <c r="F1560">
        <v>0</v>
      </c>
      <c r="G1560">
        <v>38.6</v>
      </c>
      <c r="H1560">
        <v>0</v>
      </c>
      <c r="I1560">
        <v>6.5</v>
      </c>
      <c r="J1560">
        <v>0</v>
      </c>
      <c r="K1560">
        <f t="shared" si="1134"/>
        <v>69.599999999999994</v>
      </c>
      <c r="L1560">
        <v>6.7</v>
      </c>
      <c r="M1560">
        <v>0.8</v>
      </c>
      <c r="N1560">
        <v>0</v>
      </c>
      <c r="O1560">
        <f t="shared" si="1135"/>
        <v>7.5</v>
      </c>
      <c r="P1560">
        <v>0</v>
      </c>
      <c r="Q1560">
        <v>1.5</v>
      </c>
      <c r="R1560">
        <v>0</v>
      </c>
      <c r="S1560">
        <f t="shared" si="1136"/>
        <v>1.5</v>
      </c>
      <c r="T1560">
        <v>0</v>
      </c>
      <c r="U1560">
        <v>0</v>
      </c>
      <c r="V1560">
        <v>0.5</v>
      </c>
      <c r="W1560">
        <v>0.5</v>
      </c>
      <c r="X1560">
        <v>0</v>
      </c>
      <c r="Y1560">
        <v>0</v>
      </c>
      <c r="Z1560">
        <v>0</v>
      </c>
      <c r="AA1560">
        <f t="shared" si="1137"/>
        <v>1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0.5</v>
      </c>
      <c r="AI1560">
        <v>5</v>
      </c>
      <c r="AJ1560" s="5">
        <f t="shared" si="1141"/>
        <v>5.5</v>
      </c>
      <c r="AK1560">
        <v>0</v>
      </c>
      <c r="AL1560">
        <v>0.14899999999999999</v>
      </c>
      <c r="AM1560">
        <f t="shared" si="1126"/>
        <v>0.85099999999999998</v>
      </c>
      <c r="AN1560">
        <v>11168</v>
      </c>
      <c r="AO1560" t="s">
        <v>13</v>
      </c>
      <c r="AP1560" s="3">
        <f t="shared" si="1127"/>
        <v>74953.02013422818</v>
      </c>
      <c r="AQ1560" t="s">
        <v>13</v>
      </c>
      <c r="AR1560">
        <f t="shared" si="1117"/>
        <v>6.4629847238542898E-2</v>
      </c>
      <c r="AS1560">
        <f t="shared" si="1138"/>
        <v>0.79599999999999993</v>
      </c>
      <c r="AT1560">
        <f t="shared" si="1139"/>
        <v>59663</v>
      </c>
      <c r="AU1560">
        <f t="shared" si="1140"/>
        <v>4122</v>
      </c>
      <c r="AV1560">
        <f t="shared" si="1128"/>
        <v>33579</v>
      </c>
      <c r="AW1560">
        <f t="shared" si="1129"/>
        <v>11154</v>
      </c>
      <c r="AX1560" s="3">
        <f t="shared" si="1130"/>
        <v>30220.02013422818</v>
      </c>
      <c r="AY1560">
        <f t="shared" si="1131"/>
        <v>29831</v>
      </c>
      <c r="AZ1560">
        <f t="shared" si="1132"/>
        <v>12164</v>
      </c>
      <c r="BA1560" s="3">
        <f t="shared" si="1133"/>
        <v>32958.02013422818</v>
      </c>
    </row>
    <row r="1561" spans="1:53" x14ac:dyDescent="0.2">
      <c r="A1561">
        <v>1985</v>
      </c>
      <c r="B1561" t="s">
        <v>128</v>
      </c>
      <c r="C1561" t="s">
        <v>126</v>
      </c>
      <c r="D1561">
        <v>33.700000000000003</v>
      </c>
      <c r="E1561">
        <v>2.2000000000000002</v>
      </c>
      <c r="F1561">
        <v>0</v>
      </c>
      <c r="G1561">
        <v>34.299999999999997</v>
      </c>
      <c r="H1561">
        <v>0</v>
      </c>
      <c r="I1561">
        <v>2.9</v>
      </c>
      <c r="J1561">
        <v>0</v>
      </c>
      <c r="K1561">
        <f t="shared" si="1134"/>
        <v>73.100000000000009</v>
      </c>
      <c r="L1561">
        <v>2</v>
      </c>
      <c r="M1561">
        <v>0.5</v>
      </c>
      <c r="N1561">
        <v>0</v>
      </c>
      <c r="O1561">
        <f t="shared" si="1135"/>
        <v>2.5</v>
      </c>
      <c r="P1561">
        <v>0</v>
      </c>
      <c r="Q1561">
        <v>0</v>
      </c>
      <c r="R1561">
        <v>0</v>
      </c>
      <c r="S1561">
        <f t="shared" si="1136"/>
        <v>0</v>
      </c>
      <c r="T1561">
        <v>0</v>
      </c>
      <c r="U1561">
        <v>0</v>
      </c>
      <c r="V1561">
        <v>0.1</v>
      </c>
      <c r="W1561">
        <v>0</v>
      </c>
      <c r="X1561">
        <v>0</v>
      </c>
      <c r="Y1561">
        <v>0</v>
      </c>
      <c r="Z1561">
        <v>0</v>
      </c>
      <c r="AA1561">
        <f t="shared" si="1137"/>
        <v>0.1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3.1</v>
      </c>
      <c r="AJ1561" s="5">
        <f t="shared" si="1141"/>
        <v>3.1</v>
      </c>
      <c r="AK1561">
        <v>0</v>
      </c>
      <c r="AL1561">
        <v>0.21199999999999999</v>
      </c>
      <c r="AM1561">
        <f t="shared" si="1126"/>
        <v>0.78800000000000014</v>
      </c>
      <c r="AN1561">
        <v>14822</v>
      </c>
      <c r="AO1561" t="s">
        <v>13</v>
      </c>
      <c r="AP1561" s="3">
        <f t="shared" si="1127"/>
        <v>69915.094339622694</v>
      </c>
      <c r="AQ1561" t="s">
        <v>13</v>
      </c>
      <c r="AR1561">
        <f t="shared" si="1117"/>
        <v>3.9340101522842633E-2</v>
      </c>
      <c r="AS1561">
        <f t="shared" si="1138"/>
        <v>0.75700000000000001</v>
      </c>
      <c r="AT1561">
        <f t="shared" si="1139"/>
        <v>52926</v>
      </c>
      <c r="AU1561">
        <f t="shared" si="1140"/>
        <v>2167</v>
      </c>
      <c r="AV1561">
        <f t="shared" si="1128"/>
        <v>27372</v>
      </c>
      <c r="AW1561">
        <f t="shared" si="1129"/>
        <v>5426</v>
      </c>
      <c r="AX1561" s="3">
        <f t="shared" si="1130"/>
        <v>37117.094339622694</v>
      </c>
      <c r="AY1561">
        <f t="shared" si="1131"/>
        <v>26463</v>
      </c>
      <c r="AZ1561">
        <f t="shared" si="1132"/>
        <v>5542</v>
      </c>
      <c r="BA1561" s="3">
        <f t="shared" si="1133"/>
        <v>37910.094339622694</v>
      </c>
    </row>
    <row r="1562" spans="1:53" x14ac:dyDescent="0.2">
      <c r="A1562">
        <v>1986</v>
      </c>
      <c r="B1562" t="s">
        <v>128</v>
      </c>
      <c r="C1562" t="s">
        <v>126</v>
      </c>
      <c r="D1562">
        <v>26.1</v>
      </c>
      <c r="E1562">
        <v>0</v>
      </c>
      <c r="F1562">
        <v>0</v>
      </c>
      <c r="G1562">
        <v>16</v>
      </c>
      <c r="H1562">
        <v>0</v>
      </c>
      <c r="I1562">
        <v>3.7</v>
      </c>
      <c r="J1562">
        <v>0</v>
      </c>
      <c r="K1562">
        <f t="shared" si="1134"/>
        <v>45.800000000000004</v>
      </c>
      <c r="L1562">
        <v>4.4000000000000004</v>
      </c>
      <c r="M1562">
        <v>0.5</v>
      </c>
      <c r="N1562">
        <v>0</v>
      </c>
      <c r="O1562">
        <f t="shared" si="1135"/>
        <v>4.9000000000000004</v>
      </c>
      <c r="P1562">
        <v>0</v>
      </c>
      <c r="Q1562">
        <v>0</v>
      </c>
      <c r="R1562">
        <v>0</v>
      </c>
      <c r="S1562">
        <f t="shared" si="1136"/>
        <v>0</v>
      </c>
      <c r="T1562">
        <v>0.1</v>
      </c>
      <c r="U1562">
        <v>0</v>
      </c>
      <c r="V1562">
        <v>0.2</v>
      </c>
      <c r="W1562">
        <v>0.5</v>
      </c>
      <c r="X1562">
        <v>0</v>
      </c>
      <c r="Y1562">
        <v>0</v>
      </c>
      <c r="Z1562">
        <v>0</v>
      </c>
      <c r="AA1562">
        <f t="shared" si="1137"/>
        <v>0.8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7</v>
      </c>
      <c r="AJ1562" s="5">
        <f t="shared" si="1141"/>
        <v>7</v>
      </c>
      <c r="AK1562">
        <v>0</v>
      </c>
      <c r="AL1562">
        <v>0.41499999999999998</v>
      </c>
      <c r="AM1562">
        <f t="shared" si="1126"/>
        <v>0.58499999999999996</v>
      </c>
      <c r="AN1562">
        <v>14844</v>
      </c>
      <c r="AO1562" t="s">
        <v>13</v>
      </c>
      <c r="AP1562" s="3">
        <f t="shared" si="1127"/>
        <v>35768.674698795177</v>
      </c>
      <c r="AQ1562" t="s">
        <v>13</v>
      </c>
      <c r="AR1562">
        <f t="shared" si="1117"/>
        <v>0.11965811965811968</v>
      </c>
      <c r="AS1562">
        <f t="shared" si="1138"/>
        <v>0.51500000000000001</v>
      </c>
      <c r="AT1562">
        <f t="shared" si="1139"/>
        <v>18421</v>
      </c>
      <c r="AU1562">
        <f t="shared" si="1140"/>
        <v>2504</v>
      </c>
      <c r="AV1562">
        <f t="shared" si="1128"/>
        <v>10230</v>
      </c>
      <c r="AW1562">
        <f t="shared" si="1129"/>
        <v>3686</v>
      </c>
      <c r="AX1562" s="3">
        <f t="shared" si="1130"/>
        <v>21852.674698795177</v>
      </c>
      <c r="AY1562">
        <f t="shared" si="1131"/>
        <v>9210</v>
      </c>
      <c r="AZ1562">
        <f t="shared" si="1132"/>
        <v>3834</v>
      </c>
      <c r="BA1562" s="3">
        <f t="shared" si="1133"/>
        <v>22724.674698795177</v>
      </c>
    </row>
    <row r="1563" spans="1:53" x14ac:dyDescent="0.2">
      <c r="A1563">
        <v>1987</v>
      </c>
      <c r="B1563" t="s">
        <v>128</v>
      </c>
      <c r="C1563" t="s">
        <v>126</v>
      </c>
      <c r="D1563">
        <v>17.3</v>
      </c>
      <c r="E1563">
        <v>1.4</v>
      </c>
      <c r="F1563">
        <v>0</v>
      </c>
      <c r="G1563">
        <v>16.5</v>
      </c>
      <c r="H1563">
        <v>0</v>
      </c>
      <c r="I1563">
        <v>2.2999999999999998</v>
      </c>
      <c r="J1563">
        <v>0</v>
      </c>
      <c r="K1563">
        <f t="shared" si="1134"/>
        <v>37.5</v>
      </c>
      <c r="L1563">
        <v>0.4</v>
      </c>
      <c r="M1563">
        <v>0</v>
      </c>
      <c r="N1563">
        <v>0</v>
      </c>
      <c r="O1563">
        <f t="shared" si="1135"/>
        <v>0.4</v>
      </c>
      <c r="P1563">
        <v>0</v>
      </c>
      <c r="Q1563">
        <v>0</v>
      </c>
      <c r="R1563">
        <v>0</v>
      </c>
      <c r="S1563">
        <f t="shared" si="1136"/>
        <v>0</v>
      </c>
      <c r="T1563">
        <v>0</v>
      </c>
      <c r="U1563">
        <v>0.3</v>
      </c>
      <c r="V1563">
        <v>2.2000000000000002</v>
      </c>
      <c r="W1563">
        <v>0.6</v>
      </c>
      <c r="X1563">
        <v>0</v>
      </c>
      <c r="Y1563">
        <v>0</v>
      </c>
      <c r="Z1563">
        <v>0</v>
      </c>
      <c r="AA1563">
        <f t="shared" si="1137"/>
        <v>3.1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12.9</v>
      </c>
      <c r="AJ1563" s="5">
        <f t="shared" si="1141"/>
        <v>12.9</v>
      </c>
      <c r="AK1563">
        <v>0.1</v>
      </c>
      <c r="AL1563">
        <v>0.46</v>
      </c>
      <c r="AM1563">
        <f t="shared" si="1126"/>
        <v>0.53900000000000003</v>
      </c>
      <c r="AN1563">
        <v>17603</v>
      </c>
      <c r="AO1563" t="s">
        <v>13</v>
      </c>
      <c r="AP1563" s="3">
        <f t="shared" si="1127"/>
        <v>38184.381778741867</v>
      </c>
      <c r="AQ1563" t="s">
        <v>13</v>
      </c>
      <c r="AR1563">
        <f t="shared" si="1117"/>
        <v>0.2393320964749536</v>
      </c>
      <c r="AS1563">
        <f t="shared" si="1138"/>
        <v>0.41</v>
      </c>
      <c r="AT1563">
        <f t="shared" si="1139"/>
        <v>15656</v>
      </c>
      <c r="AU1563">
        <f t="shared" si="1140"/>
        <v>4926</v>
      </c>
      <c r="AV1563">
        <f t="shared" si="1128"/>
        <v>8496</v>
      </c>
      <c r="AW1563">
        <f t="shared" si="1129"/>
        <v>6492</v>
      </c>
      <c r="AX1563" s="3">
        <f t="shared" si="1130"/>
        <v>23196.381778741867</v>
      </c>
      <c r="AY1563">
        <f t="shared" si="1131"/>
        <v>7828</v>
      </c>
      <c r="AZ1563">
        <f t="shared" si="1132"/>
        <v>6638</v>
      </c>
      <c r="BA1563" s="3">
        <f t="shared" si="1133"/>
        <v>23718.381778741867</v>
      </c>
    </row>
    <row r="1564" spans="1:53" x14ac:dyDescent="0.2">
      <c r="A1564">
        <v>1988</v>
      </c>
      <c r="B1564" t="s">
        <v>128</v>
      </c>
      <c r="C1564" t="s">
        <v>126</v>
      </c>
      <c r="D1564">
        <v>13.3</v>
      </c>
      <c r="E1564">
        <v>0</v>
      </c>
      <c r="F1564">
        <v>0</v>
      </c>
      <c r="G1564">
        <v>9</v>
      </c>
      <c r="H1564">
        <v>0</v>
      </c>
      <c r="I1564">
        <v>4.5</v>
      </c>
      <c r="J1564">
        <v>0</v>
      </c>
      <c r="K1564">
        <f t="shared" si="1134"/>
        <v>26.8</v>
      </c>
      <c r="L1564">
        <v>0.8</v>
      </c>
      <c r="M1564">
        <v>0</v>
      </c>
      <c r="N1564">
        <v>0</v>
      </c>
      <c r="O1564">
        <f t="shared" si="1135"/>
        <v>0.8</v>
      </c>
      <c r="P1564">
        <v>0</v>
      </c>
      <c r="Q1564">
        <v>0</v>
      </c>
      <c r="R1564">
        <v>0</v>
      </c>
      <c r="S1564">
        <f t="shared" si="1136"/>
        <v>0</v>
      </c>
      <c r="T1564">
        <v>0.4</v>
      </c>
      <c r="U1564">
        <v>0</v>
      </c>
      <c r="V1564">
        <v>0.4</v>
      </c>
      <c r="W1564">
        <v>1.3</v>
      </c>
      <c r="X1564">
        <v>0</v>
      </c>
      <c r="Y1564">
        <v>0</v>
      </c>
      <c r="Z1564">
        <v>0</v>
      </c>
      <c r="AA1564">
        <f t="shared" si="1137"/>
        <v>2.1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9.5</v>
      </c>
      <c r="AJ1564" s="5">
        <f t="shared" si="1141"/>
        <v>9.5</v>
      </c>
      <c r="AK1564">
        <v>0.1</v>
      </c>
      <c r="AL1564">
        <v>0.60699999999999998</v>
      </c>
      <c r="AM1564">
        <f t="shared" si="1126"/>
        <v>0.39200000000000002</v>
      </c>
      <c r="AN1564">
        <v>41746</v>
      </c>
      <c r="AO1564" t="s">
        <v>13</v>
      </c>
      <c r="AP1564" s="3">
        <f t="shared" si="1127"/>
        <v>68661.18421052632</v>
      </c>
      <c r="AQ1564" t="s">
        <v>13</v>
      </c>
      <c r="AR1564">
        <f t="shared" si="1117"/>
        <v>0.2423469387755102</v>
      </c>
      <c r="AS1564">
        <f t="shared" si="1138"/>
        <v>0.29700000000000004</v>
      </c>
      <c r="AT1564">
        <f t="shared" si="1139"/>
        <v>20392</v>
      </c>
      <c r="AU1564">
        <f t="shared" si="1140"/>
        <v>6523</v>
      </c>
      <c r="AV1564">
        <f t="shared" si="1128"/>
        <v>11192</v>
      </c>
      <c r="AW1564">
        <f t="shared" si="1129"/>
        <v>7766</v>
      </c>
      <c r="AX1564" s="3">
        <f t="shared" si="1130"/>
        <v>49703.18421052632</v>
      </c>
      <c r="AY1564">
        <f t="shared" si="1131"/>
        <v>10196</v>
      </c>
      <c r="AZ1564">
        <f t="shared" si="1132"/>
        <v>7901</v>
      </c>
      <c r="BA1564" s="3">
        <f t="shared" si="1133"/>
        <v>50564.18421052632</v>
      </c>
    </row>
    <row r="1565" spans="1:53" x14ac:dyDescent="0.2">
      <c r="A1565">
        <v>1989</v>
      </c>
      <c r="B1565" t="s">
        <v>128</v>
      </c>
      <c r="C1565" t="s">
        <v>126</v>
      </c>
      <c r="D1565">
        <v>14.3</v>
      </c>
      <c r="E1565">
        <v>0</v>
      </c>
      <c r="F1565">
        <v>0</v>
      </c>
      <c r="G1565">
        <v>13.9</v>
      </c>
      <c r="H1565">
        <v>0</v>
      </c>
      <c r="I1565">
        <v>4.2</v>
      </c>
      <c r="J1565">
        <v>0</v>
      </c>
      <c r="K1565">
        <f t="shared" si="1134"/>
        <v>32.400000000000006</v>
      </c>
      <c r="L1565">
        <v>0</v>
      </c>
      <c r="M1565">
        <v>0.1</v>
      </c>
      <c r="N1565">
        <v>0</v>
      </c>
      <c r="O1565">
        <f t="shared" si="1135"/>
        <v>0.1</v>
      </c>
      <c r="P1565">
        <v>0</v>
      </c>
      <c r="Q1565">
        <v>0.7</v>
      </c>
      <c r="R1565">
        <v>0</v>
      </c>
      <c r="S1565">
        <f t="shared" si="1136"/>
        <v>0.7</v>
      </c>
      <c r="T1565">
        <v>0</v>
      </c>
      <c r="U1565">
        <v>0</v>
      </c>
      <c r="V1565">
        <v>2.7</v>
      </c>
      <c r="W1565">
        <v>0.2</v>
      </c>
      <c r="X1565">
        <v>0</v>
      </c>
      <c r="Y1565">
        <v>0</v>
      </c>
      <c r="Z1565">
        <v>0.2</v>
      </c>
      <c r="AA1565">
        <f t="shared" si="1137"/>
        <v>3.1000000000000005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11.4</v>
      </c>
      <c r="AJ1565" s="5">
        <f t="shared" si="1141"/>
        <v>11.4</v>
      </c>
      <c r="AK1565">
        <v>0.2</v>
      </c>
      <c r="AL1565">
        <v>0.52100000000000002</v>
      </c>
      <c r="AM1565">
        <f t="shared" si="1126"/>
        <v>0.47700000000000004</v>
      </c>
      <c r="AN1565">
        <v>28279</v>
      </c>
      <c r="AO1565" t="s">
        <v>13</v>
      </c>
      <c r="AP1565" s="3">
        <f t="shared" si="1127"/>
        <v>54070.74569789676</v>
      </c>
      <c r="AQ1565" t="s">
        <v>13</v>
      </c>
      <c r="AR1565">
        <f t="shared" si="1117"/>
        <v>0.2389937106918239</v>
      </c>
      <c r="AS1565">
        <f t="shared" si="1138"/>
        <v>0.3630000000000001</v>
      </c>
      <c r="AT1565">
        <f t="shared" si="1139"/>
        <v>19628</v>
      </c>
      <c r="AU1565">
        <f t="shared" si="1140"/>
        <v>6164</v>
      </c>
      <c r="AV1565">
        <f t="shared" si="1128"/>
        <v>10868</v>
      </c>
      <c r="AW1565">
        <f t="shared" si="1129"/>
        <v>7732</v>
      </c>
      <c r="AX1565" s="3">
        <f t="shared" si="1130"/>
        <v>35470.74569789676</v>
      </c>
      <c r="AY1565">
        <f t="shared" si="1131"/>
        <v>9814</v>
      </c>
      <c r="AZ1565">
        <f t="shared" si="1132"/>
        <v>7920</v>
      </c>
      <c r="BA1565" s="3">
        <f t="shared" si="1133"/>
        <v>36336.74569789676</v>
      </c>
    </row>
    <row r="1566" spans="1:53" x14ac:dyDescent="0.2">
      <c r="A1566">
        <v>1990</v>
      </c>
      <c r="B1566" t="s">
        <v>128</v>
      </c>
      <c r="C1566" t="s">
        <v>126</v>
      </c>
      <c r="D1566">
        <v>17.100000000000001</v>
      </c>
      <c r="E1566">
        <v>1.8</v>
      </c>
      <c r="F1566">
        <v>0</v>
      </c>
      <c r="G1566">
        <v>12.3</v>
      </c>
      <c r="H1566">
        <v>1.4</v>
      </c>
      <c r="I1566">
        <v>7.3</v>
      </c>
      <c r="J1566">
        <v>0</v>
      </c>
      <c r="K1566">
        <f t="shared" si="1134"/>
        <v>39.9</v>
      </c>
      <c r="L1566">
        <v>0.2</v>
      </c>
      <c r="M1566">
        <v>0.5</v>
      </c>
      <c r="N1566">
        <v>0</v>
      </c>
      <c r="O1566">
        <f t="shared" si="1135"/>
        <v>0.7</v>
      </c>
      <c r="P1566">
        <v>0</v>
      </c>
      <c r="Q1566">
        <v>0.2</v>
      </c>
      <c r="R1566">
        <v>0</v>
      </c>
      <c r="S1566">
        <f t="shared" si="1136"/>
        <v>0.2</v>
      </c>
      <c r="T1566">
        <v>1.5</v>
      </c>
      <c r="U1566">
        <v>0.3</v>
      </c>
      <c r="V1566">
        <v>1.2</v>
      </c>
      <c r="W1566">
        <v>1</v>
      </c>
      <c r="X1566">
        <v>0</v>
      </c>
      <c r="Y1566">
        <v>0</v>
      </c>
      <c r="Z1566">
        <v>0</v>
      </c>
      <c r="AA1566">
        <f t="shared" si="1137"/>
        <v>4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8</v>
      </c>
      <c r="AJ1566" s="5">
        <f t="shared" si="1141"/>
        <v>8</v>
      </c>
      <c r="AK1566">
        <v>0</v>
      </c>
      <c r="AL1566">
        <v>0.47200000000000003</v>
      </c>
      <c r="AM1566">
        <f t="shared" si="1126"/>
        <v>0.52800000000000002</v>
      </c>
      <c r="AN1566">
        <v>26799</v>
      </c>
      <c r="AO1566" t="s">
        <v>13</v>
      </c>
      <c r="AP1566" s="3">
        <f t="shared" si="1127"/>
        <v>56777.542372881362</v>
      </c>
      <c r="AQ1566" t="s">
        <v>13</v>
      </c>
      <c r="AR1566">
        <f t="shared" si="1117"/>
        <v>0.15151515151515152</v>
      </c>
      <c r="AS1566">
        <f t="shared" si="1138"/>
        <v>0.44800000000000006</v>
      </c>
      <c r="AT1566">
        <f t="shared" si="1139"/>
        <v>25436</v>
      </c>
      <c r="AU1566">
        <f t="shared" si="1140"/>
        <v>4542</v>
      </c>
      <c r="AV1566">
        <f t="shared" si="1128"/>
        <v>14109</v>
      </c>
      <c r="AW1566">
        <f t="shared" si="1129"/>
        <v>6184</v>
      </c>
      <c r="AX1566" s="3">
        <f t="shared" si="1130"/>
        <v>36484.542372881362</v>
      </c>
      <c r="AY1566">
        <f t="shared" si="1131"/>
        <v>12718</v>
      </c>
      <c r="AZ1566">
        <f t="shared" si="1132"/>
        <v>6385</v>
      </c>
      <c r="BA1566" s="3">
        <f t="shared" si="1133"/>
        <v>37674.542372881362</v>
      </c>
    </row>
    <row r="1567" spans="1:53" x14ac:dyDescent="0.2">
      <c r="A1567">
        <v>1991</v>
      </c>
      <c r="B1567" t="s">
        <v>128</v>
      </c>
      <c r="C1567" t="s">
        <v>126</v>
      </c>
      <c r="D1567">
        <v>21.6</v>
      </c>
      <c r="E1567">
        <v>0</v>
      </c>
      <c r="F1567">
        <v>0.5</v>
      </c>
      <c r="G1567">
        <v>15.8</v>
      </c>
      <c r="H1567">
        <v>1</v>
      </c>
      <c r="I1567">
        <v>6.9</v>
      </c>
      <c r="J1567">
        <v>0</v>
      </c>
      <c r="K1567">
        <f t="shared" si="1134"/>
        <v>45.800000000000004</v>
      </c>
      <c r="L1567">
        <v>0.4</v>
      </c>
      <c r="M1567">
        <v>0.7</v>
      </c>
      <c r="N1567">
        <v>0</v>
      </c>
      <c r="O1567">
        <f t="shared" si="1135"/>
        <v>1.1000000000000001</v>
      </c>
      <c r="P1567">
        <v>0</v>
      </c>
      <c r="Q1567">
        <v>0</v>
      </c>
      <c r="R1567">
        <v>0</v>
      </c>
      <c r="S1567">
        <f t="shared" si="1136"/>
        <v>0</v>
      </c>
      <c r="T1567">
        <v>0.2</v>
      </c>
      <c r="U1567">
        <v>0</v>
      </c>
      <c r="V1567">
        <v>0.1</v>
      </c>
      <c r="W1567">
        <v>1</v>
      </c>
      <c r="X1567">
        <v>0</v>
      </c>
      <c r="Y1567">
        <v>0</v>
      </c>
      <c r="Z1567">
        <v>0.2</v>
      </c>
      <c r="AA1567">
        <f t="shared" si="1137"/>
        <v>1.5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8.6</v>
      </c>
      <c r="AJ1567" s="5">
        <f t="shared" si="1141"/>
        <v>8.6</v>
      </c>
      <c r="AK1567">
        <v>0</v>
      </c>
      <c r="AL1567">
        <v>0.43099999999999999</v>
      </c>
      <c r="AM1567">
        <f t="shared" si="1126"/>
        <v>0.56999999999999995</v>
      </c>
      <c r="AN1567">
        <v>26100</v>
      </c>
      <c r="AO1567" t="s">
        <v>13</v>
      </c>
      <c r="AP1567" s="3">
        <f t="shared" si="1127"/>
        <v>60697.674418604642</v>
      </c>
      <c r="AQ1567" t="s">
        <v>13</v>
      </c>
      <c r="AR1567">
        <f t="shared" si="1117"/>
        <v>0.15087719298245614</v>
      </c>
      <c r="AS1567">
        <f t="shared" si="1138"/>
        <v>0.48400000000000004</v>
      </c>
      <c r="AT1567">
        <f t="shared" si="1139"/>
        <v>29378</v>
      </c>
      <c r="AU1567">
        <f t="shared" si="1140"/>
        <v>5220</v>
      </c>
      <c r="AV1567">
        <f t="shared" si="1128"/>
        <v>15478</v>
      </c>
      <c r="AW1567">
        <f t="shared" si="1129"/>
        <v>7537</v>
      </c>
      <c r="AX1567" s="3">
        <f t="shared" si="1130"/>
        <v>37682.674418604642</v>
      </c>
      <c r="AY1567">
        <f t="shared" si="1131"/>
        <v>14689</v>
      </c>
      <c r="AZ1567">
        <f t="shared" si="1132"/>
        <v>7668</v>
      </c>
      <c r="BA1567" s="3">
        <f t="shared" si="1133"/>
        <v>38340.674418604642</v>
      </c>
    </row>
    <row r="1568" spans="1:53" x14ac:dyDescent="0.2">
      <c r="A1568">
        <v>1992</v>
      </c>
      <c r="B1568" t="s">
        <v>128</v>
      </c>
      <c r="C1568" t="s">
        <v>126</v>
      </c>
      <c r="D1568">
        <v>4.5</v>
      </c>
      <c r="E1568">
        <v>2.9</v>
      </c>
      <c r="F1568">
        <v>0</v>
      </c>
      <c r="G1568">
        <v>7.4</v>
      </c>
      <c r="H1568">
        <v>1.7</v>
      </c>
      <c r="I1568">
        <v>15</v>
      </c>
      <c r="J1568">
        <v>0</v>
      </c>
      <c r="K1568">
        <f t="shared" si="1134"/>
        <v>31.5</v>
      </c>
      <c r="L1568">
        <v>0.6</v>
      </c>
      <c r="M1568">
        <v>0.3</v>
      </c>
      <c r="N1568">
        <v>0</v>
      </c>
      <c r="O1568">
        <f t="shared" si="1135"/>
        <v>0.89999999999999991</v>
      </c>
      <c r="P1568">
        <v>0</v>
      </c>
      <c r="Q1568">
        <v>0</v>
      </c>
      <c r="R1568">
        <v>0.2</v>
      </c>
      <c r="S1568">
        <f t="shared" si="1136"/>
        <v>0.2</v>
      </c>
      <c r="T1568">
        <v>0.1</v>
      </c>
      <c r="U1568">
        <v>0.2</v>
      </c>
      <c r="V1568">
        <v>1.8</v>
      </c>
      <c r="W1568">
        <v>0.2</v>
      </c>
      <c r="X1568">
        <v>0</v>
      </c>
      <c r="Y1568">
        <v>0</v>
      </c>
      <c r="Z1568">
        <v>0.2</v>
      </c>
      <c r="AA1568">
        <f t="shared" si="1137"/>
        <v>2.5000000000000004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8</v>
      </c>
      <c r="AJ1568" s="5">
        <f t="shared" si="1141"/>
        <v>8</v>
      </c>
      <c r="AK1568">
        <v>0</v>
      </c>
      <c r="AL1568">
        <v>0.56799999999999995</v>
      </c>
      <c r="AM1568">
        <f t="shared" si="1126"/>
        <v>0.43099999999999994</v>
      </c>
      <c r="AN1568">
        <v>26090</v>
      </c>
      <c r="AO1568" t="s">
        <v>13</v>
      </c>
      <c r="AP1568" s="3">
        <f t="shared" si="1127"/>
        <v>45852.372583479781</v>
      </c>
      <c r="AQ1568" t="s">
        <v>13</v>
      </c>
      <c r="AR1568">
        <f t="shared" si="1117"/>
        <v>0.18561484918793505</v>
      </c>
      <c r="AS1568">
        <f t="shared" si="1138"/>
        <v>0.35100000000000003</v>
      </c>
      <c r="AT1568">
        <f t="shared" si="1139"/>
        <v>16094</v>
      </c>
      <c r="AU1568">
        <f t="shared" si="1140"/>
        <v>3668</v>
      </c>
      <c r="AV1568">
        <f t="shared" si="1128"/>
        <v>8872</v>
      </c>
      <c r="AW1568">
        <f t="shared" si="1129"/>
        <v>4558</v>
      </c>
      <c r="AX1568" s="3">
        <f t="shared" si="1130"/>
        <v>32422.372583479781</v>
      </c>
      <c r="AY1568">
        <f t="shared" si="1131"/>
        <v>8047</v>
      </c>
      <c r="AZ1568">
        <f t="shared" si="1132"/>
        <v>4660</v>
      </c>
      <c r="BA1568" s="3">
        <f t="shared" si="1133"/>
        <v>33145.372583479781</v>
      </c>
    </row>
    <row r="1569" spans="1:53" x14ac:dyDescent="0.2">
      <c r="A1569">
        <v>1993</v>
      </c>
      <c r="B1569" t="s">
        <v>128</v>
      </c>
      <c r="C1569" t="s">
        <v>126</v>
      </c>
      <c r="D1569">
        <v>10.1</v>
      </c>
      <c r="E1569">
        <v>0.5</v>
      </c>
      <c r="F1569">
        <v>0.2</v>
      </c>
      <c r="G1569">
        <v>16.899999999999999</v>
      </c>
      <c r="H1569">
        <v>1</v>
      </c>
      <c r="I1569">
        <v>18.399999999999999</v>
      </c>
      <c r="J1569">
        <v>0</v>
      </c>
      <c r="K1569">
        <f t="shared" si="1134"/>
        <v>47.099999999999994</v>
      </c>
      <c r="L1569">
        <v>0.2</v>
      </c>
      <c r="M1569">
        <v>0</v>
      </c>
      <c r="N1569">
        <v>0</v>
      </c>
      <c r="O1569">
        <f t="shared" si="1135"/>
        <v>0.2</v>
      </c>
      <c r="P1569">
        <v>0</v>
      </c>
      <c r="Q1569">
        <v>0.4</v>
      </c>
      <c r="R1569">
        <v>0</v>
      </c>
      <c r="S1569">
        <f t="shared" si="1136"/>
        <v>0.4</v>
      </c>
      <c r="T1569">
        <v>0.5</v>
      </c>
      <c r="U1569">
        <v>0.1</v>
      </c>
      <c r="V1569">
        <v>2.2000000000000002</v>
      </c>
      <c r="W1569">
        <v>0</v>
      </c>
      <c r="X1569">
        <v>0</v>
      </c>
      <c r="Y1569">
        <v>0</v>
      </c>
      <c r="Z1569">
        <v>0</v>
      </c>
      <c r="AA1569">
        <f t="shared" si="1137"/>
        <v>2.8000000000000003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26</v>
      </c>
      <c r="AJ1569" s="5">
        <f t="shared" si="1141"/>
        <v>26</v>
      </c>
      <c r="AK1569">
        <v>0</v>
      </c>
      <c r="AL1569">
        <v>0.23499999999999999</v>
      </c>
      <c r="AM1569">
        <f t="shared" si="1126"/>
        <v>0.76500000000000001</v>
      </c>
      <c r="AN1569">
        <v>10446</v>
      </c>
      <c r="AO1569" t="s">
        <v>13</v>
      </c>
      <c r="AP1569" s="3">
        <f t="shared" si="1127"/>
        <v>44451.063829787236</v>
      </c>
      <c r="AQ1569" t="s">
        <v>13</v>
      </c>
      <c r="AR1569">
        <f t="shared" si="1117"/>
        <v>0.33986928104575165</v>
      </c>
      <c r="AS1569">
        <f t="shared" si="1138"/>
        <v>0.50499999999999989</v>
      </c>
      <c r="AT1569">
        <f t="shared" si="1139"/>
        <v>22448</v>
      </c>
      <c r="AU1569">
        <f t="shared" si="1140"/>
        <v>11557</v>
      </c>
      <c r="AV1569">
        <f t="shared" si="1128"/>
        <v>11980</v>
      </c>
      <c r="AW1569">
        <f t="shared" si="1129"/>
        <v>17055</v>
      </c>
      <c r="AX1569" s="3">
        <f t="shared" si="1130"/>
        <v>15416.063829787236</v>
      </c>
      <c r="AY1569">
        <f t="shared" si="1131"/>
        <v>11224</v>
      </c>
      <c r="AZ1569">
        <f t="shared" si="1132"/>
        <v>17452</v>
      </c>
      <c r="BA1569" s="3">
        <f t="shared" si="1133"/>
        <v>15775.063829787236</v>
      </c>
    </row>
    <row r="1570" spans="1:53" x14ac:dyDescent="0.2">
      <c r="A1570">
        <v>1994</v>
      </c>
      <c r="B1570" t="s">
        <v>128</v>
      </c>
      <c r="C1570" t="s">
        <v>126</v>
      </c>
      <c r="D1570">
        <v>13.8</v>
      </c>
      <c r="E1570">
        <v>0.5</v>
      </c>
      <c r="F1570">
        <v>0.8</v>
      </c>
      <c r="G1570">
        <v>14.6</v>
      </c>
      <c r="H1570">
        <v>1.8</v>
      </c>
      <c r="I1570">
        <v>4.8</v>
      </c>
      <c r="J1570">
        <v>0</v>
      </c>
      <c r="K1570">
        <f t="shared" si="1134"/>
        <v>36.300000000000004</v>
      </c>
      <c r="L1570">
        <v>0.2</v>
      </c>
      <c r="M1570">
        <v>0.1</v>
      </c>
      <c r="N1570">
        <v>0</v>
      </c>
      <c r="O1570">
        <f t="shared" si="1135"/>
        <v>0.30000000000000004</v>
      </c>
      <c r="P1570">
        <v>0</v>
      </c>
      <c r="Q1570">
        <v>0</v>
      </c>
      <c r="R1570">
        <v>0</v>
      </c>
      <c r="S1570">
        <f t="shared" si="1136"/>
        <v>0</v>
      </c>
      <c r="T1570">
        <v>0</v>
      </c>
      <c r="U1570">
        <v>0</v>
      </c>
      <c r="V1570">
        <v>1.2</v>
      </c>
      <c r="W1570">
        <v>0.6</v>
      </c>
      <c r="X1570">
        <v>0</v>
      </c>
      <c r="Y1570">
        <v>0</v>
      </c>
      <c r="Z1570">
        <v>0</v>
      </c>
      <c r="AA1570">
        <f t="shared" si="1137"/>
        <v>1.7999999999999998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9.9</v>
      </c>
      <c r="AJ1570" s="5">
        <f t="shared" si="1141"/>
        <v>9.9</v>
      </c>
      <c r="AK1570">
        <v>0</v>
      </c>
      <c r="AL1570">
        <v>0.51700000000000002</v>
      </c>
      <c r="AM1570">
        <f t="shared" si="1126"/>
        <v>0.48299999999999987</v>
      </c>
      <c r="AN1570">
        <v>23570</v>
      </c>
      <c r="AO1570" t="s">
        <v>13</v>
      </c>
      <c r="AP1570" s="3">
        <f t="shared" si="1127"/>
        <v>45589.941972920686</v>
      </c>
      <c r="AQ1570" t="s">
        <v>13</v>
      </c>
      <c r="AR1570">
        <f t="shared" si="1117"/>
        <v>0.20496894409937894</v>
      </c>
      <c r="AS1570">
        <f t="shared" si="1138"/>
        <v>0.38400000000000001</v>
      </c>
      <c r="AT1570">
        <f t="shared" si="1139"/>
        <v>17507</v>
      </c>
      <c r="AU1570">
        <f t="shared" si="1140"/>
        <v>4513</v>
      </c>
      <c r="AV1570">
        <f t="shared" si="1128"/>
        <v>9232</v>
      </c>
      <c r="AW1570">
        <f t="shared" si="1129"/>
        <v>5843</v>
      </c>
      <c r="AX1570" s="3">
        <f t="shared" si="1130"/>
        <v>30514.941972920686</v>
      </c>
      <c r="AY1570">
        <f t="shared" si="1131"/>
        <v>8753</v>
      </c>
      <c r="AZ1570">
        <f t="shared" si="1132"/>
        <v>5920</v>
      </c>
      <c r="BA1570" s="3">
        <f t="shared" si="1133"/>
        <v>30916.941972920686</v>
      </c>
    </row>
    <row r="1571" spans="1:53" x14ac:dyDescent="0.2">
      <c r="A1571">
        <v>1995</v>
      </c>
      <c r="B1571" t="s">
        <v>128</v>
      </c>
      <c r="C1571" t="s">
        <v>126</v>
      </c>
      <c r="D1571">
        <v>9.4</v>
      </c>
      <c r="E1571">
        <v>0.2</v>
      </c>
      <c r="F1571">
        <v>0.4</v>
      </c>
      <c r="G1571">
        <v>5.6</v>
      </c>
      <c r="H1571">
        <v>1.1000000000000001</v>
      </c>
      <c r="I1571">
        <v>1</v>
      </c>
      <c r="J1571">
        <v>0.2</v>
      </c>
      <c r="K1571">
        <f t="shared" si="1134"/>
        <v>17.899999999999999</v>
      </c>
      <c r="L1571">
        <v>0.1</v>
      </c>
      <c r="M1571">
        <v>0</v>
      </c>
      <c r="N1571">
        <v>0</v>
      </c>
      <c r="O1571">
        <f t="shared" si="1135"/>
        <v>0.1</v>
      </c>
      <c r="P1571">
        <v>0</v>
      </c>
      <c r="Q1571">
        <v>2.7</v>
      </c>
      <c r="R1571">
        <v>0</v>
      </c>
      <c r="S1571">
        <f t="shared" si="1136"/>
        <v>2.7</v>
      </c>
      <c r="T1571">
        <v>0</v>
      </c>
      <c r="U1571">
        <v>0</v>
      </c>
      <c r="V1571">
        <v>0.2</v>
      </c>
      <c r="W1571">
        <v>0.2</v>
      </c>
      <c r="X1571">
        <v>0</v>
      </c>
      <c r="Y1571">
        <v>0</v>
      </c>
      <c r="Z1571">
        <v>0</v>
      </c>
      <c r="AA1571">
        <f t="shared" si="1137"/>
        <v>0.4</v>
      </c>
      <c r="AB1571">
        <v>0.1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19.2</v>
      </c>
      <c r="AJ1571" s="5">
        <f t="shared" si="1141"/>
        <v>19.3</v>
      </c>
      <c r="AK1571">
        <v>0</v>
      </c>
      <c r="AL1571">
        <v>0.59499999999999997</v>
      </c>
      <c r="AM1571">
        <f t="shared" si="1126"/>
        <v>0.40400000000000008</v>
      </c>
      <c r="AN1571">
        <v>26715</v>
      </c>
      <c r="AO1571" t="s">
        <v>13</v>
      </c>
      <c r="AP1571" s="3">
        <f t="shared" si="1127"/>
        <v>44823.825503355714</v>
      </c>
      <c r="AQ1571" t="s">
        <v>13</v>
      </c>
      <c r="AR1571">
        <f t="shared" si="1117"/>
        <v>0.47772277227722765</v>
      </c>
      <c r="AS1571">
        <f t="shared" si="1138"/>
        <v>0.21099999999999997</v>
      </c>
      <c r="AT1571">
        <f t="shared" si="1139"/>
        <v>9458</v>
      </c>
      <c r="AU1571">
        <f t="shared" si="1140"/>
        <v>8651</v>
      </c>
      <c r="AV1571">
        <f t="shared" si="1128"/>
        <v>5446</v>
      </c>
      <c r="AW1571">
        <f t="shared" si="1129"/>
        <v>9632</v>
      </c>
      <c r="AX1571" s="3">
        <f t="shared" si="1130"/>
        <v>29745.825503355714</v>
      </c>
      <c r="AY1571">
        <f t="shared" si="1131"/>
        <v>4729</v>
      </c>
      <c r="AZ1571">
        <f t="shared" si="1132"/>
        <v>9808</v>
      </c>
      <c r="BA1571" s="3">
        <f t="shared" si="1133"/>
        <v>30286.825503355714</v>
      </c>
    </row>
    <row r="1572" spans="1:53" x14ac:dyDescent="0.2">
      <c r="A1572">
        <v>1996</v>
      </c>
      <c r="B1572" t="s">
        <v>128</v>
      </c>
      <c r="C1572" t="s">
        <v>126</v>
      </c>
      <c r="D1572">
        <v>18.600000000000001</v>
      </c>
      <c r="E1572">
        <v>0</v>
      </c>
      <c r="F1572">
        <v>0</v>
      </c>
      <c r="G1572">
        <v>1.3</v>
      </c>
      <c r="H1572">
        <v>0</v>
      </c>
      <c r="I1572">
        <v>0.6</v>
      </c>
      <c r="J1572">
        <v>0</v>
      </c>
      <c r="K1572">
        <f t="shared" si="1134"/>
        <v>20.500000000000004</v>
      </c>
      <c r="L1572">
        <v>0.1</v>
      </c>
      <c r="M1572">
        <v>0</v>
      </c>
      <c r="N1572">
        <v>0</v>
      </c>
      <c r="O1572">
        <f t="shared" si="1135"/>
        <v>0.1</v>
      </c>
      <c r="P1572">
        <v>0</v>
      </c>
      <c r="Q1572">
        <v>0.9</v>
      </c>
      <c r="R1572">
        <v>0</v>
      </c>
      <c r="S1572">
        <f t="shared" si="1136"/>
        <v>0.9</v>
      </c>
      <c r="T1572">
        <v>0.4</v>
      </c>
      <c r="U1572">
        <v>0</v>
      </c>
      <c r="V1572">
        <v>3.8</v>
      </c>
      <c r="W1572">
        <v>0.8</v>
      </c>
      <c r="X1572">
        <v>0</v>
      </c>
      <c r="Y1572">
        <v>0</v>
      </c>
      <c r="Z1572">
        <v>0</v>
      </c>
      <c r="AA1572">
        <f t="shared" si="1137"/>
        <v>5</v>
      </c>
      <c r="AB1572">
        <v>0</v>
      </c>
      <c r="AC1572">
        <v>0</v>
      </c>
      <c r="AD1572">
        <v>0</v>
      </c>
      <c r="AE1572">
        <v>0</v>
      </c>
      <c r="AF1572">
        <v>0.1</v>
      </c>
      <c r="AG1572">
        <v>0</v>
      </c>
      <c r="AH1572">
        <v>0</v>
      </c>
      <c r="AI1572">
        <v>16.2</v>
      </c>
      <c r="AJ1572" s="5">
        <f t="shared" si="1141"/>
        <v>16.3</v>
      </c>
      <c r="AK1572">
        <v>0</v>
      </c>
      <c r="AL1572">
        <v>0.57299999999999995</v>
      </c>
      <c r="AM1572">
        <f t="shared" si="1126"/>
        <v>0.42800000000000005</v>
      </c>
      <c r="AN1572">
        <v>33051</v>
      </c>
      <c r="AO1572" t="s">
        <v>13</v>
      </c>
      <c r="AP1572" s="3">
        <f t="shared" si="1127"/>
        <v>57781.468531468534</v>
      </c>
      <c r="AQ1572" t="s">
        <v>13</v>
      </c>
      <c r="AR1572">
        <f t="shared" ref="AR1572:AR1635" si="1142">(AJ1572/100)/AM1572</f>
        <v>0.38084112149532706</v>
      </c>
      <c r="AS1572">
        <f t="shared" si="1138"/>
        <v>0.26500000000000001</v>
      </c>
      <c r="AT1572">
        <f t="shared" si="1139"/>
        <v>15312</v>
      </c>
      <c r="AU1572">
        <f t="shared" si="1140"/>
        <v>9418</v>
      </c>
      <c r="AV1572">
        <f t="shared" si="1128"/>
        <v>9389</v>
      </c>
      <c r="AW1572">
        <f t="shared" si="1129"/>
        <v>10731</v>
      </c>
      <c r="AX1572" s="3">
        <f t="shared" si="1130"/>
        <v>37661.468531468534</v>
      </c>
      <c r="AY1572">
        <f t="shared" si="1131"/>
        <v>7656</v>
      </c>
      <c r="AZ1572">
        <f t="shared" si="1132"/>
        <v>11116</v>
      </c>
      <c r="BA1572" s="3">
        <f t="shared" si="1133"/>
        <v>39009.468531468534</v>
      </c>
    </row>
    <row r="1573" spans="1:53" x14ac:dyDescent="0.2">
      <c r="A1573">
        <v>1997</v>
      </c>
      <c r="B1573" t="s">
        <v>128</v>
      </c>
      <c r="C1573" t="s">
        <v>126</v>
      </c>
      <c r="D1573">
        <v>29.6</v>
      </c>
      <c r="E1573">
        <v>0</v>
      </c>
      <c r="F1573">
        <v>2.1</v>
      </c>
      <c r="G1573">
        <v>3.2</v>
      </c>
      <c r="H1573">
        <v>0.4</v>
      </c>
      <c r="I1573">
        <v>0.2</v>
      </c>
      <c r="J1573">
        <v>0</v>
      </c>
      <c r="K1573">
        <f t="shared" si="1134"/>
        <v>35.500000000000007</v>
      </c>
      <c r="L1573">
        <v>0.1</v>
      </c>
      <c r="M1573">
        <v>0</v>
      </c>
      <c r="N1573">
        <v>0</v>
      </c>
      <c r="O1573">
        <f t="shared" si="1135"/>
        <v>0.1</v>
      </c>
      <c r="P1573">
        <v>0</v>
      </c>
      <c r="Q1573">
        <v>2</v>
      </c>
      <c r="R1573">
        <v>0</v>
      </c>
      <c r="S1573">
        <f t="shared" si="1136"/>
        <v>2</v>
      </c>
      <c r="T1573">
        <v>0</v>
      </c>
      <c r="U1573">
        <v>0.1</v>
      </c>
      <c r="V1573">
        <v>1.3</v>
      </c>
      <c r="W1573">
        <v>0.3</v>
      </c>
      <c r="X1573">
        <v>0</v>
      </c>
      <c r="Y1573">
        <v>0</v>
      </c>
      <c r="Z1573">
        <v>0</v>
      </c>
      <c r="AA1573">
        <f t="shared" si="1137"/>
        <v>1.7000000000000002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19.3</v>
      </c>
      <c r="AJ1573" s="5">
        <f t="shared" si="1141"/>
        <v>19.3</v>
      </c>
      <c r="AK1573">
        <v>0</v>
      </c>
      <c r="AL1573">
        <v>0.41499999999999998</v>
      </c>
      <c r="AM1573">
        <f t="shared" si="1126"/>
        <v>0.58600000000000008</v>
      </c>
      <c r="AN1573">
        <v>22305</v>
      </c>
      <c r="AO1573" t="s">
        <v>13</v>
      </c>
      <c r="AP1573" s="3">
        <f t="shared" si="1127"/>
        <v>53876.811594202911</v>
      </c>
      <c r="AQ1573" t="s">
        <v>13</v>
      </c>
      <c r="AR1573">
        <f t="shared" si="1142"/>
        <v>0.32935153583617743</v>
      </c>
      <c r="AS1573">
        <f t="shared" si="1138"/>
        <v>0.39300000000000013</v>
      </c>
      <c r="AT1573">
        <f t="shared" si="1139"/>
        <v>21174</v>
      </c>
      <c r="AU1573">
        <f t="shared" si="1140"/>
        <v>10398</v>
      </c>
      <c r="AV1573">
        <f t="shared" si="1128"/>
        <v>11610</v>
      </c>
      <c r="AW1573">
        <f t="shared" si="1129"/>
        <v>13439</v>
      </c>
      <c r="AX1573" s="3">
        <f t="shared" si="1130"/>
        <v>28827.811594202911</v>
      </c>
      <c r="AY1573">
        <f t="shared" si="1131"/>
        <v>10587</v>
      </c>
      <c r="AZ1573">
        <f t="shared" si="1132"/>
        <v>13764</v>
      </c>
      <c r="BA1573" s="3">
        <f t="shared" si="1133"/>
        <v>29525.811594202911</v>
      </c>
    </row>
    <row r="1574" spans="1:53" x14ac:dyDescent="0.2">
      <c r="A1574">
        <v>1998</v>
      </c>
      <c r="B1574" t="s">
        <v>128</v>
      </c>
      <c r="C1574" t="s">
        <v>126</v>
      </c>
      <c r="D1574">
        <v>9.1</v>
      </c>
      <c r="E1574">
        <v>0.6</v>
      </c>
      <c r="F1574">
        <v>0.4</v>
      </c>
      <c r="G1574">
        <v>10.4</v>
      </c>
      <c r="H1574">
        <v>2</v>
      </c>
      <c r="I1574">
        <v>0</v>
      </c>
      <c r="J1574">
        <v>0</v>
      </c>
      <c r="K1574">
        <f t="shared" si="1134"/>
        <v>22.5</v>
      </c>
      <c r="L1574">
        <v>0</v>
      </c>
      <c r="M1574">
        <v>0</v>
      </c>
      <c r="N1574">
        <v>0</v>
      </c>
      <c r="O1574">
        <f t="shared" si="1135"/>
        <v>0</v>
      </c>
      <c r="P1574">
        <v>0</v>
      </c>
      <c r="Q1574">
        <v>0.2</v>
      </c>
      <c r="R1574">
        <v>0</v>
      </c>
      <c r="S1574">
        <f t="shared" si="1136"/>
        <v>0.2</v>
      </c>
      <c r="T1574">
        <v>0</v>
      </c>
      <c r="U1574">
        <v>0</v>
      </c>
      <c r="V1574">
        <v>0.1</v>
      </c>
      <c r="W1574">
        <v>1.3</v>
      </c>
      <c r="X1574">
        <v>0</v>
      </c>
      <c r="Y1574">
        <v>0</v>
      </c>
      <c r="Z1574">
        <v>0</v>
      </c>
      <c r="AA1574">
        <f t="shared" si="1137"/>
        <v>1.4000000000000001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0.1</v>
      </c>
      <c r="AI1574">
        <v>26.7</v>
      </c>
      <c r="AJ1574" s="5">
        <f t="shared" si="1141"/>
        <v>26.8</v>
      </c>
      <c r="AK1574">
        <v>0</v>
      </c>
      <c r="AL1574">
        <v>0.49099999999999999</v>
      </c>
      <c r="AM1574">
        <f t="shared" si="1126"/>
        <v>0.50900000000000001</v>
      </c>
      <c r="AN1574">
        <v>24708</v>
      </c>
      <c r="AO1574" t="s">
        <v>13</v>
      </c>
      <c r="AP1574" s="3">
        <f t="shared" si="1127"/>
        <v>50321.792260692462</v>
      </c>
      <c r="AQ1574" t="s">
        <v>13</v>
      </c>
      <c r="AR1574">
        <f t="shared" si="1142"/>
        <v>0.52652259332023577</v>
      </c>
      <c r="AS1574">
        <f t="shared" si="1138"/>
        <v>0.24099999999999999</v>
      </c>
      <c r="AT1574">
        <f t="shared" si="1139"/>
        <v>12128</v>
      </c>
      <c r="AU1574">
        <f t="shared" si="1140"/>
        <v>13486</v>
      </c>
      <c r="AV1574">
        <f t="shared" si="1128"/>
        <v>6466</v>
      </c>
      <c r="AW1574">
        <f t="shared" si="1129"/>
        <v>15485</v>
      </c>
      <c r="AX1574" s="3">
        <f t="shared" si="1130"/>
        <v>28370.792260692462</v>
      </c>
      <c r="AY1574">
        <f t="shared" si="1131"/>
        <v>6064</v>
      </c>
      <c r="AZ1574">
        <f t="shared" si="1132"/>
        <v>15627</v>
      </c>
      <c r="BA1574" s="3">
        <f t="shared" si="1133"/>
        <v>28630.792260692462</v>
      </c>
    </row>
    <row r="1575" spans="1:53" x14ac:dyDescent="0.2">
      <c r="A1575">
        <v>1999</v>
      </c>
      <c r="B1575" t="s">
        <v>128</v>
      </c>
      <c r="C1575" t="s">
        <v>126</v>
      </c>
      <c r="D1575">
        <v>17.399999999999999</v>
      </c>
      <c r="E1575">
        <v>0.1</v>
      </c>
      <c r="F1575">
        <v>0.3</v>
      </c>
      <c r="G1575">
        <v>4.0999999999999996</v>
      </c>
      <c r="H1575">
        <v>4.5999999999999996</v>
      </c>
      <c r="I1575">
        <v>0</v>
      </c>
      <c r="J1575">
        <v>0</v>
      </c>
      <c r="K1575">
        <f t="shared" si="1134"/>
        <v>26.5</v>
      </c>
      <c r="L1575">
        <v>0</v>
      </c>
      <c r="M1575">
        <v>0</v>
      </c>
      <c r="N1575">
        <v>0</v>
      </c>
      <c r="O1575">
        <f t="shared" si="1135"/>
        <v>0</v>
      </c>
      <c r="P1575">
        <v>0</v>
      </c>
      <c r="Q1575">
        <v>0</v>
      </c>
      <c r="R1575">
        <v>0</v>
      </c>
      <c r="S1575">
        <f t="shared" si="1136"/>
        <v>0</v>
      </c>
      <c r="T1575">
        <v>0.2</v>
      </c>
      <c r="U1575">
        <v>0.1</v>
      </c>
      <c r="V1575">
        <v>0.3</v>
      </c>
      <c r="W1575">
        <v>1.3</v>
      </c>
      <c r="X1575">
        <v>0</v>
      </c>
      <c r="Y1575">
        <v>0</v>
      </c>
      <c r="Z1575">
        <v>0</v>
      </c>
      <c r="AA1575">
        <f t="shared" si="1137"/>
        <v>1.9000000000000001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11.5</v>
      </c>
      <c r="AJ1575" s="5">
        <f t="shared" si="1141"/>
        <v>11.5</v>
      </c>
      <c r="AK1575">
        <v>0.1</v>
      </c>
      <c r="AL1575">
        <v>0.6</v>
      </c>
      <c r="AM1575">
        <f t="shared" si="1126"/>
        <v>0.39899999999999997</v>
      </c>
      <c r="AN1575">
        <v>23963</v>
      </c>
      <c r="AO1575" t="s">
        <v>13</v>
      </c>
      <c r="AP1575" s="3">
        <f t="shared" si="1127"/>
        <v>39871.880199667219</v>
      </c>
      <c r="AQ1575" t="s">
        <v>13</v>
      </c>
      <c r="AR1575">
        <f t="shared" si="1142"/>
        <v>0.28822055137844615</v>
      </c>
      <c r="AS1575">
        <f t="shared" si="1138"/>
        <v>0.28399999999999997</v>
      </c>
      <c r="AT1575">
        <f t="shared" si="1139"/>
        <v>11324</v>
      </c>
      <c r="AU1575">
        <f t="shared" si="1140"/>
        <v>4585</v>
      </c>
      <c r="AV1575">
        <f t="shared" si="1128"/>
        <v>6041</v>
      </c>
      <c r="AW1575">
        <f t="shared" si="1129"/>
        <v>5433</v>
      </c>
      <c r="AX1575" s="3">
        <f t="shared" si="1130"/>
        <v>28397.880199667219</v>
      </c>
      <c r="AY1575">
        <f t="shared" si="1131"/>
        <v>5662</v>
      </c>
      <c r="AZ1575">
        <f t="shared" si="1132"/>
        <v>5494</v>
      </c>
      <c r="BA1575" s="3">
        <f t="shared" si="1133"/>
        <v>28715.880199667219</v>
      </c>
    </row>
    <row r="1576" spans="1:53" x14ac:dyDescent="0.2">
      <c r="A1576">
        <v>2000</v>
      </c>
      <c r="B1576" t="s">
        <v>128</v>
      </c>
      <c r="C1576" t="s">
        <v>126</v>
      </c>
      <c r="D1576">
        <v>15.7</v>
      </c>
      <c r="E1576">
        <v>0</v>
      </c>
      <c r="F1576">
        <v>0.6</v>
      </c>
      <c r="G1576">
        <v>3.2</v>
      </c>
      <c r="H1576">
        <v>1.7</v>
      </c>
      <c r="I1576">
        <v>0.2</v>
      </c>
      <c r="J1576">
        <v>0</v>
      </c>
      <c r="K1576">
        <f t="shared" si="1134"/>
        <v>21.4</v>
      </c>
      <c r="L1576">
        <v>0</v>
      </c>
      <c r="M1576">
        <v>0</v>
      </c>
      <c r="N1576">
        <v>0</v>
      </c>
      <c r="O1576">
        <f t="shared" si="1135"/>
        <v>0</v>
      </c>
      <c r="P1576">
        <v>0</v>
      </c>
      <c r="Q1576">
        <v>0</v>
      </c>
      <c r="R1576">
        <v>0</v>
      </c>
      <c r="S1576">
        <f t="shared" si="1136"/>
        <v>0</v>
      </c>
      <c r="T1576">
        <v>0.1</v>
      </c>
      <c r="U1576">
        <v>0</v>
      </c>
      <c r="V1576">
        <v>0.3</v>
      </c>
      <c r="W1576">
        <v>1.3</v>
      </c>
      <c r="X1576">
        <v>0</v>
      </c>
      <c r="Y1576">
        <v>0</v>
      </c>
      <c r="Z1576">
        <v>0</v>
      </c>
      <c r="AA1576">
        <f t="shared" si="1137"/>
        <v>1.7000000000000002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30.6</v>
      </c>
      <c r="AJ1576" s="5">
        <f t="shared" si="1141"/>
        <v>30.6</v>
      </c>
      <c r="AK1576">
        <v>0</v>
      </c>
      <c r="AL1576">
        <v>0.46299999999999997</v>
      </c>
      <c r="AM1576">
        <f t="shared" si="1126"/>
        <v>0.53700000000000014</v>
      </c>
      <c r="AN1576">
        <v>15730</v>
      </c>
      <c r="AO1576" t="s">
        <v>13</v>
      </c>
      <c r="AP1576" s="3">
        <f t="shared" si="1127"/>
        <v>33974.082073434132</v>
      </c>
      <c r="AQ1576" t="s">
        <v>13</v>
      </c>
      <c r="AR1576">
        <f t="shared" si="1142"/>
        <v>0.56983240223463671</v>
      </c>
      <c r="AS1576">
        <f t="shared" si="1138"/>
        <v>0.23099999999999998</v>
      </c>
      <c r="AT1576">
        <f t="shared" si="1139"/>
        <v>7848</v>
      </c>
      <c r="AU1576">
        <f t="shared" si="1140"/>
        <v>10396</v>
      </c>
      <c r="AV1576">
        <f t="shared" si="1128"/>
        <v>4213</v>
      </c>
      <c r="AW1576">
        <f t="shared" si="1129"/>
        <v>11842</v>
      </c>
      <c r="AX1576" s="3">
        <f t="shared" si="1130"/>
        <v>17919.082073434132</v>
      </c>
      <c r="AY1576">
        <f t="shared" si="1131"/>
        <v>3924</v>
      </c>
      <c r="AZ1576">
        <f t="shared" si="1132"/>
        <v>11957</v>
      </c>
      <c r="BA1576" s="3">
        <f t="shared" si="1133"/>
        <v>18093.082073434132</v>
      </c>
    </row>
    <row r="1577" spans="1:53" x14ac:dyDescent="0.2">
      <c r="A1577">
        <v>2001</v>
      </c>
      <c r="B1577" t="s">
        <v>128</v>
      </c>
      <c r="C1577" t="s">
        <v>126</v>
      </c>
      <c r="D1577">
        <v>15</v>
      </c>
      <c r="E1577">
        <v>0</v>
      </c>
      <c r="F1577">
        <v>1.2</v>
      </c>
      <c r="G1577">
        <v>3.5</v>
      </c>
      <c r="H1577">
        <v>1.8</v>
      </c>
      <c r="I1577">
        <v>0.2</v>
      </c>
      <c r="J1577">
        <v>0.1</v>
      </c>
      <c r="K1577">
        <f t="shared" si="1134"/>
        <v>21.8</v>
      </c>
      <c r="L1577">
        <v>0</v>
      </c>
      <c r="M1577">
        <v>0</v>
      </c>
      <c r="N1577">
        <v>0</v>
      </c>
      <c r="O1577">
        <f t="shared" si="1135"/>
        <v>0</v>
      </c>
      <c r="P1577">
        <v>0</v>
      </c>
      <c r="Q1577">
        <v>0</v>
      </c>
      <c r="R1577">
        <v>0</v>
      </c>
      <c r="S1577">
        <f t="shared" si="1136"/>
        <v>0</v>
      </c>
      <c r="T1577">
        <v>0.1</v>
      </c>
      <c r="U1577">
        <v>0.2</v>
      </c>
      <c r="V1577">
        <v>2.2999999999999998</v>
      </c>
      <c r="W1577">
        <v>1.5</v>
      </c>
      <c r="X1577">
        <v>0</v>
      </c>
      <c r="Y1577">
        <v>0</v>
      </c>
      <c r="Z1577">
        <v>0</v>
      </c>
      <c r="AA1577">
        <f t="shared" si="1137"/>
        <v>4.0999999999999996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0.1</v>
      </c>
      <c r="AI1577">
        <v>21.7</v>
      </c>
      <c r="AJ1577" s="5">
        <f t="shared" si="1141"/>
        <v>21.8</v>
      </c>
      <c r="AK1577">
        <v>0.1</v>
      </c>
      <c r="AL1577">
        <v>0.52100000000000002</v>
      </c>
      <c r="AM1577">
        <f t="shared" si="1126"/>
        <v>0.47700000000000009</v>
      </c>
      <c r="AN1577">
        <v>38717</v>
      </c>
      <c r="AO1577" t="s">
        <v>13</v>
      </c>
      <c r="AP1577" s="3">
        <f t="shared" si="1127"/>
        <v>74028.680688336535</v>
      </c>
      <c r="AQ1577" t="s">
        <v>13</v>
      </c>
      <c r="AR1577">
        <f t="shared" si="1142"/>
        <v>0.45702306079664562</v>
      </c>
      <c r="AS1577">
        <f t="shared" si="1138"/>
        <v>0.25900000000000001</v>
      </c>
      <c r="AT1577">
        <f t="shared" si="1139"/>
        <v>19173</v>
      </c>
      <c r="AU1577">
        <f t="shared" si="1140"/>
        <v>16138</v>
      </c>
      <c r="AV1577">
        <f t="shared" si="1128"/>
        <v>11104</v>
      </c>
      <c r="AW1577">
        <f t="shared" si="1129"/>
        <v>18512</v>
      </c>
      <c r="AX1577" s="3">
        <f t="shared" si="1130"/>
        <v>44412.680688336535</v>
      </c>
      <c r="AY1577">
        <f t="shared" si="1131"/>
        <v>9587</v>
      </c>
      <c r="AZ1577">
        <f t="shared" si="1132"/>
        <v>18958</v>
      </c>
      <c r="BA1577" s="3">
        <f t="shared" si="1133"/>
        <v>45483.680688336535</v>
      </c>
    </row>
    <row r="1578" spans="1:53" x14ac:dyDescent="0.2">
      <c r="A1578">
        <v>2002</v>
      </c>
      <c r="B1578" t="s">
        <v>128</v>
      </c>
      <c r="C1578" t="s">
        <v>126</v>
      </c>
      <c r="D1578">
        <v>20.399999999999999</v>
      </c>
      <c r="E1578">
        <v>0</v>
      </c>
      <c r="F1578">
        <v>1.1000000000000001</v>
      </c>
      <c r="G1578">
        <v>7.4</v>
      </c>
      <c r="H1578">
        <v>2.6</v>
      </c>
      <c r="I1578">
        <v>0.1</v>
      </c>
      <c r="J1578">
        <v>0</v>
      </c>
      <c r="K1578">
        <f t="shared" si="1134"/>
        <v>31.6</v>
      </c>
      <c r="L1578">
        <v>0</v>
      </c>
      <c r="M1578">
        <v>0</v>
      </c>
      <c r="N1578">
        <v>0</v>
      </c>
      <c r="O1578">
        <f t="shared" si="1135"/>
        <v>0</v>
      </c>
      <c r="P1578">
        <v>0</v>
      </c>
      <c r="Q1578">
        <v>0</v>
      </c>
      <c r="R1578">
        <v>0</v>
      </c>
      <c r="S1578">
        <f t="shared" si="1136"/>
        <v>0</v>
      </c>
      <c r="T1578">
        <v>0.1</v>
      </c>
      <c r="U1578">
        <v>0.2</v>
      </c>
      <c r="V1578">
        <v>1.2</v>
      </c>
      <c r="W1578">
        <v>1.9</v>
      </c>
      <c r="X1578">
        <v>0</v>
      </c>
      <c r="Y1578">
        <v>0</v>
      </c>
      <c r="Z1578">
        <v>0</v>
      </c>
      <c r="AA1578">
        <f t="shared" si="1137"/>
        <v>3.4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12.3</v>
      </c>
      <c r="AJ1578" s="5">
        <f t="shared" si="1141"/>
        <v>12.3</v>
      </c>
      <c r="AK1578">
        <v>0.1</v>
      </c>
      <c r="AL1578">
        <v>0.52600000000000002</v>
      </c>
      <c r="AM1578">
        <f t="shared" ref="AM1578:AM1641" si="1143">SUM(AB1578:AI1578,T1578:Z1578,P1578:R1578,L1578:N1578,D1578:J1578)/100</f>
        <v>0.47299999999999998</v>
      </c>
      <c r="AN1578">
        <v>41058</v>
      </c>
      <c r="AO1578" t="s">
        <v>13</v>
      </c>
      <c r="AP1578" s="3">
        <f t="shared" si="1127"/>
        <v>77908.918406072102</v>
      </c>
      <c r="AQ1578" t="s">
        <v>13</v>
      </c>
      <c r="AR1578">
        <f t="shared" si="1142"/>
        <v>0.26004228329809731</v>
      </c>
      <c r="AS1578">
        <f t="shared" si="1138"/>
        <v>0.35</v>
      </c>
      <c r="AT1578">
        <f t="shared" si="1139"/>
        <v>27268</v>
      </c>
      <c r="AU1578">
        <f t="shared" si="1140"/>
        <v>9583</v>
      </c>
      <c r="AV1578">
        <f t="shared" si="1128"/>
        <v>14959</v>
      </c>
      <c r="AW1578">
        <f t="shared" si="1129"/>
        <v>11912</v>
      </c>
      <c r="AX1578" s="3">
        <f t="shared" si="1130"/>
        <v>51037.918406072102</v>
      </c>
      <c r="AY1578">
        <f t="shared" si="1131"/>
        <v>13634</v>
      </c>
      <c r="AZ1578">
        <f t="shared" si="1132"/>
        <v>12163</v>
      </c>
      <c r="BA1578" s="3">
        <f t="shared" si="1133"/>
        <v>52111.918406072102</v>
      </c>
    </row>
    <row r="1579" spans="1:53" x14ac:dyDescent="0.2">
      <c r="A1579">
        <v>2003</v>
      </c>
      <c r="B1579" t="s">
        <v>128</v>
      </c>
      <c r="C1579" t="s">
        <v>126</v>
      </c>
      <c r="D1579">
        <v>14.8</v>
      </c>
      <c r="E1579">
        <v>1.4</v>
      </c>
      <c r="F1579">
        <v>0.6</v>
      </c>
      <c r="G1579">
        <v>6.4</v>
      </c>
      <c r="H1579">
        <v>1.9</v>
      </c>
      <c r="I1579">
        <v>0</v>
      </c>
      <c r="J1579">
        <v>0.2</v>
      </c>
      <c r="K1579">
        <f t="shared" si="1134"/>
        <v>25.3</v>
      </c>
      <c r="L1579">
        <v>0</v>
      </c>
      <c r="M1579">
        <v>0</v>
      </c>
      <c r="N1579">
        <v>0</v>
      </c>
      <c r="O1579">
        <f t="shared" si="1135"/>
        <v>0</v>
      </c>
      <c r="P1579">
        <v>0</v>
      </c>
      <c r="Q1579">
        <v>0</v>
      </c>
      <c r="R1579">
        <v>0</v>
      </c>
      <c r="S1579">
        <f t="shared" si="1136"/>
        <v>0</v>
      </c>
      <c r="T1579">
        <v>0</v>
      </c>
      <c r="U1579">
        <v>0.2</v>
      </c>
      <c r="V1579">
        <v>1.3</v>
      </c>
      <c r="W1579">
        <v>2.6</v>
      </c>
      <c r="X1579">
        <v>0</v>
      </c>
      <c r="Y1579">
        <v>0</v>
      </c>
      <c r="Z1579">
        <v>0</v>
      </c>
      <c r="AA1579">
        <f t="shared" si="1137"/>
        <v>4.0999999999999996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11.6</v>
      </c>
      <c r="AJ1579" s="5">
        <f t="shared" si="1141"/>
        <v>11.6</v>
      </c>
      <c r="AK1579">
        <v>0.1</v>
      </c>
      <c r="AL1579">
        <v>0.58799999999999997</v>
      </c>
      <c r="AM1579">
        <f t="shared" si="1143"/>
        <v>0.41</v>
      </c>
      <c r="AN1579">
        <v>58998</v>
      </c>
      <c r="AO1579" t="s">
        <v>13</v>
      </c>
      <c r="AP1579" s="3">
        <f t="shared" si="1127"/>
        <v>99996.610169491512</v>
      </c>
      <c r="AQ1579" t="s">
        <v>13</v>
      </c>
      <c r="AR1579">
        <f t="shared" si="1142"/>
        <v>0.28292682926829266</v>
      </c>
      <c r="AS1579">
        <f t="shared" si="1138"/>
        <v>0.29399999999999998</v>
      </c>
      <c r="AT1579">
        <f t="shared" si="1139"/>
        <v>29399</v>
      </c>
      <c r="AU1579">
        <f t="shared" si="1140"/>
        <v>11600</v>
      </c>
      <c r="AV1579">
        <f t="shared" si="1128"/>
        <v>16749</v>
      </c>
      <c r="AW1579">
        <f t="shared" si="1129"/>
        <v>13679</v>
      </c>
      <c r="AX1579" s="3">
        <f t="shared" si="1130"/>
        <v>69568.610169491512</v>
      </c>
      <c r="AY1579">
        <f t="shared" si="1131"/>
        <v>14700</v>
      </c>
      <c r="AZ1579">
        <f t="shared" si="1132"/>
        <v>14015</v>
      </c>
      <c r="BA1579" s="3">
        <f t="shared" si="1133"/>
        <v>71281.610169491512</v>
      </c>
    </row>
    <row r="1580" spans="1:53" x14ac:dyDescent="0.2">
      <c r="A1580">
        <v>2004</v>
      </c>
      <c r="B1580" t="s">
        <v>128</v>
      </c>
      <c r="C1580" t="s">
        <v>126</v>
      </c>
      <c r="D1580">
        <v>19.399999999999999</v>
      </c>
      <c r="E1580">
        <v>1.3</v>
      </c>
      <c r="F1580">
        <v>0.9</v>
      </c>
      <c r="G1580">
        <v>7.5</v>
      </c>
      <c r="H1580">
        <v>4.5</v>
      </c>
      <c r="I1580">
        <v>2.2999999999999998</v>
      </c>
      <c r="J1580">
        <v>0</v>
      </c>
      <c r="K1580">
        <f t="shared" si="1134"/>
        <v>35.899999999999991</v>
      </c>
      <c r="L1580">
        <v>0</v>
      </c>
      <c r="M1580">
        <v>0</v>
      </c>
      <c r="N1580">
        <v>0</v>
      </c>
      <c r="O1580">
        <f t="shared" si="1135"/>
        <v>0</v>
      </c>
      <c r="P1580">
        <v>0</v>
      </c>
      <c r="Q1580">
        <v>0</v>
      </c>
      <c r="R1580">
        <v>0</v>
      </c>
      <c r="S1580">
        <f t="shared" si="1136"/>
        <v>0</v>
      </c>
      <c r="T1580">
        <v>0.4</v>
      </c>
      <c r="U1580">
        <v>0</v>
      </c>
      <c r="V1580">
        <v>0.2</v>
      </c>
      <c r="W1580">
        <v>0.9</v>
      </c>
      <c r="X1580">
        <v>0</v>
      </c>
      <c r="Y1580">
        <v>0</v>
      </c>
      <c r="Z1580">
        <v>0</v>
      </c>
      <c r="AA1580">
        <f t="shared" si="1137"/>
        <v>1.5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11.2</v>
      </c>
      <c r="AJ1580" s="5">
        <f t="shared" si="1141"/>
        <v>11.2</v>
      </c>
      <c r="AK1580">
        <v>0</v>
      </c>
      <c r="AL1580">
        <v>0.51100000000000001</v>
      </c>
      <c r="AM1580">
        <f t="shared" si="1143"/>
        <v>0.48599999999999988</v>
      </c>
      <c r="AN1580">
        <v>40033</v>
      </c>
      <c r="AO1580" t="s">
        <v>13</v>
      </c>
      <c r="AP1580" s="3">
        <f t="shared" si="1127"/>
        <v>77885.21400778208</v>
      </c>
      <c r="AQ1580" t="s">
        <v>13</v>
      </c>
      <c r="AR1580">
        <f t="shared" si="1142"/>
        <v>0.23045267489711938</v>
      </c>
      <c r="AS1580">
        <f t="shared" si="1138"/>
        <v>0.37399999999999989</v>
      </c>
      <c r="AT1580">
        <f t="shared" si="1139"/>
        <v>29129</v>
      </c>
      <c r="AU1580">
        <f t="shared" si="1140"/>
        <v>8723</v>
      </c>
      <c r="AV1580">
        <f t="shared" si="1128"/>
        <v>15149</v>
      </c>
      <c r="AW1580">
        <f t="shared" si="1129"/>
        <v>11224</v>
      </c>
      <c r="AX1580" s="3">
        <f t="shared" si="1130"/>
        <v>51512.21400778208</v>
      </c>
      <c r="AY1580">
        <f t="shared" si="1131"/>
        <v>14565</v>
      </c>
      <c r="AZ1580">
        <f t="shared" si="1132"/>
        <v>11329</v>
      </c>
      <c r="BA1580" s="3">
        <f t="shared" si="1133"/>
        <v>51991.21400778208</v>
      </c>
    </row>
    <row r="1581" spans="1:53" x14ac:dyDescent="0.2">
      <c r="A1581">
        <v>2005</v>
      </c>
      <c r="B1581" t="s">
        <v>128</v>
      </c>
      <c r="C1581" t="s">
        <v>126</v>
      </c>
      <c r="D1581">
        <v>20.100000000000001</v>
      </c>
      <c r="E1581">
        <v>0</v>
      </c>
      <c r="F1581">
        <v>1.4</v>
      </c>
      <c r="G1581">
        <v>9.3000000000000007</v>
      </c>
      <c r="H1581">
        <v>5.3</v>
      </c>
      <c r="I1581">
        <v>2.2999999999999998</v>
      </c>
      <c r="J1581">
        <v>0.3</v>
      </c>
      <c r="K1581">
        <f t="shared" si="1134"/>
        <v>38.699999999999996</v>
      </c>
      <c r="L1581">
        <v>0</v>
      </c>
      <c r="M1581">
        <v>0</v>
      </c>
      <c r="N1581">
        <v>0</v>
      </c>
      <c r="O1581">
        <f t="shared" si="1135"/>
        <v>0</v>
      </c>
      <c r="P1581">
        <v>0</v>
      </c>
      <c r="Q1581">
        <v>0</v>
      </c>
      <c r="R1581">
        <v>0</v>
      </c>
      <c r="S1581">
        <f t="shared" si="1136"/>
        <v>0</v>
      </c>
      <c r="T1581">
        <v>0.6</v>
      </c>
      <c r="U1581">
        <v>0.3</v>
      </c>
      <c r="V1581">
        <v>0.8</v>
      </c>
      <c r="W1581">
        <v>1.1000000000000001</v>
      </c>
      <c r="X1581">
        <v>0.1</v>
      </c>
      <c r="Y1581">
        <v>0</v>
      </c>
      <c r="Z1581">
        <v>0</v>
      </c>
      <c r="AA1581">
        <f t="shared" si="1137"/>
        <v>2.9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13.1</v>
      </c>
      <c r="AJ1581" s="5">
        <f t="shared" si="1141"/>
        <v>13.1</v>
      </c>
      <c r="AK1581">
        <v>0</v>
      </c>
      <c r="AL1581">
        <v>0.45200000000000001</v>
      </c>
      <c r="AM1581">
        <f t="shared" si="1143"/>
        <v>0.54699999999999993</v>
      </c>
      <c r="AN1581">
        <v>17618</v>
      </c>
      <c r="AO1581" t="s">
        <v>13</v>
      </c>
      <c r="AP1581" s="3">
        <f t="shared" si="1127"/>
        <v>38891.83222958057</v>
      </c>
      <c r="AQ1581" t="s">
        <v>13</v>
      </c>
      <c r="AR1581">
        <f t="shared" si="1142"/>
        <v>0.2394881170018282</v>
      </c>
      <c r="AS1581">
        <f t="shared" si="1138"/>
        <v>0.41599999999999993</v>
      </c>
      <c r="AT1581">
        <f t="shared" si="1139"/>
        <v>16179</v>
      </c>
      <c r="AU1581">
        <f t="shared" si="1140"/>
        <v>5095</v>
      </c>
      <c r="AV1581">
        <f t="shared" si="1128"/>
        <v>8653</v>
      </c>
      <c r="AW1581">
        <f t="shared" si="1129"/>
        <v>6783</v>
      </c>
      <c r="AX1581" s="3">
        <f t="shared" si="1130"/>
        <v>23455.83222958057</v>
      </c>
      <c r="AY1581">
        <f t="shared" si="1131"/>
        <v>8090</v>
      </c>
      <c r="AZ1581">
        <f t="shared" si="1132"/>
        <v>6910</v>
      </c>
      <c r="BA1581" s="3">
        <f t="shared" si="1133"/>
        <v>23891.83222958057</v>
      </c>
    </row>
    <row r="1582" spans="1:53" x14ac:dyDescent="0.2">
      <c r="A1582">
        <v>2006</v>
      </c>
      <c r="B1582" t="s">
        <v>128</v>
      </c>
      <c r="C1582" t="s">
        <v>126</v>
      </c>
      <c r="D1582">
        <v>26.9</v>
      </c>
      <c r="E1582">
        <v>0</v>
      </c>
      <c r="F1582">
        <v>2.2000000000000002</v>
      </c>
      <c r="G1582">
        <v>11.7</v>
      </c>
      <c r="H1582">
        <v>7.8</v>
      </c>
      <c r="I1582">
        <v>1.9</v>
      </c>
      <c r="J1582">
        <v>1.7</v>
      </c>
      <c r="K1582">
        <f t="shared" si="1134"/>
        <v>52.199999999999996</v>
      </c>
      <c r="L1582">
        <v>0</v>
      </c>
      <c r="M1582">
        <v>0</v>
      </c>
      <c r="N1582">
        <v>0</v>
      </c>
      <c r="O1582">
        <f t="shared" si="1135"/>
        <v>0</v>
      </c>
      <c r="P1582">
        <v>0</v>
      </c>
      <c r="Q1582">
        <v>0</v>
      </c>
      <c r="R1582">
        <v>0</v>
      </c>
      <c r="S1582">
        <f t="shared" si="1136"/>
        <v>0</v>
      </c>
      <c r="T1582">
        <v>0.1</v>
      </c>
      <c r="U1582">
        <v>0.2</v>
      </c>
      <c r="V1582">
        <v>1</v>
      </c>
      <c r="W1582">
        <v>3.2</v>
      </c>
      <c r="X1582">
        <v>0</v>
      </c>
      <c r="Y1582">
        <v>0</v>
      </c>
      <c r="Z1582">
        <v>0</v>
      </c>
      <c r="AA1582">
        <f t="shared" si="1137"/>
        <v>4.5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0.2</v>
      </c>
      <c r="AI1582">
        <v>8.4</v>
      </c>
      <c r="AJ1582" s="5">
        <f t="shared" si="1141"/>
        <v>8.6</v>
      </c>
      <c r="AK1582">
        <v>0.2</v>
      </c>
      <c r="AL1582">
        <v>0.34499999999999997</v>
      </c>
      <c r="AM1582">
        <f t="shared" si="1143"/>
        <v>0.65300000000000002</v>
      </c>
      <c r="AN1582">
        <v>28082</v>
      </c>
      <c r="AO1582" t="s">
        <v>13</v>
      </c>
      <c r="AP1582" s="3">
        <f t="shared" si="1127"/>
        <v>80927.953890489924</v>
      </c>
      <c r="AQ1582" t="s">
        <v>13</v>
      </c>
      <c r="AR1582">
        <f t="shared" si="1142"/>
        <v>0.13169984686064318</v>
      </c>
      <c r="AS1582">
        <f t="shared" si="1138"/>
        <v>0.56699999999999995</v>
      </c>
      <c r="AT1582">
        <f t="shared" si="1139"/>
        <v>45886</v>
      </c>
      <c r="AU1582">
        <f t="shared" si="1140"/>
        <v>6960</v>
      </c>
      <c r="AV1582">
        <f t="shared" si="1128"/>
        <v>24764</v>
      </c>
      <c r="AW1582">
        <f t="shared" si="1129"/>
        <v>11155</v>
      </c>
      <c r="AX1582" s="3">
        <f t="shared" si="1130"/>
        <v>45008.953890489924</v>
      </c>
      <c r="AY1582">
        <f t="shared" si="1131"/>
        <v>22943</v>
      </c>
      <c r="AZ1582">
        <f t="shared" si="1132"/>
        <v>11517</v>
      </c>
      <c r="BA1582" s="3">
        <f t="shared" si="1133"/>
        <v>46467.953890489924</v>
      </c>
    </row>
    <row r="1583" spans="1:53" x14ac:dyDescent="0.2">
      <c r="A1583">
        <v>2007</v>
      </c>
      <c r="B1583" t="s">
        <v>128</v>
      </c>
      <c r="C1583" t="s">
        <v>126</v>
      </c>
      <c r="D1583">
        <v>20.3</v>
      </c>
      <c r="E1583">
        <v>0</v>
      </c>
      <c r="F1583">
        <v>3.2</v>
      </c>
      <c r="G1583">
        <v>9.3000000000000007</v>
      </c>
      <c r="H1583">
        <v>6.7</v>
      </c>
      <c r="I1583">
        <v>0.2</v>
      </c>
      <c r="J1583">
        <v>1.6</v>
      </c>
      <c r="K1583">
        <f t="shared" si="1134"/>
        <v>41.300000000000004</v>
      </c>
      <c r="L1583">
        <v>0</v>
      </c>
      <c r="M1583">
        <v>0</v>
      </c>
      <c r="N1583">
        <v>0</v>
      </c>
      <c r="O1583">
        <f t="shared" si="1135"/>
        <v>0</v>
      </c>
      <c r="P1583">
        <v>0</v>
      </c>
      <c r="Q1583">
        <v>0</v>
      </c>
      <c r="R1583">
        <v>0.5</v>
      </c>
      <c r="S1583">
        <f t="shared" si="1136"/>
        <v>0.5</v>
      </c>
      <c r="T1583">
        <v>0</v>
      </c>
      <c r="U1583">
        <v>0.2</v>
      </c>
      <c r="V1583">
        <v>0</v>
      </c>
      <c r="W1583">
        <v>0.4</v>
      </c>
      <c r="X1583">
        <v>0</v>
      </c>
      <c r="Y1583">
        <v>0</v>
      </c>
      <c r="Z1583">
        <v>0</v>
      </c>
      <c r="AA1583">
        <f t="shared" si="1137"/>
        <v>0.60000000000000009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25.6</v>
      </c>
      <c r="AJ1583" s="5">
        <f t="shared" si="1141"/>
        <v>25.6</v>
      </c>
      <c r="AK1583">
        <v>0.1</v>
      </c>
      <c r="AL1583">
        <v>0.32</v>
      </c>
      <c r="AM1583">
        <f t="shared" si="1143"/>
        <v>0.68</v>
      </c>
      <c r="AN1583">
        <v>6764</v>
      </c>
      <c r="AO1583" t="s">
        <v>13</v>
      </c>
      <c r="AP1583" s="3">
        <f t="shared" si="1127"/>
        <v>21137.500000000004</v>
      </c>
      <c r="AQ1583" t="s">
        <v>13</v>
      </c>
      <c r="AR1583">
        <f t="shared" si="1142"/>
        <v>0.37647058823529411</v>
      </c>
      <c r="AS1583">
        <f t="shared" si="1138"/>
        <v>0.42400000000000004</v>
      </c>
      <c r="AT1583">
        <f t="shared" si="1139"/>
        <v>8962</v>
      </c>
      <c r="AU1583">
        <f t="shared" si="1140"/>
        <v>5411</v>
      </c>
      <c r="AV1583">
        <f t="shared" si="1128"/>
        <v>4597</v>
      </c>
      <c r="AW1583">
        <f t="shared" si="1129"/>
        <v>7351</v>
      </c>
      <c r="AX1583" s="3">
        <f t="shared" si="1130"/>
        <v>9189.5000000000036</v>
      </c>
      <c r="AY1583">
        <f t="shared" si="1131"/>
        <v>4481</v>
      </c>
      <c r="AZ1583">
        <f t="shared" si="1132"/>
        <v>7402</v>
      </c>
      <c r="BA1583" s="3">
        <f t="shared" si="1133"/>
        <v>9254.5000000000036</v>
      </c>
    </row>
    <row r="1584" spans="1:53" x14ac:dyDescent="0.2">
      <c r="A1584">
        <v>2008</v>
      </c>
      <c r="B1584" t="s">
        <v>128</v>
      </c>
      <c r="C1584" t="s">
        <v>126</v>
      </c>
      <c r="D1584">
        <v>15.7</v>
      </c>
      <c r="E1584">
        <v>0</v>
      </c>
      <c r="F1584">
        <v>2</v>
      </c>
      <c r="G1584">
        <v>7.2</v>
      </c>
      <c r="H1584">
        <v>4.8</v>
      </c>
      <c r="I1584">
        <v>0.6</v>
      </c>
      <c r="J1584">
        <v>0.7</v>
      </c>
      <c r="K1584">
        <f t="shared" si="1134"/>
        <v>31</v>
      </c>
      <c r="L1584">
        <v>0</v>
      </c>
      <c r="M1584">
        <v>0.3</v>
      </c>
      <c r="N1584">
        <v>0</v>
      </c>
      <c r="O1584">
        <f t="shared" si="1135"/>
        <v>0.3</v>
      </c>
      <c r="P1584">
        <v>0</v>
      </c>
      <c r="Q1584">
        <v>0</v>
      </c>
      <c r="R1584">
        <v>0.6</v>
      </c>
      <c r="S1584">
        <f t="shared" si="1136"/>
        <v>0.6</v>
      </c>
      <c r="T1584">
        <v>0.8</v>
      </c>
      <c r="U1584">
        <v>0.1</v>
      </c>
      <c r="V1584">
        <v>0.2</v>
      </c>
      <c r="W1584">
        <v>0.7</v>
      </c>
      <c r="X1584">
        <v>0</v>
      </c>
      <c r="Y1584">
        <v>0</v>
      </c>
      <c r="Z1584">
        <v>0</v>
      </c>
      <c r="AA1584">
        <f t="shared" si="1137"/>
        <v>1.8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13.2</v>
      </c>
      <c r="AJ1584" s="5">
        <f t="shared" si="1141"/>
        <v>13.2</v>
      </c>
      <c r="AK1584">
        <v>0</v>
      </c>
      <c r="AL1584">
        <v>0.53</v>
      </c>
      <c r="AM1584">
        <f t="shared" si="1143"/>
        <v>0.46899999999999997</v>
      </c>
      <c r="AN1584">
        <v>11119</v>
      </c>
      <c r="AO1584" t="s">
        <v>13</v>
      </c>
      <c r="AP1584" s="3">
        <f t="shared" ref="AP1584:AP1598" si="1144">AN1584/(1-AM1584)</f>
        <v>20939.736346516005</v>
      </c>
      <c r="AQ1584" t="s">
        <v>13</v>
      </c>
      <c r="AR1584">
        <f t="shared" si="1142"/>
        <v>0.28144989339019194</v>
      </c>
      <c r="AS1584">
        <f t="shared" si="1138"/>
        <v>0.33700000000000002</v>
      </c>
      <c r="AT1584">
        <f t="shared" si="1139"/>
        <v>7057</v>
      </c>
      <c r="AU1584">
        <f t="shared" si="1140"/>
        <v>2764</v>
      </c>
      <c r="AV1584">
        <f t="shared" si="1128"/>
        <v>3811</v>
      </c>
      <c r="AW1584">
        <f t="shared" si="1129"/>
        <v>3410</v>
      </c>
      <c r="AX1584" s="3">
        <f t="shared" si="1130"/>
        <v>13718.736346516005</v>
      </c>
      <c r="AY1584">
        <f t="shared" si="1131"/>
        <v>3528</v>
      </c>
      <c r="AZ1584">
        <f t="shared" si="1132"/>
        <v>3467</v>
      </c>
      <c r="BA1584" s="3">
        <f t="shared" si="1133"/>
        <v>13944.736346516005</v>
      </c>
    </row>
    <row r="1585" spans="1:53" x14ac:dyDescent="0.2">
      <c r="A1585">
        <v>2009</v>
      </c>
      <c r="B1585" t="s">
        <v>128</v>
      </c>
      <c r="C1585" t="s">
        <v>126</v>
      </c>
      <c r="D1585">
        <v>18.2</v>
      </c>
      <c r="E1585">
        <v>1</v>
      </c>
      <c r="F1585">
        <v>3</v>
      </c>
      <c r="G1585">
        <v>13.1</v>
      </c>
      <c r="H1585">
        <v>4.5</v>
      </c>
      <c r="I1585">
        <v>0.3</v>
      </c>
      <c r="J1585">
        <v>0.3</v>
      </c>
      <c r="K1585">
        <f t="shared" si="1134"/>
        <v>40.399999999999991</v>
      </c>
      <c r="L1585">
        <v>0</v>
      </c>
      <c r="M1585">
        <v>0</v>
      </c>
      <c r="N1585">
        <v>0</v>
      </c>
      <c r="O1585">
        <f t="shared" si="1135"/>
        <v>0</v>
      </c>
      <c r="P1585">
        <v>0</v>
      </c>
      <c r="Q1585">
        <v>0</v>
      </c>
      <c r="R1585">
        <v>0</v>
      </c>
      <c r="S1585">
        <f t="shared" si="1136"/>
        <v>0</v>
      </c>
      <c r="T1585">
        <v>0.2</v>
      </c>
      <c r="U1585">
        <v>0.3</v>
      </c>
      <c r="V1585">
        <v>0</v>
      </c>
      <c r="W1585">
        <v>0.6</v>
      </c>
      <c r="X1585">
        <v>0</v>
      </c>
      <c r="Y1585">
        <v>0</v>
      </c>
      <c r="Z1585">
        <v>0</v>
      </c>
      <c r="AA1585">
        <f t="shared" si="1137"/>
        <v>1.1000000000000001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0.3</v>
      </c>
      <c r="AI1585">
        <v>11.9</v>
      </c>
      <c r="AJ1585" s="5">
        <f t="shared" si="1141"/>
        <v>12.200000000000001</v>
      </c>
      <c r="AK1585">
        <v>0</v>
      </c>
      <c r="AL1585">
        <v>0.46200000000000002</v>
      </c>
      <c r="AM1585">
        <f t="shared" si="1143"/>
        <v>0.53699999999999992</v>
      </c>
      <c r="AN1585">
        <v>14094</v>
      </c>
      <c r="AO1585" t="s">
        <v>13</v>
      </c>
      <c r="AP1585" s="3">
        <f t="shared" si="1144"/>
        <v>30440.604751619867</v>
      </c>
      <c r="AQ1585" t="s">
        <v>13</v>
      </c>
      <c r="AR1585">
        <f t="shared" si="1142"/>
        <v>0.22718808193668535</v>
      </c>
      <c r="AS1585">
        <f t="shared" si="1138"/>
        <v>0.41499999999999992</v>
      </c>
      <c r="AT1585">
        <f t="shared" si="1139"/>
        <v>12633</v>
      </c>
      <c r="AU1585">
        <f t="shared" si="1140"/>
        <v>3714</v>
      </c>
      <c r="AV1585">
        <f t="shared" si="1128"/>
        <v>6484</v>
      </c>
      <c r="AW1585">
        <f t="shared" si="1129"/>
        <v>4996</v>
      </c>
      <c r="AX1585" s="3">
        <f t="shared" si="1130"/>
        <v>18960.604751619867</v>
      </c>
      <c r="AY1585">
        <f t="shared" si="1131"/>
        <v>6316</v>
      </c>
      <c r="AZ1585">
        <f t="shared" si="1132"/>
        <v>5031</v>
      </c>
      <c r="BA1585" s="3">
        <f t="shared" si="1133"/>
        <v>19093.604751619867</v>
      </c>
    </row>
    <row r="1586" spans="1:53" x14ac:dyDescent="0.2">
      <c r="A1586">
        <v>2010</v>
      </c>
      <c r="B1586" t="s">
        <v>128</v>
      </c>
      <c r="C1586" t="s">
        <v>126</v>
      </c>
      <c r="D1586">
        <v>12.9</v>
      </c>
      <c r="E1586">
        <v>0</v>
      </c>
      <c r="F1586">
        <v>1.6</v>
      </c>
      <c r="G1586">
        <v>7</v>
      </c>
      <c r="H1586">
        <v>1.6</v>
      </c>
      <c r="I1586">
        <v>0</v>
      </c>
      <c r="J1586">
        <v>0</v>
      </c>
      <c r="K1586">
        <f t="shared" si="1134"/>
        <v>23.1</v>
      </c>
      <c r="L1586">
        <v>0</v>
      </c>
      <c r="M1586">
        <v>0</v>
      </c>
      <c r="N1586">
        <v>0</v>
      </c>
      <c r="O1586">
        <f t="shared" si="1135"/>
        <v>0</v>
      </c>
      <c r="P1586">
        <v>0</v>
      </c>
      <c r="Q1586">
        <v>0</v>
      </c>
      <c r="R1586">
        <v>0.3</v>
      </c>
      <c r="S1586">
        <f t="shared" si="1136"/>
        <v>0.3</v>
      </c>
      <c r="T1586">
        <v>0.3</v>
      </c>
      <c r="U1586">
        <v>0.3</v>
      </c>
      <c r="V1586">
        <v>0.2</v>
      </c>
      <c r="W1586">
        <v>0.3</v>
      </c>
      <c r="X1586">
        <v>0</v>
      </c>
      <c r="Y1586">
        <v>0</v>
      </c>
      <c r="Z1586">
        <v>0</v>
      </c>
      <c r="AA1586">
        <f t="shared" si="1137"/>
        <v>1.1000000000000001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16.899999999999999</v>
      </c>
      <c r="AJ1586" s="5">
        <f t="shared" si="1141"/>
        <v>16.899999999999999</v>
      </c>
      <c r="AK1586">
        <v>0.1</v>
      </c>
      <c r="AL1586">
        <v>0.58299999999999996</v>
      </c>
      <c r="AM1586">
        <f t="shared" si="1143"/>
        <v>0.41400000000000003</v>
      </c>
      <c r="AN1586">
        <v>22197</v>
      </c>
      <c r="AO1586" t="s">
        <v>13</v>
      </c>
      <c r="AP1586" s="3">
        <f t="shared" si="1144"/>
        <v>37878.839590443691</v>
      </c>
      <c r="AQ1586" t="s">
        <v>13</v>
      </c>
      <c r="AR1586">
        <f t="shared" si="1142"/>
        <v>0.40821256038647336</v>
      </c>
      <c r="AS1586">
        <f t="shared" si="1138"/>
        <v>0.24500000000000002</v>
      </c>
      <c r="AT1586">
        <f t="shared" si="1139"/>
        <v>9280</v>
      </c>
      <c r="AU1586">
        <f t="shared" si="1140"/>
        <v>6402</v>
      </c>
      <c r="AV1586">
        <f t="shared" si="1128"/>
        <v>4905</v>
      </c>
      <c r="AW1586">
        <f t="shared" si="1129"/>
        <v>7381</v>
      </c>
      <c r="AX1586" s="3">
        <f t="shared" si="1130"/>
        <v>25592.839590443691</v>
      </c>
      <c r="AY1586">
        <f t="shared" si="1131"/>
        <v>4640</v>
      </c>
      <c r="AZ1586">
        <f t="shared" si="1132"/>
        <v>7441</v>
      </c>
      <c r="BA1586" s="3">
        <f t="shared" si="1133"/>
        <v>25797.839590443691</v>
      </c>
    </row>
    <row r="1587" spans="1:53" x14ac:dyDescent="0.2">
      <c r="A1587">
        <v>2011</v>
      </c>
      <c r="B1587" t="s">
        <v>128</v>
      </c>
      <c r="C1587" t="s">
        <v>126</v>
      </c>
      <c r="D1587">
        <v>10.7</v>
      </c>
      <c r="E1587">
        <v>0</v>
      </c>
      <c r="F1587">
        <v>1.3</v>
      </c>
      <c r="G1587">
        <v>5.7</v>
      </c>
      <c r="H1587">
        <v>2.5</v>
      </c>
      <c r="I1587">
        <v>2.1</v>
      </c>
      <c r="J1587">
        <v>1.5</v>
      </c>
      <c r="K1587">
        <f t="shared" si="1134"/>
        <v>23.8</v>
      </c>
      <c r="L1587">
        <v>0</v>
      </c>
      <c r="M1587">
        <v>0</v>
      </c>
      <c r="N1587">
        <v>0</v>
      </c>
      <c r="O1587">
        <f t="shared" si="1135"/>
        <v>0</v>
      </c>
      <c r="P1587">
        <v>0</v>
      </c>
      <c r="Q1587">
        <v>0</v>
      </c>
      <c r="R1587">
        <v>0</v>
      </c>
      <c r="S1587">
        <f t="shared" si="1136"/>
        <v>0</v>
      </c>
      <c r="T1587">
        <v>1.5</v>
      </c>
      <c r="U1587">
        <v>0.5</v>
      </c>
      <c r="V1587">
        <v>0.3</v>
      </c>
      <c r="W1587">
        <v>0.9</v>
      </c>
      <c r="X1587">
        <v>0</v>
      </c>
      <c r="Y1587">
        <v>0</v>
      </c>
      <c r="Z1587">
        <v>0</v>
      </c>
      <c r="AA1587">
        <f t="shared" si="1137"/>
        <v>3.1999999999999997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0.1</v>
      </c>
      <c r="AI1587">
        <v>23.9</v>
      </c>
      <c r="AJ1587" s="5">
        <f t="shared" si="1141"/>
        <v>24</v>
      </c>
      <c r="AK1587">
        <v>0</v>
      </c>
      <c r="AL1587">
        <v>0.49099999999999999</v>
      </c>
      <c r="AM1587">
        <f t="shared" si="1143"/>
        <v>0.51</v>
      </c>
      <c r="AN1587">
        <v>30713</v>
      </c>
      <c r="AO1587" t="s">
        <v>13</v>
      </c>
      <c r="AP1587" s="3">
        <f t="shared" si="1144"/>
        <v>62679.591836734697</v>
      </c>
      <c r="AQ1587" t="s">
        <v>13</v>
      </c>
      <c r="AR1587">
        <f t="shared" si="1142"/>
        <v>0.47058823529411764</v>
      </c>
      <c r="AS1587">
        <f t="shared" si="1138"/>
        <v>0.27</v>
      </c>
      <c r="AT1587">
        <f t="shared" si="1139"/>
        <v>16923</v>
      </c>
      <c r="AU1587">
        <f t="shared" si="1140"/>
        <v>15043</v>
      </c>
      <c r="AV1587">
        <f t="shared" si="1128"/>
        <v>9465</v>
      </c>
      <c r="AW1587">
        <f t="shared" si="1129"/>
        <v>17495</v>
      </c>
      <c r="AX1587" s="3">
        <f t="shared" si="1130"/>
        <v>35719.591836734697</v>
      </c>
      <c r="AY1587">
        <f t="shared" si="1131"/>
        <v>8462</v>
      </c>
      <c r="AZ1587">
        <f t="shared" si="1132"/>
        <v>17825</v>
      </c>
      <c r="BA1587" s="3">
        <f t="shared" si="1133"/>
        <v>36392.591836734697</v>
      </c>
    </row>
    <row r="1588" spans="1:53" x14ac:dyDescent="0.2">
      <c r="A1588">
        <v>2012</v>
      </c>
      <c r="B1588" t="s">
        <v>128</v>
      </c>
      <c r="C1588" t="s">
        <v>126</v>
      </c>
      <c r="D1588">
        <v>17.100000000000001</v>
      </c>
      <c r="E1588">
        <v>0.3</v>
      </c>
      <c r="F1588">
        <v>1.2</v>
      </c>
      <c r="G1588">
        <v>9.5</v>
      </c>
      <c r="H1588">
        <v>2.9</v>
      </c>
      <c r="I1588">
        <v>1.9</v>
      </c>
      <c r="J1588">
        <v>2.4</v>
      </c>
      <c r="K1588">
        <f t="shared" si="1134"/>
        <v>35.299999999999997</v>
      </c>
      <c r="L1588">
        <v>0</v>
      </c>
      <c r="M1588">
        <v>0</v>
      </c>
      <c r="N1588">
        <v>0</v>
      </c>
      <c r="O1588">
        <f t="shared" si="1135"/>
        <v>0</v>
      </c>
      <c r="P1588">
        <v>0</v>
      </c>
      <c r="Q1588">
        <v>0</v>
      </c>
      <c r="R1588">
        <v>0.1</v>
      </c>
      <c r="S1588">
        <f t="shared" si="1136"/>
        <v>0.1</v>
      </c>
      <c r="T1588">
        <v>4.2</v>
      </c>
      <c r="U1588">
        <v>0.4</v>
      </c>
      <c r="V1588">
        <v>0.1</v>
      </c>
      <c r="W1588">
        <v>2.8</v>
      </c>
      <c r="X1588">
        <v>0</v>
      </c>
      <c r="Y1588">
        <v>0</v>
      </c>
      <c r="Z1588">
        <v>0.1</v>
      </c>
      <c r="AA1588">
        <f t="shared" si="1137"/>
        <v>7.6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11.5</v>
      </c>
      <c r="AJ1588" s="5">
        <f t="shared" si="1141"/>
        <v>11.5</v>
      </c>
      <c r="AK1588">
        <v>0.1</v>
      </c>
      <c r="AL1588">
        <v>0.45600000000000002</v>
      </c>
      <c r="AM1588">
        <f t="shared" si="1143"/>
        <v>0.54500000000000004</v>
      </c>
      <c r="AN1588">
        <v>20018</v>
      </c>
      <c r="AO1588" t="s">
        <v>13</v>
      </c>
      <c r="AP1588" s="3">
        <f t="shared" si="1144"/>
        <v>43995.604395604401</v>
      </c>
      <c r="AQ1588" t="s">
        <v>13</v>
      </c>
      <c r="AR1588">
        <f t="shared" si="1142"/>
        <v>0.21100917431192659</v>
      </c>
      <c r="AS1588">
        <f t="shared" si="1138"/>
        <v>0.43</v>
      </c>
      <c r="AT1588">
        <f t="shared" si="1139"/>
        <v>18918</v>
      </c>
      <c r="AU1588">
        <f t="shared" si="1140"/>
        <v>5059</v>
      </c>
      <c r="AV1588">
        <f t="shared" si="1128"/>
        <v>11153</v>
      </c>
      <c r="AW1588">
        <f t="shared" si="1129"/>
        <v>6625</v>
      </c>
      <c r="AX1588" s="3">
        <f t="shared" si="1130"/>
        <v>26217.604395604401</v>
      </c>
      <c r="AY1588">
        <f t="shared" si="1131"/>
        <v>9459</v>
      </c>
      <c r="AZ1588">
        <f t="shared" si="1132"/>
        <v>6967</v>
      </c>
      <c r="BA1588" s="3">
        <f t="shared" si="1133"/>
        <v>27569.604395604401</v>
      </c>
    </row>
    <row r="1589" spans="1:53" x14ac:dyDescent="0.2">
      <c r="A1589">
        <v>2013</v>
      </c>
      <c r="B1589" t="s">
        <v>128</v>
      </c>
      <c r="C1589" t="s">
        <v>126</v>
      </c>
      <c r="D1589">
        <v>5.7</v>
      </c>
      <c r="E1589">
        <v>0.2</v>
      </c>
      <c r="F1589">
        <v>1.7</v>
      </c>
      <c r="G1589">
        <v>8.1</v>
      </c>
      <c r="H1589">
        <v>4.3</v>
      </c>
      <c r="I1589">
        <v>0.5</v>
      </c>
      <c r="J1589">
        <v>0.8</v>
      </c>
      <c r="K1589">
        <f t="shared" si="1134"/>
        <v>21.3</v>
      </c>
      <c r="L1589">
        <v>0</v>
      </c>
      <c r="M1589">
        <v>0</v>
      </c>
      <c r="N1589">
        <v>0</v>
      </c>
      <c r="O1589">
        <f t="shared" si="1135"/>
        <v>0</v>
      </c>
      <c r="P1589">
        <v>0</v>
      </c>
      <c r="Q1589">
        <v>0</v>
      </c>
      <c r="R1589">
        <v>0.3</v>
      </c>
      <c r="S1589">
        <f t="shared" si="1136"/>
        <v>0.3</v>
      </c>
      <c r="T1589">
        <v>2.1</v>
      </c>
      <c r="U1589">
        <v>0.5</v>
      </c>
      <c r="V1589">
        <v>0.4</v>
      </c>
      <c r="W1589">
        <v>1.2</v>
      </c>
      <c r="X1589">
        <v>0</v>
      </c>
      <c r="Y1589">
        <v>0</v>
      </c>
      <c r="Z1589">
        <v>0</v>
      </c>
      <c r="AA1589">
        <f t="shared" si="1137"/>
        <v>4.2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26.9</v>
      </c>
      <c r="AJ1589" s="5">
        <f t="shared" si="1141"/>
        <v>26.9</v>
      </c>
      <c r="AK1589">
        <v>0</v>
      </c>
      <c r="AL1589">
        <v>0.47299999999999998</v>
      </c>
      <c r="AM1589">
        <f t="shared" si="1143"/>
        <v>0.52700000000000002</v>
      </c>
      <c r="AN1589">
        <v>23411</v>
      </c>
      <c r="AO1589" t="s">
        <v>13</v>
      </c>
      <c r="AP1589" s="3">
        <f t="shared" si="1144"/>
        <v>49494.714587737843</v>
      </c>
      <c r="AQ1589" t="s">
        <v>13</v>
      </c>
      <c r="AR1589">
        <f t="shared" si="1142"/>
        <v>0.5104364326375711</v>
      </c>
      <c r="AS1589">
        <f t="shared" si="1138"/>
        <v>0.25800000000000001</v>
      </c>
      <c r="AT1589">
        <f t="shared" si="1139"/>
        <v>12770</v>
      </c>
      <c r="AU1589">
        <f t="shared" si="1140"/>
        <v>13314</v>
      </c>
      <c r="AV1589">
        <f t="shared" si="1128"/>
        <v>7498</v>
      </c>
      <c r="AW1589">
        <f t="shared" si="1129"/>
        <v>15225</v>
      </c>
      <c r="AX1589" s="3">
        <f t="shared" si="1130"/>
        <v>26771.714587737843</v>
      </c>
      <c r="AY1589">
        <f t="shared" si="1131"/>
        <v>6385</v>
      </c>
      <c r="AZ1589">
        <f t="shared" si="1132"/>
        <v>15629</v>
      </c>
      <c r="BA1589" s="3">
        <f t="shared" si="1133"/>
        <v>27480.714587737843</v>
      </c>
    </row>
    <row r="1590" spans="1:53" x14ac:dyDescent="0.2">
      <c r="A1590">
        <v>2014</v>
      </c>
      <c r="B1590" t="s">
        <v>128</v>
      </c>
      <c r="C1590" t="s">
        <v>126</v>
      </c>
      <c r="D1590">
        <v>9.4</v>
      </c>
      <c r="E1590">
        <v>0.1</v>
      </c>
      <c r="F1590">
        <v>1.6</v>
      </c>
      <c r="G1590">
        <v>5.5</v>
      </c>
      <c r="H1590">
        <v>2.2999999999999998</v>
      </c>
      <c r="I1590">
        <v>1.6</v>
      </c>
      <c r="J1590">
        <v>0.1</v>
      </c>
      <c r="K1590">
        <f t="shared" si="1134"/>
        <v>20.600000000000005</v>
      </c>
      <c r="L1590">
        <v>0.1</v>
      </c>
      <c r="M1590">
        <v>0</v>
      </c>
      <c r="N1590">
        <v>0.1</v>
      </c>
      <c r="O1590">
        <f t="shared" si="1135"/>
        <v>0.2</v>
      </c>
      <c r="P1590">
        <v>0</v>
      </c>
      <c r="Q1590">
        <v>0</v>
      </c>
      <c r="R1590">
        <v>0</v>
      </c>
      <c r="S1590">
        <f t="shared" si="1136"/>
        <v>0</v>
      </c>
      <c r="T1590">
        <v>1.3</v>
      </c>
      <c r="U1590">
        <v>0.2</v>
      </c>
      <c r="V1590">
        <v>0.4</v>
      </c>
      <c r="W1590">
        <v>0.6</v>
      </c>
      <c r="X1590">
        <v>0</v>
      </c>
      <c r="Y1590">
        <v>0</v>
      </c>
      <c r="Z1590">
        <v>0</v>
      </c>
      <c r="AA1590">
        <f t="shared" si="1137"/>
        <v>2.5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0.2</v>
      </c>
      <c r="AI1590">
        <v>20.399999999999999</v>
      </c>
      <c r="AJ1590" s="5">
        <f t="shared" si="1141"/>
        <v>20.599999999999998</v>
      </c>
      <c r="AK1590">
        <v>0</v>
      </c>
      <c r="AL1590">
        <v>0.55899999999999994</v>
      </c>
      <c r="AM1590">
        <f t="shared" si="1143"/>
        <v>0.43900000000000006</v>
      </c>
      <c r="AN1590">
        <v>28200</v>
      </c>
      <c r="AO1590" t="s">
        <v>13</v>
      </c>
      <c r="AP1590" s="3">
        <f t="shared" si="1144"/>
        <v>50267.379679144389</v>
      </c>
      <c r="AQ1590" t="s">
        <v>13</v>
      </c>
      <c r="AR1590">
        <f t="shared" si="1142"/>
        <v>0.46924829157175391</v>
      </c>
      <c r="AS1590">
        <f t="shared" si="1138"/>
        <v>0.23300000000000004</v>
      </c>
      <c r="AT1590">
        <f t="shared" si="1139"/>
        <v>11712</v>
      </c>
      <c r="AU1590">
        <f t="shared" si="1140"/>
        <v>10355</v>
      </c>
      <c r="AV1590">
        <f t="shared" si="1128"/>
        <v>6535</v>
      </c>
      <c r="AW1590">
        <f t="shared" si="1129"/>
        <v>11745</v>
      </c>
      <c r="AX1590" s="3">
        <f t="shared" si="1130"/>
        <v>31987.379679144389</v>
      </c>
      <c r="AY1590">
        <f t="shared" si="1131"/>
        <v>5856</v>
      </c>
      <c r="AZ1590">
        <f t="shared" si="1132"/>
        <v>11928</v>
      </c>
      <c r="BA1590" s="3">
        <f t="shared" si="1133"/>
        <v>32483.379679144389</v>
      </c>
    </row>
    <row r="1591" spans="1:53" x14ac:dyDescent="0.2">
      <c r="A1591">
        <v>2015</v>
      </c>
      <c r="B1591" t="s">
        <v>128</v>
      </c>
      <c r="C1591" t="s">
        <v>126</v>
      </c>
      <c r="D1591">
        <v>7.7</v>
      </c>
      <c r="E1591">
        <v>0.1</v>
      </c>
      <c r="F1591">
        <v>0.8</v>
      </c>
      <c r="G1591">
        <v>3.8</v>
      </c>
      <c r="H1591">
        <v>2.2000000000000002</v>
      </c>
      <c r="I1591">
        <v>0.7</v>
      </c>
      <c r="J1591">
        <v>0.4</v>
      </c>
      <c r="K1591">
        <f t="shared" si="1134"/>
        <v>15.699999999999998</v>
      </c>
      <c r="L1591">
        <v>0</v>
      </c>
      <c r="M1591">
        <v>0</v>
      </c>
      <c r="N1591">
        <v>0.1</v>
      </c>
      <c r="O1591">
        <f t="shared" si="1135"/>
        <v>0.1</v>
      </c>
      <c r="P1591">
        <v>0</v>
      </c>
      <c r="Q1591">
        <v>0</v>
      </c>
      <c r="R1591">
        <v>0</v>
      </c>
      <c r="S1591">
        <f t="shared" si="1136"/>
        <v>0</v>
      </c>
      <c r="T1591">
        <v>1.9</v>
      </c>
      <c r="U1591">
        <v>0.8</v>
      </c>
      <c r="V1591">
        <v>0.5</v>
      </c>
      <c r="W1591">
        <v>1.6</v>
      </c>
      <c r="X1591">
        <v>0</v>
      </c>
      <c r="Y1591">
        <v>0</v>
      </c>
      <c r="Z1591">
        <v>0</v>
      </c>
      <c r="AA1591">
        <f t="shared" si="1137"/>
        <v>4.8000000000000007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28.4</v>
      </c>
      <c r="AJ1591" s="5">
        <f t="shared" si="1141"/>
        <v>28.4</v>
      </c>
      <c r="AK1591">
        <v>0.2</v>
      </c>
      <c r="AL1591">
        <v>0.50800000000000001</v>
      </c>
      <c r="AM1591">
        <f t="shared" si="1143"/>
        <v>0.49</v>
      </c>
      <c r="AN1591">
        <v>35087</v>
      </c>
      <c r="AO1591" t="s">
        <v>13</v>
      </c>
      <c r="AP1591" s="3">
        <f t="shared" si="1144"/>
        <v>68798.03921568628</v>
      </c>
      <c r="AQ1591" t="s">
        <v>13</v>
      </c>
      <c r="AR1591">
        <f t="shared" si="1142"/>
        <v>0.57959183673469383</v>
      </c>
      <c r="AS1591">
        <f t="shared" si="1138"/>
        <v>0.20599999999999999</v>
      </c>
      <c r="AT1591">
        <f t="shared" si="1139"/>
        <v>14172</v>
      </c>
      <c r="AU1591">
        <f t="shared" si="1140"/>
        <v>19539</v>
      </c>
      <c r="AV1591">
        <f t="shared" si="1128"/>
        <v>8772</v>
      </c>
      <c r="AW1591">
        <f t="shared" si="1129"/>
        <v>21471</v>
      </c>
      <c r="AX1591" s="3">
        <f t="shared" si="1130"/>
        <v>38555.03921568628</v>
      </c>
      <c r="AY1591">
        <f t="shared" si="1131"/>
        <v>7086</v>
      </c>
      <c r="AZ1591">
        <f t="shared" si="1132"/>
        <v>22074</v>
      </c>
      <c r="BA1591" s="3">
        <f t="shared" si="1133"/>
        <v>39638.03921568628</v>
      </c>
    </row>
    <row r="1592" spans="1:53" x14ac:dyDescent="0.2">
      <c r="A1592">
        <v>2016</v>
      </c>
      <c r="B1592" t="s">
        <v>128</v>
      </c>
      <c r="C1592" t="s">
        <v>126</v>
      </c>
      <c r="D1592">
        <v>15.6</v>
      </c>
      <c r="E1592">
        <v>0</v>
      </c>
      <c r="F1592">
        <v>1.3</v>
      </c>
      <c r="G1592">
        <v>14.6</v>
      </c>
      <c r="H1592">
        <v>2</v>
      </c>
      <c r="I1592">
        <v>1.3</v>
      </c>
      <c r="J1592">
        <v>0.8</v>
      </c>
      <c r="K1592">
        <f t="shared" si="1134"/>
        <v>35.599999999999994</v>
      </c>
      <c r="L1592">
        <v>0</v>
      </c>
      <c r="M1592">
        <v>0</v>
      </c>
      <c r="N1592">
        <v>0</v>
      </c>
      <c r="O1592">
        <f t="shared" si="1135"/>
        <v>0</v>
      </c>
      <c r="P1592">
        <v>0</v>
      </c>
      <c r="Q1592">
        <v>0</v>
      </c>
      <c r="R1592">
        <v>0</v>
      </c>
      <c r="S1592">
        <f t="shared" si="1136"/>
        <v>0</v>
      </c>
      <c r="T1592">
        <v>0.4</v>
      </c>
      <c r="U1592">
        <v>0.2</v>
      </c>
      <c r="V1592">
        <v>0.2</v>
      </c>
      <c r="W1592">
        <v>0.8</v>
      </c>
      <c r="X1592">
        <v>0</v>
      </c>
      <c r="Y1592">
        <v>0</v>
      </c>
      <c r="Z1592">
        <v>0</v>
      </c>
      <c r="AA1592">
        <f t="shared" si="1137"/>
        <v>1.6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24.4</v>
      </c>
      <c r="AJ1592" s="5">
        <f t="shared" si="1141"/>
        <v>24.4</v>
      </c>
      <c r="AK1592">
        <v>0</v>
      </c>
      <c r="AL1592">
        <v>0.38400000000000001</v>
      </c>
      <c r="AM1592">
        <f t="shared" si="1143"/>
        <v>0.61599999999999988</v>
      </c>
      <c r="AN1592">
        <v>30135</v>
      </c>
      <c r="AO1592" t="s">
        <v>13</v>
      </c>
      <c r="AP1592" s="3">
        <f t="shared" si="1144"/>
        <v>78476.562499999971</v>
      </c>
      <c r="AQ1592" t="s">
        <v>13</v>
      </c>
      <c r="AR1592">
        <f t="shared" si="1142"/>
        <v>0.39610389610389618</v>
      </c>
      <c r="AS1592">
        <f t="shared" si="1138"/>
        <v>0.37199999999999994</v>
      </c>
      <c r="AT1592">
        <f t="shared" si="1139"/>
        <v>29193</v>
      </c>
      <c r="AU1592">
        <f t="shared" si="1140"/>
        <v>19148</v>
      </c>
      <c r="AV1592">
        <f t="shared" si="1128"/>
        <v>15224</v>
      </c>
      <c r="AW1592">
        <f t="shared" si="1129"/>
        <v>24575</v>
      </c>
      <c r="AX1592" s="3">
        <f t="shared" si="1130"/>
        <v>38677.562499999971</v>
      </c>
      <c r="AY1592">
        <f t="shared" si="1131"/>
        <v>14597</v>
      </c>
      <c r="AZ1592">
        <f t="shared" si="1132"/>
        <v>24819</v>
      </c>
      <c r="BA1592" s="3">
        <f t="shared" si="1133"/>
        <v>39060.562499999971</v>
      </c>
    </row>
    <row r="1593" spans="1:53" x14ac:dyDescent="0.2">
      <c r="A1593">
        <v>2017</v>
      </c>
      <c r="B1593" t="s">
        <v>128</v>
      </c>
      <c r="C1593" t="s">
        <v>126</v>
      </c>
      <c r="D1593">
        <v>10.8</v>
      </c>
      <c r="E1593">
        <v>0</v>
      </c>
      <c r="F1593">
        <v>1.2</v>
      </c>
      <c r="G1593">
        <v>15.8</v>
      </c>
      <c r="H1593">
        <v>3.2</v>
      </c>
      <c r="I1593">
        <v>0.9</v>
      </c>
      <c r="J1593">
        <v>0</v>
      </c>
      <c r="K1593">
        <f t="shared" si="1134"/>
        <v>31.9</v>
      </c>
      <c r="L1593">
        <v>0</v>
      </c>
      <c r="M1593">
        <v>0</v>
      </c>
      <c r="N1593">
        <v>0</v>
      </c>
      <c r="O1593">
        <f t="shared" si="1135"/>
        <v>0</v>
      </c>
      <c r="P1593">
        <v>0</v>
      </c>
      <c r="Q1593">
        <v>0</v>
      </c>
      <c r="R1593">
        <v>0.7</v>
      </c>
      <c r="S1593">
        <f t="shared" si="1136"/>
        <v>0.7</v>
      </c>
      <c r="T1593">
        <v>1.3</v>
      </c>
      <c r="U1593">
        <v>0</v>
      </c>
      <c r="V1593">
        <v>0.1</v>
      </c>
      <c r="W1593">
        <v>0.3</v>
      </c>
      <c r="X1593">
        <v>0</v>
      </c>
      <c r="Y1593">
        <v>0</v>
      </c>
      <c r="Z1593">
        <v>0</v>
      </c>
      <c r="AA1593">
        <f t="shared" si="1137"/>
        <v>1.7000000000000002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23.7</v>
      </c>
      <c r="AJ1593" s="5">
        <f t="shared" si="1141"/>
        <v>23.7</v>
      </c>
      <c r="AK1593">
        <v>0.1</v>
      </c>
      <c r="AL1593">
        <v>0.41799999999999998</v>
      </c>
      <c r="AM1593">
        <f t="shared" si="1143"/>
        <v>0.58000000000000007</v>
      </c>
      <c r="AN1593">
        <v>10957</v>
      </c>
      <c r="AO1593" t="s">
        <v>13</v>
      </c>
      <c r="AP1593" s="3">
        <f t="shared" si="1144"/>
        <v>26088.095238095244</v>
      </c>
      <c r="AQ1593" t="s">
        <v>13</v>
      </c>
      <c r="AR1593">
        <f t="shared" si="1142"/>
        <v>0.40862068965517234</v>
      </c>
      <c r="AS1593">
        <f t="shared" si="1138"/>
        <v>0.34300000000000003</v>
      </c>
      <c r="AT1593">
        <f t="shared" si="1139"/>
        <v>8948</v>
      </c>
      <c r="AU1593">
        <f t="shared" si="1140"/>
        <v>6183</v>
      </c>
      <c r="AV1593">
        <f t="shared" si="1128"/>
        <v>4787</v>
      </c>
      <c r="AW1593">
        <f t="shared" si="1129"/>
        <v>7684</v>
      </c>
      <c r="AX1593" s="3">
        <f t="shared" si="1130"/>
        <v>13617.095238095244</v>
      </c>
      <c r="AY1593">
        <f t="shared" si="1131"/>
        <v>4474</v>
      </c>
      <c r="AZ1593">
        <f t="shared" si="1132"/>
        <v>7797</v>
      </c>
      <c r="BA1593" s="3">
        <f t="shared" si="1133"/>
        <v>13817.095238095244</v>
      </c>
    </row>
    <row r="1594" spans="1:53" x14ac:dyDescent="0.2">
      <c r="A1594">
        <v>2018</v>
      </c>
      <c r="B1594" t="s">
        <v>128</v>
      </c>
      <c r="C1594" t="s">
        <v>126</v>
      </c>
      <c r="D1594">
        <v>25.6</v>
      </c>
      <c r="E1594">
        <v>0</v>
      </c>
      <c r="F1594">
        <v>4.0999999999999996</v>
      </c>
      <c r="G1594">
        <v>26.4</v>
      </c>
      <c r="H1594">
        <v>8.3000000000000007</v>
      </c>
      <c r="I1594">
        <v>2.1</v>
      </c>
      <c r="J1594">
        <v>1.1000000000000001</v>
      </c>
      <c r="K1594">
        <f t="shared" si="1134"/>
        <v>67.599999999999994</v>
      </c>
      <c r="L1594">
        <v>0</v>
      </c>
      <c r="M1594">
        <v>0</v>
      </c>
      <c r="N1594">
        <v>0</v>
      </c>
      <c r="O1594">
        <f t="shared" si="1135"/>
        <v>0</v>
      </c>
      <c r="P1594">
        <v>0</v>
      </c>
      <c r="Q1594">
        <v>0</v>
      </c>
      <c r="R1594">
        <v>0</v>
      </c>
      <c r="S1594">
        <f t="shared" si="1136"/>
        <v>0</v>
      </c>
      <c r="T1594">
        <v>0.3</v>
      </c>
      <c r="U1594">
        <v>0.6</v>
      </c>
      <c r="V1594">
        <v>0.5</v>
      </c>
      <c r="W1594">
        <v>1.1000000000000001</v>
      </c>
      <c r="X1594">
        <v>0</v>
      </c>
      <c r="Y1594">
        <v>0</v>
      </c>
      <c r="Z1594">
        <v>0</v>
      </c>
      <c r="AA1594">
        <f t="shared" si="1137"/>
        <v>2.5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13.5</v>
      </c>
      <c r="AJ1594" s="5">
        <f t="shared" si="1141"/>
        <v>13.5</v>
      </c>
      <c r="AK1594">
        <v>0.1</v>
      </c>
      <c r="AL1594">
        <v>0.16300000000000001</v>
      </c>
      <c r="AM1594">
        <f t="shared" si="1143"/>
        <v>0.83599999999999985</v>
      </c>
      <c r="AN1594">
        <v>4481</v>
      </c>
      <c r="AO1594" t="s">
        <v>13</v>
      </c>
      <c r="AP1594" s="3">
        <f t="shared" si="1144"/>
        <v>27323.170731707294</v>
      </c>
      <c r="AQ1594" t="s">
        <v>13</v>
      </c>
      <c r="AR1594">
        <f t="shared" si="1142"/>
        <v>0.16148325358851678</v>
      </c>
      <c r="AS1594">
        <f t="shared" si="1138"/>
        <v>0.70099999999999996</v>
      </c>
      <c r="AT1594">
        <f t="shared" si="1139"/>
        <v>19154</v>
      </c>
      <c r="AU1594">
        <f t="shared" si="1140"/>
        <v>3689</v>
      </c>
      <c r="AV1594">
        <f t="shared" si="1128"/>
        <v>9918</v>
      </c>
      <c r="AW1594">
        <f t="shared" si="1129"/>
        <v>7860</v>
      </c>
      <c r="AX1594" s="3">
        <f t="shared" si="1130"/>
        <v>9545.1707317072942</v>
      </c>
      <c r="AY1594">
        <f t="shared" si="1131"/>
        <v>9577</v>
      </c>
      <c r="AZ1594">
        <f t="shared" si="1132"/>
        <v>8014</v>
      </c>
      <c r="BA1594" s="3">
        <f t="shared" si="1133"/>
        <v>9732.1707317072942</v>
      </c>
    </row>
    <row r="1595" spans="1:53" x14ac:dyDescent="0.2">
      <c r="A1595">
        <v>2019</v>
      </c>
      <c r="B1595" t="s">
        <v>128</v>
      </c>
      <c r="C1595" t="s">
        <v>126</v>
      </c>
      <c r="D1595">
        <v>4.4000000000000004</v>
      </c>
      <c r="E1595">
        <v>0</v>
      </c>
      <c r="F1595">
        <v>1.3</v>
      </c>
      <c r="G1595">
        <v>8.5</v>
      </c>
      <c r="H1595">
        <v>2.2000000000000002</v>
      </c>
      <c r="I1595">
        <v>1.2</v>
      </c>
      <c r="J1595">
        <v>0.5</v>
      </c>
      <c r="K1595">
        <f t="shared" si="1134"/>
        <v>18.099999999999998</v>
      </c>
      <c r="L1595">
        <v>0</v>
      </c>
      <c r="M1595">
        <v>0</v>
      </c>
      <c r="N1595">
        <v>0</v>
      </c>
      <c r="O1595">
        <f t="shared" si="1135"/>
        <v>0</v>
      </c>
      <c r="P1595">
        <v>0</v>
      </c>
      <c r="Q1595">
        <v>0</v>
      </c>
      <c r="R1595">
        <v>0</v>
      </c>
      <c r="S1595">
        <f t="shared" si="1136"/>
        <v>0</v>
      </c>
      <c r="T1595">
        <v>0.8</v>
      </c>
      <c r="U1595">
        <v>0.1</v>
      </c>
      <c r="V1595">
        <v>0</v>
      </c>
      <c r="W1595">
        <v>0.7</v>
      </c>
      <c r="X1595">
        <v>0</v>
      </c>
      <c r="Y1595">
        <v>0</v>
      </c>
      <c r="Z1595">
        <v>0</v>
      </c>
      <c r="AA1595">
        <f t="shared" si="1137"/>
        <v>1.6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0.1</v>
      </c>
      <c r="AI1595">
        <v>40.1</v>
      </c>
      <c r="AJ1595" s="5">
        <f t="shared" si="1141"/>
        <v>40.200000000000003</v>
      </c>
      <c r="AK1595">
        <v>0</v>
      </c>
      <c r="AL1595">
        <v>0.4</v>
      </c>
      <c r="AM1595">
        <f t="shared" si="1143"/>
        <v>0.59900000000000009</v>
      </c>
      <c r="AN1595">
        <v>4797</v>
      </c>
      <c r="AO1595" t="s">
        <v>13</v>
      </c>
      <c r="AP1595" s="3">
        <f t="shared" si="1144"/>
        <v>11962.593516209479</v>
      </c>
      <c r="AQ1595" t="s">
        <v>13</v>
      </c>
      <c r="AR1595">
        <f t="shared" si="1142"/>
        <v>0.671118530884808</v>
      </c>
      <c r="AS1595">
        <f t="shared" si="1138"/>
        <v>0.19699999999999998</v>
      </c>
      <c r="AT1595">
        <f t="shared" si="1139"/>
        <v>2357</v>
      </c>
      <c r="AU1595">
        <f t="shared" si="1140"/>
        <v>4809</v>
      </c>
      <c r="AV1595">
        <f t="shared" si="1128"/>
        <v>1274</v>
      </c>
      <c r="AW1595">
        <f t="shared" si="1129"/>
        <v>5351</v>
      </c>
      <c r="AX1595" s="3">
        <f t="shared" si="1130"/>
        <v>5337.5935162094793</v>
      </c>
      <c r="AY1595">
        <f t="shared" si="1131"/>
        <v>1178</v>
      </c>
      <c r="AZ1595">
        <f t="shared" si="1132"/>
        <v>5399</v>
      </c>
      <c r="BA1595" s="3">
        <f t="shared" si="1133"/>
        <v>5385.5935162094793</v>
      </c>
    </row>
    <row r="1596" spans="1:53" x14ac:dyDescent="0.2">
      <c r="A1596">
        <v>2020</v>
      </c>
      <c r="B1596" t="s">
        <v>128</v>
      </c>
      <c r="C1596" t="s">
        <v>126</v>
      </c>
      <c r="D1596">
        <v>15.1</v>
      </c>
      <c r="E1596">
        <v>0</v>
      </c>
      <c r="F1596">
        <v>0.9</v>
      </c>
      <c r="G1596">
        <v>5.3</v>
      </c>
      <c r="H1596">
        <v>0.1</v>
      </c>
      <c r="I1596">
        <v>1.9</v>
      </c>
      <c r="J1596">
        <v>0.8</v>
      </c>
      <c r="K1596">
        <f t="shared" si="1134"/>
        <v>24.1</v>
      </c>
      <c r="L1596">
        <v>0</v>
      </c>
      <c r="M1596">
        <v>0</v>
      </c>
      <c r="N1596">
        <v>0</v>
      </c>
      <c r="O1596">
        <f t="shared" si="1135"/>
        <v>0</v>
      </c>
      <c r="P1596">
        <v>0</v>
      </c>
      <c r="Q1596">
        <v>0</v>
      </c>
      <c r="R1596">
        <v>0.5</v>
      </c>
      <c r="S1596">
        <f t="shared" si="1136"/>
        <v>0.5</v>
      </c>
      <c r="T1596">
        <v>1.2</v>
      </c>
      <c r="U1596">
        <v>0</v>
      </c>
      <c r="V1596">
        <v>0.1</v>
      </c>
      <c r="W1596">
        <v>1.2</v>
      </c>
      <c r="X1596">
        <v>0</v>
      </c>
      <c r="Y1596">
        <v>0</v>
      </c>
      <c r="Z1596">
        <v>0</v>
      </c>
      <c r="AA1596">
        <f t="shared" si="1137"/>
        <v>2.5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16.100000000000001</v>
      </c>
      <c r="AJ1596" s="5">
        <f t="shared" si="1141"/>
        <v>16.100000000000001</v>
      </c>
      <c r="AK1596">
        <v>0</v>
      </c>
      <c r="AL1596">
        <v>0.56700000000000006</v>
      </c>
      <c r="AM1596">
        <f t="shared" si="1143"/>
        <v>0.43199999999999994</v>
      </c>
      <c r="AN1596">
        <v>14384</v>
      </c>
      <c r="AO1596" t="s">
        <v>13</v>
      </c>
      <c r="AP1596" s="3">
        <f t="shared" si="1144"/>
        <v>25323.943661971829</v>
      </c>
      <c r="AQ1596" t="s">
        <v>13</v>
      </c>
      <c r="AR1596">
        <f t="shared" si="1142"/>
        <v>0.37268518518518523</v>
      </c>
      <c r="AS1596">
        <f t="shared" si="1138"/>
        <v>0.27100000000000002</v>
      </c>
      <c r="AT1596">
        <f t="shared" si="1139"/>
        <v>6863</v>
      </c>
      <c r="AU1596">
        <f t="shared" si="1140"/>
        <v>4077</v>
      </c>
      <c r="AV1596">
        <f t="shared" si="1128"/>
        <v>3811</v>
      </c>
      <c r="AW1596">
        <f t="shared" si="1129"/>
        <v>4751</v>
      </c>
      <c r="AX1596" s="3">
        <f t="shared" si="1130"/>
        <v>16761.943661971829</v>
      </c>
      <c r="AY1596">
        <f t="shared" si="1131"/>
        <v>3431</v>
      </c>
      <c r="AZ1596">
        <f t="shared" si="1132"/>
        <v>4835</v>
      </c>
      <c r="BA1596" s="3">
        <f t="shared" si="1133"/>
        <v>17057.943661971829</v>
      </c>
    </row>
    <row r="1597" spans="1:53" x14ac:dyDescent="0.2">
      <c r="A1597">
        <v>2021</v>
      </c>
      <c r="B1597" t="s">
        <v>128</v>
      </c>
      <c r="C1597" t="s">
        <v>126</v>
      </c>
      <c r="D1597">
        <v>15</v>
      </c>
      <c r="E1597">
        <v>0.9</v>
      </c>
      <c r="F1597">
        <v>1.2</v>
      </c>
      <c r="G1597">
        <v>8.9</v>
      </c>
      <c r="H1597">
        <v>2</v>
      </c>
      <c r="I1597">
        <v>4.5</v>
      </c>
      <c r="J1597">
        <v>0.4</v>
      </c>
      <c r="K1597">
        <f t="shared" si="1134"/>
        <v>32.9</v>
      </c>
      <c r="L1597">
        <v>0</v>
      </c>
      <c r="M1597">
        <v>0</v>
      </c>
      <c r="N1597">
        <v>0</v>
      </c>
      <c r="O1597">
        <f t="shared" si="1135"/>
        <v>0</v>
      </c>
      <c r="P1597">
        <v>0</v>
      </c>
      <c r="Q1597">
        <v>0</v>
      </c>
      <c r="R1597">
        <v>0.3</v>
      </c>
      <c r="S1597">
        <f t="shared" si="1136"/>
        <v>0.3</v>
      </c>
      <c r="T1597">
        <v>1.4</v>
      </c>
      <c r="U1597">
        <v>0.3</v>
      </c>
      <c r="V1597">
        <v>0.1</v>
      </c>
      <c r="W1597">
        <v>0.6</v>
      </c>
      <c r="X1597">
        <v>0</v>
      </c>
      <c r="Y1597">
        <v>0</v>
      </c>
      <c r="Z1597">
        <v>0</v>
      </c>
      <c r="AA1597">
        <f t="shared" si="1137"/>
        <v>2.4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22</v>
      </c>
      <c r="AJ1597" s="5">
        <f t="shared" si="1141"/>
        <v>22</v>
      </c>
      <c r="AK1597">
        <v>0</v>
      </c>
      <c r="AL1597">
        <v>0.42299999999999999</v>
      </c>
      <c r="AM1597">
        <f t="shared" si="1143"/>
        <v>0.57600000000000007</v>
      </c>
      <c r="AN1597">
        <v>5565</v>
      </c>
      <c r="AO1597" t="s">
        <v>13</v>
      </c>
      <c r="AP1597" s="3">
        <f t="shared" si="1144"/>
        <v>13125.000000000002</v>
      </c>
      <c r="AQ1597" t="s">
        <v>13</v>
      </c>
      <c r="AR1597">
        <f t="shared" si="1142"/>
        <v>0.38194444444444442</v>
      </c>
      <c r="AS1597">
        <f t="shared" si="1138"/>
        <v>0.35599999999999993</v>
      </c>
      <c r="AT1597">
        <f t="shared" si="1139"/>
        <v>4673</v>
      </c>
      <c r="AU1597">
        <f t="shared" si="1140"/>
        <v>2888</v>
      </c>
      <c r="AV1597">
        <f t="shared" si="1128"/>
        <v>2513</v>
      </c>
      <c r="AW1597">
        <f t="shared" si="1129"/>
        <v>3626</v>
      </c>
      <c r="AX1597" s="3">
        <f t="shared" si="1130"/>
        <v>6986.0000000000018</v>
      </c>
      <c r="AY1597">
        <f t="shared" si="1131"/>
        <v>2336</v>
      </c>
      <c r="AZ1597">
        <f t="shared" si="1132"/>
        <v>3687</v>
      </c>
      <c r="BA1597" s="3">
        <f t="shared" si="1133"/>
        <v>7102.0000000000018</v>
      </c>
    </row>
    <row r="1598" spans="1:53" x14ac:dyDescent="0.2">
      <c r="A1598">
        <v>2022</v>
      </c>
      <c r="B1598" t="s">
        <v>128</v>
      </c>
      <c r="C1598" t="s">
        <v>126</v>
      </c>
      <c r="D1598">
        <v>16.399999999999999</v>
      </c>
      <c r="E1598">
        <v>0</v>
      </c>
      <c r="F1598">
        <v>2</v>
      </c>
      <c r="G1598">
        <v>11.9</v>
      </c>
      <c r="H1598">
        <v>3.5</v>
      </c>
      <c r="I1598">
        <v>2.2000000000000002</v>
      </c>
      <c r="J1598">
        <v>0</v>
      </c>
      <c r="K1598">
        <f t="shared" si="1134"/>
        <v>36</v>
      </c>
      <c r="L1598">
        <v>0</v>
      </c>
      <c r="M1598">
        <v>0</v>
      </c>
      <c r="N1598">
        <v>0</v>
      </c>
      <c r="O1598">
        <f t="shared" si="1135"/>
        <v>0</v>
      </c>
      <c r="P1598">
        <v>0</v>
      </c>
      <c r="Q1598">
        <v>0</v>
      </c>
      <c r="R1598">
        <v>0.3</v>
      </c>
      <c r="S1598">
        <f t="shared" si="1136"/>
        <v>0.3</v>
      </c>
      <c r="T1598">
        <v>1.2</v>
      </c>
      <c r="U1598">
        <v>0.6</v>
      </c>
      <c r="V1598">
        <v>0.4</v>
      </c>
      <c r="W1598">
        <v>0.6</v>
      </c>
      <c r="X1598">
        <v>0</v>
      </c>
      <c r="Y1598">
        <v>0</v>
      </c>
      <c r="Z1598">
        <v>0</v>
      </c>
      <c r="AA1598">
        <f t="shared" si="1137"/>
        <v>2.8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 s="5">
        <f t="shared" si="1141"/>
        <v>0</v>
      </c>
      <c r="AK1598">
        <v>0</v>
      </c>
      <c r="AL1598">
        <v>0.61</v>
      </c>
      <c r="AM1598">
        <f t="shared" si="1143"/>
        <v>0.39100000000000001</v>
      </c>
      <c r="AN1598">
        <v>7394</v>
      </c>
      <c r="AO1598" t="s">
        <v>13</v>
      </c>
      <c r="AP1598" s="3">
        <f t="shared" si="1144"/>
        <v>12141.215106732348</v>
      </c>
      <c r="AQ1598" t="s">
        <v>13</v>
      </c>
      <c r="AR1598">
        <f t="shared" si="1142"/>
        <v>0</v>
      </c>
      <c r="AS1598">
        <f t="shared" si="1138"/>
        <v>0.39099999999999996</v>
      </c>
      <c r="AT1598">
        <f t="shared" si="1139"/>
        <v>4747</v>
      </c>
      <c r="AU1598">
        <f t="shared" si="1140"/>
        <v>0</v>
      </c>
      <c r="AV1598">
        <f t="shared" si="1128"/>
        <v>2562</v>
      </c>
      <c r="AW1598">
        <f t="shared" si="1129"/>
        <v>0</v>
      </c>
      <c r="AX1598" s="3">
        <f t="shared" si="1130"/>
        <v>9579.2151067323484</v>
      </c>
      <c r="AY1598">
        <f t="shared" si="1131"/>
        <v>2374</v>
      </c>
      <c r="AZ1598">
        <f t="shared" si="1132"/>
        <v>0</v>
      </c>
      <c r="BA1598" s="3">
        <f t="shared" si="1133"/>
        <v>9767.2151067323484</v>
      </c>
    </row>
    <row r="1599" spans="1:53" x14ac:dyDescent="0.2">
      <c r="A1599">
        <v>2023</v>
      </c>
      <c r="B1599" t="s">
        <v>128</v>
      </c>
      <c r="C1599" t="s">
        <v>126</v>
      </c>
      <c r="D1599" t="s">
        <v>13</v>
      </c>
      <c r="E1599" t="s">
        <v>13</v>
      </c>
      <c r="F1599" t="s">
        <v>13</v>
      </c>
      <c r="G1599" t="s">
        <v>13</v>
      </c>
      <c r="H1599" t="s">
        <v>13</v>
      </c>
      <c r="I1599" t="s">
        <v>13</v>
      </c>
      <c r="J1599" t="s">
        <v>13</v>
      </c>
      <c r="K1599" t="s">
        <v>13</v>
      </c>
      <c r="L1599" t="s">
        <v>13</v>
      </c>
      <c r="M1599" t="s">
        <v>13</v>
      </c>
      <c r="N1599" t="s">
        <v>13</v>
      </c>
      <c r="O1599" t="s">
        <v>13</v>
      </c>
      <c r="P1599" t="s">
        <v>13</v>
      </c>
      <c r="Q1599" t="s">
        <v>13</v>
      </c>
      <c r="R1599" t="s">
        <v>13</v>
      </c>
      <c r="S1599" t="s">
        <v>13</v>
      </c>
      <c r="T1599" t="s">
        <v>13</v>
      </c>
      <c r="U1599" t="s">
        <v>13</v>
      </c>
      <c r="V1599" t="s">
        <v>13</v>
      </c>
      <c r="W1599" t="s">
        <v>13</v>
      </c>
      <c r="X1599" t="s">
        <v>13</v>
      </c>
      <c r="Y1599" t="s">
        <v>13</v>
      </c>
      <c r="Z1599" t="s">
        <v>13</v>
      </c>
      <c r="AA1599" t="s">
        <v>13</v>
      </c>
      <c r="AB1599" t="s">
        <v>13</v>
      </c>
      <c r="AC1599" t="s">
        <v>13</v>
      </c>
      <c r="AD1599" t="s">
        <v>13</v>
      </c>
      <c r="AE1599" t="s">
        <v>13</v>
      </c>
      <c r="AF1599" t="s">
        <v>13</v>
      </c>
      <c r="AG1599" t="s">
        <v>13</v>
      </c>
      <c r="AH1599" t="s">
        <v>13</v>
      </c>
      <c r="AI1599" t="s">
        <v>13</v>
      </c>
      <c r="AJ1599" t="s">
        <v>13</v>
      </c>
      <c r="AK1599" t="s">
        <v>13</v>
      </c>
      <c r="AL1599" t="s">
        <v>13</v>
      </c>
      <c r="AM1599" t="s">
        <v>13</v>
      </c>
      <c r="AN1599">
        <v>10029</v>
      </c>
      <c r="AO1599" t="s">
        <v>13</v>
      </c>
      <c r="AP1599" t="s">
        <v>13</v>
      </c>
      <c r="AQ1599" t="s">
        <v>13</v>
      </c>
      <c r="AR1599" t="s">
        <v>13</v>
      </c>
      <c r="AS1599" t="s">
        <v>13</v>
      </c>
      <c r="AT1599" t="s">
        <v>13</v>
      </c>
      <c r="AU1599" t="s">
        <v>13</v>
      </c>
      <c r="AV1599" t="s">
        <v>13</v>
      </c>
      <c r="AW1599" t="s">
        <v>13</v>
      </c>
      <c r="AX1599" t="s">
        <v>13</v>
      </c>
      <c r="AY1599" t="s">
        <v>13</v>
      </c>
      <c r="AZ1599" t="s">
        <v>13</v>
      </c>
      <c r="BA1599" t="s">
        <v>13</v>
      </c>
    </row>
    <row r="1600" spans="1:53" x14ac:dyDescent="0.2">
      <c r="A1600">
        <v>2003</v>
      </c>
      <c r="B1600" t="s">
        <v>105</v>
      </c>
      <c r="C1600" t="s">
        <v>1</v>
      </c>
      <c r="D1600">
        <v>6.5</v>
      </c>
      <c r="E1600">
        <v>0.3</v>
      </c>
      <c r="F1600">
        <v>1.4</v>
      </c>
      <c r="G1600">
        <v>12.1</v>
      </c>
      <c r="H1600">
        <v>0</v>
      </c>
      <c r="I1600">
        <v>0</v>
      </c>
      <c r="J1600">
        <v>0</v>
      </c>
      <c r="K1600">
        <f t="shared" si="1134"/>
        <v>20.299999999999997</v>
      </c>
      <c r="L1600">
        <v>0</v>
      </c>
      <c r="M1600">
        <v>0</v>
      </c>
      <c r="N1600">
        <v>0</v>
      </c>
      <c r="O1600">
        <f t="shared" si="1135"/>
        <v>0</v>
      </c>
      <c r="P1600">
        <v>0</v>
      </c>
      <c r="Q1600">
        <v>0</v>
      </c>
      <c r="R1600">
        <v>0</v>
      </c>
      <c r="S1600">
        <f t="shared" si="1136"/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f t="shared" si="1137"/>
        <v>0</v>
      </c>
      <c r="AB1600">
        <v>1.2</v>
      </c>
      <c r="AC1600">
        <v>1</v>
      </c>
      <c r="AD1600">
        <v>0.7</v>
      </c>
      <c r="AE1600">
        <v>4.5999999999999996</v>
      </c>
      <c r="AF1600">
        <v>0</v>
      </c>
      <c r="AG1600">
        <v>0</v>
      </c>
      <c r="AH1600">
        <v>0</v>
      </c>
      <c r="AI1600">
        <v>0</v>
      </c>
      <c r="AJ1600" s="5">
        <f t="shared" si="1141"/>
        <v>7.5</v>
      </c>
      <c r="AK1600">
        <v>0</v>
      </c>
      <c r="AL1600">
        <v>0.72299999999999998</v>
      </c>
      <c r="AM1600">
        <f t="shared" si="1143"/>
        <v>0.27800000000000002</v>
      </c>
      <c r="AN1600">
        <v>46824</v>
      </c>
      <c r="AO1600" t="s">
        <v>13</v>
      </c>
      <c r="AP1600" s="3">
        <f t="shared" ref="AP1600" si="1145">AN1600/(1-AM1600)</f>
        <v>64853.185595567869</v>
      </c>
      <c r="AQ1600" t="s">
        <v>13</v>
      </c>
      <c r="AR1600">
        <f t="shared" si="1142"/>
        <v>0.26978417266187049</v>
      </c>
      <c r="AS1600">
        <f t="shared" ref="AS1600:AS1619" si="1146">SUM(K1600,O1600,S1600,AA1600)/100</f>
        <v>0.20299999999999996</v>
      </c>
      <c r="AT1600">
        <f t="shared" ref="AT1600:AT1619" si="1147">ROUND(AS1600*AP1600,0)</f>
        <v>13165</v>
      </c>
      <c r="AU1600">
        <f t="shared" ref="AU1600:AU1619" si="1148">ROUND((AJ1600/100)*AP1600,0)</f>
        <v>4864</v>
      </c>
      <c r="AV1600">
        <f t="shared" si="1128"/>
        <v>6583</v>
      </c>
      <c r="AW1600">
        <f t="shared" si="1129"/>
        <v>5483</v>
      </c>
      <c r="AX1600" s="3">
        <f t="shared" si="1130"/>
        <v>52787.185595567869</v>
      </c>
      <c r="AY1600">
        <f t="shared" si="1131"/>
        <v>6583</v>
      </c>
      <c r="AZ1600">
        <f t="shared" si="1132"/>
        <v>5483</v>
      </c>
      <c r="BA1600" s="3">
        <f t="shared" si="1133"/>
        <v>52787.185595567869</v>
      </c>
    </row>
    <row r="1601" spans="1:53" x14ac:dyDescent="0.2">
      <c r="A1601">
        <v>2004</v>
      </c>
      <c r="B1601" t="s">
        <v>105</v>
      </c>
      <c r="C1601" t="s">
        <v>1</v>
      </c>
      <c r="D1601">
        <v>8.9</v>
      </c>
      <c r="E1601">
        <v>0</v>
      </c>
      <c r="F1601">
        <v>0</v>
      </c>
      <c r="G1601">
        <v>0</v>
      </c>
      <c r="H1601">
        <v>6.1</v>
      </c>
      <c r="I1601">
        <v>0</v>
      </c>
      <c r="J1601">
        <v>0</v>
      </c>
      <c r="K1601">
        <f t="shared" si="1134"/>
        <v>15</v>
      </c>
      <c r="L1601">
        <v>0</v>
      </c>
      <c r="M1601">
        <v>0</v>
      </c>
      <c r="N1601">
        <v>0</v>
      </c>
      <c r="O1601">
        <f t="shared" si="1135"/>
        <v>0</v>
      </c>
      <c r="P1601">
        <v>0</v>
      </c>
      <c r="Q1601">
        <v>0</v>
      </c>
      <c r="R1601">
        <v>0</v>
      </c>
      <c r="S1601">
        <f t="shared" si="1136"/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f t="shared" si="1137"/>
        <v>0</v>
      </c>
      <c r="AB1601">
        <v>1.9</v>
      </c>
      <c r="AC1601">
        <v>2.2000000000000002</v>
      </c>
      <c r="AD1601">
        <v>3.4</v>
      </c>
      <c r="AE1601">
        <v>10.1</v>
      </c>
      <c r="AF1601">
        <v>0</v>
      </c>
      <c r="AG1601">
        <v>0</v>
      </c>
      <c r="AH1601">
        <v>0</v>
      </c>
      <c r="AI1601">
        <v>0</v>
      </c>
      <c r="AJ1601" s="5">
        <f t="shared" si="1141"/>
        <v>17.600000000000001</v>
      </c>
      <c r="AK1601">
        <v>0</v>
      </c>
      <c r="AL1601">
        <v>0.67299999999999993</v>
      </c>
      <c r="AM1601">
        <f t="shared" si="1143"/>
        <v>0.32600000000000001</v>
      </c>
      <c r="AN1601">
        <v>48900</v>
      </c>
      <c r="AO1601" t="s">
        <v>13</v>
      </c>
      <c r="AP1601" s="3">
        <f t="shared" ref="AP1601:AP1621" si="1149">AN1601/(1-AM1601)</f>
        <v>72551.928783382798</v>
      </c>
      <c r="AQ1601" t="s">
        <v>13</v>
      </c>
      <c r="AR1601">
        <f t="shared" si="1142"/>
        <v>0.53987730061349692</v>
      </c>
      <c r="AS1601">
        <f t="shared" si="1146"/>
        <v>0.15</v>
      </c>
      <c r="AT1601">
        <f t="shared" si="1147"/>
        <v>10883</v>
      </c>
      <c r="AU1601">
        <f t="shared" si="1148"/>
        <v>12769</v>
      </c>
      <c r="AV1601">
        <f t="shared" si="1128"/>
        <v>5441</v>
      </c>
      <c r="AW1601">
        <f t="shared" si="1129"/>
        <v>13896</v>
      </c>
      <c r="AX1601" s="3">
        <f t="shared" si="1130"/>
        <v>53214.928783382798</v>
      </c>
      <c r="AY1601">
        <f t="shared" si="1131"/>
        <v>5441</v>
      </c>
      <c r="AZ1601">
        <f t="shared" si="1132"/>
        <v>13896</v>
      </c>
      <c r="BA1601" s="3">
        <f t="shared" si="1133"/>
        <v>53214.928783382798</v>
      </c>
    </row>
    <row r="1602" spans="1:53" x14ac:dyDescent="0.2">
      <c r="A1602">
        <v>2005</v>
      </c>
      <c r="B1602" t="s">
        <v>105</v>
      </c>
      <c r="C1602" t="s">
        <v>1</v>
      </c>
      <c r="D1602">
        <v>9</v>
      </c>
      <c r="E1602">
        <v>2</v>
      </c>
      <c r="F1602">
        <v>1.9</v>
      </c>
      <c r="G1602">
        <v>0</v>
      </c>
      <c r="H1602">
        <v>0</v>
      </c>
      <c r="I1602">
        <v>0</v>
      </c>
      <c r="J1602">
        <v>0</v>
      </c>
      <c r="K1602">
        <f t="shared" si="1134"/>
        <v>12.9</v>
      </c>
      <c r="L1602">
        <v>0</v>
      </c>
      <c r="M1602">
        <v>0</v>
      </c>
      <c r="N1602">
        <v>0</v>
      </c>
      <c r="O1602">
        <f t="shared" si="1135"/>
        <v>0</v>
      </c>
      <c r="P1602">
        <v>0</v>
      </c>
      <c r="Q1602">
        <v>0</v>
      </c>
      <c r="R1602">
        <v>0</v>
      </c>
      <c r="S1602">
        <f t="shared" si="1136"/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f t="shared" si="1137"/>
        <v>0</v>
      </c>
      <c r="AB1602">
        <v>4.8</v>
      </c>
      <c r="AC1602">
        <v>19.2</v>
      </c>
      <c r="AD1602">
        <v>7.5</v>
      </c>
      <c r="AE1602">
        <v>19.399999999999999</v>
      </c>
      <c r="AF1602">
        <v>0</v>
      </c>
      <c r="AG1602">
        <v>0</v>
      </c>
      <c r="AH1602">
        <v>0</v>
      </c>
      <c r="AI1602">
        <v>0</v>
      </c>
      <c r="AJ1602" s="5">
        <f t="shared" si="1141"/>
        <v>50.9</v>
      </c>
      <c r="AK1602">
        <v>0</v>
      </c>
      <c r="AL1602">
        <v>0.36200000000000004</v>
      </c>
      <c r="AM1602">
        <f t="shared" si="1143"/>
        <v>0.63800000000000001</v>
      </c>
      <c r="AN1602">
        <v>39833</v>
      </c>
      <c r="AO1602" t="s">
        <v>13</v>
      </c>
      <c r="AP1602" s="3">
        <f t="shared" si="1149"/>
        <v>110035.91160220995</v>
      </c>
      <c r="AQ1602" t="s">
        <v>13</v>
      </c>
      <c r="AR1602">
        <f t="shared" si="1142"/>
        <v>0.79780564263322884</v>
      </c>
      <c r="AS1602">
        <f t="shared" si="1146"/>
        <v>0.129</v>
      </c>
      <c r="AT1602">
        <f t="shared" si="1147"/>
        <v>14195</v>
      </c>
      <c r="AU1602">
        <f t="shared" si="1148"/>
        <v>56008</v>
      </c>
      <c r="AV1602">
        <f t="shared" si="1128"/>
        <v>7097</v>
      </c>
      <c r="AW1602">
        <f t="shared" si="1129"/>
        <v>60156</v>
      </c>
      <c r="AX1602" s="3">
        <f t="shared" si="1130"/>
        <v>42782.911602209948</v>
      </c>
      <c r="AY1602">
        <f t="shared" si="1131"/>
        <v>7097</v>
      </c>
      <c r="AZ1602">
        <f t="shared" si="1132"/>
        <v>60156</v>
      </c>
      <c r="BA1602" s="3">
        <f t="shared" si="1133"/>
        <v>42782.911602209948</v>
      </c>
    </row>
    <row r="1603" spans="1:53" x14ac:dyDescent="0.2">
      <c r="A1603">
        <v>2006</v>
      </c>
      <c r="B1603" t="s">
        <v>105</v>
      </c>
      <c r="C1603" t="s">
        <v>1</v>
      </c>
      <c r="D1603">
        <v>9.1</v>
      </c>
      <c r="E1603">
        <v>2.2999999999999998</v>
      </c>
      <c r="F1603">
        <v>2.2000000000000002</v>
      </c>
      <c r="G1603">
        <v>0</v>
      </c>
      <c r="H1603">
        <v>0</v>
      </c>
      <c r="I1603">
        <v>0</v>
      </c>
      <c r="J1603">
        <v>0</v>
      </c>
      <c r="K1603">
        <f t="shared" si="1134"/>
        <v>13.599999999999998</v>
      </c>
      <c r="L1603">
        <v>0</v>
      </c>
      <c r="M1603">
        <v>0</v>
      </c>
      <c r="N1603">
        <v>0</v>
      </c>
      <c r="O1603">
        <f t="shared" si="1135"/>
        <v>0</v>
      </c>
      <c r="P1603">
        <v>0</v>
      </c>
      <c r="Q1603">
        <v>0</v>
      </c>
      <c r="R1603">
        <v>0</v>
      </c>
      <c r="S1603">
        <f t="shared" si="1136"/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f t="shared" si="1137"/>
        <v>0</v>
      </c>
      <c r="AB1603">
        <v>2</v>
      </c>
      <c r="AC1603">
        <v>26.2</v>
      </c>
      <c r="AD1603">
        <v>6.8</v>
      </c>
      <c r="AE1603">
        <v>21.8</v>
      </c>
      <c r="AF1603">
        <v>0</v>
      </c>
      <c r="AG1603">
        <v>0</v>
      </c>
      <c r="AH1603">
        <v>0</v>
      </c>
      <c r="AI1603">
        <v>0</v>
      </c>
      <c r="AJ1603" s="5">
        <f t="shared" si="1141"/>
        <v>56.8</v>
      </c>
      <c r="AK1603">
        <v>0</v>
      </c>
      <c r="AL1603">
        <v>0.29499999999999998</v>
      </c>
      <c r="AM1603">
        <f t="shared" si="1143"/>
        <v>0.70399999999999996</v>
      </c>
      <c r="AN1603">
        <v>24405</v>
      </c>
      <c r="AO1603" t="s">
        <v>13</v>
      </c>
      <c r="AP1603" s="3">
        <f t="shared" si="1149"/>
        <v>82449.32432432432</v>
      </c>
      <c r="AQ1603" t="s">
        <v>13</v>
      </c>
      <c r="AR1603">
        <f t="shared" si="1142"/>
        <v>0.80681818181818177</v>
      </c>
      <c r="AS1603">
        <f t="shared" si="1146"/>
        <v>0.13599999999999998</v>
      </c>
      <c r="AT1603">
        <f t="shared" si="1147"/>
        <v>11213</v>
      </c>
      <c r="AU1603">
        <f t="shared" si="1148"/>
        <v>46831</v>
      </c>
      <c r="AV1603">
        <f t="shared" ref="AV1603:AV1666" si="1150">ROUND((((K1603*0.5)+O1603+S1603+AA1603)/100)*AP1603,0)</f>
        <v>5607</v>
      </c>
      <c r="AW1603">
        <f t="shared" ref="AW1603:AW1666" si="1151">ROUND((AU1603/(AP1603-AT1603))*(AP1603-AV1603),0)</f>
        <v>50516</v>
      </c>
      <c r="AX1603" s="3">
        <f t="shared" ref="AX1603:AX1666" si="1152">AP1603-AV1603-AW1603</f>
        <v>26326.32432432432</v>
      </c>
      <c r="AY1603">
        <f t="shared" ref="AY1603:AY1666" si="1153">ROUND((0.5*AS1603)*AP1603,0)</f>
        <v>5607</v>
      </c>
      <c r="AZ1603">
        <f t="shared" ref="AZ1603:AZ1666" si="1154">ROUND((AU1603/(AP1603-AT1603))*(AP1603-AY1603),0)</f>
        <v>50516</v>
      </c>
      <c r="BA1603" s="3">
        <f t="shared" ref="BA1603:BA1666" si="1155">AP1603-AZ1603-AY1603</f>
        <v>26326.32432432432</v>
      </c>
    </row>
    <row r="1604" spans="1:53" x14ac:dyDescent="0.2">
      <c r="A1604">
        <v>2007</v>
      </c>
      <c r="B1604" t="s">
        <v>105</v>
      </c>
      <c r="C1604" t="s">
        <v>1</v>
      </c>
      <c r="D1604">
        <v>9.6</v>
      </c>
      <c r="E1604">
        <v>0</v>
      </c>
      <c r="F1604">
        <v>0.3</v>
      </c>
      <c r="G1604">
        <v>0</v>
      </c>
      <c r="H1604">
        <v>0</v>
      </c>
      <c r="I1604">
        <v>0</v>
      </c>
      <c r="J1604">
        <v>0</v>
      </c>
      <c r="K1604">
        <f t="shared" si="1134"/>
        <v>9.9</v>
      </c>
      <c r="L1604">
        <v>0</v>
      </c>
      <c r="M1604">
        <v>0</v>
      </c>
      <c r="N1604">
        <v>0</v>
      </c>
      <c r="O1604">
        <f t="shared" si="1135"/>
        <v>0</v>
      </c>
      <c r="P1604">
        <v>0</v>
      </c>
      <c r="Q1604">
        <v>0</v>
      </c>
      <c r="R1604">
        <v>0</v>
      </c>
      <c r="S1604">
        <f t="shared" si="1136"/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f t="shared" si="1137"/>
        <v>0</v>
      </c>
      <c r="AB1604">
        <v>2.2999999999999998</v>
      </c>
      <c r="AC1604">
        <v>14.9</v>
      </c>
      <c r="AD1604">
        <v>8.4</v>
      </c>
      <c r="AE1604">
        <v>28.1</v>
      </c>
      <c r="AF1604">
        <v>0</v>
      </c>
      <c r="AG1604">
        <v>0</v>
      </c>
      <c r="AH1604">
        <v>0</v>
      </c>
      <c r="AI1604">
        <v>0</v>
      </c>
      <c r="AJ1604" s="5">
        <f t="shared" si="1141"/>
        <v>53.7</v>
      </c>
      <c r="AK1604">
        <v>0</v>
      </c>
      <c r="AL1604">
        <v>0.36399999999999999</v>
      </c>
      <c r="AM1604">
        <f t="shared" si="1143"/>
        <v>0.63600000000000001</v>
      </c>
      <c r="AN1604">
        <v>14560</v>
      </c>
      <c r="AO1604" t="s">
        <v>13</v>
      </c>
      <c r="AP1604" s="3">
        <f t="shared" si="1149"/>
        <v>40000</v>
      </c>
      <c r="AQ1604" t="s">
        <v>13</v>
      </c>
      <c r="AR1604">
        <f t="shared" si="1142"/>
        <v>0.84433962264150952</v>
      </c>
      <c r="AS1604">
        <f t="shared" si="1146"/>
        <v>9.9000000000000005E-2</v>
      </c>
      <c r="AT1604">
        <f t="shared" si="1147"/>
        <v>3960</v>
      </c>
      <c r="AU1604">
        <f t="shared" si="1148"/>
        <v>21480</v>
      </c>
      <c r="AV1604">
        <f t="shared" si="1150"/>
        <v>1980</v>
      </c>
      <c r="AW1604">
        <f t="shared" si="1151"/>
        <v>22660</v>
      </c>
      <c r="AX1604" s="3">
        <f t="shared" si="1152"/>
        <v>15360</v>
      </c>
      <c r="AY1604">
        <f t="shared" si="1153"/>
        <v>1980</v>
      </c>
      <c r="AZ1604">
        <f t="shared" si="1154"/>
        <v>22660</v>
      </c>
      <c r="BA1604" s="3">
        <f t="shared" si="1155"/>
        <v>15360</v>
      </c>
    </row>
    <row r="1605" spans="1:53" x14ac:dyDescent="0.2">
      <c r="A1605">
        <v>2008</v>
      </c>
      <c r="B1605" t="s">
        <v>105</v>
      </c>
      <c r="C1605" t="s">
        <v>1</v>
      </c>
      <c r="D1605">
        <v>4.3</v>
      </c>
      <c r="E1605">
        <v>0</v>
      </c>
      <c r="F1605">
        <v>0.3</v>
      </c>
      <c r="G1605">
        <v>0</v>
      </c>
      <c r="H1605">
        <v>0</v>
      </c>
      <c r="I1605">
        <v>0</v>
      </c>
      <c r="J1605">
        <v>0</v>
      </c>
      <c r="K1605">
        <f t="shared" si="1134"/>
        <v>4.5999999999999996</v>
      </c>
      <c r="L1605">
        <v>0</v>
      </c>
      <c r="M1605">
        <v>0</v>
      </c>
      <c r="N1605">
        <v>0</v>
      </c>
      <c r="O1605">
        <f t="shared" si="1135"/>
        <v>0</v>
      </c>
      <c r="P1605">
        <v>0</v>
      </c>
      <c r="Q1605">
        <v>0</v>
      </c>
      <c r="R1605">
        <v>0</v>
      </c>
      <c r="S1605">
        <f t="shared" si="1136"/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f t="shared" si="1137"/>
        <v>0</v>
      </c>
      <c r="AB1605">
        <v>2.8</v>
      </c>
      <c r="AC1605">
        <v>16.899999999999999</v>
      </c>
      <c r="AD1605">
        <v>8.8000000000000007</v>
      </c>
      <c r="AE1605">
        <v>20.7</v>
      </c>
      <c r="AF1605">
        <v>0</v>
      </c>
      <c r="AG1605">
        <v>0</v>
      </c>
      <c r="AH1605">
        <v>0</v>
      </c>
      <c r="AI1605">
        <v>0</v>
      </c>
      <c r="AJ1605" s="5">
        <f t="shared" si="1141"/>
        <v>49.2</v>
      </c>
      <c r="AK1605">
        <v>0</v>
      </c>
      <c r="AL1605">
        <v>0.46100000000000002</v>
      </c>
      <c r="AM1605">
        <f t="shared" si="1143"/>
        <v>0.53799999999999992</v>
      </c>
      <c r="AN1605">
        <v>18352</v>
      </c>
      <c r="AO1605" t="s">
        <v>13</v>
      </c>
      <c r="AP1605" s="3">
        <f t="shared" si="1149"/>
        <v>39722.943722943717</v>
      </c>
      <c r="AQ1605" t="s">
        <v>13</v>
      </c>
      <c r="AR1605">
        <f t="shared" si="1142"/>
        <v>0.91449814126394069</v>
      </c>
      <c r="AS1605">
        <f t="shared" si="1146"/>
        <v>4.5999999999999999E-2</v>
      </c>
      <c r="AT1605">
        <f t="shared" si="1147"/>
        <v>1827</v>
      </c>
      <c r="AU1605">
        <f t="shared" si="1148"/>
        <v>19544</v>
      </c>
      <c r="AV1605">
        <f t="shared" si="1150"/>
        <v>914</v>
      </c>
      <c r="AW1605">
        <f t="shared" si="1151"/>
        <v>20015</v>
      </c>
      <c r="AX1605" s="3">
        <f t="shared" si="1152"/>
        <v>18793.943722943717</v>
      </c>
      <c r="AY1605">
        <f t="shared" si="1153"/>
        <v>914</v>
      </c>
      <c r="AZ1605">
        <f t="shared" si="1154"/>
        <v>20015</v>
      </c>
      <c r="BA1605" s="3">
        <f t="shared" si="1155"/>
        <v>18793.943722943717</v>
      </c>
    </row>
    <row r="1606" spans="1:53" x14ac:dyDescent="0.2">
      <c r="A1606">
        <v>2009</v>
      </c>
      <c r="B1606" t="s">
        <v>105</v>
      </c>
      <c r="C1606" t="s">
        <v>1</v>
      </c>
      <c r="D1606">
        <v>12.6</v>
      </c>
      <c r="E1606">
        <v>3.5</v>
      </c>
      <c r="F1606">
        <v>0.5</v>
      </c>
      <c r="G1606">
        <v>0</v>
      </c>
      <c r="H1606">
        <v>0</v>
      </c>
      <c r="I1606">
        <v>0</v>
      </c>
      <c r="J1606">
        <v>0</v>
      </c>
      <c r="K1606">
        <f t="shared" si="1134"/>
        <v>16.600000000000001</v>
      </c>
      <c r="L1606">
        <v>0</v>
      </c>
      <c r="M1606">
        <v>0</v>
      </c>
      <c r="N1606">
        <v>0</v>
      </c>
      <c r="O1606">
        <f t="shared" si="1135"/>
        <v>0</v>
      </c>
      <c r="P1606">
        <v>0</v>
      </c>
      <c r="Q1606">
        <v>0</v>
      </c>
      <c r="R1606">
        <v>0</v>
      </c>
      <c r="S1606">
        <f t="shared" si="1136"/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f t="shared" si="1137"/>
        <v>0</v>
      </c>
      <c r="AB1606">
        <v>0</v>
      </c>
      <c r="AC1606">
        <v>13.5</v>
      </c>
      <c r="AD1606">
        <v>2.8</v>
      </c>
      <c r="AE1606">
        <v>11.3</v>
      </c>
      <c r="AF1606">
        <v>0</v>
      </c>
      <c r="AG1606">
        <v>0</v>
      </c>
      <c r="AH1606">
        <v>0</v>
      </c>
      <c r="AI1606">
        <v>0</v>
      </c>
      <c r="AJ1606" s="5">
        <f t="shared" si="1141"/>
        <v>27.6</v>
      </c>
      <c r="AK1606">
        <v>0</v>
      </c>
      <c r="AL1606">
        <v>0.55899999999999994</v>
      </c>
      <c r="AM1606">
        <f t="shared" si="1143"/>
        <v>0.442</v>
      </c>
      <c r="AN1606">
        <v>12972</v>
      </c>
      <c r="AO1606" t="s">
        <v>13</v>
      </c>
      <c r="AP1606" s="3">
        <f t="shared" si="1149"/>
        <v>23247.311827956986</v>
      </c>
      <c r="AQ1606" t="s">
        <v>13</v>
      </c>
      <c r="AR1606">
        <f t="shared" si="1142"/>
        <v>0.6244343891402715</v>
      </c>
      <c r="AS1606">
        <f t="shared" si="1146"/>
        <v>0.16600000000000001</v>
      </c>
      <c r="AT1606">
        <f t="shared" si="1147"/>
        <v>3859</v>
      </c>
      <c r="AU1606">
        <f t="shared" si="1148"/>
        <v>6416</v>
      </c>
      <c r="AV1606">
        <f t="shared" si="1150"/>
        <v>1930</v>
      </c>
      <c r="AW1606">
        <f t="shared" si="1151"/>
        <v>7054</v>
      </c>
      <c r="AX1606" s="3">
        <f t="shared" si="1152"/>
        <v>14263.311827956986</v>
      </c>
      <c r="AY1606">
        <f t="shared" si="1153"/>
        <v>1930</v>
      </c>
      <c r="AZ1606">
        <f t="shared" si="1154"/>
        <v>7054</v>
      </c>
      <c r="BA1606" s="3">
        <f t="shared" si="1155"/>
        <v>14263.311827956986</v>
      </c>
    </row>
    <row r="1607" spans="1:53" x14ac:dyDescent="0.2">
      <c r="A1607">
        <v>2010</v>
      </c>
      <c r="B1607" t="s">
        <v>105</v>
      </c>
      <c r="C1607" t="s">
        <v>1</v>
      </c>
      <c r="D1607">
        <v>13.5</v>
      </c>
      <c r="E1607">
        <v>2.9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f t="shared" si="1134"/>
        <v>16.399999999999999</v>
      </c>
      <c r="L1607">
        <v>0</v>
      </c>
      <c r="M1607">
        <v>0</v>
      </c>
      <c r="N1607">
        <v>0</v>
      </c>
      <c r="O1607">
        <f t="shared" si="1135"/>
        <v>0</v>
      </c>
      <c r="P1607">
        <v>0</v>
      </c>
      <c r="Q1607">
        <v>0</v>
      </c>
      <c r="R1607">
        <v>0</v>
      </c>
      <c r="S1607">
        <f t="shared" si="1136"/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f t="shared" si="1137"/>
        <v>0</v>
      </c>
      <c r="AB1607">
        <v>1.7</v>
      </c>
      <c r="AC1607">
        <v>2.7</v>
      </c>
      <c r="AD1607">
        <v>3.9</v>
      </c>
      <c r="AE1607">
        <v>15</v>
      </c>
      <c r="AF1607">
        <v>0</v>
      </c>
      <c r="AG1607">
        <v>0</v>
      </c>
      <c r="AH1607">
        <v>0</v>
      </c>
      <c r="AI1607">
        <v>0</v>
      </c>
      <c r="AJ1607" s="5">
        <f t="shared" si="1141"/>
        <v>23.3</v>
      </c>
      <c r="AK1607">
        <v>0</v>
      </c>
      <c r="AL1607">
        <v>0.60399999999999998</v>
      </c>
      <c r="AM1607">
        <f t="shared" si="1143"/>
        <v>0.39699999999999996</v>
      </c>
      <c r="AN1607">
        <v>15148</v>
      </c>
      <c r="AO1607" t="s">
        <v>13</v>
      </c>
      <c r="AP1607" s="3">
        <f t="shared" si="1149"/>
        <v>25121.06135986733</v>
      </c>
      <c r="AQ1607" t="s">
        <v>13</v>
      </c>
      <c r="AR1607">
        <f t="shared" si="1142"/>
        <v>0.58690176322418142</v>
      </c>
      <c r="AS1607">
        <f t="shared" si="1146"/>
        <v>0.16399999999999998</v>
      </c>
      <c r="AT1607">
        <f t="shared" si="1147"/>
        <v>4120</v>
      </c>
      <c r="AU1607">
        <f t="shared" si="1148"/>
        <v>5853</v>
      </c>
      <c r="AV1607">
        <f t="shared" si="1150"/>
        <v>2060</v>
      </c>
      <c r="AW1607">
        <f t="shared" si="1151"/>
        <v>6427</v>
      </c>
      <c r="AX1607" s="3">
        <f t="shared" si="1152"/>
        <v>16634.06135986733</v>
      </c>
      <c r="AY1607">
        <f t="shared" si="1153"/>
        <v>2060</v>
      </c>
      <c r="AZ1607">
        <f t="shared" si="1154"/>
        <v>6427</v>
      </c>
      <c r="BA1607" s="3">
        <f t="shared" si="1155"/>
        <v>16634.06135986733</v>
      </c>
    </row>
    <row r="1608" spans="1:53" x14ac:dyDescent="0.2">
      <c r="A1608">
        <v>2011</v>
      </c>
      <c r="B1608" t="s">
        <v>105</v>
      </c>
      <c r="C1608" t="s">
        <v>1</v>
      </c>
      <c r="D1608">
        <v>4.5999999999999996</v>
      </c>
      <c r="E1608">
        <v>5.5</v>
      </c>
      <c r="F1608">
        <v>4.4000000000000004</v>
      </c>
      <c r="G1608">
        <v>0</v>
      </c>
      <c r="H1608">
        <v>0.2</v>
      </c>
      <c r="I1608">
        <v>0</v>
      </c>
      <c r="J1608">
        <v>0</v>
      </c>
      <c r="K1608">
        <f t="shared" si="1134"/>
        <v>14.7</v>
      </c>
      <c r="L1608">
        <v>0</v>
      </c>
      <c r="M1608">
        <v>0</v>
      </c>
      <c r="N1608">
        <v>0</v>
      </c>
      <c r="O1608">
        <f t="shared" si="1135"/>
        <v>0</v>
      </c>
      <c r="P1608">
        <v>0</v>
      </c>
      <c r="Q1608">
        <v>0</v>
      </c>
      <c r="R1608">
        <v>0</v>
      </c>
      <c r="S1608">
        <f t="shared" si="1136"/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f t="shared" si="1137"/>
        <v>0</v>
      </c>
      <c r="AB1608">
        <v>0.6</v>
      </c>
      <c r="AC1608">
        <v>8.1</v>
      </c>
      <c r="AD1608">
        <v>0.6</v>
      </c>
      <c r="AE1608">
        <v>12</v>
      </c>
      <c r="AF1608">
        <v>0</v>
      </c>
      <c r="AG1608">
        <v>0</v>
      </c>
      <c r="AH1608">
        <v>0</v>
      </c>
      <c r="AI1608">
        <v>0</v>
      </c>
      <c r="AJ1608" s="5">
        <f t="shared" si="1141"/>
        <v>21.299999999999997</v>
      </c>
      <c r="AK1608">
        <v>0</v>
      </c>
      <c r="AL1608">
        <v>0.63900000000000001</v>
      </c>
      <c r="AM1608">
        <f t="shared" si="1143"/>
        <v>0.36</v>
      </c>
      <c r="AN1608">
        <v>14511</v>
      </c>
      <c r="AO1608" t="s">
        <v>13</v>
      </c>
      <c r="AP1608" s="3">
        <f t="shared" si="1149"/>
        <v>22673.4375</v>
      </c>
      <c r="AQ1608" t="s">
        <v>13</v>
      </c>
      <c r="AR1608">
        <f t="shared" si="1142"/>
        <v>0.59166666666666656</v>
      </c>
      <c r="AS1608">
        <f t="shared" si="1146"/>
        <v>0.14699999999999999</v>
      </c>
      <c r="AT1608">
        <f t="shared" si="1147"/>
        <v>3333</v>
      </c>
      <c r="AU1608">
        <f t="shared" si="1148"/>
        <v>4829</v>
      </c>
      <c r="AV1608">
        <f t="shared" si="1150"/>
        <v>1666</v>
      </c>
      <c r="AW1608">
        <f t="shared" si="1151"/>
        <v>5245</v>
      </c>
      <c r="AX1608" s="3">
        <f t="shared" si="1152"/>
        <v>15762.4375</v>
      </c>
      <c r="AY1608">
        <f t="shared" si="1153"/>
        <v>1666</v>
      </c>
      <c r="AZ1608">
        <f t="shared" si="1154"/>
        <v>5245</v>
      </c>
      <c r="BA1608" s="3">
        <f t="shared" si="1155"/>
        <v>15762.4375</v>
      </c>
    </row>
    <row r="1609" spans="1:53" x14ac:dyDescent="0.2">
      <c r="A1609">
        <v>2012</v>
      </c>
      <c r="B1609" t="s">
        <v>105</v>
      </c>
      <c r="C1609" t="s">
        <v>1</v>
      </c>
      <c r="D1609">
        <v>9.1</v>
      </c>
      <c r="E1609">
        <v>3.2</v>
      </c>
      <c r="F1609">
        <v>0.2</v>
      </c>
      <c r="G1609">
        <v>0</v>
      </c>
      <c r="H1609">
        <v>0</v>
      </c>
      <c r="I1609">
        <v>0</v>
      </c>
      <c r="J1609">
        <v>0</v>
      </c>
      <c r="K1609">
        <f t="shared" si="1134"/>
        <v>12.5</v>
      </c>
      <c r="L1609">
        <v>0</v>
      </c>
      <c r="M1609">
        <v>0</v>
      </c>
      <c r="N1609">
        <v>0</v>
      </c>
      <c r="O1609">
        <f t="shared" si="1135"/>
        <v>0</v>
      </c>
      <c r="P1609">
        <v>0</v>
      </c>
      <c r="Q1609">
        <v>0</v>
      </c>
      <c r="R1609">
        <v>0</v>
      </c>
      <c r="S1609">
        <f t="shared" si="1136"/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f t="shared" si="1137"/>
        <v>0</v>
      </c>
      <c r="AB1609">
        <v>0</v>
      </c>
      <c r="AC1609">
        <v>2.9</v>
      </c>
      <c r="AD1609">
        <v>1.7</v>
      </c>
      <c r="AE1609">
        <v>15.6</v>
      </c>
      <c r="AF1609">
        <v>0</v>
      </c>
      <c r="AG1609">
        <v>0</v>
      </c>
      <c r="AH1609">
        <v>0</v>
      </c>
      <c r="AI1609">
        <v>0</v>
      </c>
      <c r="AJ1609" s="5">
        <f t="shared" si="1141"/>
        <v>20.2</v>
      </c>
      <c r="AK1609">
        <v>0.2</v>
      </c>
      <c r="AL1609">
        <v>0.67200000000000004</v>
      </c>
      <c r="AM1609">
        <f t="shared" si="1143"/>
        <v>0.32700000000000001</v>
      </c>
      <c r="AN1609">
        <v>22332</v>
      </c>
      <c r="AO1609" t="s">
        <v>13</v>
      </c>
      <c r="AP1609" s="3">
        <f t="shared" si="1149"/>
        <v>33182.763744427932</v>
      </c>
      <c r="AQ1609" t="s">
        <v>13</v>
      </c>
      <c r="AR1609">
        <f t="shared" si="1142"/>
        <v>0.61773700305810386</v>
      </c>
      <c r="AS1609">
        <f t="shared" si="1146"/>
        <v>0.125</v>
      </c>
      <c r="AT1609">
        <f t="shared" si="1147"/>
        <v>4148</v>
      </c>
      <c r="AU1609">
        <f t="shared" si="1148"/>
        <v>6703</v>
      </c>
      <c r="AV1609">
        <f t="shared" si="1150"/>
        <v>2074</v>
      </c>
      <c r="AW1609">
        <f t="shared" si="1151"/>
        <v>7182</v>
      </c>
      <c r="AX1609" s="3">
        <f t="shared" si="1152"/>
        <v>23926.763744427932</v>
      </c>
      <c r="AY1609">
        <f t="shared" si="1153"/>
        <v>2074</v>
      </c>
      <c r="AZ1609">
        <f t="shared" si="1154"/>
        <v>7182</v>
      </c>
      <c r="BA1609" s="3">
        <f t="shared" si="1155"/>
        <v>23926.763744427932</v>
      </c>
    </row>
    <row r="1610" spans="1:53" x14ac:dyDescent="0.2">
      <c r="A1610">
        <v>2013</v>
      </c>
      <c r="B1610" t="s">
        <v>105</v>
      </c>
      <c r="C1610" t="s">
        <v>1</v>
      </c>
      <c r="D1610">
        <v>4.0999999999999996</v>
      </c>
      <c r="E1610">
        <v>3.5</v>
      </c>
      <c r="F1610">
        <v>2</v>
      </c>
      <c r="G1610">
        <v>0</v>
      </c>
      <c r="H1610">
        <v>0</v>
      </c>
      <c r="I1610">
        <v>0</v>
      </c>
      <c r="J1610">
        <v>0</v>
      </c>
      <c r="K1610">
        <f t="shared" si="1134"/>
        <v>9.6</v>
      </c>
      <c r="L1610">
        <v>0</v>
      </c>
      <c r="M1610">
        <v>0</v>
      </c>
      <c r="N1610">
        <v>0.5</v>
      </c>
      <c r="O1610">
        <f t="shared" si="1135"/>
        <v>0.5</v>
      </c>
      <c r="P1610">
        <v>0</v>
      </c>
      <c r="Q1610">
        <v>0</v>
      </c>
      <c r="R1610">
        <v>0</v>
      </c>
      <c r="S1610">
        <f t="shared" si="1136"/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f t="shared" si="1137"/>
        <v>0</v>
      </c>
      <c r="AB1610">
        <v>0.2</v>
      </c>
      <c r="AC1610">
        <v>2</v>
      </c>
      <c r="AD1610">
        <v>1.1000000000000001</v>
      </c>
      <c r="AE1610">
        <v>11.8</v>
      </c>
      <c r="AF1610">
        <v>0</v>
      </c>
      <c r="AG1610">
        <v>0</v>
      </c>
      <c r="AH1610">
        <v>0</v>
      </c>
      <c r="AI1610">
        <v>0</v>
      </c>
      <c r="AJ1610" s="5">
        <f t="shared" si="1141"/>
        <v>15.100000000000001</v>
      </c>
      <c r="AK1610">
        <v>0</v>
      </c>
      <c r="AL1610">
        <v>0.74900000000000011</v>
      </c>
      <c r="AM1610">
        <f t="shared" si="1143"/>
        <v>0.252</v>
      </c>
      <c r="AN1610">
        <v>16784</v>
      </c>
      <c r="AO1610" t="s">
        <v>13</v>
      </c>
      <c r="AP1610" s="3">
        <f t="shared" si="1149"/>
        <v>22438.502673796793</v>
      </c>
      <c r="AQ1610" t="s">
        <v>13</v>
      </c>
      <c r="AR1610">
        <f t="shared" si="1142"/>
        <v>0.5992063492063493</v>
      </c>
      <c r="AS1610">
        <f t="shared" si="1146"/>
        <v>0.10099999999999999</v>
      </c>
      <c r="AT1610">
        <f t="shared" si="1147"/>
        <v>2266</v>
      </c>
      <c r="AU1610">
        <f t="shared" si="1148"/>
        <v>3388</v>
      </c>
      <c r="AV1610">
        <f t="shared" si="1150"/>
        <v>1189</v>
      </c>
      <c r="AW1610">
        <f t="shared" si="1151"/>
        <v>3569</v>
      </c>
      <c r="AX1610" s="3">
        <f t="shared" si="1152"/>
        <v>17680.502673796793</v>
      </c>
      <c r="AY1610">
        <f t="shared" si="1153"/>
        <v>1133</v>
      </c>
      <c r="AZ1610">
        <f t="shared" si="1154"/>
        <v>3578</v>
      </c>
      <c r="BA1610" s="3">
        <f t="shared" si="1155"/>
        <v>17727.502673796793</v>
      </c>
    </row>
    <row r="1611" spans="1:53" x14ac:dyDescent="0.2">
      <c r="A1611">
        <v>2014</v>
      </c>
      <c r="B1611" t="s">
        <v>105</v>
      </c>
      <c r="C1611" t="s">
        <v>1</v>
      </c>
      <c r="D1611">
        <v>3.8</v>
      </c>
      <c r="E1611">
        <v>3.5</v>
      </c>
      <c r="F1611">
        <v>0</v>
      </c>
      <c r="G1611">
        <v>0</v>
      </c>
      <c r="H1611">
        <v>0.8</v>
      </c>
      <c r="I1611">
        <v>0</v>
      </c>
      <c r="J1611">
        <v>0</v>
      </c>
      <c r="K1611">
        <f t="shared" si="1134"/>
        <v>8.1</v>
      </c>
      <c r="L1611">
        <v>0</v>
      </c>
      <c r="M1611">
        <v>0</v>
      </c>
      <c r="N1611">
        <v>0</v>
      </c>
      <c r="O1611">
        <f t="shared" si="1135"/>
        <v>0</v>
      </c>
      <c r="P1611">
        <v>0</v>
      </c>
      <c r="Q1611">
        <v>0</v>
      </c>
      <c r="R1611">
        <v>0</v>
      </c>
      <c r="S1611">
        <f t="shared" si="1136"/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f t="shared" si="1137"/>
        <v>0</v>
      </c>
      <c r="AB1611">
        <v>0.7</v>
      </c>
      <c r="AC1611">
        <v>3.6</v>
      </c>
      <c r="AD1611">
        <v>1.3</v>
      </c>
      <c r="AE1611">
        <v>9.3000000000000007</v>
      </c>
      <c r="AF1611">
        <v>0</v>
      </c>
      <c r="AG1611">
        <v>0</v>
      </c>
      <c r="AH1611">
        <v>0</v>
      </c>
      <c r="AI1611">
        <v>0</v>
      </c>
      <c r="AJ1611" s="5">
        <f t="shared" si="1141"/>
        <v>14.9</v>
      </c>
      <c r="AK1611">
        <v>0</v>
      </c>
      <c r="AL1611">
        <v>0.76900000000000002</v>
      </c>
      <c r="AM1611">
        <f t="shared" si="1143"/>
        <v>0.23</v>
      </c>
      <c r="AN1611">
        <v>24374</v>
      </c>
      <c r="AO1611" t="s">
        <v>13</v>
      </c>
      <c r="AP1611" s="3">
        <f t="shared" si="1149"/>
        <v>31654.545454545452</v>
      </c>
      <c r="AQ1611" t="s">
        <v>13</v>
      </c>
      <c r="AR1611">
        <f t="shared" si="1142"/>
        <v>0.64782608695652166</v>
      </c>
      <c r="AS1611">
        <f t="shared" si="1146"/>
        <v>8.1000000000000003E-2</v>
      </c>
      <c r="AT1611">
        <f t="shared" si="1147"/>
        <v>2564</v>
      </c>
      <c r="AU1611">
        <f t="shared" si="1148"/>
        <v>4717</v>
      </c>
      <c r="AV1611">
        <f t="shared" si="1150"/>
        <v>1282</v>
      </c>
      <c r="AW1611">
        <f t="shared" si="1151"/>
        <v>4925</v>
      </c>
      <c r="AX1611" s="3">
        <f t="shared" si="1152"/>
        <v>25447.545454545452</v>
      </c>
      <c r="AY1611">
        <f t="shared" si="1153"/>
        <v>1282</v>
      </c>
      <c r="AZ1611">
        <f t="shared" si="1154"/>
        <v>4925</v>
      </c>
      <c r="BA1611" s="3">
        <f t="shared" si="1155"/>
        <v>25447.545454545452</v>
      </c>
    </row>
    <row r="1612" spans="1:53" x14ac:dyDescent="0.2">
      <c r="A1612">
        <v>2015</v>
      </c>
      <c r="B1612" t="s">
        <v>105</v>
      </c>
      <c r="C1612" t="s">
        <v>1</v>
      </c>
      <c r="D1612">
        <v>3.8</v>
      </c>
      <c r="E1612">
        <v>1.5</v>
      </c>
      <c r="F1612">
        <v>1.4</v>
      </c>
      <c r="G1612">
        <v>0</v>
      </c>
      <c r="H1612">
        <v>0</v>
      </c>
      <c r="I1612">
        <v>0</v>
      </c>
      <c r="J1612">
        <v>0</v>
      </c>
      <c r="K1612">
        <f t="shared" si="1134"/>
        <v>6.6999999999999993</v>
      </c>
      <c r="L1612">
        <v>0</v>
      </c>
      <c r="M1612">
        <v>0</v>
      </c>
      <c r="N1612">
        <v>0</v>
      </c>
      <c r="O1612">
        <f t="shared" si="1135"/>
        <v>0</v>
      </c>
      <c r="P1612">
        <v>0</v>
      </c>
      <c r="Q1612">
        <v>0</v>
      </c>
      <c r="R1612">
        <v>0</v>
      </c>
      <c r="S1612">
        <f t="shared" si="1136"/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f t="shared" si="1137"/>
        <v>0</v>
      </c>
      <c r="AB1612">
        <v>0.3</v>
      </c>
      <c r="AC1612">
        <v>1.9</v>
      </c>
      <c r="AD1612">
        <v>0</v>
      </c>
      <c r="AE1612">
        <v>17</v>
      </c>
      <c r="AF1612">
        <v>0</v>
      </c>
      <c r="AG1612">
        <v>0</v>
      </c>
      <c r="AH1612">
        <v>0</v>
      </c>
      <c r="AI1612">
        <v>0</v>
      </c>
      <c r="AJ1612" s="5">
        <f t="shared" si="1141"/>
        <v>19.2</v>
      </c>
      <c r="AK1612">
        <v>0</v>
      </c>
      <c r="AL1612">
        <v>0.74199999999999999</v>
      </c>
      <c r="AM1612">
        <f t="shared" si="1143"/>
        <v>0.25900000000000001</v>
      </c>
      <c r="AN1612">
        <v>21597</v>
      </c>
      <c r="AO1612" t="s">
        <v>13</v>
      </c>
      <c r="AP1612" s="3">
        <f t="shared" si="1149"/>
        <v>29145.748987854251</v>
      </c>
      <c r="AQ1612" t="s">
        <v>13</v>
      </c>
      <c r="AR1612">
        <f t="shared" si="1142"/>
        <v>0.74131274131274127</v>
      </c>
      <c r="AS1612">
        <f t="shared" si="1146"/>
        <v>6.699999999999999E-2</v>
      </c>
      <c r="AT1612">
        <f t="shared" si="1147"/>
        <v>1953</v>
      </c>
      <c r="AU1612">
        <f t="shared" si="1148"/>
        <v>5596</v>
      </c>
      <c r="AV1612">
        <f t="shared" si="1150"/>
        <v>976</v>
      </c>
      <c r="AW1612">
        <f t="shared" si="1151"/>
        <v>5797</v>
      </c>
      <c r="AX1612" s="3">
        <f t="shared" si="1152"/>
        <v>22372.748987854251</v>
      </c>
      <c r="AY1612">
        <f t="shared" si="1153"/>
        <v>976</v>
      </c>
      <c r="AZ1612">
        <f t="shared" si="1154"/>
        <v>5797</v>
      </c>
      <c r="BA1612" s="3">
        <f t="shared" si="1155"/>
        <v>22372.748987854251</v>
      </c>
    </row>
    <row r="1613" spans="1:53" x14ac:dyDescent="0.2">
      <c r="A1613">
        <v>2016</v>
      </c>
      <c r="B1613" t="s">
        <v>105</v>
      </c>
      <c r="C1613" t="s">
        <v>1</v>
      </c>
      <c r="D1613">
        <v>3.4</v>
      </c>
      <c r="E1613">
        <v>0.2</v>
      </c>
      <c r="F1613">
        <v>1.4</v>
      </c>
      <c r="G1613">
        <v>0</v>
      </c>
      <c r="H1613">
        <v>0</v>
      </c>
      <c r="I1613">
        <v>0</v>
      </c>
      <c r="J1613">
        <v>0</v>
      </c>
      <c r="K1613">
        <f t="shared" si="1134"/>
        <v>5</v>
      </c>
      <c r="L1613">
        <v>0</v>
      </c>
      <c r="M1613">
        <v>0</v>
      </c>
      <c r="N1613">
        <v>0</v>
      </c>
      <c r="O1613">
        <f t="shared" si="1135"/>
        <v>0</v>
      </c>
      <c r="P1613">
        <v>0</v>
      </c>
      <c r="Q1613">
        <v>0</v>
      </c>
      <c r="R1613">
        <v>0</v>
      </c>
      <c r="S1613">
        <f t="shared" si="1136"/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f t="shared" si="1137"/>
        <v>0</v>
      </c>
      <c r="AB1613">
        <v>0.3</v>
      </c>
      <c r="AC1613">
        <v>0.5</v>
      </c>
      <c r="AD1613">
        <v>3.5</v>
      </c>
      <c r="AE1613">
        <v>14.4</v>
      </c>
      <c r="AF1613">
        <v>0</v>
      </c>
      <c r="AG1613">
        <v>0</v>
      </c>
      <c r="AH1613">
        <v>0</v>
      </c>
      <c r="AI1613">
        <v>0</v>
      </c>
      <c r="AJ1613" s="5">
        <f t="shared" si="1141"/>
        <v>18.7</v>
      </c>
      <c r="AK1613">
        <v>0</v>
      </c>
      <c r="AL1613">
        <v>0.7609999999999999</v>
      </c>
      <c r="AM1613">
        <f t="shared" si="1143"/>
        <v>0.23699999999999996</v>
      </c>
      <c r="AN1613">
        <v>10554</v>
      </c>
      <c r="AO1613" t="s">
        <v>13</v>
      </c>
      <c r="AP1613" s="3">
        <f t="shared" si="1149"/>
        <v>13832.241153342071</v>
      </c>
      <c r="AQ1613" t="s">
        <v>13</v>
      </c>
      <c r="AR1613">
        <f t="shared" si="1142"/>
        <v>0.78902953586497904</v>
      </c>
      <c r="AS1613">
        <f t="shared" si="1146"/>
        <v>0.05</v>
      </c>
      <c r="AT1613">
        <f t="shared" si="1147"/>
        <v>692</v>
      </c>
      <c r="AU1613">
        <f t="shared" si="1148"/>
        <v>2587</v>
      </c>
      <c r="AV1613">
        <f t="shared" si="1150"/>
        <v>346</v>
      </c>
      <c r="AW1613">
        <f t="shared" si="1151"/>
        <v>2655</v>
      </c>
      <c r="AX1613" s="3">
        <f t="shared" si="1152"/>
        <v>10831.241153342071</v>
      </c>
      <c r="AY1613">
        <f t="shared" si="1153"/>
        <v>346</v>
      </c>
      <c r="AZ1613">
        <f t="shared" si="1154"/>
        <v>2655</v>
      </c>
      <c r="BA1613" s="3">
        <f t="shared" si="1155"/>
        <v>10831.241153342071</v>
      </c>
    </row>
    <row r="1614" spans="1:53" x14ac:dyDescent="0.2">
      <c r="A1614">
        <v>2017</v>
      </c>
      <c r="B1614" t="s">
        <v>105</v>
      </c>
      <c r="C1614" t="s">
        <v>1</v>
      </c>
      <c r="D1614">
        <v>6.3</v>
      </c>
      <c r="E1614">
        <v>0.7</v>
      </c>
      <c r="F1614">
        <v>3.3</v>
      </c>
      <c r="G1614">
        <v>0</v>
      </c>
      <c r="H1614">
        <v>0</v>
      </c>
      <c r="I1614">
        <v>0</v>
      </c>
      <c r="J1614">
        <v>0</v>
      </c>
      <c r="K1614">
        <f t="shared" si="1134"/>
        <v>10.3</v>
      </c>
      <c r="L1614">
        <v>0</v>
      </c>
      <c r="M1614">
        <v>0</v>
      </c>
      <c r="N1614">
        <v>0</v>
      </c>
      <c r="O1614">
        <f t="shared" si="1135"/>
        <v>0</v>
      </c>
      <c r="P1614">
        <v>0</v>
      </c>
      <c r="Q1614">
        <v>0</v>
      </c>
      <c r="R1614">
        <v>0</v>
      </c>
      <c r="S1614">
        <f t="shared" si="1136"/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f t="shared" si="1137"/>
        <v>0</v>
      </c>
      <c r="AB1614">
        <v>0</v>
      </c>
      <c r="AC1614">
        <v>0</v>
      </c>
      <c r="AD1614">
        <v>0</v>
      </c>
      <c r="AE1614">
        <v>15.4</v>
      </c>
      <c r="AF1614">
        <v>0</v>
      </c>
      <c r="AG1614">
        <v>0</v>
      </c>
      <c r="AH1614">
        <v>0</v>
      </c>
      <c r="AI1614">
        <v>0</v>
      </c>
      <c r="AJ1614" s="5">
        <f t="shared" si="1141"/>
        <v>15.4</v>
      </c>
      <c r="AK1614">
        <v>0</v>
      </c>
      <c r="AL1614">
        <v>0.74400000000000011</v>
      </c>
      <c r="AM1614">
        <f t="shared" si="1143"/>
        <v>0.25700000000000001</v>
      </c>
      <c r="AN1614">
        <v>7335</v>
      </c>
      <c r="AO1614" t="s">
        <v>13</v>
      </c>
      <c r="AP1614" s="3">
        <f t="shared" si="1149"/>
        <v>9872.1399730820995</v>
      </c>
      <c r="AQ1614" t="s">
        <v>13</v>
      </c>
      <c r="AR1614">
        <f t="shared" si="1142"/>
        <v>0.59922178988326846</v>
      </c>
      <c r="AS1614">
        <f t="shared" si="1146"/>
        <v>0.10300000000000001</v>
      </c>
      <c r="AT1614">
        <f t="shared" si="1147"/>
        <v>1017</v>
      </c>
      <c r="AU1614">
        <f t="shared" si="1148"/>
        <v>1520</v>
      </c>
      <c r="AV1614">
        <f t="shared" si="1150"/>
        <v>508</v>
      </c>
      <c r="AW1614">
        <f t="shared" si="1151"/>
        <v>1607</v>
      </c>
      <c r="AX1614" s="3">
        <f t="shared" si="1152"/>
        <v>7757.1399730820995</v>
      </c>
      <c r="AY1614">
        <f t="shared" si="1153"/>
        <v>508</v>
      </c>
      <c r="AZ1614">
        <f t="shared" si="1154"/>
        <v>1607</v>
      </c>
      <c r="BA1614" s="3">
        <f t="shared" si="1155"/>
        <v>7757.1399730820995</v>
      </c>
    </row>
    <row r="1615" spans="1:53" x14ac:dyDescent="0.2">
      <c r="A1615">
        <v>2018</v>
      </c>
      <c r="B1615" t="s">
        <v>105</v>
      </c>
      <c r="C1615" t="s">
        <v>1</v>
      </c>
      <c r="D1615">
        <v>0.6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f t="shared" si="1134"/>
        <v>0.6</v>
      </c>
      <c r="L1615">
        <v>0</v>
      </c>
      <c r="M1615">
        <v>0</v>
      </c>
      <c r="N1615">
        <v>0</v>
      </c>
      <c r="O1615">
        <f t="shared" si="1135"/>
        <v>0</v>
      </c>
      <c r="P1615">
        <v>0</v>
      </c>
      <c r="Q1615">
        <v>0</v>
      </c>
      <c r="R1615">
        <v>0</v>
      </c>
      <c r="S1615">
        <f t="shared" si="1136"/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f t="shared" si="1137"/>
        <v>0</v>
      </c>
      <c r="AB1615">
        <v>0</v>
      </c>
      <c r="AC1615">
        <v>0.7</v>
      </c>
      <c r="AD1615">
        <v>0</v>
      </c>
      <c r="AE1615">
        <v>6.8</v>
      </c>
      <c r="AF1615">
        <v>0</v>
      </c>
      <c r="AG1615">
        <v>0</v>
      </c>
      <c r="AH1615">
        <v>0</v>
      </c>
      <c r="AI1615">
        <v>0</v>
      </c>
      <c r="AJ1615" s="5">
        <f t="shared" si="1141"/>
        <v>7.5</v>
      </c>
      <c r="AK1615">
        <v>0</v>
      </c>
      <c r="AL1615">
        <v>0.91900000000000004</v>
      </c>
      <c r="AM1615">
        <f t="shared" si="1143"/>
        <v>8.1000000000000003E-2</v>
      </c>
      <c r="AN1615">
        <v>8603</v>
      </c>
      <c r="AO1615" t="s">
        <v>13</v>
      </c>
      <c r="AP1615" s="3">
        <f t="shared" si="1149"/>
        <v>9361.2622415669193</v>
      </c>
      <c r="AQ1615" t="s">
        <v>13</v>
      </c>
      <c r="AR1615">
        <f t="shared" si="1142"/>
        <v>0.92592592592592582</v>
      </c>
      <c r="AS1615">
        <f t="shared" si="1146"/>
        <v>6.0000000000000001E-3</v>
      </c>
      <c r="AT1615">
        <f t="shared" si="1147"/>
        <v>56</v>
      </c>
      <c r="AU1615">
        <f t="shared" si="1148"/>
        <v>702</v>
      </c>
      <c r="AV1615">
        <f t="shared" si="1150"/>
        <v>28</v>
      </c>
      <c r="AW1615">
        <f t="shared" si="1151"/>
        <v>704</v>
      </c>
      <c r="AX1615" s="3">
        <f t="shared" si="1152"/>
        <v>8629.2622415669193</v>
      </c>
      <c r="AY1615">
        <f t="shared" si="1153"/>
        <v>28</v>
      </c>
      <c r="AZ1615">
        <f t="shared" si="1154"/>
        <v>704</v>
      </c>
      <c r="BA1615" s="3">
        <f t="shared" si="1155"/>
        <v>8629.2622415669193</v>
      </c>
    </row>
    <row r="1616" spans="1:53" x14ac:dyDescent="0.2">
      <c r="A1616">
        <v>2019</v>
      </c>
      <c r="B1616" t="s">
        <v>105</v>
      </c>
      <c r="C1616" t="s">
        <v>1</v>
      </c>
      <c r="D1616">
        <v>4.3</v>
      </c>
      <c r="E1616">
        <v>1.7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f t="shared" si="1134"/>
        <v>6</v>
      </c>
      <c r="L1616">
        <v>0</v>
      </c>
      <c r="M1616">
        <v>0</v>
      </c>
      <c r="N1616">
        <v>0</v>
      </c>
      <c r="O1616">
        <f t="shared" si="1135"/>
        <v>0</v>
      </c>
      <c r="P1616">
        <v>0</v>
      </c>
      <c r="Q1616">
        <v>0</v>
      </c>
      <c r="R1616">
        <v>0</v>
      </c>
      <c r="S1616">
        <f t="shared" si="1136"/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f t="shared" si="1137"/>
        <v>0</v>
      </c>
      <c r="AB1616">
        <v>0</v>
      </c>
      <c r="AC1616">
        <v>0</v>
      </c>
      <c r="AD1616">
        <v>0</v>
      </c>
      <c r="AE1616">
        <v>2.7</v>
      </c>
      <c r="AF1616">
        <v>0</v>
      </c>
      <c r="AG1616">
        <v>0</v>
      </c>
      <c r="AH1616">
        <v>0</v>
      </c>
      <c r="AI1616">
        <v>0</v>
      </c>
      <c r="AJ1616" s="5">
        <f t="shared" si="1141"/>
        <v>2.7</v>
      </c>
      <c r="AK1616">
        <v>0</v>
      </c>
      <c r="AL1616">
        <v>0.91400000000000003</v>
      </c>
      <c r="AM1616">
        <f t="shared" si="1143"/>
        <v>8.6999999999999994E-2</v>
      </c>
      <c r="AN1616">
        <v>13817</v>
      </c>
      <c r="AO1616" t="s">
        <v>13</v>
      </c>
      <c r="AP1616" s="3">
        <f t="shared" si="1149"/>
        <v>15133.625410733845</v>
      </c>
      <c r="AQ1616" t="s">
        <v>13</v>
      </c>
      <c r="AR1616">
        <f t="shared" si="1142"/>
        <v>0.31034482758620696</v>
      </c>
      <c r="AS1616">
        <f t="shared" si="1146"/>
        <v>0.06</v>
      </c>
      <c r="AT1616">
        <f t="shared" si="1147"/>
        <v>908</v>
      </c>
      <c r="AU1616">
        <f t="shared" si="1148"/>
        <v>409</v>
      </c>
      <c r="AV1616">
        <f t="shared" si="1150"/>
        <v>454</v>
      </c>
      <c r="AW1616">
        <f t="shared" si="1151"/>
        <v>422</v>
      </c>
      <c r="AX1616" s="3">
        <f t="shared" si="1152"/>
        <v>14257.625410733845</v>
      </c>
      <c r="AY1616">
        <f t="shared" si="1153"/>
        <v>454</v>
      </c>
      <c r="AZ1616">
        <f t="shared" si="1154"/>
        <v>422</v>
      </c>
      <c r="BA1616" s="3">
        <f t="shared" si="1155"/>
        <v>14257.625410733845</v>
      </c>
    </row>
    <row r="1617" spans="1:53" x14ac:dyDescent="0.2">
      <c r="A1617">
        <v>2020</v>
      </c>
      <c r="B1617" t="s">
        <v>105</v>
      </c>
      <c r="C1617" t="s">
        <v>1</v>
      </c>
      <c r="D1617">
        <v>1.7</v>
      </c>
      <c r="E1617">
        <v>0.9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f t="shared" si="1134"/>
        <v>2.6</v>
      </c>
      <c r="L1617">
        <v>0</v>
      </c>
      <c r="M1617">
        <v>0</v>
      </c>
      <c r="N1617">
        <v>0</v>
      </c>
      <c r="O1617">
        <f t="shared" si="1135"/>
        <v>0</v>
      </c>
      <c r="P1617">
        <v>0</v>
      </c>
      <c r="Q1617">
        <v>0</v>
      </c>
      <c r="R1617">
        <v>0</v>
      </c>
      <c r="S1617">
        <f t="shared" si="1136"/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f t="shared" si="1137"/>
        <v>0</v>
      </c>
      <c r="AB1617">
        <v>0</v>
      </c>
      <c r="AC1617">
        <v>0</v>
      </c>
      <c r="AD1617">
        <v>0</v>
      </c>
      <c r="AE1617">
        <v>13.2</v>
      </c>
      <c r="AF1617">
        <v>0</v>
      </c>
      <c r="AG1617">
        <v>0</v>
      </c>
      <c r="AH1617">
        <v>0</v>
      </c>
      <c r="AI1617">
        <v>0</v>
      </c>
      <c r="AJ1617" s="5">
        <f t="shared" si="1141"/>
        <v>13.2</v>
      </c>
      <c r="AK1617">
        <v>0</v>
      </c>
      <c r="AL1617">
        <v>0.84200000000000008</v>
      </c>
      <c r="AM1617">
        <f t="shared" si="1143"/>
        <v>0.158</v>
      </c>
      <c r="AN1617">
        <v>9753</v>
      </c>
      <c r="AO1617" t="s">
        <v>13</v>
      </c>
      <c r="AP1617" s="3">
        <f t="shared" si="1149"/>
        <v>11583.13539192399</v>
      </c>
      <c r="AQ1617" t="s">
        <v>13</v>
      </c>
      <c r="AR1617">
        <f t="shared" si="1142"/>
        <v>0.83544303797468356</v>
      </c>
      <c r="AS1617">
        <f t="shared" si="1146"/>
        <v>2.6000000000000002E-2</v>
      </c>
      <c r="AT1617">
        <f t="shared" si="1147"/>
        <v>301</v>
      </c>
      <c r="AU1617">
        <f t="shared" si="1148"/>
        <v>1529</v>
      </c>
      <c r="AV1617">
        <f t="shared" si="1150"/>
        <v>151</v>
      </c>
      <c r="AW1617">
        <f t="shared" si="1151"/>
        <v>1549</v>
      </c>
      <c r="AX1617" s="3">
        <f t="shared" si="1152"/>
        <v>9883.13539192399</v>
      </c>
      <c r="AY1617">
        <f t="shared" si="1153"/>
        <v>151</v>
      </c>
      <c r="AZ1617">
        <f t="shared" si="1154"/>
        <v>1549</v>
      </c>
      <c r="BA1617" s="3">
        <f t="shared" si="1155"/>
        <v>9883.13539192399</v>
      </c>
    </row>
    <row r="1618" spans="1:53" x14ac:dyDescent="0.2">
      <c r="A1618">
        <v>2021</v>
      </c>
      <c r="B1618" t="s">
        <v>105</v>
      </c>
      <c r="C1618" t="s">
        <v>1</v>
      </c>
      <c r="D1618">
        <v>4.5999999999999996</v>
      </c>
      <c r="E1618">
        <v>5.8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f t="shared" si="1134"/>
        <v>10.399999999999999</v>
      </c>
      <c r="L1618">
        <v>0</v>
      </c>
      <c r="M1618">
        <v>0</v>
      </c>
      <c r="N1618">
        <v>0</v>
      </c>
      <c r="O1618">
        <f t="shared" si="1135"/>
        <v>0</v>
      </c>
      <c r="P1618">
        <v>0</v>
      </c>
      <c r="Q1618">
        <v>0</v>
      </c>
      <c r="R1618">
        <v>0</v>
      </c>
      <c r="S1618">
        <f t="shared" si="1136"/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f t="shared" si="1137"/>
        <v>0</v>
      </c>
      <c r="AB1618">
        <v>0</v>
      </c>
      <c r="AC1618">
        <v>0</v>
      </c>
      <c r="AD1618">
        <v>0</v>
      </c>
      <c r="AE1618">
        <v>4.3</v>
      </c>
      <c r="AF1618">
        <v>0</v>
      </c>
      <c r="AG1618">
        <v>0</v>
      </c>
      <c r="AH1618">
        <v>0</v>
      </c>
      <c r="AI1618">
        <v>0</v>
      </c>
      <c r="AJ1618" s="5">
        <f t="shared" si="1141"/>
        <v>4.3</v>
      </c>
      <c r="AK1618">
        <v>0</v>
      </c>
      <c r="AL1618">
        <v>0.85400000000000009</v>
      </c>
      <c r="AM1618">
        <f t="shared" si="1143"/>
        <v>0.14699999999999999</v>
      </c>
      <c r="AN1618">
        <v>8376</v>
      </c>
      <c r="AO1618" t="s">
        <v>13</v>
      </c>
      <c r="AP1618" s="3">
        <f t="shared" si="1149"/>
        <v>9819.4607268464242</v>
      </c>
      <c r="AQ1618" t="s">
        <v>13</v>
      </c>
      <c r="AR1618">
        <f t="shared" si="1142"/>
        <v>0.29251700680272108</v>
      </c>
      <c r="AS1618">
        <f t="shared" si="1146"/>
        <v>0.10399999999999998</v>
      </c>
      <c r="AT1618">
        <f t="shared" si="1147"/>
        <v>1021</v>
      </c>
      <c r="AU1618">
        <f t="shared" si="1148"/>
        <v>422</v>
      </c>
      <c r="AV1618">
        <f t="shared" si="1150"/>
        <v>511</v>
      </c>
      <c r="AW1618">
        <f t="shared" si="1151"/>
        <v>446</v>
      </c>
      <c r="AX1618" s="3">
        <f t="shared" si="1152"/>
        <v>8862.4607268464242</v>
      </c>
      <c r="AY1618">
        <f t="shared" si="1153"/>
        <v>511</v>
      </c>
      <c r="AZ1618">
        <f t="shared" si="1154"/>
        <v>446</v>
      </c>
      <c r="BA1618" s="3">
        <f t="shared" si="1155"/>
        <v>8862.4607268464242</v>
      </c>
    </row>
    <row r="1619" spans="1:53" x14ac:dyDescent="0.2">
      <c r="A1619">
        <v>2022</v>
      </c>
      <c r="B1619" t="s">
        <v>105</v>
      </c>
      <c r="C1619" t="s">
        <v>1</v>
      </c>
      <c r="D1619">
        <v>6.9</v>
      </c>
      <c r="E1619">
        <v>0.5</v>
      </c>
      <c r="F1619">
        <v>0.2</v>
      </c>
      <c r="G1619">
        <v>0</v>
      </c>
      <c r="H1619">
        <v>0</v>
      </c>
      <c r="I1619">
        <v>0</v>
      </c>
      <c r="J1619">
        <v>0</v>
      </c>
      <c r="K1619">
        <f t="shared" si="1134"/>
        <v>7.6000000000000005</v>
      </c>
      <c r="L1619">
        <v>0</v>
      </c>
      <c r="M1619">
        <v>0</v>
      </c>
      <c r="N1619">
        <v>0</v>
      </c>
      <c r="O1619">
        <f t="shared" si="1135"/>
        <v>0</v>
      </c>
      <c r="P1619">
        <v>0</v>
      </c>
      <c r="Q1619">
        <v>0</v>
      </c>
      <c r="R1619">
        <v>0</v>
      </c>
      <c r="S1619">
        <f t="shared" si="1136"/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f t="shared" si="1137"/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 s="5">
        <f t="shared" si="1141"/>
        <v>0</v>
      </c>
      <c r="AK1619">
        <v>0</v>
      </c>
      <c r="AL1619">
        <v>0.92299999999999993</v>
      </c>
      <c r="AM1619">
        <f t="shared" si="1143"/>
        <v>7.6000000000000012E-2</v>
      </c>
      <c r="AN1619">
        <v>9090</v>
      </c>
      <c r="AO1619" t="s">
        <v>13</v>
      </c>
      <c r="AP1619" s="3">
        <f t="shared" si="1149"/>
        <v>9837.6623376623393</v>
      </c>
      <c r="AQ1619" t="s">
        <v>13</v>
      </c>
      <c r="AR1619">
        <f t="shared" si="1142"/>
        <v>0</v>
      </c>
      <c r="AS1619">
        <f t="shared" si="1146"/>
        <v>7.6000000000000012E-2</v>
      </c>
      <c r="AT1619">
        <f t="shared" si="1147"/>
        <v>748</v>
      </c>
      <c r="AU1619">
        <f t="shared" si="1148"/>
        <v>0</v>
      </c>
      <c r="AV1619">
        <f t="shared" si="1150"/>
        <v>374</v>
      </c>
      <c r="AW1619">
        <f t="shared" si="1151"/>
        <v>0</v>
      </c>
      <c r="AX1619" s="3">
        <f t="shared" si="1152"/>
        <v>9463.6623376623393</v>
      </c>
      <c r="AY1619">
        <f t="shared" si="1153"/>
        <v>374</v>
      </c>
      <c r="AZ1619">
        <f t="shared" si="1154"/>
        <v>0</v>
      </c>
      <c r="BA1619" s="3">
        <f t="shared" si="1155"/>
        <v>9463.6623376623393</v>
      </c>
    </row>
    <row r="1620" spans="1:53" x14ac:dyDescent="0.2">
      <c r="A1620">
        <v>2023</v>
      </c>
      <c r="B1620" t="s">
        <v>105</v>
      </c>
      <c r="C1620" t="s">
        <v>1</v>
      </c>
      <c r="D1620" t="s">
        <v>13</v>
      </c>
      <c r="E1620" t="s">
        <v>13</v>
      </c>
      <c r="F1620" t="s">
        <v>13</v>
      </c>
      <c r="G1620" t="s">
        <v>13</v>
      </c>
      <c r="H1620" t="s">
        <v>13</v>
      </c>
      <c r="I1620" t="s">
        <v>13</v>
      </c>
      <c r="J1620" t="s">
        <v>13</v>
      </c>
      <c r="K1620" t="s">
        <v>13</v>
      </c>
      <c r="L1620" t="s">
        <v>13</v>
      </c>
      <c r="M1620" t="s">
        <v>13</v>
      </c>
      <c r="N1620" t="s">
        <v>13</v>
      </c>
      <c r="O1620" t="s">
        <v>13</v>
      </c>
      <c r="P1620" t="s">
        <v>13</v>
      </c>
      <c r="Q1620" t="s">
        <v>13</v>
      </c>
      <c r="R1620" t="s">
        <v>13</v>
      </c>
      <c r="S1620" t="s">
        <v>13</v>
      </c>
      <c r="T1620" t="s">
        <v>13</v>
      </c>
      <c r="U1620" t="s">
        <v>13</v>
      </c>
      <c r="V1620" t="s">
        <v>13</v>
      </c>
      <c r="W1620" t="s">
        <v>13</v>
      </c>
      <c r="X1620" t="s">
        <v>13</v>
      </c>
      <c r="Y1620" t="s">
        <v>13</v>
      </c>
      <c r="Z1620" t="s">
        <v>13</v>
      </c>
      <c r="AA1620" t="s">
        <v>13</v>
      </c>
      <c r="AB1620" t="s">
        <v>13</v>
      </c>
      <c r="AC1620" t="s">
        <v>13</v>
      </c>
      <c r="AD1620" t="s">
        <v>13</v>
      </c>
      <c r="AE1620" t="s">
        <v>13</v>
      </c>
      <c r="AF1620" t="s">
        <v>13</v>
      </c>
      <c r="AG1620" t="s">
        <v>13</v>
      </c>
      <c r="AH1620" t="s">
        <v>13</v>
      </c>
      <c r="AI1620" t="s">
        <v>13</v>
      </c>
      <c r="AJ1620" t="s">
        <v>13</v>
      </c>
      <c r="AK1620" t="s">
        <v>13</v>
      </c>
      <c r="AL1620" t="s">
        <v>13</v>
      </c>
      <c r="AM1620" t="s">
        <v>13</v>
      </c>
      <c r="AN1620">
        <v>12795</v>
      </c>
      <c r="AO1620" t="s">
        <v>13</v>
      </c>
      <c r="AP1620" t="s">
        <v>13</v>
      </c>
      <c r="AQ1620" t="s">
        <v>13</v>
      </c>
      <c r="AR1620" t="s">
        <v>13</v>
      </c>
      <c r="AS1620" t="s">
        <v>13</v>
      </c>
      <c r="AT1620" t="s">
        <v>13</v>
      </c>
      <c r="AU1620" t="s">
        <v>13</v>
      </c>
      <c r="AV1620" t="s">
        <v>13</v>
      </c>
      <c r="AW1620" t="s">
        <v>13</v>
      </c>
      <c r="AX1620" t="s">
        <v>13</v>
      </c>
      <c r="AY1620" t="s">
        <v>13</v>
      </c>
      <c r="AZ1620" t="s">
        <v>13</v>
      </c>
      <c r="BA1620" t="s">
        <v>13</v>
      </c>
    </row>
    <row r="1621" spans="1:53" x14ac:dyDescent="0.2">
      <c r="A1621">
        <v>2006</v>
      </c>
      <c r="B1621" t="s">
        <v>129</v>
      </c>
      <c r="C1621" t="s">
        <v>63</v>
      </c>
      <c r="D1621">
        <v>3.6</v>
      </c>
      <c r="E1621">
        <v>0.1</v>
      </c>
      <c r="F1621">
        <v>0</v>
      </c>
      <c r="G1621">
        <v>0</v>
      </c>
      <c r="H1621">
        <v>0</v>
      </c>
      <c r="I1621">
        <v>10.4</v>
      </c>
      <c r="J1621">
        <v>1.1000000000000001</v>
      </c>
      <c r="K1621">
        <f t="shared" si="1134"/>
        <v>15.200000000000001</v>
      </c>
      <c r="L1621">
        <v>0</v>
      </c>
      <c r="M1621">
        <v>0</v>
      </c>
      <c r="N1621">
        <v>0</v>
      </c>
      <c r="O1621">
        <f t="shared" si="1135"/>
        <v>0</v>
      </c>
      <c r="P1621">
        <v>0</v>
      </c>
      <c r="Q1621">
        <v>0</v>
      </c>
      <c r="R1621">
        <v>6.4</v>
      </c>
      <c r="S1621">
        <f t="shared" si="1136"/>
        <v>6.4</v>
      </c>
      <c r="T1621">
        <v>1.2</v>
      </c>
      <c r="U1621">
        <v>0</v>
      </c>
      <c r="V1621">
        <v>0</v>
      </c>
      <c r="W1621">
        <v>0</v>
      </c>
      <c r="X1621">
        <v>0</v>
      </c>
      <c r="Y1621">
        <v>2.2000000000000002</v>
      </c>
      <c r="Z1621">
        <v>2.2000000000000002</v>
      </c>
      <c r="AA1621">
        <f t="shared" si="1137"/>
        <v>5.6000000000000005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0.4</v>
      </c>
      <c r="AI1621">
        <v>0</v>
      </c>
      <c r="AJ1621" s="5">
        <f t="shared" si="1141"/>
        <v>0.4</v>
      </c>
      <c r="AK1621">
        <v>17.899999999999999</v>
      </c>
      <c r="AL1621">
        <v>0.57899999999999996</v>
      </c>
      <c r="AM1621">
        <f t="shared" si="1143"/>
        <v>0.27600000000000002</v>
      </c>
      <c r="AN1621">
        <v>1254</v>
      </c>
      <c r="AO1621">
        <v>586</v>
      </c>
      <c r="AP1621" s="3">
        <f t="shared" si="1149"/>
        <v>1732.0441988950276</v>
      </c>
      <c r="AQ1621" s="3">
        <f t="shared" ref="AQ1621" si="1156">AO1621/(1-AM1621)</f>
        <v>809.39226519337024</v>
      </c>
      <c r="AR1621">
        <f t="shared" si="1142"/>
        <v>1.4492753623188404E-2</v>
      </c>
      <c r="AS1621">
        <f t="shared" ref="AS1621:AS1637" si="1157">SUM(K1621,O1621,S1621,AA1621)/100</f>
        <v>0.27200000000000002</v>
      </c>
      <c r="AT1621">
        <f t="shared" ref="AT1621:AT1637" si="1158">ROUND(AS1621*AP1621,0)</f>
        <v>471</v>
      </c>
      <c r="AU1621">
        <f t="shared" ref="AU1621:AU1637" si="1159">ROUND((AJ1621/100)*AP1621,0)</f>
        <v>7</v>
      </c>
      <c r="AV1621">
        <f t="shared" si="1150"/>
        <v>339</v>
      </c>
      <c r="AW1621">
        <f t="shared" si="1151"/>
        <v>8</v>
      </c>
      <c r="AX1621" s="3">
        <f t="shared" si="1152"/>
        <v>1385.0441988950276</v>
      </c>
      <c r="AY1621">
        <f t="shared" si="1153"/>
        <v>236</v>
      </c>
      <c r="AZ1621">
        <f t="shared" si="1154"/>
        <v>8</v>
      </c>
      <c r="BA1621" s="3">
        <f t="shared" si="1155"/>
        <v>1488.0441988950276</v>
      </c>
    </row>
    <row r="1622" spans="1:53" x14ac:dyDescent="0.2">
      <c r="A1622">
        <v>2007</v>
      </c>
      <c r="B1622" t="s">
        <v>129</v>
      </c>
      <c r="C1622" t="s">
        <v>63</v>
      </c>
      <c r="D1622">
        <v>1</v>
      </c>
      <c r="E1622">
        <v>1</v>
      </c>
      <c r="F1622">
        <v>0</v>
      </c>
      <c r="G1622">
        <v>0</v>
      </c>
      <c r="H1622">
        <v>0</v>
      </c>
      <c r="I1622">
        <v>14.7</v>
      </c>
      <c r="J1622">
        <v>4</v>
      </c>
      <c r="K1622">
        <f t="shared" si="1134"/>
        <v>20.7</v>
      </c>
      <c r="L1622">
        <v>0</v>
      </c>
      <c r="M1622">
        <v>0.9</v>
      </c>
      <c r="N1622">
        <v>0</v>
      </c>
      <c r="O1622">
        <f t="shared" si="1135"/>
        <v>0.9</v>
      </c>
      <c r="P1622">
        <v>0</v>
      </c>
      <c r="Q1622">
        <v>0</v>
      </c>
      <c r="R1622">
        <v>20.5</v>
      </c>
      <c r="S1622">
        <f t="shared" si="1136"/>
        <v>20.5</v>
      </c>
      <c r="T1622">
        <v>1.8</v>
      </c>
      <c r="U1622">
        <v>0</v>
      </c>
      <c r="V1622">
        <v>0</v>
      </c>
      <c r="W1622">
        <v>0</v>
      </c>
      <c r="X1622">
        <v>0</v>
      </c>
      <c r="Y1622">
        <v>3.2</v>
      </c>
      <c r="Z1622">
        <v>6.8</v>
      </c>
      <c r="AA1622">
        <f t="shared" si="1137"/>
        <v>11.8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0.5</v>
      </c>
      <c r="AI1622">
        <v>0</v>
      </c>
      <c r="AJ1622" s="5">
        <f t="shared" si="1141"/>
        <v>0.5</v>
      </c>
      <c r="AK1622">
        <v>6.7</v>
      </c>
      <c r="AL1622">
        <v>0.499</v>
      </c>
      <c r="AM1622">
        <f t="shared" si="1143"/>
        <v>0.54399999999999993</v>
      </c>
      <c r="AN1622">
        <v>607</v>
      </c>
      <c r="AO1622">
        <v>175</v>
      </c>
      <c r="AP1622" s="3">
        <f t="shared" ref="AP1622:AP1666" si="1160">AN1622/(1-AM1622)</f>
        <v>1331.1403508771928</v>
      </c>
      <c r="AQ1622" s="3">
        <f t="shared" ref="AQ1622:AQ1637" si="1161">AO1622/(1-AM1622)</f>
        <v>383.77192982456137</v>
      </c>
      <c r="AR1622">
        <f t="shared" si="1142"/>
        <v>9.1911764705882373E-3</v>
      </c>
      <c r="AS1622">
        <f t="shared" si="1157"/>
        <v>0.53899999999999992</v>
      </c>
      <c r="AT1622">
        <f t="shared" si="1158"/>
        <v>717</v>
      </c>
      <c r="AU1622">
        <f t="shared" si="1159"/>
        <v>7</v>
      </c>
      <c r="AV1622">
        <f t="shared" si="1150"/>
        <v>580</v>
      </c>
      <c r="AW1622">
        <f t="shared" si="1151"/>
        <v>9</v>
      </c>
      <c r="AX1622" s="3">
        <f t="shared" si="1152"/>
        <v>742.14035087719276</v>
      </c>
      <c r="AY1622">
        <f t="shared" si="1153"/>
        <v>359</v>
      </c>
      <c r="AZ1622">
        <f t="shared" si="1154"/>
        <v>11</v>
      </c>
      <c r="BA1622" s="3">
        <f t="shared" si="1155"/>
        <v>961.14035087719276</v>
      </c>
    </row>
    <row r="1623" spans="1:53" x14ac:dyDescent="0.2">
      <c r="A1623">
        <v>2008</v>
      </c>
      <c r="B1623" t="s">
        <v>129</v>
      </c>
      <c r="C1623" t="s">
        <v>63</v>
      </c>
      <c r="D1623">
        <v>3</v>
      </c>
      <c r="E1623">
        <v>0</v>
      </c>
      <c r="F1623">
        <v>0</v>
      </c>
      <c r="G1623">
        <v>0</v>
      </c>
      <c r="H1623">
        <v>0</v>
      </c>
      <c r="I1623">
        <v>5.8</v>
      </c>
      <c r="J1623">
        <v>4.2</v>
      </c>
      <c r="K1623">
        <f t="shared" ref="K1623:K1686" si="1162">SUM(D1623:J1623)</f>
        <v>13</v>
      </c>
      <c r="L1623">
        <v>0</v>
      </c>
      <c r="M1623">
        <v>0</v>
      </c>
      <c r="N1623">
        <v>0</v>
      </c>
      <c r="O1623">
        <f t="shared" ref="O1623:O1686" si="1163">SUM(L1623:N1623)</f>
        <v>0</v>
      </c>
      <c r="P1623">
        <v>0</v>
      </c>
      <c r="Q1623">
        <v>0</v>
      </c>
      <c r="R1623">
        <v>10.3</v>
      </c>
      <c r="S1623">
        <f t="shared" ref="S1623:S1686" si="1164">SUM(P1623:R1623)</f>
        <v>10.3</v>
      </c>
      <c r="T1623">
        <v>0.1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7.2</v>
      </c>
      <c r="AA1623">
        <f t="shared" ref="AA1623:AA1686" si="1165">SUM(T1623:Z1623)</f>
        <v>7.3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4.5999999999999996</v>
      </c>
      <c r="AI1623">
        <v>0</v>
      </c>
      <c r="AJ1623" s="5">
        <f t="shared" ref="AJ1623:AJ1686" si="1166">SUM(AB1623:AI1623)</f>
        <v>4.5999999999999996</v>
      </c>
      <c r="AK1623">
        <v>4.9000000000000004</v>
      </c>
      <c r="AL1623">
        <v>0.60299999999999998</v>
      </c>
      <c r="AM1623">
        <f t="shared" si="1143"/>
        <v>0.35200000000000004</v>
      </c>
      <c r="AN1623">
        <v>1671</v>
      </c>
      <c r="AO1623">
        <v>757</v>
      </c>
      <c r="AP1623" s="3">
        <f t="shared" si="1160"/>
        <v>2578.7037037037039</v>
      </c>
      <c r="AQ1623" s="3">
        <f t="shared" si="1161"/>
        <v>1168.2098765432099</v>
      </c>
      <c r="AR1623">
        <f t="shared" si="1142"/>
        <v>0.13068181818181818</v>
      </c>
      <c r="AS1623">
        <f t="shared" si="1157"/>
        <v>0.30599999999999999</v>
      </c>
      <c r="AT1623">
        <f t="shared" si="1158"/>
        <v>789</v>
      </c>
      <c r="AU1623">
        <f t="shared" si="1159"/>
        <v>119</v>
      </c>
      <c r="AV1623">
        <f t="shared" si="1150"/>
        <v>621</v>
      </c>
      <c r="AW1623">
        <f t="shared" si="1151"/>
        <v>130</v>
      </c>
      <c r="AX1623" s="3">
        <f t="shared" si="1152"/>
        <v>1827.7037037037039</v>
      </c>
      <c r="AY1623">
        <f t="shared" si="1153"/>
        <v>395</v>
      </c>
      <c r="AZ1623">
        <f t="shared" si="1154"/>
        <v>145</v>
      </c>
      <c r="BA1623" s="3">
        <f t="shared" si="1155"/>
        <v>2038.7037037037039</v>
      </c>
    </row>
    <row r="1624" spans="1:53" x14ac:dyDescent="0.2">
      <c r="A1624">
        <v>2009</v>
      </c>
      <c r="B1624" t="s">
        <v>129</v>
      </c>
      <c r="C1624" t="s">
        <v>63</v>
      </c>
      <c r="D1624">
        <v>1.2</v>
      </c>
      <c r="E1624">
        <v>0.1</v>
      </c>
      <c r="F1624">
        <v>0.5</v>
      </c>
      <c r="G1624">
        <v>0.3</v>
      </c>
      <c r="H1624">
        <v>0.6</v>
      </c>
      <c r="I1624">
        <v>2</v>
      </c>
      <c r="J1624">
        <v>3.7</v>
      </c>
      <c r="K1624">
        <f t="shared" si="1162"/>
        <v>8.4</v>
      </c>
      <c r="L1624">
        <v>0</v>
      </c>
      <c r="M1624">
        <v>0</v>
      </c>
      <c r="N1624">
        <v>0</v>
      </c>
      <c r="O1624">
        <f t="shared" si="1163"/>
        <v>0</v>
      </c>
      <c r="P1624">
        <v>0</v>
      </c>
      <c r="Q1624">
        <v>0</v>
      </c>
      <c r="R1624">
        <v>8.3000000000000007</v>
      </c>
      <c r="S1624">
        <f t="shared" si="1164"/>
        <v>8.3000000000000007</v>
      </c>
      <c r="T1624">
        <v>0.2</v>
      </c>
      <c r="U1624">
        <v>0</v>
      </c>
      <c r="V1624">
        <v>0</v>
      </c>
      <c r="W1624">
        <v>0</v>
      </c>
      <c r="X1624">
        <v>0</v>
      </c>
      <c r="Y1624">
        <v>1.1000000000000001</v>
      </c>
      <c r="Z1624">
        <v>5.6</v>
      </c>
      <c r="AA1624">
        <f t="shared" si="1165"/>
        <v>6.8999999999999995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3.6</v>
      </c>
      <c r="AI1624">
        <v>0</v>
      </c>
      <c r="AJ1624" s="5">
        <f t="shared" si="1166"/>
        <v>3.6</v>
      </c>
      <c r="AK1624">
        <v>4.9000000000000004</v>
      </c>
      <c r="AL1624">
        <v>0.7</v>
      </c>
      <c r="AM1624">
        <f t="shared" si="1143"/>
        <v>0.27200000000000002</v>
      </c>
      <c r="AN1624">
        <v>1001</v>
      </c>
      <c r="AO1624">
        <v>351</v>
      </c>
      <c r="AP1624" s="3">
        <f t="shared" si="1160"/>
        <v>1375</v>
      </c>
      <c r="AQ1624" s="3">
        <f t="shared" si="1161"/>
        <v>482.14285714285717</v>
      </c>
      <c r="AR1624">
        <f t="shared" si="1142"/>
        <v>0.13235294117647059</v>
      </c>
      <c r="AS1624">
        <f t="shared" si="1157"/>
        <v>0.23600000000000002</v>
      </c>
      <c r="AT1624">
        <f t="shared" si="1158"/>
        <v>325</v>
      </c>
      <c r="AU1624">
        <f t="shared" si="1159"/>
        <v>50</v>
      </c>
      <c r="AV1624">
        <f t="shared" si="1150"/>
        <v>267</v>
      </c>
      <c r="AW1624">
        <f t="shared" si="1151"/>
        <v>53</v>
      </c>
      <c r="AX1624" s="3">
        <f t="shared" si="1152"/>
        <v>1055</v>
      </c>
      <c r="AY1624">
        <f t="shared" si="1153"/>
        <v>162</v>
      </c>
      <c r="AZ1624">
        <f t="shared" si="1154"/>
        <v>58</v>
      </c>
      <c r="BA1624" s="3">
        <f t="shared" si="1155"/>
        <v>1155</v>
      </c>
    </row>
    <row r="1625" spans="1:53" x14ac:dyDescent="0.2">
      <c r="A1625">
        <v>2010</v>
      </c>
      <c r="B1625" t="s">
        <v>129</v>
      </c>
      <c r="C1625" t="s">
        <v>63</v>
      </c>
      <c r="D1625">
        <v>0.7</v>
      </c>
      <c r="E1625">
        <v>0</v>
      </c>
      <c r="F1625">
        <v>0</v>
      </c>
      <c r="G1625">
        <v>0</v>
      </c>
      <c r="H1625">
        <v>0</v>
      </c>
      <c r="I1625">
        <v>5.7</v>
      </c>
      <c r="J1625">
        <v>6.4</v>
      </c>
      <c r="K1625">
        <f t="shared" si="1162"/>
        <v>12.8</v>
      </c>
      <c r="L1625">
        <v>0</v>
      </c>
      <c r="M1625">
        <v>0</v>
      </c>
      <c r="N1625">
        <v>0.4</v>
      </c>
      <c r="O1625">
        <f t="shared" si="1163"/>
        <v>0.4</v>
      </c>
      <c r="P1625">
        <v>0</v>
      </c>
      <c r="Q1625">
        <v>0</v>
      </c>
      <c r="R1625">
        <v>6.9</v>
      </c>
      <c r="S1625">
        <f t="shared" si="1164"/>
        <v>6.9</v>
      </c>
      <c r="T1625">
        <v>1.7</v>
      </c>
      <c r="U1625">
        <v>0.3</v>
      </c>
      <c r="V1625">
        <v>0</v>
      </c>
      <c r="W1625">
        <v>0</v>
      </c>
      <c r="X1625">
        <v>0</v>
      </c>
      <c r="Y1625">
        <v>2</v>
      </c>
      <c r="Z1625">
        <v>2.8</v>
      </c>
      <c r="AA1625">
        <f t="shared" si="1165"/>
        <v>6.8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1.5</v>
      </c>
      <c r="AI1625">
        <v>0</v>
      </c>
      <c r="AJ1625" s="5">
        <f t="shared" si="1166"/>
        <v>1.5</v>
      </c>
      <c r="AK1625">
        <v>0.9</v>
      </c>
      <c r="AL1625">
        <v>0.73599999999999999</v>
      </c>
      <c r="AM1625">
        <f t="shared" si="1143"/>
        <v>0.28399999999999997</v>
      </c>
      <c r="AN1625">
        <v>783</v>
      </c>
      <c r="AO1625">
        <v>284</v>
      </c>
      <c r="AP1625" s="3">
        <f t="shared" si="1160"/>
        <v>1093.5754189944134</v>
      </c>
      <c r="AQ1625" s="3">
        <f t="shared" si="1161"/>
        <v>396.64804469273747</v>
      </c>
      <c r="AR1625">
        <f t="shared" si="1142"/>
        <v>5.281690140845071E-2</v>
      </c>
      <c r="AS1625">
        <f t="shared" si="1157"/>
        <v>0.26900000000000002</v>
      </c>
      <c r="AT1625">
        <f t="shared" si="1158"/>
        <v>294</v>
      </c>
      <c r="AU1625">
        <f t="shared" si="1159"/>
        <v>16</v>
      </c>
      <c r="AV1625">
        <f t="shared" si="1150"/>
        <v>224</v>
      </c>
      <c r="AW1625">
        <f t="shared" si="1151"/>
        <v>17</v>
      </c>
      <c r="AX1625" s="3">
        <f t="shared" si="1152"/>
        <v>852.57541899441344</v>
      </c>
      <c r="AY1625">
        <f t="shared" si="1153"/>
        <v>147</v>
      </c>
      <c r="AZ1625">
        <f t="shared" si="1154"/>
        <v>19</v>
      </c>
      <c r="BA1625" s="3">
        <f t="shared" si="1155"/>
        <v>927.57541899441344</v>
      </c>
    </row>
    <row r="1626" spans="1:53" x14ac:dyDescent="0.2">
      <c r="A1626">
        <v>2011</v>
      </c>
      <c r="B1626" t="s">
        <v>129</v>
      </c>
      <c r="C1626" t="s">
        <v>63</v>
      </c>
      <c r="D1626">
        <v>1.7</v>
      </c>
      <c r="E1626">
        <v>0.2</v>
      </c>
      <c r="F1626">
        <v>0</v>
      </c>
      <c r="G1626">
        <v>0</v>
      </c>
      <c r="H1626">
        <v>0</v>
      </c>
      <c r="I1626">
        <v>5.4</v>
      </c>
      <c r="J1626">
        <v>8.5</v>
      </c>
      <c r="K1626">
        <f t="shared" si="1162"/>
        <v>15.8</v>
      </c>
      <c r="L1626">
        <v>0</v>
      </c>
      <c r="M1626">
        <v>0</v>
      </c>
      <c r="N1626">
        <v>3.4</v>
      </c>
      <c r="O1626">
        <f t="shared" si="1163"/>
        <v>3.4</v>
      </c>
      <c r="P1626">
        <v>0</v>
      </c>
      <c r="Q1626">
        <v>0</v>
      </c>
      <c r="R1626">
        <v>10.8</v>
      </c>
      <c r="S1626">
        <f t="shared" si="1164"/>
        <v>10.8</v>
      </c>
      <c r="T1626">
        <v>0.8</v>
      </c>
      <c r="U1626">
        <v>0.2</v>
      </c>
      <c r="V1626">
        <v>0</v>
      </c>
      <c r="W1626">
        <v>0</v>
      </c>
      <c r="X1626">
        <v>0</v>
      </c>
      <c r="Y1626">
        <v>1.2</v>
      </c>
      <c r="Z1626">
        <v>2.7</v>
      </c>
      <c r="AA1626">
        <f t="shared" si="1165"/>
        <v>4.9000000000000004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1.5</v>
      </c>
      <c r="AI1626">
        <v>0</v>
      </c>
      <c r="AJ1626" s="5">
        <f t="shared" si="1166"/>
        <v>1.5</v>
      </c>
      <c r="AK1626">
        <v>3.3</v>
      </c>
      <c r="AL1626">
        <v>0.628</v>
      </c>
      <c r="AM1626">
        <f t="shared" si="1143"/>
        <v>0.36399999999999999</v>
      </c>
      <c r="AN1626">
        <v>1017</v>
      </c>
      <c r="AO1626">
        <v>348</v>
      </c>
      <c r="AP1626" s="3">
        <f t="shared" si="1160"/>
        <v>1599.0566037735848</v>
      </c>
      <c r="AQ1626" s="3">
        <f t="shared" si="1161"/>
        <v>547.16981132075466</v>
      </c>
      <c r="AR1626">
        <f t="shared" si="1142"/>
        <v>4.1208791208791208E-2</v>
      </c>
      <c r="AS1626">
        <f t="shared" si="1157"/>
        <v>0.34899999999999998</v>
      </c>
      <c r="AT1626">
        <f t="shared" si="1158"/>
        <v>558</v>
      </c>
      <c r="AU1626">
        <f t="shared" si="1159"/>
        <v>24</v>
      </c>
      <c r="AV1626">
        <f t="shared" si="1150"/>
        <v>432</v>
      </c>
      <c r="AW1626">
        <f t="shared" si="1151"/>
        <v>27</v>
      </c>
      <c r="AX1626" s="3">
        <f t="shared" si="1152"/>
        <v>1140.0566037735848</v>
      </c>
      <c r="AY1626">
        <f t="shared" si="1153"/>
        <v>279</v>
      </c>
      <c r="AZ1626">
        <f t="shared" si="1154"/>
        <v>30</v>
      </c>
      <c r="BA1626" s="3">
        <f t="shared" si="1155"/>
        <v>1290.0566037735848</v>
      </c>
    </row>
    <row r="1627" spans="1:53" x14ac:dyDescent="0.2">
      <c r="A1627">
        <v>2012</v>
      </c>
      <c r="B1627" t="s">
        <v>129</v>
      </c>
      <c r="C1627" t="s">
        <v>63</v>
      </c>
      <c r="D1627">
        <v>1.7</v>
      </c>
      <c r="E1627">
        <v>0.3</v>
      </c>
      <c r="F1627">
        <v>0</v>
      </c>
      <c r="G1627">
        <v>0.3</v>
      </c>
      <c r="H1627">
        <v>0</v>
      </c>
      <c r="I1627">
        <v>4.0999999999999996</v>
      </c>
      <c r="J1627">
        <v>2</v>
      </c>
      <c r="K1627">
        <f t="shared" si="1162"/>
        <v>8.3999999999999986</v>
      </c>
      <c r="L1627">
        <v>0</v>
      </c>
      <c r="M1627">
        <v>0</v>
      </c>
      <c r="N1627">
        <v>0.6</v>
      </c>
      <c r="O1627">
        <f t="shared" si="1163"/>
        <v>0.6</v>
      </c>
      <c r="P1627">
        <v>0</v>
      </c>
      <c r="Q1627">
        <v>0</v>
      </c>
      <c r="R1627">
        <v>9.5</v>
      </c>
      <c r="S1627">
        <f t="shared" si="1164"/>
        <v>9.5</v>
      </c>
      <c r="T1627">
        <v>0.3</v>
      </c>
      <c r="U1627">
        <v>0</v>
      </c>
      <c r="V1627">
        <v>0</v>
      </c>
      <c r="W1627">
        <v>0</v>
      </c>
      <c r="X1627">
        <v>0</v>
      </c>
      <c r="Y1627">
        <v>0.2</v>
      </c>
      <c r="Z1627">
        <v>1.9</v>
      </c>
      <c r="AA1627">
        <f t="shared" si="1165"/>
        <v>2.4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1.3</v>
      </c>
      <c r="AI1627">
        <v>0</v>
      </c>
      <c r="AJ1627" s="5">
        <f t="shared" si="1166"/>
        <v>1.3</v>
      </c>
      <c r="AK1627">
        <v>8.8000000000000007</v>
      </c>
      <c r="AL1627">
        <v>0.70799999999999996</v>
      </c>
      <c r="AM1627">
        <f t="shared" si="1143"/>
        <v>0.22199999999999995</v>
      </c>
      <c r="AN1627">
        <v>1534</v>
      </c>
      <c r="AO1627">
        <v>802</v>
      </c>
      <c r="AP1627" s="3">
        <f t="shared" si="1160"/>
        <v>1971.7223650385604</v>
      </c>
      <c r="AQ1627" s="3">
        <f t="shared" si="1161"/>
        <v>1030.8483290488432</v>
      </c>
      <c r="AR1627">
        <f t="shared" si="1142"/>
        <v>5.8558558558558578E-2</v>
      </c>
      <c r="AS1627">
        <f t="shared" si="1157"/>
        <v>0.20899999999999999</v>
      </c>
      <c r="AT1627">
        <f t="shared" si="1158"/>
        <v>412</v>
      </c>
      <c r="AU1627">
        <f t="shared" si="1159"/>
        <v>26</v>
      </c>
      <c r="AV1627">
        <f t="shared" si="1150"/>
        <v>329</v>
      </c>
      <c r="AW1627">
        <f t="shared" si="1151"/>
        <v>27</v>
      </c>
      <c r="AX1627" s="3">
        <f t="shared" si="1152"/>
        <v>1615.7223650385604</v>
      </c>
      <c r="AY1627">
        <f t="shared" si="1153"/>
        <v>206</v>
      </c>
      <c r="AZ1627">
        <f t="shared" si="1154"/>
        <v>29</v>
      </c>
      <c r="BA1627" s="3">
        <f t="shared" si="1155"/>
        <v>1736.7223650385604</v>
      </c>
    </row>
    <row r="1628" spans="1:53" x14ac:dyDescent="0.2">
      <c r="A1628">
        <v>2013</v>
      </c>
      <c r="B1628" t="s">
        <v>129</v>
      </c>
      <c r="C1628" t="s">
        <v>63</v>
      </c>
      <c r="D1628">
        <v>1.2</v>
      </c>
      <c r="E1628">
        <v>1.8</v>
      </c>
      <c r="F1628">
        <v>4.8</v>
      </c>
      <c r="G1628">
        <v>0</v>
      </c>
      <c r="H1628">
        <v>0</v>
      </c>
      <c r="I1628">
        <v>6.4</v>
      </c>
      <c r="J1628">
        <v>7.4</v>
      </c>
      <c r="K1628">
        <f t="shared" si="1162"/>
        <v>21.6</v>
      </c>
      <c r="L1628">
        <v>0</v>
      </c>
      <c r="M1628">
        <v>0</v>
      </c>
      <c r="N1628">
        <v>0.9</v>
      </c>
      <c r="O1628">
        <f t="shared" si="1163"/>
        <v>0.9</v>
      </c>
      <c r="P1628">
        <v>0</v>
      </c>
      <c r="Q1628">
        <v>0</v>
      </c>
      <c r="R1628">
        <v>13.9</v>
      </c>
      <c r="S1628">
        <f t="shared" si="1164"/>
        <v>13.9</v>
      </c>
      <c r="T1628">
        <v>4.4000000000000004</v>
      </c>
      <c r="U1628">
        <v>0</v>
      </c>
      <c r="V1628">
        <v>0</v>
      </c>
      <c r="W1628">
        <v>0</v>
      </c>
      <c r="X1628">
        <v>0</v>
      </c>
      <c r="Y1628">
        <v>0.9</v>
      </c>
      <c r="Z1628">
        <v>9.9</v>
      </c>
      <c r="AA1628">
        <f t="shared" si="1165"/>
        <v>15.200000000000001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3.5</v>
      </c>
      <c r="AI1628">
        <v>0</v>
      </c>
      <c r="AJ1628" s="5">
        <f t="shared" si="1166"/>
        <v>3.5</v>
      </c>
      <c r="AK1628">
        <v>1.9</v>
      </c>
      <c r="AL1628">
        <v>0.49099999999999999</v>
      </c>
      <c r="AM1628">
        <f t="shared" si="1143"/>
        <v>0.55099999999999993</v>
      </c>
      <c r="AN1628">
        <v>854</v>
      </c>
      <c r="AO1628">
        <v>531</v>
      </c>
      <c r="AP1628" s="3">
        <f t="shared" si="1160"/>
        <v>1902.0044543429842</v>
      </c>
      <c r="AQ1628" s="3">
        <f t="shared" si="1161"/>
        <v>1182.6280623608016</v>
      </c>
      <c r="AR1628">
        <f t="shared" si="1142"/>
        <v>6.3520871143375693E-2</v>
      </c>
      <c r="AS1628">
        <f t="shared" si="1157"/>
        <v>0.51600000000000001</v>
      </c>
      <c r="AT1628">
        <f t="shared" si="1158"/>
        <v>981</v>
      </c>
      <c r="AU1628">
        <f t="shared" si="1159"/>
        <v>67</v>
      </c>
      <c r="AV1628">
        <f t="shared" si="1150"/>
        <v>776</v>
      </c>
      <c r="AW1628">
        <f t="shared" si="1151"/>
        <v>82</v>
      </c>
      <c r="AX1628" s="3">
        <f t="shared" si="1152"/>
        <v>1044.0044543429842</v>
      </c>
      <c r="AY1628">
        <f t="shared" si="1153"/>
        <v>491</v>
      </c>
      <c r="AZ1628">
        <f t="shared" si="1154"/>
        <v>103</v>
      </c>
      <c r="BA1628" s="3">
        <f t="shared" si="1155"/>
        <v>1308.0044543429842</v>
      </c>
    </row>
    <row r="1629" spans="1:53" x14ac:dyDescent="0.2">
      <c r="A1629">
        <v>2014</v>
      </c>
      <c r="B1629" t="s">
        <v>129</v>
      </c>
      <c r="C1629" t="s">
        <v>63</v>
      </c>
      <c r="D1629">
        <v>3.8</v>
      </c>
      <c r="E1629">
        <v>0.7</v>
      </c>
      <c r="F1629">
        <v>0</v>
      </c>
      <c r="G1629">
        <v>0.7</v>
      </c>
      <c r="H1629">
        <v>0.5</v>
      </c>
      <c r="I1629">
        <v>8</v>
      </c>
      <c r="J1629">
        <v>8.1</v>
      </c>
      <c r="K1629">
        <f t="shared" si="1162"/>
        <v>21.799999999999997</v>
      </c>
      <c r="L1629">
        <v>0</v>
      </c>
      <c r="M1629">
        <v>0</v>
      </c>
      <c r="N1629">
        <v>1.9</v>
      </c>
      <c r="O1629">
        <f t="shared" si="1163"/>
        <v>1.9</v>
      </c>
      <c r="P1629">
        <v>0.1</v>
      </c>
      <c r="Q1629">
        <v>0</v>
      </c>
      <c r="R1629">
        <v>28</v>
      </c>
      <c r="S1629">
        <f t="shared" si="1164"/>
        <v>28.1</v>
      </c>
      <c r="T1629">
        <v>1.5</v>
      </c>
      <c r="U1629">
        <v>0.5</v>
      </c>
      <c r="V1629">
        <v>0</v>
      </c>
      <c r="W1629">
        <v>0.4</v>
      </c>
      <c r="X1629">
        <v>0</v>
      </c>
      <c r="Y1629">
        <v>1.2</v>
      </c>
      <c r="Z1629">
        <v>10.7</v>
      </c>
      <c r="AA1629">
        <f t="shared" si="1165"/>
        <v>14.299999999999999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1.6</v>
      </c>
      <c r="AI1629">
        <v>0</v>
      </c>
      <c r="AJ1629" s="5">
        <f t="shared" si="1166"/>
        <v>1.6</v>
      </c>
      <c r="AK1629">
        <v>2</v>
      </c>
      <c r="AL1629">
        <v>0.33600000000000002</v>
      </c>
      <c r="AM1629">
        <f t="shared" si="1143"/>
        <v>0.67700000000000005</v>
      </c>
      <c r="AN1629">
        <v>432</v>
      </c>
      <c r="AO1629">
        <v>144</v>
      </c>
      <c r="AP1629" s="3">
        <f t="shared" si="1160"/>
        <v>1337.4613003095976</v>
      </c>
      <c r="AQ1629" s="3">
        <f t="shared" si="1161"/>
        <v>445.8204334365326</v>
      </c>
      <c r="AR1629">
        <f t="shared" si="1142"/>
        <v>2.3633677991137369E-2</v>
      </c>
      <c r="AS1629">
        <f t="shared" si="1157"/>
        <v>0.66099999999999992</v>
      </c>
      <c r="AT1629">
        <f t="shared" si="1158"/>
        <v>884</v>
      </c>
      <c r="AU1629">
        <f t="shared" si="1159"/>
        <v>21</v>
      </c>
      <c r="AV1629">
        <f t="shared" si="1150"/>
        <v>738</v>
      </c>
      <c r="AW1629">
        <f t="shared" si="1151"/>
        <v>28</v>
      </c>
      <c r="AX1629" s="3">
        <f t="shared" si="1152"/>
        <v>571.46130030959762</v>
      </c>
      <c r="AY1629">
        <f t="shared" si="1153"/>
        <v>442</v>
      </c>
      <c r="AZ1629">
        <f t="shared" si="1154"/>
        <v>41</v>
      </c>
      <c r="BA1629" s="3">
        <f t="shared" si="1155"/>
        <v>854.46130030959762</v>
      </c>
    </row>
    <row r="1630" spans="1:53" x14ac:dyDescent="0.2">
      <c r="A1630">
        <v>2015</v>
      </c>
      <c r="B1630" t="s">
        <v>129</v>
      </c>
      <c r="C1630" t="s">
        <v>63</v>
      </c>
      <c r="D1630">
        <v>3.5</v>
      </c>
      <c r="E1630">
        <v>0.3</v>
      </c>
      <c r="F1630">
        <v>0</v>
      </c>
      <c r="G1630">
        <v>0</v>
      </c>
      <c r="H1630">
        <v>0</v>
      </c>
      <c r="I1630">
        <v>6.1</v>
      </c>
      <c r="J1630">
        <v>3.7</v>
      </c>
      <c r="K1630">
        <f t="shared" si="1162"/>
        <v>13.599999999999998</v>
      </c>
      <c r="L1630">
        <v>0</v>
      </c>
      <c r="M1630">
        <v>0</v>
      </c>
      <c r="N1630">
        <v>2.2000000000000002</v>
      </c>
      <c r="O1630">
        <f t="shared" si="1163"/>
        <v>2.2000000000000002</v>
      </c>
      <c r="P1630">
        <v>0</v>
      </c>
      <c r="Q1630">
        <v>0</v>
      </c>
      <c r="R1630">
        <v>15.1</v>
      </c>
      <c r="S1630">
        <f t="shared" si="1164"/>
        <v>15.1</v>
      </c>
      <c r="T1630">
        <v>0.9</v>
      </c>
      <c r="U1630">
        <v>0</v>
      </c>
      <c r="V1630">
        <v>0</v>
      </c>
      <c r="W1630">
        <v>0</v>
      </c>
      <c r="X1630">
        <v>0</v>
      </c>
      <c r="Y1630">
        <v>3.8</v>
      </c>
      <c r="Z1630">
        <v>5.6</v>
      </c>
      <c r="AA1630">
        <f t="shared" si="1165"/>
        <v>10.3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0.3</v>
      </c>
      <c r="AI1630">
        <v>0</v>
      </c>
      <c r="AJ1630" s="5">
        <f t="shared" si="1166"/>
        <v>0.3</v>
      </c>
      <c r="AK1630">
        <v>9.6999999999999993</v>
      </c>
      <c r="AL1630">
        <v>0.49399999999999999</v>
      </c>
      <c r="AM1630">
        <f t="shared" si="1143"/>
        <v>0.41499999999999998</v>
      </c>
      <c r="AN1630">
        <v>459</v>
      </c>
      <c r="AO1630">
        <v>312</v>
      </c>
      <c r="AP1630" s="3">
        <f t="shared" si="1160"/>
        <v>784.61538461538464</v>
      </c>
      <c r="AQ1630" s="3">
        <f t="shared" si="1161"/>
        <v>533.33333333333337</v>
      </c>
      <c r="AR1630">
        <f t="shared" si="1142"/>
        <v>7.2289156626506026E-3</v>
      </c>
      <c r="AS1630">
        <f t="shared" si="1157"/>
        <v>0.41200000000000003</v>
      </c>
      <c r="AT1630">
        <f t="shared" si="1158"/>
        <v>323</v>
      </c>
      <c r="AU1630">
        <f t="shared" si="1159"/>
        <v>2</v>
      </c>
      <c r="AV1630">
        <f t="shared" si="1150"/>
        <v>270</v>
      </c>
      <c r="AW1630">
        <f t="shared" si="1151"/>
        <v>2</v>
      </c>
      <c r="AX1630" s="3">
        <f t="shared" si="1152"/>
        <v>512.61538461538464</v>
      </c>
      <c r="AY1630">
        <f t="shared" si="1153"/>
        <v>162</v>
      </c>
      <c r="AZ1630">
        <f t="shared" si="1154"/>
        <v>3</v>
      </c>
      <c r="BA1630" s="3">
        <f t="shared" si="1155"/>
        <v>619.61538461538464</v>
      </c>
    </row>
    <row r="1631" spans="1:53" x14ac:dyDescent="0.2">
      <c r="A1631">
        <v>2016</v>
      </c>
      <c r="B1631" t="s">
        <v>129</v>
      </c>
      <c r="C1631" t="s">
        <v>63</v>
      </c>
      <c r="D1631">
        <v>0.9</v>
      </c>
      <c r="E1631">
        <v>0.5</v>
      </c>
      <c r="F1631">
        <v>0</v>
      </c>
      <c r="G1631">
        <v>0</v>
      </c>
      <c r="H1631">
        <v>0</v>
      </c>
      <c r="I1631">
        <v>6.3</v>
      </c>
      <c r="J1631">
        <v>3.9</v>
      </c>
      <c r="K1631">
        <f t="shared" si="1162"/>
        <v>11.6</v>
      </c>
      <c r="L1631">
        <v>0</v>
      </c>
      <c r="M1631">
        <v>0</v>
      </c>
      <c r="N1631">
        <v>3.9</v>
      </c>
      <c r="O1631">
        <f t="shared" si="1163"/>
        <v>3.9</v>
      </c>
      <c r="P1631">
        <v>0</v>
      </c>
      <c r="Q1631">
        <v>0</v>
      </c>
      <c r="R1631">
        <v>16.399999999999999</v>
      </c>
      <c r="S1631">
        <f t="shared" si="1164"/>
        <v>16.399999999999999</v>
      </c>
      <c r="T1631">
        <v>0.8</v>
      </c>
      <c r="U1631">
        <v>0</v>
      </c>
      <c r="V1631">
        <v>0</v>
      </c>
      <c r="W1631">
        <v>0</v>
      </c>
      <c r="X1631">
        <v>0</v>
      </c>
      <c r="Y1631">
        <v>3.9</v>
      </c>
      <c r="Z1631">
        <v>7.8</v>
      </c>
      <c r="AA1631">
        <f t="shared" si="1165"/>
        <v>12.5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5.0999999999999996</v>
      </c>
      <c r="AI1631">
        <v>0</v>
      </c>
      <c r="AJ1631" s="5">
        <f t="shared" si="1166"/>
        <v>5.0999999999999996</v>
      </c>
      <c r="AK1631">
        <v>1.6</v>
      </c>
      <c r="AL1631">
        <v>0.55100000000000005</v>
      </c>
      <c r="AM1631">
        <f t="shared" si="1143"/>
        <v>0.49499999999999994</v>
      </c>
      <c r="AN1631">
        <v>861</v>
      </c>
      <c r="AO1631">
        <v>574</v>
      </c>
      <c r="AP1631" s="3">
        <f t="shared" si="1160"/>
        <v>1704.9504950495045</v>
      </c>
      <c r="AQ1631" s="3">
        <f t="shared" si="1161"/>
        <v>1136.6336633663364</v>
      </c>
      <c r="AR1631">
        <f t="shared" si="1142"/>
        <v>0.10303030303030304</v>
      </c>
      <c r="AS1631">
        <f t="shared" si="1157"/>
        <v>0.44400000000000001</v>
      </c>
      <c r="AT1631">
        <f t="shared" si="1158"/>
        <v>757</v>
      </c>
      <c r="AU1631">
        <f t="shared" si="1159"/>
        <v>87</v>
      </c>
      <c r="AV1631">
        <f t="shared" si="1150"/>
        <v>658</v>
      </c>
      <c r="AW1631">
        <f t="shared" si="1151"/>
        <v>96</v>
      </c>
      <c r="AX1631" s="3">
        <f t="shared" si="1152"/>
        <v>950.95049504950453</v>
      </c>
      <c r="AY1631">
        <f t="shared" si="1153"/>
        <v>378</v>
      </c>
      <c r="AZ1631">
        <f t="shared" si="1154"/>
        <v>122</v>
      </c>
      <c r="BA1631" s="3">
        <f t="shared" si="1155"/>
        <v>1204.9504950495045</v>
      </c>
    </row>
    <row r="1632" spans="1:53" x14ac:dyDescent="0.2">
      <c r="A1632">
        <v>2017</v>
      </c>
      <c r="B1632" t="s">
        <v>129</v>
      </c>
      <c r="C1632" t="s">
        <v>63</v>
      </c>
      <c r="D1632">
        <v>1.3</v>
      </c>
      <c r="E1632">
        <v>0.5</v>
      </c>
      <c r="F1632">
        <v>0.3</v>
      </c>
      <c r="G1632">
        <v>0</v>
      </c>
      <c r="H1632">
        <v>0.7</v>
      </c>
      <c r="I1632">
        <v>7.9</v>
      </c>
      <c r="J1632">
        <v>4.9000000000000004</v>
      </c>
      <c r="K1632">
        <f t="shared" si="1162"/>
        <v>15.6</v>
      </c>
      <c r="L1632">
        <v>0</v>
      </c>
      <c r="M1632">
        <v>0</v>
      </c>
      <c r="N1632">
        <v>0.6</v>
      </c>
      <c r="O1632">
        <f t="shared" si="1163"/>
        <v>0.6</v>
      </c>
      <c r="P1632">
        <v>0</v>
      </c>
      <c r="Q1632">
        <v>0</v>
      </c>
      <c r="R1632">
        <v>10.9</v>
      </c>
      <c r="S1632">
        <f t="shared" si="1164"/>
        <v>10.9</v>
      </c>
      <c r="T1632">
        <v>1.5</v>
      </c>
      <c r="U1632">
        <v>0.1</v>
      </c>
      <c r="V1632">
        <v>0</v>
      </c>
      <c r="W1632">
        <v>0</v>
      </c>
      <c r="X1632">
        <v>0</v>
      </c>
      <c r="Y1632">
        <v>2.4</v>
      </c>
      <c r="Z1632">
        <v>6.4</v>
      </c>
      <c r="AA1632">
        <f t="shared" si="1165"/>
        <v>10.4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1</v>
      </c>
      <c r="AI1632">
        <v>0</v>
      </c>
      <c r="AJ1632" s="5">
        <f t="shared" si="1166"/>
        <v>1</v>
      </c>
      <c r="AK1632">
        <v>10.8</v>
      </c>
      <c r="AL1632">
        <v>0.54</v>
      </c>
      <c r="AM1632">
        <f t="shared" si="1143"/>
        <v>0.38500000000000001</v>
      </c>
      <c r="AN1632">
        <v>1075</v>
      </c>
      <c r="AO1632">
        <v>550</v>
      </c>
      <c r="AP1632" s="3">
        <f t="shared" si="1160"/>
        <v>1747.9674796747968</v>
      </c>
      <c r="AQ1632" s="3">
        <f t="shared" si="1161"/>
        <v>894.30894308943095</v>
      </c>
      <c r="AR1632">
        <f t="shared" si="1142"/>
        <v>2.5974025974025972E-2</v>
      </c>
      <c r="AS1632">
        <f t="shared" si="1157"/>
        <v>0.375</v>
      </c>
      <c r="AT1632">
        <f t="shared" si="1158"/>
        <v>655</v>
      </c>
      <c r="AU1632">
        <f t="shared" si="1159"/>
        <v>17</v>
      </c>
      <c r="AV1632">
        <f t="shared" si="1150"/>
        <v>519</v>
      </c>
      <c r="AW1632">
        <f t="shared" si="1151"/>
        <v>19</v>
      </c>
      <c r="AX1632" s="3">
        <f t="shared" si="1152"/>
        <v>1209.9674796747968</v>
      </c>
      <c r="AY1632">
        <f t="shared" si="1153"/>
        <v>328</v>
      </c>
      <c r="AZ1632">
        <f t="shared" si="1154"/>
        <v>22</v>
      </c>
      <c r="BA1632" s="3">
        <f t="shared" si="1155"/>
        <v>1397.9674796747968</v>
      </c>
    </row>
    <row r="1633" spans="1:53" x14ac:dyDescent="0.2">
      <c r="A1633">
        <v>2018</v>
      </c>
      <c r="B1633" t="s">
        <v>129</v>
      </c>
      <c r="C1633" t="s">
        <v>63</v>
      </c>
      <c r="D1633">
        <v>1.7</v>
      </c>
      <c r="E1633">
        <v>0.2</v>
      </c>
      <c r="F1633">
        <v>0</v>
      </c>
      <c r="G1633">
        <v>0.2</v>
      </c>
      <c r="H1633">
        <v>0</v>
      </c>
      <c r="I1633">
        <v>3.5</v>
      </c>
      <c r="J1633">
        <v>5.5</v>
      </c>
      <c r="K1633">
        <f t="shared" si="1162"/>
        <v>11.1</v>
      </c>
      <c r="L1633">
        <v>0</v>
      </c>
      <c r="M1633">
        <v>0</v>
      </c>
      <c r="N1633">
        <v>0.2</v>
      </c>
      <c r="O1633">
        <f t="shared" si="1163"/>
        <v>0.2</v>
      </c>
      <c r="P1633">
        <v>0</v>
      </c>
      <c r="Q1633">
        <v>0</v>
      </c>
      <c r="R1633">
        <v>14.6</v>
      </c>
      <c r="S1633">
        <f t="shared" si="1164"/>
        <v>14.6</v>
      </c>
      <c r="T1633">
        <v>0.7</v>
      </c>
      <c r="U1633">
        <v>0</v>
      </c>
      <c r="V1633">
        <v>0</v>
      </c>
      <c r="W1633">
        <v>0</v>
      </c>
      <c r="X1633">
        <v>0</v>
      </c>
      <c r="Y1633">
        <v>3.4</v>
      </c>
      <c r="Z1633">
        <v>3.3</v>
      </c>
      <c r="AA1633">
        <f t="shared" si="1165"/>
        <v>7.3999999999999995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3.6</v>
      </c>
      <c r="AI1633">
        <v>0</v>
      </c>
      <c r="AJ1633" s="5">
        <f t="shared" si="1166"/>
        <v>3.6</v>
      </c>
      <c r="AK1633">
        <v>3.5</v>
      </c>
      <c r="AL1633">
        <v>0.63200000000000001</v>
      </c>
      <c r="AM1633">
        <f t="shared" si="1143"/>
        <v>0.36899999999999999</v>
      </c>
      <c r="AN1633">
        <v>562</v>
      </c>
      <c r="AO1633">
        <v>116</v>
      </c>
      <c r="AP1633" s="3">
        <f t="shared" si="1160"/>
        <v>890.64976228209196</v>
      </c>
      <c r="AQ1633" s="3">
        <f t="shared" si="1161"/>
        <v>183.8351822503962</v>
      </c>
      <c r="AR1633">
        <f t="shared" si="1142"/>
        <v>9.7560975609756115E-2</v>
      </c>
      <c r="AS1633">
        <f t="shared" si="1157"/>
        <v>0.33299999999999996</v>
      </c>
      <c r="AT1633">
        <f t="shared" si="1158"/>
        <v>297</v>
      </c>
      <c r="AU1633">
        <f t="shared" si="1159"/>
        <v>32</v>
      </c>
      <c r="AV1633">
        <f t="shared" si="1150"/>
        <v>247</v>
      </c>
      <c r="AW1633">
        <f t="shared" si="1151"/>
        <v>35</v>
      </c>
      <c r="AX1633" s="3">
        <f t="shared" si="1152"/>
        <v>608.64976228209196</v>
      </c>
      <c r="AY1633">
        <f t="shared" si="1153"/>
        <v>148</v>
      </c>
      <c r="AZ1633">
        <f t="shared" si="1154"/>
        <v>40</v>
      </c>
      <c r="BA1633" s="3">
        <f t="shared" si="1155"/>
        <v>702.64976228209196</v>
      </c>
    </row>
    <row r="1634" spans="1:53" x14ac:dyDescent="0.2">
      <c r="A1634">
        <v>2019</v>
      </c>
      <c r="B1634" t="s">
        <v>129</v>
      </c>
      <c r="C1634" t="s">
        <v>63</v>
      </c>
      <c r="D1634">
        <v>1.4</v>
      </c>
      <c r="E1634">
        <v>1.9</v>
      </c>
      <c r="F1634">
        <v>0</v>
      </c>
      <c r="G1634">
        <v>0</v>
      </c>
      <c r="H1634">
        <v>0</v>
      </c>
      <c r="I1634">
        <v>1.1000000000000001</v>
      </c>
      <c r="J1634">
        <v>3.6</v>
      </c>
      <c r="K1634">
        <f t="shared" si="1162"/>
        <v>8</v>
      </c>
      <c r="L1634">
        <v>0</v>
      </c>
      <c r="M1634">
        <v>0</v>
      </c>
      <c r="N1634">
        <v>2</v>
      </c>
      <c r="O1634">
        <f t="shared" si="1163"/>
        <v>2</v>
      </c>
      <c r="P1634">
        <v>0</v>
      </c>
      <c r="Q1634">
        <v>0.1</v>
      </c>
      <c r="R1634">
        <v>14.6</v>
      </c>
      <c r="S1634">
        <f t="shared" si="1164"/>
        <v>14.7</v>
      </c>
      <c r="T1634">
        <v>0.2</v>
      </c>
      <c r="U1634">
        <v>0.2</v>
      </c>
      <c r="V1634">
        <v>0</v>
      </c>
      <c r="W1634">
        <v>0</v>
      </c>
      <c r="X1634">
        <v>0</v>
      </c>
      <c r="Y1634">
        <v>2.8</v>
      </c>
      <c r="Z1634">
        <v>3.7</v>
      </c>
      <c r="AA1634">
        <f t="shared" si="1165"/>
        <v>6.9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5.3</v>
      </c>
      <c r="AI1634">
        <v>0</v>
      </c>
      <c r="AJ1634" s="5">
        <f t="shared" si="1166"/>
        <v>5.3</v>
      </c>
      <c r="AK1634">
        <v>8.5</v>
      </c>
      <c r="AL1634">
        <v>0.56499999999999995</v>
      </c>
      <c r="AM1634">
        <f t="shared" si="1143"/>
        <v>0.36899999999999999</v>
      </c>
      <c r="AN1634">
        <v>440</v>
      </c>
      <c r="AO1634">
        <v>91</v>
      </c>
      <c r="AP1634" s="3">
        <f t="shared" si="1160"/>
        <v>697.30586370839933</v>
      </c>
      <c r="AQ1634" s="3">
        <f t="shared" si="1161"/>
        <v>144.21553090332804</v>
      </c>
      <c r="AR1634">
        <f t="shared" si="1142"/>
        <v>0.14363143631436315</v>
      </c>
      <c r="AS1634">
        <f t="shared" si="1157"/>
        <v>0.316</v>
      </c>
      <c r="AT1634">
        <f t="shared" si="1158"/>
        <v>220</v>
      </c>
      <c r="AU1634">
        <f t="shared" si="1159"/>
        <v>37</v>
      </c>
      <c r="AV1634">
        <f t="shared" si="1150"/>
        <v>192</v>
      </c>
      <c r="AW1634">
        <f t="shared" si="1151"/>
        <v>39</v>
      </c>
      <c r="AX1634" s="3">
        <f t="shared" si="1152"/>
        <v>466.30586370839933</v>
      </c>
      <c r="AY1634">
        <f t="shared" si="1153"/>
        <v>110</v>
      </c>
      <c r="AZ1634">
        <f t="shared" si="1154"/>
        <v>46</v>
      </c>
      <c r="BA1634" s="3">
        <f t="shared" si="1155"/>
        <v>541.30586370839933</v>
      </c>
    </row>
    <row r="1635" spans="1:53" x14ac:dyDescent="0.2">
      <c r="A1635">
        <v>2020</v>
      </c>
      <c r="B1635" t="s">
        <v>129</v>
      </c>
      <c r="C1635" t="s">
        <v>63</v>
      </c>
      <c r="D1635">
        <v>3.8</v>
      </c>
      <c r="E1635">
        <v>0.2</v>
      </c>
      <c r="F1635">
        <v>0.5</v>
      </c>
      <c r="G1635">
        <v>0</v>
      </c>
      <c r="H1635">
        <v>0</v>
      </c>
      <c r="I1635">
        <v>0.2</v>
      </c>
      <c r="J1635">
        <v>0</v>
      </c>
      <c r="K1635">
        <f t="shared" si="1162"/>
        <v>4.7</v>
      </c>
      <c r="L1635">
        <v>0</v>
      </c>
      <c r="M1635">
        <v>0</v>
      </c>
      <c r="N1635">
        <v>0.3</v>
      </c>
      <c r="O1635">
        <f t="shared" si="1163"/>
        <v>0.3</v>
      </c>
      <c r="P1635">
        <v>0</v>
      </c>
      <c r="Q1635">
        <v>0</v>
      </c>
      <c r="R1635">
        <v>7.3</v>
      </c>
      <c r="S1635">
        <f t="shared" si="1164"/>
        <v>7.3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0.5</v>
      </c>
      <c r="Z1635">
        <v>3.7</v>
      </c>
      <c r="AA1635">
        <f t="shared" si="1165"/>
        <v>4.2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5.0999999999999996</v>
      </c>
      <c r="AI1635">
        <v>0</v>
      </c>
      <c r="AJ1635" s="5">
        <f t="shared" si="1166"/>
        <v>5.0999999999999996</v>
      </c>
      <c r="AK1635">
        <v>5.7</v>
      </c>
      <c r="AL1635">
        <v>0.748</v>
      </c>
      <c r="AM1635">
        <f t="shared" si="1143"/>
        <v>0.21600000000000003</v>
      </c>
      <c r="AN1635">
        <v>702</v>
      </c>
      <c r="AO1635">
        <v>275</v>
      </c>
      <c r="AP1635" s="3">
        <f t="shared" si="1160"/>
        <v>895.40816326530614</v>
      </c>
      <c r="AQ1635" s="3">
        <f t="shared" si="1161"/>
        <v>350.76530612244898</v>
      </c>
      <c r="AR1635">
        <f t="shared" si="1142"/>
        <v>0.23611111111111108</v>
      </c>
      <c r="AS1635">
        <f t="shared" si="1157"/>
        <v>0.16500000000000001</v>
      </c>
      <c r="AT1635">
        <f t="shared" si="1158"/>
        <v>148</v>
      </c>
      <c r="AU1635">
        <f t="shared" si="1159"/>
        <v>46</v>
      </c>
      <c r="AV1635">
        <f t="shared" si="1150"/>
        <v>127</v>
      </c>
      <c r="AW1635">
        <f t="shared" si="1151"/>
        <v>47</v>
      </c>
      <c r="AX1635" s="3">
        <f t="shared" si="1152"/>
        <v>721.40816326530614</v>
      </c>
      <c r="AY1635">
        <f t="shared" si="1153"/>
        <v>74</v>
      </c>
      <c r="AZ1635">
        <f t="shared" si="1154"/>
        <v>51</v>
      </c>
      <c r="BA1635" s="3">
        <f t="shared" si="1155"/>
        <v>770.40816326530614</v>
      </c>
    </row>
    <row r="1636" spans="1:53" x14ac:dyDescent="0.2">
      <c r="A1636">
        <v>2021</v>
      </c>
      <c r="B1636" t="s">
        <v>129</v>
      </c>
      <c r="C1636" t="s">
        <v>63</v>
      </c>
      <c r="D1636">
        <v>1.1000000000000001</v>
      </c>
      <c r="E1636">
        <v>2.2000000000000002</v>
      </c>
      <c r="F1636">
        <v>0</v>
      </c>
      <c r="G1636">
        <v>0</v>
      </c>
      <c r="H1636">
        <v>0</v>
      </c>
      <c r="I1636">
        <v>1.8</v>
      </c>
      <c r="J1636">
        <v>5.7</v>
      </c>
      <c r="K1636">
        <f t="shared" si="1162"/>
        <v>10.8</v>
      </c>
      <c r="L1636">
        <v>0</v>
      </c>
      <c r="M1636">
        <v>0</v>
      </c>
      <c r="N1636">
        <v>0.7</v>
      </c>
      <c r="O1636">
        <f t="shared" si="1163"/>
        <v>0.7</v>
      </c>
      <c r="P1636">
        <v>0</v>
      </c>
      <c r="Q1636">
        <v>0</v>
      </c>
      <c r="R1636">
        <v>8.4</v>
      </c>
      <c r="S1636">
        <f t="shared" si="1164"/>
        <v>8.4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1.6</v>
      </c>
      <c r="Z1636">
        <v>9.1999999999999993</v>
      </c>
      <c r="AA1636">
        <f t="shared" si="1165"/>
        <v>10.799999999999999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0.6</v>
      </c>
      <c r="AI1636">
        <v>0.4</v>
      </c>
      <c r="AJ1636" s="5">
        <f t="shared" si="1166"/>
        <v>1</v>
      </c>
      <c r="AK1636">
        <v>6.4</v>
      </c>
      <c r="AL1636">
        <v>0.6409999999999999</v>
      </c>
      <c r="AM1636">
        <f t="shared" si="1143"/>
        <v>0.317</v>
      </c>
      <c r="AN1636">
        <v>555</v>
      </c>
      <c r="AO1636">
        <v>322</v>
      </c>
      <c r="AP1636" s="3">
        <f t="shared" si="1160"/>
        <v>812.5915080527086</v>
      </c>
      <c r="AQ1636" s="3">
        <f t="shared" si="1161"/>
        <v>471.44948755490481</v>
      </c>
      <c r="AR1636">
        <f t="shared" ref="AR1636:AR1693" si="1167">(AJ1636/100)/AM1636</f>
        <v>3.1545741324921134E-2</v>
      </c>
      <c r="AS1636">
        <f t="shared" si="1157"/>
        <v>0.30699999999999994</v>
      </c>
      <c r="AT1636">
        <f t="shared" si="1158"/>
        <v>249</v>
      </c>
      <c r="AU1636">
        <f t="shared" si="1159"/>
        <v>8</v>
      </c>
      <c r="AV1636">
        <f t="shared" si="1150"/>
        <v>206</v>
      </c>
      <c r="AW1636">
        <f t="shared" si="1151"/>
        <v>9</v>
      </c>
      <c r="AX1636" s="3">
        <f t="shared" si="1152"/>
        <v>597.5915080527086</v>
      </c>
      <c r="AY1636">
        <f t="shared" si="1153"/>
        <v>125</v>
      </c>
      <c r="AZ1636">
        <f t="shared" si="1154"/>
        <v>10</v>
      </c>
      <c r="BA1636" s="3">
        <f t="shared" si="1155"/>
        <v>677.5915080527086</v>
      </c>
    </row>
    <row r="1637" spans="1:53" x14ac:dyDescent="0.2">
      <c r="A1637">
        <v>2022</v>
      </c>
      <c r="B1637" t="s">
        <v>129</v>
      </c>
      <c r="C1637" t="s">
        <v>63</v>
      </c>
      <c r="D1637">
        <v>2.7</v>
      </c>
      <c r="E1637">
        <v>1.4</v>
      </c>
      <c r="F1637">
        <v>0.4</v>
      </c>
      <c r="G1637">
        <v>1.4</v>
      </c>
      <c r="H1637">
        <v>0</v>
      </c>
      <c r="I1637">
        <v>3</v>
      </c>
      <c r="J1637">
        <v>3.8</v>
      </c>
      <c r="K1637">
        <f t="shared" si="1162"/>
        <v>12.7</v>
      </c>
      <c r="L1637">
        <v>0</v>
      </c>
      <c r="M1637">
        <v>0</v>
      </c>
      <c r="N1637">
        <v>0</v>
      </c>
      <c r="O1637">
        <f t="shared" si="1163"/>
        <v>0</v>
      </c>
      <c r="P1637">
        <v>0</v>
      </c>
      <c r="Q1637">
        <v>0.8</v>
      </c>
      <c r="R1637">
        <v>8</v>
      </c>
      <c r="S1637">
        <f t="shared" si="1164"/>
        <v>8.8000000000000007</v>
      </c>
      <c r="T1637">
        <v>0</v>
      </c>
      <c r="U1637">
        <v>0</v>
      </c>
      <c r="V1637">
        <v>0.1</v>
      </c>
      <c r="W1637">
        <v>0</v>
      </c>
      <c r="X1637">
        <v>0</v>
      </c>
      <c r="Y1637">
        <v>0.6</v>
      </c>
      <c r="Z1637">
        <v>1.9</v>
      </c>
      <c r="AA1637">
        <f t="shared" si="1165"/>
        <v>2.5999999999999996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1.6</v>
      </c>
      <c r="AI1637">
        <v>0.1</v>
      </c>
      <c r="AJ1637" s="5">
        <f t="shared" si="1166"/>
        <v>1.7000000000000002</v>
      </c>
      <c r="AK1637">
        <v>5.5</v>
      </c>
      <c r="AL1637">
        <v>0.70799999999999996</v>
      </c>
      <c r="AM1637">
        <f t="shared" si="1143"/>
        <v>0.25799999999999995</v>
      </c>
      <c r="AN1637">
        <v>1407</v>
      </c>
      <c r="AO1637">
        <v>647</v>
      </c>
      <c r="AP1637" s="3">
        <f t="shared" si="1160"/>
        <v>1896.2264150943397</v>
      </c>
      <c r="AQ1637" s="3">
        <f t="shared" si="1161"/>
        <v>871.96765498652292</v>
      </c>
      <c r="AR1637">
        <f t="shared" si="1167"/>
        <v>6.5891472868217074E-2</v>
      </c>
      <c r="AS1637">
        <f t="shared" si="1157"/>
        <v>0.24100000000000002</v>
      </c>
      <c r="AT1637">
        <f t="shared" si="1158"/>
        <v>457</v>
      </c>
      <c r="AU1637">
        <f t="shared" si="1159"/>
        <v>32</v>
      </c>
      <c r="AV1637">
        <f t="shared" si="1150"/>
        <v>337</v>
      </c>
      <c r="AW1637">
        <f t="shared" si="1151"/>
        <v>35</v>
      </c>
      <c r="AX1637" s="3">
        <f t="shared" si="1152"/>
        <v>1524.2264150943397</v>
      </c>
      <c r="AY1637">
        <f t="shared" si="1153"/>
        <v>228</v>
      </c>
      <c r="AZ1637">
        <f t="shared" si="1154"/>
        <v>37</v>
      </c>
      <c r="BA1637" s="3">
        <f t="shared" si="1155"/>
        <v>1631.2264150943397</v>
      </c>
    </row>
    <row r="1638" spans="1:53" x14ac:dyDescent="0.2">
      <c r="A1638">
        <v>2023</v>
      </c>
      <c r="B1638" t="s">
        <v>129</v>
      </c>
      <c r="C1638" t="s">
        <v>63</v>
      </c>
      <c r="D1638" t="s">
        <v>13</v>
      </c>
      <c r="E1638" t="s">
        <v>13</v>
      </c>
      <c r="F1638" t="s">
        <v>13</v>
      </c>
      <c r="G1638" t="s">
        <v>13</v>
      </c>
      <c r="H1638" t="s">
        <v>13</v>
      </c>
      <c r="I1638" t="s">
        <v>13</v>
      </c>
      <c r="J1638" t="s">
        <v>13</v>
      </c>
      <c r="K1638" t="s">
        <v>13</v>
      </c>
      <c r="L1638" t="s">
        <v>13</v>
      </c>
      <c r="M1638" t="s">
        <v>13</v>
      </c>
      <c r="N1638" t="s">
        <v>13</v>
      </c>
      <c r="O1638" t="s">
        <v>13</v>
      </c>
      <c r="P1638" t="s">
        <v>13</v>
      </c>
      <c r="Q1638" t="s">
        <v>13</v>
      </c>
      <c r="R1638" t="s">
        <v>13</v>
      </c>
      <c r="S1638" t="s">
        <v>13</v>
      </c>
      <c r="T1638" t="s">
        <v>13</v>
      </c>
      <c r="U1638" t="s">
        <v>13</v>
      </c>
      <c r="V1638" t="s">
        <v>13</v>
      </c>
      <c r="W1638" t="s">
        <v>13</v>
      </c>
      <c r="X1638" t="s">
        <v>13</v>
      </c>
      <c r="Y1638" t="s">
        <v>13</v>
      </c>
      <c r="Z1638" t="s">
        <v>13</v>
      </c>
      <c r="AA1638" t="s">
        <v>13</v>
      </c>
      <c r="AB1638" t="s">
        <v>13</v>
      </c>
      <c r="AC1638" t="s">
        <v>13</v>
      </c>
      <c r="AD1638" t="s">
        <v>13</v>
      </c>
      <c r="AE1638" t="s">
        <v>13</v>
      </c>
      <c r="AF1638" t="s">
        <v>13</v>
      </c>
      <c r="AG1638" t="s">
        <v>13</v>
      </c>
      <c r="AH1638" t="s">
        <v>13</v>
      </c>
      <c r="AI1638" t="s">
        <v>13</v>
      </c>
      <c r="AJ1638" t="s">
        <v>13</v>
      </c>
      <c r="AK1638" t="s">
        <v>13</v>
      </c>
      <c r="AL1638" t="s">
        <v>13</v>
      </c>
      <c r="AM1638" t="s">
        <v>13</v>
      </c>
      <c r="AN1638">
        <v>509</v>
      </c>
      <c r="AO1638">
        <v>266</v>
      </c>
      <c r="AP1638" t="s">
        <v>13</v>
      </c>
      <c r="AQ1638" t="s">
        <v>13</v>
      </c>
      <c r="AR1638" t="s">
        <v>13</v>
      </c>
      <c r="AS1638" t="s">
        <v>13</v>
      </c>
      <c r="AT1638" t="s">
        <v>13</v>
      </c>
      <c r="AU1638" t="s">
        <v>13</v>
      </c>
      <c r="AV1638" t="s">
        <v>13</v>
      </c>
      <c r="AW1638" t="s">
        <v>13</v>
      </c>
      <c r="AX1638" t="s">
        <v>13</v>
      </c>
      <c r="AY1638" t="s">
        <v>13</v>
      </c>
      <c r="AZ1638" t="s">
        <v>13</v>
      </c>
      <c r="BA1638" t="s">
        <v>13</v>
      </c>
    </row>
    <row r="1639" spans="1:53" x14ac:dyDescent="0.2">
      <c r="A1639">
        <v>1996</v>
      </c>
      <c r="B1639" t="s">
        <v>104</v>
      </c>
      <c r="C1639" t="s">
        <v>1</v>
      </c>
      <c r="D1639">
        <v>1.6</v>
      </c>
      <c r="E1639">
        <v>0</v>
      </c>
      <c r="F1639">
        <v>0.4</v>
      </c>
      <c r="G1639">
        <v>0.1</v>
      </c>
      <c r="H1639">
        <v>0</v>
      </c>
      <c r="I1639">
        <v>0</v>
      </c>
      <c r="J1639">
        <v>0</v>
      </c>
      <c r="K1639">
        <f t="shared" si="1162"/>
        <v>2.1</v>
      </c>
      <c r="L1639">
        <v>0</v>
      </c>
      <c r="M1639">
        <v>0</v>
      </c>
      <c r="N1639">
        <v>0</v>
      </c>
      <c r="O1639">
        <f t="shared" si="1163"/>
        <v>0</v>
      </c>
      <c r="P1639">
        <v>0</v>
      </c>
      <c r="Q1639">
        <v>0</v>
      </c>
      <c r="R1639">
        <v>0</v>
      </c>
      <c r="S1639">
        <f t="shared" si="1164"/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f t="shared" si="1165"/>
        <v>0</v>
      </c>
      <c r="AB1639">
        <v>0</v>
      </c>
      <c r="AC1639">
        <v>1.3</v>
      </c>
      <c r="AD1639">
        <v>0.1</v>
      </c>
      <c r="AE1639">
        <v>3.1</v>
      </c>
      <c r="AF1639">
        <v>0</v>
      </c>
      <c r="AG1639">
        <v>0</v>
      </c>
      <c r="AH1639">
        <v>0</v>
      </c>
      <c r="AI1639">
        <v>0</v>
      </c>
      <c r="AJ1639" s="5">
        <f t="shared" si="1166"/>
        <v>4.5</v>
      </c>
      <c r="AK1639">
        <v>0</v>
      </c>
      <c r="AL1639">
        <v>0.93400000000000005</v>
      </c>
      <c r="AM1639">
        <f t="shared" si="1143"/>
        <v>6.6000000000000003E-2</v>
      </c>
      <c r="AN1639">
        <v>79019</v>
      </c>
      <c r="AO1639" t="s">
        <v>13</v>
      </c>
      <c r="AP1639" s="3">
        <f t="shared" si="1160"/>
        <v>84602.783725910063</v>
      </c>
      <c r="AQ1639" t="s">
        <v>13</v>
      </c>
      <c r="AR1639">
        <f t="shared" si="1167"/>
        <v>0.68181818181818177</v>
      </c>
      <c r="AS1639">
        <f t="shared" ref="AS1639:AS1670" si="1168">SUM(K1639,O1639,S1639,AA1639)/100</f>
        <v>2.1000000000000001E-2</v>
      </c>
      <c r="AT1639">
        <f t="shared" ref="AT1639:AT1670" si="1169">ROUND(AS1639*AP1639,0)</f>
        <v>1777</v>
      </c>
      <c r="AU1639">
        <f t="shared" ref="AU1639:AU1670" si="1170">ROUND((AJ1639/100)*AP1639,0)</f>
        <v>3807</v>
      </c>
      <c r="AV1639">
        <f t="shared" si="1150"/>
        <v>888</v>
      </c>
      <c r="AW1639">
        <f t="shared" si="1151"/>
        <v>3848</v>
      </c>
      <c r="AX1639" s="3">
        <f t="shared" si="1152"/>
        <v>79866.783725910063</v>
      </c>
      <c r="AY1639">
        <f t="shared" si="1153"/>
        <v>888</v>
      </c>
      <c r="AZ1639">
        <f t="shared" si="1154"/>
        <v>3848</v>
      </c>
      <c r="BA1639" s="3">
        <f t="shared" si="1155"/>
        <v>79866.783725910063</v>
      </c>
    </row>
    <row r="1640" spans="1:53" x14ac:dyDescent="0.2">
      <c r="A1640">
        <v>1997</v>
      </c>
      <c r="B1640" t="s">
        <v>104</v>
      </c>
      <c r="C1640" t="s">
        <v>1</v>
      </c>
      <c r="D1640">
        <v>0.3</v>
      </c>
      <c r="E1640">
        <v>0</v>
      </c>
      <c r="F1640">
        <v>1.7</v>
      </c>
      <c r="G1640">
        <v>0</v>
      </c>
      <c r="H1640">
        <v>0</v>
      </c>
      <c r="I1640">
        <v>0</v>
      </c>
      <c r="J1640">
        <v>0</v>
      </c>
      <c r="K1640">
        <f t="shared" si="1162"/>
        <v>2</v>
      </c>
      <c r="L1640">
        <v>0</v>
      </c>
      <c r="M1640">
        <v>0</v>
      </c>
      <c r="N1640">
        <v>0</v>
      </c>
      <c r="O1640">
        <f t="shared" si="1163"/>
        <v>0</v>
      </c>
      <c r="P1640">
        <v>0</v>
      </c>
      <c r="Q1640">
        <v>0</v>
      </c>
      <c r="R1640">
        <v>0</v>
      </c>
      <c r="S1640">
        <f t="shared" si="1164"/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f t="shared" si="1165"/>
        <v>0</v>
      </c>
      <c r="AB1640">
        <v>0</v>
      </c>
      <c r="AC1640">
        <v>1.9</v>
      </c>
      <c r="AD1640">
        <v>8</v>
      </c>
      <c r="AE1640">
        <v>2.4</v>
      </c>
      <c r="AF1640">
        <v>0</v>
      </c>
      <c r="AG1640">
        <v>0</v>
      </c>
      <c r="AH1640">
        <v>0</v>
      </c>
      <c r="AI1640">
        <v>0</v>
      </c>
      <c r="AJ1640" s="5">
        <f t="shared" si="1166"/>
        <v>12.3</v>
      </c>
      <c r="AK1640">
        <v>0</v>
      </c>
      <c r="AL1640">
        <v>0.85599999999999998</v>
      </c>
      <c r="AM1640">
        <f t="shared" si="1143"/>
        <v>0.14300000000000002</v>
      </c>
      <c r="AN1640">
        <v>114938</v>
      </c>
      <c r="AO1640" t="s">
        <v>13</v>
      </c>
      <c r="AP1640" s="3">
        <f t="shared" si="1160"/>
        <v>134116.6861143524</v>
      </c>
      <c r="AQ1640" t="s">
        <v>13</v>
      </c>
      <c r="AR1640">
        <f t="shared" si="1167"/>
        <v>0.8601398601398601</v>
      </c>
      <c r="AS1640">
        <f t="shared" si="1168"/>
        <v>0.02</v>
      </c>
      <c r="AT1640">
        <f t="shared" si="1169"/>
        <v>2682</v>
      </c>
      <c r="AU1640">
        <f t="shared" si="1170"/>
        <v>16496</v>
      </c>
      <c r="AV1640">
        <f t="shared" si="1150"/>
        <v>1341</v>
      </c>
      <c r="AW1640">
        <f t="shared" si="1151"/>
        <v>16664</v>
      </c>
      <c r="AX1640" s="3">
        <f t="shared" si="1152"/>
        <v>116111.6861143524</v>
      </c>
      <c r="AY1640">
        <f t="shared" si="1153"/>
        <v>1341</v>
      </c>
      <c r="AZ1640">
        <f t="shared" si="1154"/>
        <v>16664</v>
      </c>
      <c r="BA1640" s="3">
        <f t="shared" si="1155"/>
        <v>116111.6861143524</v>
      </c>
    </row>
    <row r="1641" spans="1:53" x14ac:dyDescent="0.2">
      <c r="A1641">
        <v>1998</v>
      </c>
      <c r="B1641" t="s">
        <v>104</v>
      </c>
      <c r="C1641" t="s">
        <v>1</v>
      </c>
      <c r="D1641">
        <v>1.2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f t="shared" si="1162"/>
        <v>1.2</v>
      </c>
      <c r="L1641">
        <v>0</v>
      </c>
      <c r="M1641">
        <v>0</v>
      </c>
      <c r="N1641">
        <v>0</v>
      </c>
      <c r="O1641">
        <f t="shared" si="1163"/>
        <v>0</v>
      </c>
      <c r="P1641">
        <v>0</v>
      </c>
      <c r="Q1641">
        <v>0</v>
      </c>
      <c r="R1641">
        <v>0</v>
      </c>
      <c r="S1641">
        <f t="shared" si="1164"/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f t="shared" si="1165"/>
        <v>0</v>
      </c>
      <c r="AB1641">
        <v>0</v>
      </c>
      <c r="AC1641">
        <v>0</v>
      </c>
      <c r="AD1641">
        <v>0</v>
      </c>
      <c r="AE1641">
        <v>4.2</v>
      </c>
      <c r="AF1641">
        <v>0</v>
      </c>
      <c r="AG1641">
        <v>0</v>
      </c>
      <c r="AH1641">
        <v>0</v>
      </c>
      <c r="AI1641">
        <v>0</v>
      </c>
      <c r="AJ1641" s="5">
        <f t="shared" si="1166"/>
        <v>4.2</v>
      </c>
      <c r="AK1641">
        <v>0</v>
      </c>
      <c r="AL1641">
        <v>0.94700000000000006</v>
      </c>
      <c r="AM1641">
        <f t="shared" si="1143"/>
        <v>5.4000000000000006E-2</v>
      </c>
      <c r="AN1641">
        <v>31039</v>
      </c>
      <c r="AO1641" t="s">
        <v>13</v>
      </c>
      <c r="AP1641" s="3">
        <f t="shared" si="1160"/>
        <v>32810.7822410148</v>
      </c>
      <c r="AQ1641" t="s">
        <v>13</v>
      </c>
      <c r="AR1641">
        <f t="shared" si="1167"/>
        <v>0.77777777777777779</v>
      </c>
      <c r="AS1641">
        <f t="shared" si="1168"/>
        <v>1.2E-2</v>
      </c>
      <c r="AT1641">
        <f t="shared" si="1169"/>
        <v>394</v>
      </c>
      <c r="AU1641">
        <f t="shared" si="1170"/>
        <v>1378</v>
      </c>
      <c r="AV1641">
        <f t="shared" si="1150"/>
        <v>197</v>
      </c>
      <c r="AW1641">
        <f t="shared" si="1151"/>
        <v>1386</v>
      </c>
      <c r="AX1641" s="3">
        <f t="shared" si="1152"/>
        <v>31227.7822410148</v>
      </c>
      <c r="AY1641">
        <f t="shared" si="1153"/>
        <v>197</v>
      </c>
      <c r="AZ1641">
        <f t="shared" si="1154"/>
        <v>1386</v>
      </c>
      <c r="BA1641" s="3">
        <f t="shared" si="1155"/>
        <v>31227.7822410148</v>
      </c>
    </row>
    <row r="1642" spans="1:53" x14ac:dyDescent="0.2">
      <c r="A1642">
        <v>1999</v>
      </c>
      <c r="B1642" t="s">
        <v>104</v>
      </c>
      <c r="C1642" t="s">
        <v>1</v>
      </c>
      <c r="D1642">
        <v>1.7</v>
      </c>
      <c r="E1642">
        <v>0</v>
      </c>
      <c r="F1642">
        <v>1.8</v>
      </c>
      <c r="G1642">
        <v>0</v>
      </c>
      <c r="H1642">
        <v>0</v>
      </c>
      <c r="I1642">
        <v>0</v>
      </c>
      <c r="J1642">
        <v>0</v>
      </c>
      <c r="K1642">
        <f t="shared" si="1162"/>
        <v>3.5</v>
      </c>
      <c r="L1642">
        <v>0</v>
      </c>
      <c r="M1642">
        <v>0</v>
      </c>
      <c r="N1642">
        <v>0</v>
      </c>
      <c r="O1642">
        <f t="shared" si="1163"/>
        <v>0</v>
      </c>
      <c r="P1642">
        <v>0</v>
      </c>
      <c r="Q1642">
        <v>0</v>
      </c>
      <c r="R1642">
        <v>0</v>
      </c>
      <c r="S1642">
        <f t="shared" si="1164"/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f t="shared" si="1165"/>
        <v>0</v>
      </c>
      <c r="AB1642">
        <v>0</v>
      </c>
      <c r="AC1642">
        <v>4.3</v>
      </c>
      <c r="AD1642">
        <v>1.7</v>
      </c>
      <c r="AE1642">
        <v>4.3</v>
      </c>
      <c r="AF1642">
        <v>0</v>
      </c>
      <c r="AG1642">
        <v>0</v>
      </c>
      <c r="AH1642">
        <v>0</v>
      </c>
      <c r="AI1642">
        <v>0</v>
      </c>
      <c r="AJ1642" s="5">
        <f t="shared" si="1166"/>
        <v>10.3</v>
      </c>
      <c r="AK1642">
        <v>0</v>
      </c>
      <c r="AL1642">
        <v>0.86199999999999999</v>
      </c>
      <c r="AM1642">
        <f t="shared" ref="AM1642:AM1693" si="1171">SUM(AB1642:AI1642,T1642:Z1642,P1642:R1642,L1642:N1642,D1642:J1642)/100</f>
        <v>0.13800000000000001</v>
      </c>
      <c r="AN1642">
        <v>16786</v>
      </c>
      <c r="AO1642" t="s">
        <v>13</v>
      </c>
      <c r="AP1642" s="3">
        <f t="shared" si="1160"/>
        <v>19473.317865429235</v>
      </c>
      <c r="AQ1642" t="s">
        <v>13</v>
      </c>
      <c r="AR1642">
        <f t="shared" si="1167"/>
        <v>0.74637681159420288</v>
      </c>
      <c r="AS1642">
        <f t="shared" si="1168"/>
        <v>3.5000000000000003E-2</v>
      </c>
      <c r="AT1642">
        <f t="shared" si="1169"/>
        <v>682</v>
      </c>
      <c r="AU1642">
        <f t="shared" si="1170"/>
        <v>2006</v>
      </c>
      <c r="AV1642">
        <f t="shared" si="1150"/>
        <v>341</v>
      </c>
      <c r="AW1642">
        <f t="shared" si="1151"/>
        <v>2042</v>
      </c>
      <c r="AX1642" s="3">
        <f t="shared" si="1152"/>
        <v>17090.317865429235</v>
      </c>
      <c r="AY1642">
        <f t="shared" si="1153"/>
        <v>341</v>
      </c>
      <c r="AZ1642">
        <f t="shared" si="1154"/>
        <v>2042</v>
      </c>
      <c r="BA1642" s="3">
        <f t="shared" si="1155"/>
        <v>17090.317865429235</v>
      </c>
    </row>
    <row r="1643" spans="1:53" x14ac:dyDescent="0.2">
      <c r="A1643">
        <v>2000</v>
      </c>
      <c r="B1643" t="s">
        <v>104</v>
      </c>
      <c r="C1643" t="s">
        <v>1</v>
      </c>
      <c r="D1643">
        <v>1.8</v>
      </c>
      <c r="E1643">
        <v>0.5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f t="shared" si="1162"/>
        <v>2.2999999999999998</v>
      </c>
      <c r="L1643">
        <v>0</v>
      </c>
      <c r="M1643">
        <v>0</v>
      </c>
      <c r="N1643">
        <v>0</v>
      </c>
      <c r="O1643">
        <f t="shared" si="1163"/>
        <v>0</v>
      </c>
      <c r="P1643">
        <v>0</v>
      </c>
      <c r="Q1643">
        <v>0</v>
      </c>
      <c r="R1643">
        <v>0</v>
      </c>
      <c r="S1643">
        <f t="shared" si="1164"/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f t="shared" si="1165"/>
        <v>0</v>
      </c>
      <c r="AB1643">
        <v>0</v>
      </c>
      <c r="AC1643">
        <v>0.4</v>
      </c>
      <c r="AD1643">
        <v>2.2999999999999998</v>
      </c>
      <c r="AE1643">
        <v>5.5</v>
      </c>
      <c r="AF1643">
        <v>0</v>
      </c>
      <c r="AG1643">
        <v>0</v>
      </c>
      <c r="AH1643">
        <v>0</v>
      </c>
      <c r="AI1643">
        <v>0</v>
      </c>
      <c r="AJ1643" s="5">
        <f t="shared" si="1166"/>
        <v>8.1999999999999993</v>
      </c>
      <c r="AK1643">
        <v>0</v>
      </c>
      <c r="AL1643">
        <v>0.89599999999999991</v>
      </c>
      <c r="AM1643">
        <f t="shared" si="1171"/>
        <v>0.105</v>
      </c>
      <c r="AN1643">
        <v>34997</v>
      </c>
      <c r="AO1643" t="s">
        <v>13</v>
      </c>
      <c r="AP1643" s="3">
        <f t="shared" si="1160"/>
        <v>39102.793296089381</v>
      </c>
      <c r="AQ1643" t="s">
        <v>13</v>
      </c>
      <c r="AR1643">
        <f t="shared" si="1167"/>
        <v>0.78095238095238084</v>
      </c>
      <c r="AS1643">
        <f t="shared" si="1168"/>
        <v>2.3E-2</v>
      </c>
      <c r="AT1643">
        <f t="shared" si="1169"/>
        <v>899</v>
      </c>
      <c r="AU1643">
        <f t="shared" si="1170"/>
        <v>3206</v>
      </c>
      <c r="AV1643">
        <f t="shared" si="1150"/>
        <v>450</v>
      </c>
      <c r="AW1643">
        <f t="shared" si="1151"/>
        <v>3244</v>
      </c>
      <c r="AX1643" s="3">
        <f t="shared" si="1152"/>
        <v>35408.793296089381</v>
      </c>
      <c r="AY1643">
        <f t="shared" si="1153"/>
        <v>450</v>
      </c>
      <c r="AZ1643">
        <f t="shared" si="1154"/>
        <v>3244</v>
      </c>
      <c r="BA1643" s="3">
        <f t="shared" si="1155"/>
        <v>35408.793296089381</v>
      </c>
    </row>
    <row r="1644" spans="1:53" x14ac:dyDescent="0.2">
      <c r="A1644">
        <v>2001</v>
      </c>
      <c r="B1644" t="s">
        <v>104</v>
      </c>
      <c r="C1644" t="s">
        <v>1</v>
      </c>
      <c r="D1644">
        <v>3.3</v>
      </c>
      <c r="E1644">
        <v>0.1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f t="shared" si="1162"/>
        <v>3.4</v>
      </c>
      <c r="L1644">
        <v>0</v>
      </c>
      <c r="M1644">
        <v>0</v>
      </c>
      <c r="N1644">
        <v>0</v>
      </c>
      <c r="O1644">
        <f t="shared" si="1163"/>
        <v>0</v>
      </c>
      <c r="P1644">
        <v>0</v>
      </c>
      <c r="Q1644">
        <v>0</v>
      </c>
      <c r="R1644">
        <v>0</v>
      </c>
      <c r="S1644">
        <f t="shared" si="1164"/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f t="shared" si="1165"/>
        <v>0</v>
      </c>
      <c r="AB1644">
        <v>0</v>
      </c>
      <c r="AC1644">
        <v>2.4</v>
      </c>
      <c r="AD1644">
        <v>7.4</v>
      </c>
      <c r="AE1644">
        <v>5.0999999999999996</v>
      </c>
      <c r="AF1644">
        <v>0</v>
      </c>
      <c r="AG1644">
        <v>0</v>
      </c>
      <c r="AH1644">
        <v>0</v>
      </c>
      <c r="AI1644">
        <v>0</v>
      </c>
      <c r="AJ1644" s="5">
        <f t="shared" si="1166"/>
        <v>14.9</v>
      </c>
      <c r="AK1644">
        <v>0.1</v>
      </c>
      <c r="AL1644">
        <v>0.81599999999999995</v>
      </c>
      <c r="AM1644">
        <f t="shared" si="1171"/>
        <v>0.183</v>
      </c>
      <c r="AN1644">
        <v>46544</v>
      </c>
      <c r="AO1644" t="s">
        <v>13</v>
      </c>
      <c r="AP1644" s="3">
        <f t="shared" si="1160"/>
        <v>56969.400244798046</v>
      </c>
      <c r="AQ1644" t="s">
        <v>13</v>
      </c>
      <c r="AR1644">
        <f t="shared" si="1167"/>
        <v>0.81420765027322406</v>
      </c>
      <c r="AS1644">
        <f t="shared" si="1168"/>
        <v>3.4000000000000002E-2</v>
      </c>
      <c r="AT1644">
        <f t="shared" si="1169"/>
        <v>1937</v>
      </c>
      <c r="AU1644">
        <f t="shared" si="1170"/>
        <v>8488</v>
      </c>
      <c r="AV1644">
        <f t="shared" si="1150"/>
        <v>968</v>
      </c>
      <c r="AW1644">
        <f t="shared" si="1151"/>
        <v>8637</v>
      </c>
      <c r="AX1644" s="3">
        <f t="shared" si="1152"/>
        <v>47364.400244798046</v>
      </c>
      <c r="AY1644">
        <f t="shared" si="1153"/>
        <v>968</v>
      </c>
      <c r="AZ1644">
        <f t="shared" si="1154"/>
        <v>8637</v>
      </c>
      <c r="BA1644" s="3">
        <f t="shared" si="1155"/>
        <v>47364.400244798046</v>
      </c>
    </row>
    <row r="1645" spans="1:53" x14ac:dyDescent="0.2">
      <c r="A1645">
        <v>2002</v>
      </c>
      <c r="B1645" t="s">
        <v>104</v>
      </c>
      <c r="C1645" t="s">
        <v>1</v>
      </c>
      <c r="D1645">
        <v>3.3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f t="shared" si="1162"/>
        <v>3.3</v>
      </c>
      <c r="L1645">
        <v>0</v>
      </c>
      <c r="M1645">
        <v>0</v>
      </c>
      <c r="N1645">
        <v>0</v>
      </c>
      <c r="O1645">
        <f t="shared" si="1163"/>
        <v>0</v>
      </c>
      <c r="P1645">
        <v>0</v>
      </c>
      <c r="Q1645">
        <v>0</v>
      </c>
      <c r="R1645">
        <v>0</v>
      </c>
      <c r="S1645">
        <f t="shared" si="1164"/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f t="shared" si="1165"/>
        <v>0</v>
      </c>
      <c r="AB1645">
        <v>0</v>
      </c>
      <c r="AC1645">
        <v>2.2999999999999998</v>
      </c>
      <c r="AD1645">
        <v>6.9</v>
      </c>
      <c r="AE1645">
        <v>4.8</v>
      </c>
      <c r="AF1645">
        <v>0</v>
      </c>
      <c r="AG1645">
        <v>0</v>
      </c>
      <c r="AH1645">
        <v>0</v>
      </c>
      <c r="AI1645">
        <v>0</v>
      </c>
      <c r="AJ1645" s="5">
        <f t="shared" si="1166"/>
        <v>14</v>
      </c>
      <c r="AK1645">
        <v>0</v>
      </c>
      <c r="AL1645">
        <v>0.82799999999999996</v>
      </c>
      <c r="AM1645">
        <f t="shared" si="1171"/>
        <v>0.17300000000000001</v>
      </c>
      <c r="AN1645">
        <v>55044</v>
      </c>
      <c r="AO1645" t="s">
        <v>13</v>
      </c>
      <c r="AP1645" s="3">
        <f t="shared" si="1160"/>
        <v>66558.645707376068</v>
      </c>
      <c r="AQ1645" t="s">
        <v>13</v>
      </c>
      <c r="AR1645">
        <f t="shared" si="1167"/>
        <v>0.80924855491329484</v>
      </c>
      <c r="AS1645">
        <f t="shared" si="1168"/>
        <v>3.3000000000000002E-2</v>
      </c>
      <c r="AT1645">
        <f t="shared" si="1169"/>
        <v>2196</v>
      </c>
      <c r="AU1645">
        <f t="shared" si="1170"/>
        <v>9318</v>
      </c>
      <c r="AV1645">
        <f t="shared" si="1150"/>
        <v>1098</v>
      </c>
      <c r="AW1645">
        <f t="shared" si="1151"/>
        <v>9477</v>
      </c>
      <c r="AX1645" s="3">
        <f t="shared" si="1152"/>
        <v>55983.645707376068</v>
      </c>
      <c r="AY1645">
        <f t="shared" si="1153"/>
        <v>1098</v>
      </c>
      <c r="AZ1645">
        <f t="shared" si="1154"/>
        <v>9477</v>
      </c>
      <c r="BA1645" s="3">
        <f t="shared" si="1155"/>
        <v>55983.645707376068</v>
      </c>
    </row>
    <row r="1646" spans="1:53" x14ac:dyDescent="0.2">
      <c r="A1646">
        <v>2003</v>
      </c>
      <c r="B1646" t="s">
        <v>104</v>
      </c>
      <c r="C1646" t="s">
        <v>1</v>
      </c>
      <c r="D1646">
        <v>2.1</v>
      </c>
      <c r="E1646">
        <v>0.1</v>
      </c>
      <c r="F1646">
        <v>2.2999999999999998</v>
      </c>
      <c r="G1646">
        <v>0</v>
      </c>
      <c r="H1646">
        <v>0</v>
      </c>
      <c r="I1646">
        <v>0</v>
      </c>
      <c r="J1646">
        <v>0</v>
      </c>
      <c r="K1646">
        <f t="shared" si="1162"/>
        <v>4.5</v>
      </c>
      <c r="L1646">
        <v>0</v>
      </c>
      <c r="M1646">
        <v>0</v>
      </c>
      <c r="N1646">
        <v>0</v>
      </c>
      <c r="O1646">
        <f t="shared" si="1163"/>
        <v>0</v>
      </c>
      <c r="P1646">
        <v>0</v>
      </c>
      <c r="Q1646">
        <v>0</v>
      </c>
      <c r="R1646">
        <v>0</v>
      </c>
      <c r="S1646">
        <f t="shared" si="1164"/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f t="shared" si="1165"/>
        <v>0</v>
      </c>
      <c r="AB1646">
        <v>0</v>
      </c>
      <c r="AC1646">
        <v>1.8</v>
      </c>
      <c r="AD1646">
        <v>1.1000000000000001</v>
      </c>
      <c r="AE1646">
        <v>7</v>
      </c>
      <c r="AF1646">
        <v>0</v>
      </c>
      <c r="AG1646">
        <v>0</v>
      </c>
      <c r="AH1646">
        <v>0</v>
      </c>
      <c r="AI1646">
        <v>0</v>
      </c>
      <c r="AJ1646" s="5">
        <f t="shared" si="1166"/>
        <v>9.9</v>
      </c>
      <c r="AK1646">
        <v>0</v>
      </c>
      <c r="AL1646">
        <v>0.85599999999999998</v>
      </c>
      <c r="AM1646">
        <f t="shared" si="1171"/>
        <v>0.14399999999999999</v>
      </c>
      <c r="AN1646">
        <v>36435</v>
      </c>
      <c r="AO1646" t="s">
        <v>13</v>
      </c>
      <c r="AP1646" s="3">
        <f t="shared" si="1160"/>
        <v>42564.252336448597</v>
      </c>
      <c r="AQ1646" t="s">
        <v>13</v>
      </c>
      <c r="AR1646">
        <f t="shared" si="1167"/>
        <v>0.68750000000000011</v>
      </c>
      <c r="AS1646">
        <f t="shared" si="1168"/>
        <v>4.4999999999999998E-2</v>
      </c>
      <c r="AT1646">
        <f t="shared" si="1169"/>
        <v>1915</v>
      </c>
      <c r="AU1646">
        <f t="shared" si="1170"/>
        <v>4214</v>
      </c>
      <c r="AV1646">
        <f t="shared" si="1150"/>
        <v>958</v>
      </c>
      <c r="AW1646">
        <f t="shared" si="1151"/>
        <v>4313</v>
      </c>
      <c r="AX1646" s="3">
        <f t="shared" si="1152"/>
        <v>37293.252336448597</v>
      </c>
      <c r="AY1646">
        <f t="shared" si="1153"/>
        <v>958</v>
      </c>
      <c r="AZ1646">
        <f t="shared" si="1154"/>
        <v>4313</v>
      </c>
      <c r="BA1646" s="3">
        <f t="shared" si="1155"/>
        <v>37293.252336448597</v>
      </c>
    </row>
    <row r="1647" spans="1:53" x14ac:dyDescent="0.2">
      <c r="A1647">
        <v>2004</v>
      </c>
      <c r="B1647" t="s">
        <v>104</v>
      </c>
      <c r="C1647" t="s">
        <v>1</v>
      </c>
      <c r="D1647">
        <v>3</v>
      </c>
      <c r="E1647">
        <v>0.3</v>
      </c>
      <c r="F1647">
        <v>0.5</v>
      </c>
      <c r="G1647">
        <v>0</v>
      </c>
      <c r="H1647">
        <v>0</v>
      </c>
      <c r="I1647">
        <v>0</v>
      </c>
      <c r="J1647">
        <v>0</v>
      </c>
      <c r="K1647">
        <f t="shared" si="1162"/>
        <v>3.8</v>
      </c>
      <c r="L1647">
        <v>0</v>
      </c>
      <c r="M1647">
        <v>0</v>
      </c>
      <c r="N1647">
        <v>0</v>
      </c>
      <c r="O1647">
        <f t="shared" si="1163"/>
        <v>0</v>
      </c>
      <c r="P1647">
        <v>0</v>
      </c>
      <c r="Q1647">
        <v>0</v>
      </c>
      <c r="R1647">
        <v>0</v>
      </c>
      <c r="S1647">
        <f t="shared" si="1164"/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f t="shared" si="1165"/>
        <v>0</v>
      </c>
      <c r="AB1647">
        <v>0</v>
      </c>
      <c r="AC1647">
        <v>4.5999999999999996</v>
      </c>
      <c r="AD1647">
        <v>4</v>
      </c>
      <c r="AE1647">
        <v>3.7</v>
      </c>
      <c r="AF1647">
        <v>0</v>
      </c>
      <c r="AG1647">
        <v>0</v>
      </c>
      <c r="AH1647">
        <v>0</v>
      </c>
      <c r="AI1647">
        <v>0</v>
      </c>
      <c r="AJ1647" s="5">
        <f t="shared" si="1166"/>
        <v>12.3</v>
      </c>
      <c r="AK1647">
        <v>0</v>
      </c>
      <c r="AL1647">
        <v>0.83900000000000008</v>
      </c>
      <c r="AM1647">
        <f t="shared" si="1171"/>
        <v>0.161</v>
      </c>
      <c r="AN1647">
        <v>75032</v>
      </c>
      <c r="AO1647" t="s">
        <v>13</v>
      </c>
      <c r="AP1647" s="3">
        <f t="shared" si="1160"/>
        <v>89430.27413587604</v>
      </c>
      <c r="AQ1647" t="s">
        <v>13</v>
      </c>
      <c r="AR1647">
        <f t="shared" si="1167"/>
        <v>0.76397515527950322</v>
      </c>
      <c r="AS1647">
        <f t="shared" si="1168"/>
        <v>3.7999999999999999E-2</v>
      </c>
      <c r="AT1647">
        <f t="shared" si="1169"/>
        <v>3398</v>
      </c>
      <c r="AU1647">
        <f t="shared" si="1170"/>
        <v>11000</v>
      </c>
      <c r="AV1647">
        <f t="shared" si="1150"/>
        <v>1699</v>
      </c>
      <c r="AW1647">
        <f t="shared" si="1151"/>
        <v>11217</v>
      </c>
      <c r="AX1647" s="3">
        <f t="shared" si="1152"/>
        <v>76514.27413587604</v>
      </c>
      <c r="AY1647">
        <f t="shared" si="1153"/>
        <v>1699</v>
      </c>
      <c r="AZ1647">
        <f t="shared" si="1154"/>
        <v>11217</v>
      </c>
      <c r="BA1647" s="3">
        <f t="shared" si="1155"/>
        <v>76514.27413587604</v>
      </c>
    </row>
    <row r="1648" spans="1:53" x14ac:dyDescent="0.2">
      <c r="A1648">
        <v>2005</v>
      </c>
      <c r="B1648" t="s">
        <v>104</v>
      </c>
      <c r="C1648" t="s">
        <v>1</v>
      </c>
      <c r="D1648">
        <v>2.8</v>
      </c>
      <c r="E1648">
        <v>0.2</v>
      </c>
      <c r="F1648">
        <v>1.3</v>
      </c>
      <c r="G1648">
        <v>0</v>
      </c>
      <c r="H1648">
        <v>0</v>
      </c>
      <c r="I1648">
        <v>0</v>
      </c>
      <c r="J1648">
        <v>0</v>
      </c>
      <c r="K1648">
        <f t="shared" si="1162"/>
        <v>4.3</v>
      </c>
      <c r="L1648">
        <v>0</v>
      </c>
      <c r="M1648">
        <v>0</v>
      </c>
      <c r="N1648">
        <v>0</v>
      </c>
      <c r="O1648">
        <f t="shared" si="1163"/>
        <v>0</v>
      </c>
      <c r="P1648">
        <v>0</v>
      </c>
      <c r="Q1648">
        <v>0</v>
      </c>
      <c r="R1648">
        <v>0</v>
      </c>
      <c r="S1648">
        <f t="shared" si="1164"/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f t="shared" si="1165"/>
        <v>0</v>
      </c>
      <c r="AB1648">
        <v>0</v>
      </c>
      <c r="AC1648">
        <v>26.2</v>
      </c>
      <c r="AD1648">
        <v>5.9</v>
      </c>
      <c r="AE1648">
        <v>10.5</v>
      </c>
      <c r="AF1648">
        <v>0</v>
      </c>
      <c r="AG1648">
        <v>0</v>
      </c>
      <c r="AH1648">
        <v>0</v>
      </c>
      <c r="AI1648">
        <v>0</v>
      </c>
      <c r="AJ1648" s="5">
        <f t="shared" si="1166"/>
        <v>42.6</v>
      </c>
      <c r="AK1648">
        <v>0</v>
      </c>
      <c r="AL1648">
        <v>0.53100000000000003</v>
      </c>
      <c r="AM1648">
        <f t="shared" si="1171"/>
        <v>0.46899999999999997</v>
      </c>
      <c r="AN1648">
        <v>38725</v>
      </c>
      <c r="AO1648" t="s">
        <v>13</v>
      </c>
      <c r="AP1648" s="3">
        <f t="shared" si="1160"/>
        <v>72928.436911487748</v>
      </c>
      <c r="AQ1648" t="s">
        <v>13</v>
      </c>
      <c r="AR1648">
        <f t="shared" si="1167"/>
        <v>0.90831556503198296</v>
      </c>
      <c r="AS1648">
        <f t="shared" si="1168"/>
        <v>4.2999999999999997E-2</v>
      </c>
      <c r="AT1648">
        <f t="shared" si="1169"/>
        <v>3136</v>
      </c>
      <c r="AU1648">
        <f t="shared" si="1170"/>
        <v>31068</v>
      </c>
      <c r="AV1648">
        <f t="shared" si="1150"/>
        <v>1568</v>
      </c>
      <c r="AW1648">
        <f t="shared" si="1151"/>
        <v>31766</v>
      </c>
      <c r="AX1648" s="3">
        <f t="shared" si="1152"/>
        <v>39594.436911487748</v>
      </c>
      <c r="AY1648">
        <f t="shared" si="1153"/>
        <v>1568</v>
      </c>
      <c r="AZ1648">
        <f t="shared" si="1154"/>
        <v>31766</v>
      </c>
      <c r="BA1648" s="3">
        <f t="shared" si="1155"/>
        <v>39594.436911487748</v>
      </c>
    </row>
    <row r="1649" spans="1:53" x14ac:dyDescent="0.2">
      <c r="A1649">
        <v>2006</v>
      </c>
      <c r="B1649" t="s">
        <v>104</v>
      </c>
      <c r="C1649" t="s">
        <v>1</v>
      </c>
      <c r="D1649">
        <v>3</v>
      </c>
      <c r="E1649">
        <v>0</v>
      </c>
      <c r="F1649">
        <v>0.6</v>
      </c>
      <c r="G1649">
        <v>0</v>
      </c>
      <c r="H1649">
        <v>0</v>
      </c>
      <c r="I1649">
        <v>0</v>
      </c>
      <c r="J1649">
        <v>0</v>
      </c>
      <c r="K1649">
        <f t="shared" si="1162"/>
        <v>3.6</v>
      </c>
      <c r="L1649">
        <v>0</v>
      </c>
      <c r="M1649">
        <v>0</v>
      </c>
      <c r="N1649">
        <v>0</v>
      </c>
      <c r="O1649">
        <f t="shared" si="1163"/>
        <v>0</v>
      </c>
      <c r="P1649">
        <v>0</v>
      </c>
      <c r="Q1649">
        <v>0</v>
      </c>
      <c r="R1649">
        <v>0</v>
      </c>
      <c r="S1649">
        <f t="shared" si="1164"/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f t="shared" si="1165"/>
        <v>0</v>
      </c>
      <c r="AB1649">
        <v>0</v>
      </c>
      <c r="AC1649">
        <v>14.2</v>
      </c>
      <c r="AD1649">
        <v>7.7</v>
      </c>
      <c r="AE1649">
        <v>11.2</v>
      </c>
      <c r="AF1649">
        <v>0</v>
      </c>
      <c r="AG1649">
        <v>0</v>
      </c>
      <c r="AH1649">
        <v>0</v>
      </c>
      <c r="AI1649">
        <v>0</v>
      </c>
      <c r="AJ1649" s="5">
        <f t="shared" si="1166"/>
        <v>33.099999999999994</v>
      </c>
      <c r="AK1649">
        <v>0</v>
      </c>
      <c r="AL1649">
        <v>0.63300000000000001</v>
      </c>
      <c r="AM1649">
        <f t="shared" si="1171"/>
        <v>0.36699999999999994</v>
      </c>
      <c r="AN1649">
        <v>42191</v>
      </c>
      <c r="AO1649" t="s">
        <v>13</v>
      </c>
      <c r="AP1649" s="3">
        <f t="shared" si="1160"/>
        <v>66652.448657187997</v>
      </c>
      <c r="AQ1649" t="s">
        <v>13</v>
      </c>
      <c r="AR1649">
        <f t="shared" si="1167"/>
        <v>0.90190735694822888</v>
      </c>
      <c r="AS1649">
        <f t="shared" si="1168"/>
        <v>3.6000000000000004E-2</v>
      </c>
      <c r="AT1649">
        <f t="shared" si="1169"/>
        <v>2399</v>
      </c>
      <c r="AU1649">
        <f t="shared" si="1170"/>
        <v>22062</v>
      </c>
      <c r="AV1649">
        <f t="shared" si="1150"/>
        <v>1200</v>
      </c>
      <c r="AW1649">
        <f t="shared" si="1151"/>
        <v>22474</v>
      </c>
      <c r="AX1649" s="3">
        <f t="shared" si="1152"/>
        <v>42978.448657187997</v>
      </c>
      <c r="AY1649">
        <f t="shared" si="1153"/>
        <v>1200</v>
      </c>
      <c r="AZ1649">
        <f t="shared" si="1154"/>
        <v>22474</v>
      </c>
      <c r="BA1649" s="3">
        <f t="shared" si="1155"/>
        <v>42978.448657187997</v>
      </c>
    </row>
    <row r="1650" spans="1:53" x14ac:dyDescent="0.2">
      <c r="A1650">
        <v>2007</v>
      </c>
      <c r="B1650" t="s">
        <v>104</v>
      </c>
      <c r="C1650" t="s">
        <v>1</v>
      </c>
      <c r="D1650">
        <v>6.9</v>
      </c>
      <c r="E1650">
        <v>0</v>
      </c>
      <c r="F1650">
        <v>3.4</v>
      </c>
      <c r="G1650">
        <v>0</v>
      </c>
      <c r="H1650">
        <v>0</v>
      </c>
      <c r="I1650">
        <v>0</v>
      </c>
      <c r="J1650">
        <v>0</v>
      </c>
      <c r="K1650">
        <f t="shared" si="1162"/>
        <v>10.3</v>
      </c>
      <c r="L1650">
        <v>0</v>
      </c>
      <c r="M1650">
        <v>0</v>
      </c>
      <c r="N1650">
        <v>0</v>
      </c>
      <c r="O1650">
        <f t="shared" si="1163"/>
        <v>0</v>
      </c>
      <c r="P1650">
        <v>0</v>
      </c>
      <c r="Q1650">
        <v>0</v>
      </c>
      <c r="R1650">
        <v>0</v>
      </c>
      <c r="S1650">
        <f t="shared" si="1164"/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f t="shared" si="1165"/>
        <v>0</v>
      </c>
      <c r="AB1650">
        <v>0</v>
      </c>
      <c r="AC1650">
        <v>6.8</v>
      </c>
      <c r="AD1650">
        <v>3.4</v>
      </c>
      <c r="AE1650">
        <v>9.1999999999999993</v>
      </c>
      <c r="AF1650">
        <v>0</v>
      </c>
      <c r="AG1650">
        <v>0</v>
      </c>
      <c r="AH1650">
        <v>0</v>
      </c>
      <c r="AI1650">
        <v>0</v>
      </c>
      <c r="AJ1650" s="5">
        <f t="shared" si="1166"/>
        <v>19.399999999999999</v>
      </c>
      <c r="AK1650">
        <v>0</v>
      </c>
      <c r="AL1650">
        <v>0.70299999999999996</v>
      </c>
      <c r="AM1650">
        <f t="shared" si="1171"/>
        <v>0.29699999999999993</v>
      </c>
      <c r="AN1650">
        <v>14749</v>
      </c>
      <c r="AO1650" t="s">
        <v>13</v>
      </c>
      <c r="AP1650" s="3">
        <f t="shared" si="1160"/>
        <v>20980.0853485064</v>
      </c>
      <c r="AQ1650" t="s">
        <v>13</v>
      </c>
      <c r="AR1650">
        <f t="shared" si="1167"/>
        <v>0.65319865319865322</v>
      </c>
      <c r="AS1650">
        <f t="shared" si="1168"/>
        <v>0.10300000000000001</v>
      </c>
      <c r="AT1650">
        <f t="shared" si="1169"/>
        <v>2161</v>
      </c>
      <c r="AU1650">
        <f t="shared" si="1170"/>
        <v>4070</v>
      </c>
      <c r="AV1650">
        <f t="shared" si="1150"/>
        <v>1080</v>
      </c>
      <c r="AW1650">
        <f t="shared" si="1151"/>
        <v>4304</v>
      </c>
      <c r="AX1650" s="3">
        <f t="shared" si="1152"/>
        <v>15596.0853485064</v>
      </c>
      <c r="AY1650">
        <f t="shared" si="1153"/>
        <v>1080</v>
      </c>
      <c r="AZ1650">
        <f t="shared" si="1154"/>
        <v>4304</v>
      </c>
      <c r="BA1650" s="3">
        <f t="shared" si="1155"/>
        <v>15596.0853485064</v>
      </c>
    </row>
    <row r="1651" spans="1:53" x14ac:dyDescent="0.2">
      <c r="A1651">
        <v>2008</v>
      </c>
      <c r="B1651" t="s">
        <v>104</v>
      </c>
      <c r="C1651" t="s">
        <v>1</v>
      </c>
      <c r="D1651">
        <v>5.9</v>
      </c>
      <c r="E1651">
        <v>0</v>
      </c>
      <c r="F1651">
        <v>0.2</v>
      </c>
      <c r="G1651">
        <v>0</v>
      </c>
      <c r="H1651">
        <v>0</v>
      </c>
      <c r="I1651">
        <v>0</v>
      </c>
      <c r="J1651">
        <v>0</v>
      </c>
      <c r="K1651">
        <f t="shared" si="1162"/>
        <v>6.1000000000000005</v>
      </c>
      <c r="L1651">
        <v>0</v>
      </c>
      <c r="M1651">
        <v>0</v>
      </c>
      <c r="N1651">
        <v>0</v>
      </c>
      <c r="O1651">
        <f t="shared" si="1163"/>
        <v>0</v>
      </c>
      <c r="P1651">
        <v>0</v>
      </c>
      <c r="Q1651">
        <v>0</v>
      </c>
      <c r="R1651">
        <v>0</v>
      </c>
      <c r="S1651">
        <f t="shared" si="1164"/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f t="shared" si="1165"/>
        <v>0</v>
      </c>
      <c r="AB1651">
        <v>0</v>
      </c>
      <c r="AC1651">
        <v>4.5999999999999996</v>
      </c>
      <c r="AD1651">
        <v>1.9</v>
      </c>
      <c r="AE1651">
        <v>6.3</v>
      </c>
      <c r="AF1651">
        <v>0</v>
      </c>
      <c r="AG1651">
        <v>0</v>
      </c>
      <c r="AH1651">
        <v>0</v>
      </c>
      <c r="AI1651">
        <v>0</v>
      </c>
      <c r="AJ1651" s="5">
        <f t="shared" si="1166"/>
        <v>12.8</v>
      </c>
      <c r="AK1651">
        <v>0.4</v>
      </c>
      <c r="AL1651">
        <v>0.80799999999999994</v>
      </c>
      <c r="AM1651">
        <f t="shared" si="1171"/>
        <v>0.18900000000000003</v>
      </c>
      <c r="AN1651">
        <v>26645</v>
      </c>
      <c r="AO1651" t="s">
        <v>13</v>
      </c>
      <c r="AP1651" s="3">
        <f t="shared" si="1160"/>
        <v>32854.500616522811</v>
      </c>
      <c r="AQ1651" t="s">
        <v>13</v>
      </c>
      <c r="AR1651">
        <f t="shared" si="1167"/>
        <v>0.67724867724867721</v>
      </c>
      <c r="AS1651">
        <f t="shared" si="1168"/>
        <v>6.1000000000000006E-2</v>
      </c>
      <c r="AT1651">
        <f t="shared" si="1169"/>
        <v>2004</v>
      </c>
      <c r="AU1651">
        <f t="shared" si="1170"/>
        <v>4205</v>
      </c>
      <c r="AV1651">
        <f t="shared" si="1150"/>
        <v>1002</v>
      </c>
      <c r="AW1651">
        <f t="shared" si="1151"/>
        <v>4342</v>
      </c>
      <c r="AX1651" s="3">
        <f t="shared" si="1152"/>
        <v>27510.500616522811</v>
      </c>
      <c r="AY1651">
        <f t="shared" si="1153"/>
        <v>1002</v>
      </c>
      <c r="AZ1651">
        <f t="shared" si="1154"/>
        <v>4342</v>
      </c>
      <c r="BA1651" s="3">
        <f t="shared" si="1155"/>
        <v>27510.500616522811</v>
      </c>
    </row>
    <row r="1652" spans="1:53" x14ac:dyDescent="0.2">
      <c r="A1652">
        <v>2009</v>
      </c>
      <c r="B1652" t="s">
        <v>104</v>
      </c>
      <c r="C1652" t="s">
        <v>1</v>
      </c>
      <c r="D1652">
        <v>8.4</v>
      </c>
      <c r="E1652">
        <v>0</v>
      </c>
      <c r="F1652">
        <v>1.3</v>
      </c>
      <c r="G1652">
        <v>0</v>
      </c>
      <c r="H1652">
        <v>0</v>
      </c>
      <c r="I1652">
        <v>0</v>
      </c>
      <c r="J1652">
        <v>0</v>
      </c>
      <c r="K1652">
        <f t="shared" si="1162"/>
        <v>9.7000000000000011</v>
      </c>
      <c r="L1652">
        <v>0</v>
      </c>
      <c r="M1652">
        <v>0</v>
      </c>
      <c r="N1652">
        <v>0</v>
      </c>
      <c r="O1652">
        <f t="shared" si="1163"/>
        <v>0</v>
      </c>
      <c r="P1652">
        <v>0</v>
      </c>
      <c r="Q1652">
        <v>0</v>
      </c>
      <c r="R1652">
        <v>0</v>
      </c>
      <c r="S1652">
        <f t="shared" si="1164"/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f t="shared" si="1165"/>
        <v>0</v>
      </c>
      <c r="AB1652">
        <v>0</v>
      </c>
      <c r="AC1652">
        <v>11.7</v>
      </c>
      <c r="AD1652">
        <v>9.9</v>
      </c>
      <c r="AE1652">
        <v>14.4</v>
      </c>
      <c r="AF1652">
        <v>0</v>
      </c>
      <c r="AG1652">
        <v>0</v>
      </c>
      <c r="AH1652">
        <v>0</v>
      </c>
      <c r="AI1652">
        <v>0</v>
      </c>
      <c r="AJ1652" s="5">
        <f t="shared" si="1166"/>
        <v>36</v>
      </c>
      <c r="AK1652">
        <v>0</v>
      </c>
      <c r="AL1652">
        <v>0.54400000000000004</v>
      </c>
      <c r="AM1652">
        <f t="shared" si="1171"/>
        <v>0.45699999999999996</v>
      </c>
      <c r="AN1652">
        <v>22761</v>
      </c>
      <c r="AO1652" t="s">
        <v>13</v>
      </c>
      <c r="AP1652" s="3">
        <f t="shared" si="1160"/>
        <v>41917.127071823204</v>
      </c>
      <c r="AQ1652" t="s">
        <v>13</v>
      </c>
      <c r="AR1652">
        <f t="shared" si="1167"/>
        <v>0.78774617067833697</v>
      </c>
      <c r="AS1652">
        <f t="shared" si="1168"/>
        <v>9.7000000000000017E-2</v>
      </c>
      <c r="AT1652">
        <f t="shared" si="1169"/>
        <v>4066</v>
      </c>
      <c r="AU1652">
        <f t="shared" si="1170"/>
        <v>15090</v>
      </c>
      <c r="AV1652">
        <f t="shared" si="1150"/>
        <v>2033</v>
      </c>
      <c r="AW1652">
        <f t="shared" si="1151"/>
        <v>15900</v>
      </c>
      <c r="AX1652" s="3">
        <f t="shared" si="1152"/>
        <v>23984.127071823204</v>
      </c>
      <c r="AY1652">
        <f t="shared" si="1153"/>
        <v>2033</v>
      </c>
      <c r="AZ1652">
        <f t="shared" si="1154"/>
        <v>15900</v>
      </c>
      <c r="BA1652" s="3">
        <f t="shared" si="1155"/>
        <v>23984.127071823204</v>
      </c>
    </row>
    <row r="1653" spans="1:53" x14ac:dyDescent="0.2">
      <c r="A1653">
        <v>2010</v>
      </c>
      <c r="B1653" t="s">
        <v>104</v>
      </c>
      <c r="C1653" t="s">
        <v>1</v>
      </c>
      <c r="D1653">
        <v>4.2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f t="shared" si="1162"/>
        <v>4.2</v>
      </c>
      <c r="L1653">
        <v>0</v>
      </c>
      <c r="M1653">
        <v>0</v>
      </c>
      <c r="N1653">
        <v>0</v>
      </c>
      <c r="O1653">
        <f t="shared" si="1163"/>
        <v>0</v>
      </c>
      <c r="P1653">
        <v>0</v>
      </c>
      <c r="Q1653">
        <v>0</v>
      </c>
      <c r="R1653">
        <v>0</v>
      </c>
      <c r="S1653">
        <f t="shared" si="1164"/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f t="shared" si="1165"/>
        <v>0</v>
      </c>
      <c r="AB1653">
        <v>0</v>
      </c>
      <c r="AC1653">
        <v>1.7</v>
      </c>
      <c r="AD1653">
        <v>9.4</v>
      </c>
      <c r="AE1653">
        <v>12.4</v>
      </c>
      <c r="AF1653">
        <v>0</v>
      </c>
      <c r="AG1653">
        <v>0</v>
      </c>
      <c r="AH1653">
        <v>0</v>
      </c>
      <c r="AI1653">
        <v>0</v>
      </c>
      <c r="AJ1653" s="5">
        <f t="shared" si="1166"/>
        <v>23.5</v>
      </c>
      <c r="AK1653">
        <v>0</v>
      </c>
      <c r="AL1653">
        <v>0.72299999999999998</v>
      </c>
      <c r="AM1653">
        <f t="shared" si="1171"/>
        <v>0.27699999999999997</v>
      </c>
      <c r="AN1653">
        <v>28769</v>
      </c>
      <c r="AO1653" t="s">
        <v>13</v>
      </c>
      <c r="AP1653" s="3">
        <f t="shared" si="1160"/>
        <v>39791.147994467494</v>
      </c>
      <c r="AQ1653" t="s">
        <v>13</v>
      </c>
      <c r="AR1653">
        <f t="shared" si="1167"/>
        <v>0.84837545126353797</v>
      </c>
      <c r="AS1653">
        <f t="shared" si="1168"/>
        <v>4.2000000000000003E-2</v>
      </c>
      <c r="AT1653">
        <f t="shared" si="1169"/>
        <v>1671</v>
      </c>
      <c r="AU1653">
        <f t="shared" si="1170"/>
        <v>9351</v>
      </c>
      <c r="AV1653">
        <f t="shared" si="1150"/>
        <v>836</v>
      </c>
      <c r="AW1653">
        <f t="shared" si="1151"/>
        <v>9556</v>
      </c>
      <c r="AX1653" s="3">
        <f t="shared" si="1152"/>
        <v>29399.147994467494</v>
      </c>
      <c r="AY1653">
        <f t="shared" si="1153"/>
        <v>836</v>
      </c>
      <c r="AZ1653">
        <f t="shared" si="1154"/>
        <v>9556</v>
      </c>
      <c r="BA1653" s="3">
        <f t="shared" si="1155"/>
        <v>29399.147994467494</v>
      </c>
    </row>
    <row r="1654" spans="1:53" x14ac:dyDescent="0.2">
      <c r="A1654">
        <v>2011</v>
      </c>
      <c r="B1654" t="s">
        <v>104</v>
      </c>
      <c r="C1654" t="s">
        <v>1</v>
      </c>
      <c r="D1654">
        <v>6.8</v>
      </c>
      <c r="E1654">
        <v>0.7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f t="shared" si="1162"/>
        <v>7.5</v>
      </c>
      <c r="L1654">
        <v>0</v>
      </c>
      <c r="M1654">
        <v>0</v>
      </c>
      <c r="N1654">
        <v>0</v>
      </c>
      <c r="O1654">
        <f t="shared" si="1163"/>
        <v>0</v>
      </c>
      <c r="P1654">
        <v>0</v>
      </c>
      <c r="Q1654">
        <v>0</v>
      </c>
      <c r="R1654">
        <v>0</v>
      </c>
      <c r="S1654">
        <f t="shared" si="1164"/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f t="shared" si="1165"/>
        <v>0</v>
      </c>
      <c r="AB1654">
        <v>0</v>
      </c>
      <c r="AC1654">
        <v>3.7</v>
      </c>
      <c r="AD1654">
        <v>7.3</v>
      </c>
      <c r="AE1654">
        <v>7.4</v>
      </c>
      <c r="AF1654">
        <v>0</v>
      </c>
      <c r="AG1654">
        <v>0</v>
      </c>
      <c r="AH1654">
        <v>0</v>
      </c>
      <c r="AI1654">
        <v>0</v>
      </c>
      <c r="AJ1654" s="5">
        <f t="shared" si="1166"/>
        <v>18.399999999999999</v>
      </c>
      <c r="AK1654">
        <v>0</v>
      </c>
      <c r="AL1654">
        <v>0.7390000000000001</v>
      </c>
      <c r="AM1654">
        <f t="shared" si="1171"/>
        <v>0.25900000000000001</v>
      </c>
      <c r="AN1654">
        <v>19672</v>
      </c>
      <c r="AO1654" t="s">
        <v>13</v>
      </c>
      <c r="AP1654" s="3">
        <f t="shared" si="1160"/>
        <v>26547.90823211876</v>
      </c>
      <c r="AQ1654" t="s">
        <v>13</v>
      </c>
      <c r="AR1654">
        <f t="shared" si="1167"/>
        <v>0.71042471042471034</v>
      </c>
      <c r="AS1654">
        <f t="shared" si="1168"/>
        <v>7.4999999999999997E-2</v>
      </c>
      <c r="AT1654">
        <f t="shared" si="1169"/>
        <v>1991</v>
      </c>
      <c r="AU1654">
        <f t="shared" si="1170"/>
        <v>4885</v>
      </c>
      <c r="AV1654">
        <f t="shared" si="1150"/>
        <v>996</v>
      </c>
      <c r="AW1654">
        <f t="shared" si="1151"/>
        <v>5083</v>
      </c>
      <c r="AX1654" s="3">
        <f t="shared" si="1152"/>
        <v>20468.90823211876</v>
      </c>
      <c r="AY1654">
        <f t="shared" si="1153"/>
        <v>996</v>
      </c>
      <c r="AZ1654">
        <f t="shared" si="1154"/>
        <v>5083</v>
      </c>
      <c r="BA1654" s="3">
        <f t="shared" si="1155"/>
        <v>20468.90823211876</v>
      </c>
    </row>
    <row r="1655" spans="1:53" x14ac:dyDescent="0.2">
      <c r="A1655">
        <v>2012</v>
      </c>
      <c r="B1655" t="s">
        <v>104</v>
      </c>
      <c r="C1655" t="s">
        <v>1</v>
      </c>
      <c r="D1655">
        <v>9.6999999999999993</v>
      </c>
      <c r="E1655">
        <v>0.5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f t="shared" si="1162"/>
        <v>10.199999999999999</v>
      </c>
      <c r="L1655">
        <v>0</v>
      </c>
      <c r="M1655">
        <v>0</v>
      </c>
      <c r="N1655">
        <v>0</v>
      </c>
      <c r="O1655">
        <f t="shared" si="1163"/>
        <v>0</v>
      </c>
      <c r="P1655">
        <v>0</v>
      </c>
      <c r="Q1655">
        <v>0</v>
      </c>
      <c r="R1655">
        <v>0</v>
      </c>
      <c r="S1655">
        <f t="shared" si="1164"/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f t="shared" si="1165"/>
        <v>0</v>
      </c>
      <c r="AB1655">
        <v>0</v>
      </c>
      <c r="AC1655">
        <v>0.9</v>
      </c>
      <c r="AD1655">
        <v>3.9</v>
      </c>
      <c r="AE1655">
        <v>10.3</v>
      </c>
      <c r="AF1655">
        <v>0</v>
      </c>
      <c r="AG1655">
        <v>0</v>
      </c>
      <c r="AH1655">
        <v>0</v>
      </c>
      <c r="AI1655">
        <v>0</v>
      </c>
      <c r="AJ1655" s="5">
        <f t="shared" si="1166"/>
        <v>15.100000000000001</v>
      </c>
      <c r="AK1655">
        <v>0</v>
      </c>
      <c r="AL1655">
        <v>0.747</v>
      </c>
      <c r="AM1655">
        <f t="shared" si="1171"/>
        <v>0.253</v>
      </c>
      <c r="AN1655">
        <v>16713</v>
      </c>
      <c r="AO1655" t="s">
        <v>13</v>
      </c>
      <c r="AP1655" s="3">
        <f t="shared" si="1160"/>
        <v>22373.493975903613</v>
      </c>
      <c r="AQ1655" t="s">
        <v>13</v>
      </c>
      <c r="AR1655">
        <f t="shared" si="1167"/>
        <v>0.59683794466403173</v>
      </c>
      <c r="AS1655">
        <f t="shared" si="1168"/>
        <v>0.10199999999999999</v>
      </c>
      <c r="AT1655">
        <f t="shared" si="1169"/>
        <v>2282</v>
      </c>
      <c r="AU1655">
        <f t="shared" si="1170"/>
        <v>3378</v>
      </c>
      <c r="AV1655">
        <f t="shared" si="1150"/>
        <v>1141</v>
      </c>
      <c r="AW1655">
        <f t="shared" si="1151"/>
        <v>3570</v>
      </c>
      <c r="AX1655" s="3">
        <f t="shared" si="1152"/>
        <v>17662.493975903613</v>
      </c>
      <c r="AY1655">
        <f t="shared" si="1153"/>
        <v>1141</v>
      </c>
      <c r="AZ1655">
        <f t="shared" si="1154"/>
        <v>3570</v>
      </c>
      <c r="BA1655" s="3">
        <f t="shared" si="1155"/>
        <v>17662.493975903613</v>
      </c>
    </row>
    <row r="1656" spans="1:53" x14ac:dyDescent="0.2">
      <c r="A1656">
        <v>2013</v>
      </c>
      <c r="B1656" t="s">
        <v>104</v>
      </c>
      <c r="C1656" t="s">
        <v>1</v>
      </c>
      <c r="D1656">
        <v>3.4</v>
      </c>
      <c r="E1656">
        <v>1.2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f t="shared" si="1162"/>
        <v>4.5999999999999996</v>
      </c>
      <c r="L1656">
        <v>0</v>
      </c>
      <c r="M1656">
        <v>0</v>
      </c>
      <c r="N1656">
        <v>0</v>
      </c>
      <c r="O1656">
        <f t="shared" si="1163"/>
        <v>0</v>
      </c>
      <c r="P1656">
        <v>0</v>
      </c>
      <c r="Q1656">
        <v>0</v>
      </c>
      <c r="R1656">
        <v>0</v>
      </c>
      <c r="S1656">
        <f t="shared" si="1164"/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f t="shared" si="1165"/>
        <v>0</v>
      </c>
      <c r="AB1656">
        <v>0.3</v>
      </c>
      <c r="AC1656">
        <v>1.2</v>
      </c>
      <c r="AD1656">
        <v>2.7</v>
      </c>
      <c r="AE1656">
        <v>3.7</v>
      </c>
      <c r="AF1656">
        <v>0</v>
      </c>
      <c r="AG1656">
        <v>0</v>
      </c>
      <c r="AH1656">
        <v>0</v>
      </c>
      <c r="AI1656">
        <v>0</v>
      </c>
      <c r="AJ1656" s="5">
        <f t="shared" si="1166"/>
        <v>7.9</v>
      </c>
      <c r="AK1656">
        <v>0</v>
      </c>
      <c r="AL1656">
        <v>0.875</v>
      </c>
      <c r="AM1656">
        <f t="shared" si="1171"/>
        <v>0.125</v>
      </c>
      <c r="AN1656">
        <v>18002</v>
      </c>
      <c r="AO1656" t="s">
        <v>13</v>
      </c>
      <c r="AP1656" s="3">
        <f t="shared" si="1160"/>
        <v>20573.714285714286</v>
      </c>
      <c r="AQ1656" t="s">
        <v>13</v>
      </c>
      <c r="AR1656">
        <f t="shared" si="1167"/>
        <v>0.63200000000000001</v>
      </c>
      <c r="AS1656">
        <f t="shared" si="1168"/>
        <v>4.5999999999999999E-2</v>
      </c>
      <c r="AT1656">
        <f t="shared" si="1169"/>
        <v>946</v>
      </c>
      <c r="AU1656">
        <f t="shared" si="1170"/>
        <v>1625</v>
      </c>
      <c r="AV1656">
        <f t="shared" si="1150"/>
        <v>473</v>
      </c>
      <c r="AW1656">
        <f t="shared" si="1151"/>
        <v>1664</v>
      </c>
      <c r="AX1656" s="3">
        <f t="shared" si="1152"/>
        <v>18436.714285714286</v>
      </c>
      <c r="AY1656">
        <f t="shared" si="1153"/>
        <v>473</v>
      </c>
      <c r="AZ1656">
        <f t="shared" si="1154"/>
        <v>1664</v>
      </c>
      <c r="BA1656" s="3">
        <f t="shared" si="1155"/>
        <v>18436.714285714286</v>
      </c>
    </row>
    <row r="1657" spans="1:53" x14ac:dyDescent="0.2">
      <c r="A1657">
        <v>2014</v>
      </c>
      <c r="B1657" t="s">
        <v>104</v>
      </c>
      <c r="C1657" t="s">
        <v>1</v>
      </c>
      <c r="D1657">
        <v>3.3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f t="shared" si="1162"/>
        <v>3.3</v>
      </c>
      <c r="L1657">
        <v>0</v>
      </c>
      <c r="M1657">
        <v>0</v>
      </c>
      <c r="N1657">
        <v>0</v>
      </c>
      <c r="O1657">
        <f t="shared" si="1163"/>
        <v>0</v>
      </c>
      <c r="P1657">
        <v>0</v>
      </c>
      <c r="Q1657">
        <v>0</v>
      </c>
      <c r="R1657">
        <v>0</v>
      </c>
      <c r="S1657">
        <f t="shared" si="1164"/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f t="shared" si="1165"/>
        <v>0</v>
      </c>
      <c r="AB1657">
        <v>0</v>
      </c>
      <c r="AC1657">
        <v>0.6</v>
      </c>
      <c r="AD1657">
        <v>0</v>
      </c>
      <c r="AE1657">
        <v>9.6</v>
      </c>
      <c r="AF1657">
        <v>0</v>
      </c>
      <c r="AG1657">
        <v>0</v>
      </c>
      <c r="AH1657">
        <v>0</v>
      </c>
      <c r="AI1657">
        <v>0</v>
      </c>
      <c r="AJ1657" s="5">
        <f t="shared" si="1166"/>
        <v>10.199999999999999</v>
      </c>
      <c r="AK1657">
        <v>0</v>
      </c>
      <c r="AL1657">
        <v>0.86499999999999999</v>
      </c>
      <c r="AM1657">
        <f t="shared" si="1171"/>
        <v>0.13500000000000001</v>
      </c>
      <c r="AN1657">
        <v>23532</v>
      </c>
      <c r="AO1657" t="s">
        <v>13</v>
      </c>
      <c r="AP1657" s="3">
        <f t="shared" si="1160"/>
        <v>27204.624277456649</v>
      </c>
      <c r="AQ1657" t="s">
        <v>13</v>
      </c>
      <c r="AR1657">
        <f t="shared" si="1167"/>
        <v>0.75555555555555542</v>
      </c>
      <c r="AS1657">
        <f t="shared" si="1168"/>
        <v>3.3000000000000002E-2</v>
      </c>
      <c r="AT1657">
        <f t="shared" si="1169"/>
        <v>898</v>
      </c>
      <c r="AU1657">
        <f t="shared" si="1170"/>
        <v>2775</v>
      </c>
      <c r="AV1657">
        <f t="shared" si="1150"/>
        <v>449</v>
      </c>
      <c r="AW1657">
        <f t="shared" si="1151"/>
        <v>2822</v>
      </c>
      <c r="AX1657" s="3">
        <f t="shared" si="1152"/>
        <v>23933.624277456649</v>
      </c>
      <c r="AY1657">
        <f t="shared" si="1153"/>
        <v>449</v>
      </c>
      <c r="AZ1657">
        <f t="shared" si="1154"/>
        <v>2822</v>
      </c>
      <c r="BA1657" s="3">
        <f t="shared" si="1155"/>
        <v>23933.624277456649</v>
      </c>
    </row>
    <row r="1658" spans="1:53" x14ac:dyDescent="0.2">
      <c r="A1658">
        <v>2015</v>
      </c>
      <c r="B1658" t="s">
        <v>104</v>
      </c>
      <c r="C1658" t="s">
        <v>1</v>
      </c>
      <c r="D1658">
        <v>7</v>
      </c>
      <c r="E1658">
        <v>1.7</v>
      </c>
      <c r="F1658">
        <v>1.2</v>
      </c>
      <c r="G1658">
        <v>0</v>
      </c>
      <c r="H1658">
        <v>0</v>
      </c>
      <c r="I1658">
        <v>0</v>
      </c>
      <c r="J1658">
        <v>0</v>
      </c>
      <c r="K1658">
        <f t="shared" si="1162"/>
        <v>9.8999999999999986</v>
      </c>
      <c r="L1658">
        <v>0</v>
      </c>
      <c r="M1658">
        <v>0</v>
      </c>
      <c r="N1658">
        <v>0</v>
      </c>
      <c r="O1658">
        <f t="shared" si="1163"/>
        <v>0</v>
      </c>
      <c r="P1658">
        <v>0</v>
      </c>
      <c r="Q1658">
        <v>0</v>
      </c>
      <c r="R1658">
        <v>0</v>
      </c>
      <c r="S1658">
        <f t="shared" si="1164"/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f t="shared" si="1165"/>
        <v>0</v>
      </c>
      <c r="AB1658">
        <v>0</v>
      </c>
      <c r="AC1658">
        <v>1.4</v>
      </c>
      <c r="AD1658">
        <v>4.3</v>
      </c>
      <c r="AE1658">
        <v>6.5</v>
      </c>
      <c r="AF1658">
        <v>0</v>
      </c>
      <c r="AG1658">
        <v>0</v>
      </c>
      <c r="AH1658">
        <v>0</v>
      </c>
      <c r="AI1658">
        <v>0</v>
      </c>
      <c r="AJ1658" s="5">
        <f t="shared" si="1166"/>
        <v>12.2</v>
      </c>
      <c r="AK1658">
        <v>0</v>
      </c>
      <c r="AL1658">
        <v>0.77900000000000003</v>
      </c>
      <c r="AM1658">
        <f t="shared" si="1171"/>
        <v>0.22099999999999997</v>
      </c>
      <c r="AN1658">
        <v>23567</v>
      </c>
      <c r="AO1658" t="s">
        <v>13</v>
      </c>
      <c r="AP1658" s="3">
        <f t="shared" si="1160"/>
        <v>30252.888318356865</v>
      </c>
      <c r="AQ1658" t="s">
        <v>13</v>
      </c>
      <c r="AR1658">
        <f t="shared" si="1167"/>
        <v>0.55203619909502266</v>
      </c>
      <c r="AS1658">
        <f t="shared" si="1168"/>
        <v>9.8999999999999991E-2</v>
      </c>
      <c r="AT1658">
        <f t="shared" si="1169"/>
        <v>2995</v>
      </c>
      <c r="AU1658">
        <f t="shared" si="1170"/>
        <v>3691</v>
      </c>
      <c r="AV1658">
        <f t="shared" si="1150"/>
        <v>1498</v>
      </c>
      <c r="AW1658">
        <f t="shared" si="1151"/>
        <v>3894</v>
      </c>
      <c r="AX1658" s="3">
        <f t="shared" si="1152"/>
        <v>24860.888318356865</v>
      </c>
      <c r="AY1658">
        <f t="shared" si="1153"/>
        <v>1498</v>
      </c>
      <c r="AZ1658">
        <f t="shared" si="1154"/>
        <v>3894</v>
      </c>
      <c r="BA1658" s="3">
        <f t="shared" si="1155"/>
        <v>24860.888318356865</v>
      </c>
    </row>
    <row r="1659" spans="1:53" x14ac:dyDescent="0.2">
      <c r="A1659">
        <v>2016</v>
      </c>
      <c r="B1659" t="s">
        <v>104</v>
      </c>
      <c r="C1659" t="s">
        <v>1</v>
      </c>
      <c r="D1659">
        <v>2.9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f t="shared" si="1162"/>
        <v>2.9</v>
      </c>
      <c r="L1659">
        <v>0</v>
      </c>
      <c r="M1659">
        <v>0</v>
      </c>
      <c r="N1659">
        <v>0</v>
      </c>
      <c r="O1659">
        <f t="shared" si="1163"/>
        <v>0</v>
      </c>
      <c r="P1659">
        <v>0</v>
      </c>
      <c r="Q1659">
        <v>0</v>
      </c>
      <c r="R1659">
        <v>0</v>
      </c>
      <c r="S1659">
        <f t="shared" si="1164"/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f t="shared" si="1165"/>
        <v>0</v>
      </c>
      <c r="AB1659">
        <v>0</v>
      </c>
      <c r="AC1659">
        <v>0</v>
      </c>
      <c r="AD1659">
        <v>8.6</v>
      </c>
      <c r="AE1659">
        <v>9</v>
      </c>
      <c r="AF1659">
        <v>0</v>
      </c>
      <c r="AG1659">
        <v>0</v>
      </c>
      <c r="AH1659">
        <v>0</v>
      </c>
      <c r="AI1659">
        <v>0</v>
      </c>
      <c r="AJ1659" s="5">
        <f t="shared" si="1166"/>
        <v>17.600000000000001</v>
      </c>
      <c r="AK1659">
        <v>0</v>
      </c>
      <c r="AL1659">
        <v>0.79500000000000004</v>
      </c>
      <c r="AM1659">
        <f t="shared" si="1171"/>
        <v>0.20499999999999999</v>
      </c>
      <c r="AN1659">
        <v>9177</v>
      </c>
      <c r="AO1659" t="s">
        <v>13</v>
      </c>
      <c r="AP1659" s="3">
        <f t="shared" si="1160"/>
        <v>11543.396226415094</v>
      </c>
      <c r="AQ1659" t="s">
        <v>13</v>
      </c>
      <c r="AR1659">
        <f t="shared" si="1167"/>
        <v>0.85853658536585375</v>
      </c>
      <c r="AS1659">
        <f t="shared" si="1168"/>
        <v>2.8999999999999998E-2</v>
      </c>
      <c r="AT1659">
        <f t="shared" si="1169"/>
        <v>335</v>
      </c>
      <c r="AU1659">
        <f t="shared" si="1170"/>
        <v>2032</v>
      </c>
      <c r="AV1659">
        <f t="shared" si="1150"/>
        <v>167</v>
      </c>
      <c r="AW1659">
        <f t="shared" si="1151"/>
        <v>2062</v>
      </c>
      <c r="AX1659" s="3">
        <f t="shared" si="1152"/>
        <v>9314.3962264150941</v>
      </c>
      <c r="AY1659">
        <f t="shared" si="1153"/>
        <v>167</v>
      </c>
      <c r="AZ1659">
        <f t="shared" si="1154"/>
        <v>2062</v>
      </c>
      <c r="BA1659" s="3">
        <f t="shared" si="1155"/>
        <v>9314.3962264150941</v>
      </c>
    </row>
    <row r="1660" spans="1:53" x14ac:dyDescent="0.2">
      <c r="A1660">
        <v>2017</v>
      </c>
      <c r="B1660" t="s">
        <v>104</v>
      </c>
      <c r="C1660" t="s">
        <v>1</v>
      </c>
      <c r="D1660">
        <v>4.0999999999999996</v>
      </c>
      <c r="E1660">
        <v>2.9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f t="shared" si="1162"/>
        <v>7</v>
      </c>
      <c r="L1660">
        <v>0</v>
      </c>
      <c r="M1660">
        <v>0</v>
      </c>
      <c r="N1660">
        <v>0</v>
      </c>
      <c r="O1660">
        <f t="shared" si="1163"/>
        <v>0</v>
      </c>
      <c r="P1660">
        <v>0</v>
      </c>
      <c r="Q1660">
        <v>0</v>
      </c>
      <c r="R1660">
        <v>0</v>
      </c>
      <c r="S1660">
        <f t="shared" si="1164"/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f t="shared" si="1165"/>
        <v>0</v>
      </c>
      <c r="AB1660">
        <v>0</v>
      </c>
      <c r="AC1660">
        <v>0</v>
      </c>
      <c r="AD1660">
        <v>0</v>
      </c>
      <c r="AE1660">
        <v>5.6</v>
      </c>
      <c r="AF1660">
        <v>0</v>
      </c>
      <c r="AG1660">
        <v>0</v>
      </c>
      <c r="AH1660">
        <v>0</v>
      </c>
      <c r="AI1660">
        <v>0</v>
      </c>
      <c r="AJ1660" s="5">
        <f t="shared" si="1166"/>
        <v>5.6</v>
      </c>
      <c r="AK1660">
        <v>0</v>
      </c>
      <c r="AL1660">
        <v>0.87400000000000011</v>
      </c>
      <c r="AM1660">
        <f t="shared" si="1171"/>
        <v>0.126</v>
      </c>
      <c r="AN1660">
        <v>8214</v>
      </c>
      <c r="AO1660" t="s">
        <v>13</v>
      </c>
      <c r="AP1660" s="3">
        <f t="shared" si="1160"/>
        <v>9398.1693363844388</v>
      </c>
      <c r="AQ1660" t="s">
        <v>13</v>
      </c>
      <c r="AR1660">
        <f t="shared" si="1167"/>
        <v>0.44444444444444442</v>
      </c>
      <c r="AS1660">
        <f t="shared" si="1168"/>
        <v>7.0000000000000007E-2</v>
      </c>
      <c r="AT1660">
        <f t="shared" si="1169"/>
        <v>658</v>
      </c>
      <c r="AU1660">
        <f t="shared" si="1170"/>
        <v>526</v>
      </c>
      <c r="AV1660">
        <f t="shared" si="1150"/>
        <v>329</v>
      </c>
      <c r="AW1660">
        <f t="shared" si="1151"/>
        <v>546</v>
      </c>
      <c r="AX1660" s="3">
        <f t="shared" si="1152"/>
        <v>8523.1693363844388</v>
      </c>
      <c r="AY1660">
        <f t="shared" si="1153"/>
        <v>329</v>
      </c>
      <c r="AZ1660">
        <f t="shared" si="1154"/>
        <v>546</v>
      </c>
      <c r="BA1660" s="3">
        <f t="shared" si="1155"/>
        <v>8523.1693363844388</v>
      </c>
    </row>
    <row r="1661" spans="1:53" x14ac:dyDescent="0.2">
      <c r="A1661">
        <v>2018</v>
      </c>
      <c r="B1661" t="s">
        <v>104</v>
      </c>
      <c r="C1661" t="s">
        <v>1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f t="shared" si="1162"/>
        <v>0</v>
      </c>
      <c r="L1661">
        <v>0</v>
      </c>
      <c r="M1661">
        <v>0</v>
      </c>
      <c r="N1661">
        <v>0</v>
      </c>
      <c r="O1661">
        <f t="shared" si="1163"/>
        <v>0</v>
      </c>
      <c r="P1661">
        <v>0</v>
      </c>
      <c r="Q1661">
        <v>0</v>
      </c>
      <c r="R1661">
        <v>0</v>
      </c>
      <c r="S1661">
        <f t="shared" si="1164"/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f t="shared" si="1165"/>
        <v>0</v>
      </c>
      <c r="AB1661">
        <v>0</v>
      </c>
      <c r="AC1661">
        <v>0</v>
      </c>
      <c r="AD1661">
        <v>0</v>
      </c>
      <c r="AE1661">
        <v>4.0999999999999996</v>
      </c>
      <c r="AF1661">
        <v>0</v>
      </c>
      <c r="AG1661">
        <v>0</v>
      </c>
      <c r="AH1661">
        <v>0</v>
      </c>
      <c r="AI1661">
        <v>0</v>
      </c>
      <c r="AJ1661" s="5">
        <f t="shared" si="1166"/>
        <v>4.0999999999999996</v>
      </c>
      <c r="AK1661">
        <v>0</v>
      </c>
      <c r="AL1661">
        <v>0.95900000000000007</v>
      </c>
      <c r="AM1661">
        <f t="shared" si="1171"/>
        <v>4.0999999999999995E-2</v>
      </c>
      <c r="AN1661">
        <v>7271</v>
      </c>
      <c r="AO1661" t="s">
        <v>13</v>
      </c>
      <c r="AP1661" s="3">
        <f t="shared" si="1160"/>
        <v>7581.8561001042754</v>
      </c>
      <c r="AQ1661" t="s">
        <v>13</v>
      </c>
      <c r="AR1661">
        <f t="shared" si="1167"/>
        <v>1</v>
      </c>
      <c r="AS1661">
        <f t="shared" si="1168"/>
        <v>0</v>
      </c>
      <c r="AT1661">
        <f t="shared" si="1169"/>
        <v>0</v>
      </c>
      <c r="AU1661">
        <f t="shared" si="1170"/>
        <v>311</v>
      </c>
      <c r="AV1661">
        <f t="shared" si="1150"/>
        <v>0</v>
      </c>
      <c r="AW1661">
        <f t="shared" si="1151"/>
        <v>311</v>
      </c>
      <c r="AX1661" s="3">
        <f t="shared" si="1152"/>
        <v>7270.8561001042754</v>
      </c>
      <c r="AY1661">
        <f t="shared" si="1153"/>
        <v>0</v>
      </c>
      <c r="AZ1661">
        <f t="shared" si="1154"/>
        <v>311</v>
      </c>
      <c r="BA1661" s="3">
        <f t="shared" si="1155"/>
        <v>7270.8561001042754</v>
      </c>
    </row>
    <row r="1662" spans="1:53" x14ac:dyDescent="0.2">
      <c r="A1662">
        <v>2019</v>
      </c>
      <c r="B1662" t="s">
        <v>104</v>
      </c>
      <c r="C1662" t="s">
        <v>1</v>
      </c>
      <c r="D1662">
        <v>0</v>
      </c>
      <c r="E1662">
        <v>1.4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f t="shared" si="1162"/>
        <v>1.4</v>
      </c>
      <c r="L1662">
        <v>0</v>
      </c>
      <c r="M1662">
        <v>0</v>
      </c>
      <c r="N1662">
        <v>0</v>
      </c>
      <c r="O1662">
        <f t="shared" si="1163"/>
        <v>0</v>
      </c>
      <c r="P1662">
        <v>0</v>
      </c>
      <c r="Q1662">
        <v>0</v>
      </c>
      <c r="R1662">
        <v>0</v>
      </c>
      <c r="S1662">
        <f t="shared" si="1164"/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f t="shared" si="1165"/>
        <v>0</v>
      </c>
      <c r="AB1662">
        <v>0</v>
      </c>
      <c r="AC1662">
        <v>1.7</v>
      </c>
      <c r="AD1662">
        <v>0</v>
      </c>
      <c r="AE1662">
        <v>0.9</v>
      </c>
      <c r="AF1662">
        <v>0</v>
      </c>
      <c r="AG1662">
        <v>0</v>
      </c>
      <c r="AH1662">
        <v>0</v>
      </c>
      <c r="AI1662">
        <v>0</v>
      </c>
      <c r="AJ1662" s="5">
        <f t="shared" si="1166"/>
        <v>2.6</v>
      </c>
      <c r="AK1662">
        <v>0</v>
      </c>
      <c r="AL1662">
        <v>0.96099999999999997</v>
      </c>
      <c r="AM1662">
        <f t="shared" si="1171"/>
        <v>0.04</v>
      </c>
      <c r="AN1662">
        <v>11558</v>
      </c>
      <c r="AO1662" t="s">
        <v>13</v>
      </c>
      <c r="AP1662" s="3">
        <f t="shared" si="1160"/>
        <v>12039.583333333334</v>
      </c>
      <c r="AQ1662" t="s">
        <v>13</v>
      </c>
      <c r="AR1662">
        <f t="shared" si="1167"/>
        <v>0.65</v>
      </c>
      <c r="AS1662">
        <f t="shared" si="1168"/>
        <v>1.3999999999999999E-2</v>
      </c>
      <c r="AT1662">
        <f t="shared" si="1169"/>
        <v>169</v>
      </c>
      <c r="AU1662">
        <f t="shared" si="1170"/>
        <v>313</v>
      </c>
      <c r="AV1662">
        <f t="shared" si="1150"/>
        <v>84</v>
      </c>
      <c r="AW1662">
        <f t="shared" si="1151"/>
        <v>315</v>
      </c>
      <c r="AX1662" s="3">
        <f t="shared" si="1152"/>
        <v>11640.583333333334</v>
      </c>
      <c r="AY1662">
        <f t="shared" si="1153"/>
        <v>84</v>
      </c>
      <c r="AZ1662">
        <f t="shared" si="1154"/>
        <v>315</v>
      </c>
      <c r="BA1662" s="3">
        <f t="shared" si="1155"/>
        <v>11640.583333333334</v>
      </c>
    </row>
    <row r="1663" spans="1:53" x14ac:dyDescent="0.2">
      <c r="A1663">
        <v>2020</v>
      </c>
      <c r="B1663" t="s">
        <v>104</v>
      </c>
      <c r="C1663" t="s">
        <v>1</v>
      </c>
      <c r="D1663">
        <v>0.4</v>
      </c>
      <c r="E1663">
        <v>0.6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f t="shared" si="1162"/>
        <v>1</v>
      </c>
      <c r="L1663">
        <v>0</v>
      </c>
      <c r="M1663">
        <v>0</v>
      </c>
      <c r="N1663">
        <v>0</v>
      </c>
      <c r="O1663">
        <f t="shared" si="1163"/>
        <v>0</v>
      </c>
      <c r="P1663">
        <v>0</v>
      </c>
      <c r="Q1663">
        <v>0</v>
      </c>
      <c r="R1663">
        <v>0</v>
      </c>
      <c r="S1663">
        <f t="shared" si="1164"/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f t="shared" si="1165"/>
        <v>0</v>
      </c>
      <c r="AB1663">
        <v>0</v>
      </c>
      <c r="AC1663">
        <v>2.9</v>
      </c>
      <c r="AD1663">
        <v>0</v>
      </c>
      <c r="AE1663">
        <v>0.8</v>
      </c>
      <c r="AF1663">
        <v>0</v>
      </c>
      <c r="AG1663">
        <v>0</v>
      </c>
      <c r="AH1663">
        <v>0</v>
      </c>
      <c r="AI1663">
        <v>0</v>
      </c>
      <c r="AJ1663" s="5">
        <f t="shared" si="1166"/>
        <v>3.7</v>
      </c>
      <c r="AK1663">
        <v>0</v>
      </c>
      <c r="AL1663">
        <v>0.95299999999999996</v>
      </c>
      <c r="AM1663">
        <f t="shared" si="1171"/>
        <v>4.7E-2</v>
      </c>
      <c r="AN1663">
        <v>15593</v>
      </c>
      <c r="AO1663" t="s">
        <v>13</v>
      </c>
      <c r="AP1663" s="3">
        <f t="shared" si="1160"/>
        <v>16362.014690451208</v>
      </c>
      <c r="AQ1663" t="s">
        <v>13</v>
      </c>
      <c r="AR1663">
        <f t="shared" si="1167"/>
        <v>0.78723404255319163</v>
      </c>
      <c r="AS1663">
        <f t="shared" si="1168"/>
        <v>0.01</v>
      </c>
      <c r="AT1663">
        <f t="shared" si="1169"/>
        <v>164</v>
      </c>
      <c r="AU1663">
        <f t="shared" si="1170"/>
        <v>605</v>
      </c>
      <c r="AV1663">
        <f t="shared" si="1150"/>
        <v>82</v>
      </c>
      <c r="AW1663">
        <f t="shared" si="1151"/>
        <v>608</v>
      </c>
      <c r="AX1663" s="3">
        <f t="shared" si="1152"/>
        <v>15672.014690451208</v>
      </c>
      <c r="AY1663">
        <f t="shared" si="1153"/>
        <v>82</v>
      </c>
      <c r="AZ1663">
        <f t="shared" si="1154"/>
        <v>608</v>
      </c>
      <c r="BA1663" s="3">
        <f t="shared" si="1155"/>
        <v>15672.014690451208</v>
      </c>
    </row>
    <row r="1664" spans="1:53" x14ac:dyDescent="0.2">
      <c r="A1664">
        <v>2021</v>
      </c>
      <c r="B1664" t="s">
        <v>104</v>
      </c>
      <c r="C1664" t="s">
        <v>1</v>
      </c>
      <c r="D1664">
        <v>2</v>
      </c>
      <c r="E1664">
        <v>3.7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f t="shared" si="1162"/>
        <v>5.7</v>
      </c>
      <c r="L1664">
        <v>0</v>
      </c>
      <c r="M1664">
        <v>0</v>
      </c>
      <c r="N1664">
        <v>0</v>
      </c>
      <c r="O1664">
        <f t="shared" si="1163"/>
        <v>0</v>
      </c>
      <c r="P1664">
        <v>0</v>
      </c>
      <c r="Q1664">
        <v>0</v>
      </c>
      <c r="R1664">
        <v>0</v>
      </c>
      <c r="S1664">
        <f t="shared" si="1164"/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f t="shared" si="1165"/>
        <v>0</v>
      </c>
      <c r="AB1664">
        <v>0</v>
      </c>
      <c r="AC1664">
        <v>2.2000000000000002</v>
      </c>
      <c r="AD1664">
        <v>0</v>
      </c>
      <c r="AE1664">
        <v>0.6</v>
      </c>
      <c r="AF1664">
        <v>0</v>
      </c>
      <c r="AG1664">
        <v>0</v>
      </c>
      <c r="AH1664">
        <v>0</v>
      </c>
      <c r="AI1664">
        <v>0</v>
      </c>
      <c r="AJ1664" s="5">
        <f t="shared" si="1166"/>
        <v>2.8000000000000003</v>
      </c>
      <c r="AK1664">
        <v>0</v>
      </c>
      <c r="AL1664">
        <v>0.91500000000000004</v>
      </c>
      <c r="AM1664">
        <f t="shared" si="1171"/>
        <v>8.5000000000000006E-2</v>
      </c>
      <c r="AN1664">
        <v>11341</v>
      </c>
      <c r="AO1664" t="s">
        <v>13</v>
      </c>
      <c r="AP1664" s="3">
        <f t="shared" si="1160"/>
        <v>12394.535519125682</v>
      </c>
      <c r="AQ1664" t="s">
        <v>13</v>
      </c>
      <c r="AR1664">
        <f t="shared" si="1167"/>
        <v>0.3294117647058824</v>
      </c>
      <c r="AS1664">
        <f t="shared" si="1168"/>
        <v>5.7000000000000002E-2</v>
      </c>
      <c r="AT1664">
        <f t="shared" si="1169"/>
        <v>706</v>
      </c>
      <c r="AU1664">
        <f t="shared" si="1170"/>
        <v>347</v>
      </c>
      <c r="AV1664">
        <f t="shared" si="1150"/>
        <v>353</v>
      </c>
      <c r="AW1664">
        <f t="shared" si="1151"/>
        <v>357</v>
      </c>
      <c r="AX1664" s="3">
        <f t="shared" si="1152"/>
        <v>11684.535519125682</v>
      </c>
      <c r="AY1664">
        <f t="shared" si="1153"/>
        <v>353</v>
      </c>
      <c r="AZ1664">
        <f t="shared" si="1154"/>
        <v>357</v>
      </c>
      <c r="BA1664" s="3">
        <f t="shared" si="1155"/>
        <v>11684.535519125682</v>
      </c>
    </row>
    <row r="1665" spans="1:53" x14ac:dyDescent="0.2">
      <c r="A1665">
        <v>2022</v>
      </c>
      <c r="B1665" t="s">
        <v>104</v>
      </c>
      <c r="C1665" t="s">
        <v>1</v>
      </c>
      <c r="D1665">
        <v>3.9</v>
      </c>
      <c r="E1665">
        <v>0.4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f t="shared" si="1162"/>
        <v>4.3</v>
      </c>
      <c r="L1665">
        <v>0</v>
      </c>
      <c r="M1665">
        <v>0</v>
      </c>
      <c r="N1665">
        <v>0</v>
      </c>
      <c r="O1665">
        <f t="shared" si="1163"/>
        <v>0</v>
      </c>
      <c r="P1665">
        <v>0</v>
      </c>
      <c r="Q1665">
        <v>0</v>
      </c>
      <c r="R1665">
        <v>0</v>
      </c>
      <c r="S1665">
        <f t="shared" si="1164"/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f t="shared" si="1165"/>
        <v>0</v>
      </c>
      <c r="AB1665">
        <v>0</v>
      </c>
      <c r="AC1665">
        <v>1.3</v>
      </c>
      <c r="AD1665">
        <v>1.1000000000000001</v>
      </c>
      <c r="AE1665">
        <v>0.4</v>
      </c>
      <c r="AF1665">
        <v>0</v>
      </c>
      <c r="AG1665">
        <v>0</v>
      </c>
      <c r="AH1665">
        <v>0</v>
      </c>
      <c r="AI1665">
        <v>0</v>
      </c>
      <c r="AJ1665" s="5">
        <f t="shared" si="1166"/>
        <v>2.8000000000000003</v>
      </c>
      <c r="AK1665">
        <v>0</v>
      </c>
      <c r="AL1665">
        <v>0.92799999999999994</v>
      </c>
      <c r="AM1665">
        <f t="shared" si="1171"/>
        <v>7.1000000000000008E-2</v>
      </c>
      <c r="AN1665">
        <v>12722</v>
      </c>
      <c r="AO1665" t="s">
        <v>13</v>
      </c>
      <c r="AP1665" s="3">
        <f t="shared" si="1160"/>
        <v>13694.294940796555</v>
      </c>
      <c r="AQ1665" t="s">
        <v>13</v>
      </c>
      <c r="AR1665">
        <f t="shared" si="1167"/>
        <v>0.39436619718309862</v>
      </c>
      <c r="AS1665">
        <f t="shared" si="1168"/>
        <v>4.2999999999999997E-2</v>
      </c>
      <c r="AT1665">
        <f t="shared" si="1169"/>
        <v>589</v>
      </c>
      <c r="AU1665">
        <f t="shared" si="1170"/>
        <v>383</v>
      </c>
      <c r="AV1665">
        <f t="shared" si="1150"/>
        <v>294</v>
      </c>
      <c r="AW1665">
        <f t="shared" si="1151"/>
        <v>392</v>
      </c>
      <c r="AX1665" s="3">
        <f t="shared" si="1152"/>
        <v>13008.294940796555</v>
      </c>
      <c r="AY1665">
        <f t="shared" si="1153"/>
        <v>294</v>
      </c>
      <c r="AZ1665">
        <f t="shared" si="1154"/>
        <v>392</v>
      </c>
      <c r="BA1665" s="3">
        <f t="shared" si="1155"/>
        <v>13008.294940796555</v>
      </c>
    </row>
    <row r="1666" spans="1:53" x14ac:dyDescent="0.2">
      <c r="A1666">
        <v>2023</v>
      </c>
      <c r="B1666" t="s">
        <v>104</v>
      </c>
      <c r="C1666" t="s">
        <v>1</v>
      </c>
      <c r="D1666">
        <v>1.8</v>
      </c>
      <c r="E1666">
        <v>0</v>
      </c>
      <c r="F1666">
        <v>0.9</v>
      </c>
      <c r="G1666">
        <v>0</v>
      </c>
      <c r="H1666">
        <v>0</v>
      </c>
      <c r="I1666">
        <v>0</v>
      </c>
      <c r="J1666">
        <v>0</v>
      </c>
      <c r="K1666">
        <f t="shared" si="1162"/>
        <v>2.7</v>
      </c>
      <c r="L1666">
        <v>0</v>
      </c>
      <c r="M1666">
        <v>0</v>
      </c>
      <c r="N1666">
        <v>0</v>
      </c>
      <c r="O1666">
        <f t="shared" si="1163"/>
        <v>0</v>
      </c>
      <c r="P1666">
        <v>0</v>
      </c>
      <c r="Q1666">
        <v>0</v>
      </c>
      <c r="R1666">
        <v>0</v>
      </c>
      <c r="S1666">
        <f t="shared" si="1164"/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f t="shared" si="1165"/>
        <v>0</v>
      </c>
      <c r="AB1666">
        <v>0</v>
      </c>
      <c r="AC1666">
        <v>0</v>
      </c>
      <c r="AD1666">
        <v>0.8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 s="5">
        <f t="shared" si="1166"/>
        <v>0.8</v>
      </c>
      <c r="AK1666">
        <v>0</v>
      </c>
      <c r="AL1666">
        <v>0.96499999999999997</v>
      </c>
      <c r="AM1666">
        <f t="shared" si="1171"/>
        <v>3.5000000000000003E-2</v>
      </c>
      <c r="AN1666">
        <v>14755</v>
      </c>
      <c r="AO1666" t="s">
        <v>13</v>
      </c>
      <c r="AP1666" s="3">
        <f t="shared" si="1160"/>
        <v>15290.155440414508</v>
      </c>
      <c r="AQ1666" t="s">
        <v>13</v>
      </c>
      <c r="AR1666">
        <f t="shared" si="1167"/>
        <v>0.22857142857142856</v>
      </c>
      <c r="AS1666">
        <f t="shared" si="1168"/>
        <v>2.7000000000000003E-2</v>
      </c>
      <c r="AT1666">
        <f t="shared" si="1169"/>
        <v>413</v>
      </c>
      <c r="AU1666">
        <f t="shared" si="1170"/>
        <v>122</v>
      </c>
      <c r="AV1666">
        <f t="shared" si="1150"/>
        <v>206</v>
      </c>
      <c r="AW1666">
        <f t="shared" si="1151"/>
        <v>124</v>
      </c>
      <c r="AX1666" s="3">
        <f t="shared" si="1152"/>
        <v>14960.155440414508</v>
      </c>
      <c r="AY1666">
        <f t="shared" si="1153"/>
        <v>206</v>
      </c>
      <c r="AZ1666">
        <f t="shared" si="1154"/>
        <v>124</v>
      </c>
      <c r="BA1666" s="3">
        <f t="shared" si="1155"/>
        <v>14960.155440414508</v>
      </c>
    </row>
    <row r="1667" spans="1:53" x14ac:dyDescent="0.2">
      <c r="A1667">
        <v>1997</v>
      </c>
      <c r="B1667" t="s">
        <v>130</v>
      </c>
      <c r="C1667" t="s">
        <v>1</v>
      </c>
      <c r="D1667">
        <v>8.4</v>
      </c>
      <c r="E1667">
        <v>5.2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f t="shared" si="1162"/>
        <v>13.600000000000001</v>
      </c>
      <c r="L1667">
        <v>0</v>
      </c>
      <c r="M1667">
        <v>0</v>
      </c>
      <c r="N1667">
        <v>0</v>
      </c>
      <c r="O1667">
        <f t="shared" si="1163"/>
        <v>0</v>
      </c>
      <c r="P1667">
        <v>0</v>
      </c>
      <c r="Q1667">
        <v>0</v>
      </c>
      <c r="R1667">
        <v>0</v>
      </c>
      <c r="S1667">
        <f t="shared" si="1164"/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f t="shared" si="1165"/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 s="5">
        <f t="shared" si="1166"/>
        <v>0</v>
      </c>
      <c r="AK1667">
        <v>0</v>
      </c>
      <c r="AL1667">
        <v>0.8640000000000001</v>
      </c>
      <c r="AM1667">
        <f t="shared" si="1171"/>
        <v>0.13600000000000001</v>
      </c>
      <c r="AN1667">
        <v>2970</v>
      </c>
      <c r="AO1667" t="s">
        <v>13</v>
      </c>
      <c r="AP1667" s="3">
        <f t="shared" ref="AP1667:AP1693" si="1172">AN1667/(1-AM1667)</f>
        <v>3437.5</v>
      </c>
      <c r="AQ1667" t="s">
        <v>13</v>
      </c>
      <c r="AR1667">
        <f t="shared" si="1167"/>
        <v>0</v>
      </c>
      <c r="AS1667">
        <f t="shared" si="1168"/>
        <v>0.13600000000000001</v>
      </c>
      <c r="AT1667">
        <f t="shared" si="1169"/>
        <v>468</v>
      </c>
      <c r="AU1667">
        <f t="shared" si="1170"/>
        <v>0</v>
      </c>
      <c r="AV1667">
        <f t="shared" ref="AV1667:AV1693" si="1173">ROUND((((K1667*0.5)+O1667+S1667+AA1667)/100)*AP1667,0)</f>
        <v>234</v>
      </c>
      <c r="AW1667">
        <f t="shared" ref="AW1667:AW1693" si="1174">ROUND((AU1667/(AP1667-AT1667))*(AP1667-AV1667),0)</f>
        <v>0</v>
      </c>
      <c r="AX1667" s="3">
        <f t="shared" ref="AX1667:AX1693" si="1175">AP1667-AV1667-AW1667</f>
        <v>3203.5</v>
      </c>
      <c r="AY1667">
        <f t="shared" ref="AY1667:AY1693" si="1176">ROUND((0.5*AS1667)*AP1667,0)</f>
        <v>234</v>
      </c>
      <c r="AZ1667">
        <f t="shared" ref="AZ1667:AZ1693" si="1177">ROUND((AU1667/(AP1667-AT1667))*(AP1667-AY1667),0)</f>
        <v>0</v>
      </c>
      <c r="BA1667" s="3">
        <f t="shared" ref="BA1667:BA1693" si="1178">AP1667-AZ1667-AY1667</f>
        <v>3203.5</v>
      </c>
    </row>
    <row r="1668" spans="1:53" x14ac:dyDescent="0.2">
      <c r="A1668">
        <v>1998</v>
      </c>
      <c r="B1668" t="s">
        <v>130</v>
      </c>
      <c r="C1668" t="s">
        <v>1</v>
      </c>
      <c r="D1668">
        <v>7.4</v>
      </c>
      <c r="E1668">
        <v>1.1000000000000001</v>
      </c>
      <c r="F1668">
        <v>0.4</v>
      </c>
      <c r="G1668">
        <v>0</v>
      </c>
      <c r="H1668">
        <v>0</v>
      </c>
      <c r="I1668">
        <v>0</v>
      </c>
      <c r="J1668">
        <v>0</v>
      </c>
      <c r="K1668">
        <f t="shared" si="1162"/>
        <v>8.9</v>
      </c>
      <c r="L1668">
        <v>0</v>
      </c>
      <c r="M1668">
        <v>0</v>
      </c>
      <c r="N1668">
        <v>0</v>
      </c>
      <c r="O1668">
        <f t="shared" si="1163"/>
        <v>0</v>
      </c>
      <c r="P1668">
        <v>0</v>
      </c>
      <c r="Q1668">
        <v>0</v>
      </c>
      <c r="R1668">
        <v>0</v>
      </c>
      <c r="S1668">
        <f t="shared" si="1164"/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f t="shared" si="1165"/>
        <v>0</v>
      </c>
      <c r="AB1668">
        <v>0.2</v>
      </c>
      <c r="AC1668">
        <v>0.4</v>
      </c>
      <c r="AD1668">
        <v>1.1000000000000001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 s="5">
        <f t="shared" si="1166"/>
        <v>1.7000000000000002</v>
      </c>
      <c r="AK1668">
        <v>0.7</v>
      </c>
      <c r="AL1668">
        <v>0.8859999999999999</v>
      </c>
      <c r="AM1668">
        <f t="shared" si="1171"/>
        <v>0.10600000000000001</v>
      </c>
      <c r="AN1668">
        <v>4132</v>
      </c>
      <c r="AO1668" t="s">
        <v>13</v>
      </c>
      <c r="AP1668" s="3">
        <f t="shared" si="1172"/>
        <v>4621.9239373601786</v>
      </c>
      <c r="AQ1668" t="s">
        <v>13</v>
      </c>
      <c r="AR1668">
        <f t="shared" si="1167"/>
        <v>0.16037735849056603</v>
      </c>
      <c r="AS1668">
        <f t="shared" si="1168"/>
        <v>8.900000000000001E-2</v>
      </c>
      <c r="AT1668">
        <f t="shared" si="1169"/>
        <v>411</v>
      </c>
      <c r="AU1668">
        <f t="shared" si="1170"/>
        <v>79</v>
      </c>
      <c r="AV1668">
        <f t="shared" si="1173"/>
        <v>206</v>
      </c>
      <c r="AW1668">
        <f t="shared" si="1174"/>
        <v>83</v>
      </c>
      <c r="AX1668" s="3">
        <f t="shared" si="1175"/>
        <v>4332.9239373601786</v>
      </c>
      <c r="AY1668">
        <f t="shared" si="1176"/>
        <v>206</v>
      </c>
      <c r="AZ1668">
        <f t="shared" si="1177"/>
        <v>83</v>
      </c>
      <c r="BA1668" s="3">
        <f t="shared" si="1178"/>
        <v>4332.9239373601786</v>
      </c>
    </row>
    <row r="1669" spans="1:53" x14ac:dyDescent="0.2">
      <c r="A1669">
        <v>1999</v>
      </c>
      <c r="B1669" t="s">
        <v>130</v>
      </c>
      <c r="C1669" t="s">
        <v>1</v>
      </c>
      <c r="D1669">
        <v>5.7</v>
      </c>
      <c r="E1669">
        <v>0.4</v>
      </c>
      <c r="F1669">
        <v>4.4000000000000004</v>
      </c>
      <c r="G1669">
        <v>0</v>
      </c>
      <c r="H1669">
        <v>0.8</v>
      </c>
      <c r="I1669">
        <v>0</v>
      </c>
      <c r="J1669">
        <v>0</v>
      </c>
      <c r="K1669">
        <f t="shared" si="1162"/>
        <v>11.3</v>
      </c>
      <c r="L1669">
        <v>0</v>
      </c>
      <c r="M1669">
        <v>0.8</v>
      </c>
      <c r="N1669">
        <v>0</v>
      </c>
      <c r="O1669">
        <f t="shared" si="1163"/>
        <v>0.8</v>
      </c>
      <c r="P1669">
        <v>0</v>
      </c>
      <c r="Q1669">
        <v>0</v>
      </c>
      <c r="R1669">
        <v>0</v>
      </c>
      <c r="S1669">
        <f t="shared" si="1164"/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f t="shared" si="1165"/>
        <v>0</v>
      </c>
      <c r="AB1669">
        <v>0</v>
      </c>
      <c r="AC1669">
        <v>0.3</v>
      </c>
      <c r="AD1669">
        <v>5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 s="5">
        <f t="shared" si="1166"/>
        <v>5.3</v>
      </c>
      <c r="AK1669">
        <v>0.6</v>
      </c>
      <c r="AL1669">
        <v>0.82099999999999995</v>
      </c>
      <c r="AM1669">
        <f t="shared" si="1171"/>
        <v>0.17400000000000002</v>
      </c>
      <c r="AN1669">
        <v>3914</v>
      </c>
      <c r="AO1669" t="s">
        <v>13</v>
      </c>
      <c r="AP1669" s="3">
        <f t="shared" si="1172"/>
        <v>4738.4987893462476</v>
      </c>
      <c r="AQ1669" t="s">
        <v>13</v>
      </c>
      <c r="AR1669">
        <f t="shared" si="1167"/>
        <v>0.30459770114942525</v>
      </c>
      <c r="AS1669">
        <f t="shared" si="1168"/>
        <v>0.12100000000000001</v>
      </c>
      <c r="AT1669">
        <f t="shared" si="1169"/>
        <v>573</v>
      </c>
      <c r="AU1669">
        <f t="shared" si="1170"/>
        <v>251</v>
      </c>
      <c r="AV1669">
        <f t="shared" si="1173"/>
        <v>306</v>
      </c>
      <c r="AW1669">
        <f t="shared" si="1174"/>
        <v>267</v>
      </c>
      <c r="AX1669" s="3">
        <f t="shared" si="1175"/>
        <v>4165.4987893462476</v>
      </c>
      <c r="AY1669">
        <f t="shared" si="1176"/>
        <v>287</v>
      </c>
      <c r="AZ1669">
        <f t="shared" si="1177"/>
        <v>268</v>
      </c>
      <c r="BA1669" s="3">
        <f t="shared" si="1178"/>
        <v>4183.4987893462476</v>
      </c>
    </row>
    <row r="1670" spans="1:53" x14ac:dyDescent="0.2">
      <c r="A1670">
        <v>2000</v>
      </c>
      <c r="B1670" t="s">
        <v>130</v>
      </c>
      <c r="C1670" t="s">
        <v>1</v>
      </c>
      <c r="D1670">
        <v>8.5</v>
      </c>
      <c r="E1670">
        <v>1.6</v>
      </c>
      <c r="F1670">
        <v>2.1</v>
      </c>
      <c r="G1670">
        <v>0</v>
      </c>
      <c r="H1670">
        <v>1.6</v>
      </c>
      <c r="I1670">
        <v>0</v>
      </c>
      <c r="J1670">
        <v>0</v>
      </c>
      <c r="K1670">
        <f t="shared" si="1162"/>
        <v>13.799999999999999</v>
      </c>
      <c r="L1670">
        <v>0</v>
      </c>
      <c r="M1670">
        <v>0.7</v>
      </c>
      <c r="N1670">
        <v>0.4</v>
      </c>
      <c r="O1670">
        <f t="shared" si="1163"/>
        <v>1.1000000000000001</v>
      </c>
      <c r="P1670">
        <v>0</v>
      </c>
      <c r="Q1670">
        <v>0</v>
      </c>
      <c r="R1670">
        <v>0</v>
      </c>
      <c r="S1670">
        <f t="shared" si="1164"/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f t="shared" si="1165"/>
        <v>0</v>
      </c>
      <c r="AB1670">
        <v>0</v>
      </c>
      <c r="AC1670">
        <v>0</v>
      </c>
      <c r="AD1670">
        <v>4.3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 s="5">
        <f t="shared" si="1166"/>
        <v>4.3</v>
      </c>
      <c r="AK1670">
        <v>0.3</v>
      </c>
      <c r="AL1670">
        <v>0.80599999999999994</v>
      </c>
      <c r="AM1670">
        <f t="shared" si="1171"/>
        <v>0.19200000000000003</v>
      </c>
      <c r="AN1670">
        <v>5872</v>
      </c>
      <c r="AO1670" t="s">
        <v>13</v>
      </c>
      <c r="AP1670" s="3">
        <f t="shared" si="1172"/>
        <v>7267.3267326732675</v>
      </c>
      <c r="AQ1670" t="s">
        <v>13</v>
      </c>
      <c r="AR1670">
        <f t="shared" si="1167"/>
        <v>0.22395833333333329</v>
      </c>
      <c r="AS1670">
        <f t="shared" si="1168"/>
        <v>0.14899999999999999</v>
      </c>
      <c r="AT1670">
        <f t="shared" si="1169"/>
        <v>1083</v>
      </c>
      <c r="AU1670">
        <f t="shared" si="1170"/>
        <v>312</v>
      </c>
      <c r="AV1670">
        <f t="shared" si="1173"/>
        <v>581</v>
      </c>
      <c r="AW1670">
        <f t="shared" si="1174"/>
        <v>337</v>
      </c>
      <c r="AX1670" s="3">
        <f t="shared" si="1175"/>
        <v>6349.3267326732675</v>
      </c>
      <c r="AY1670">
        <f t="shared" si="1176"/>
        <v>541</v>
      </c>
      <c r="AZ1670">
        <f t="shared" si="1177"/>
        <v>339</v>
      </c>
      <c r="BA1670" s="3">
        <f t="shared" si="1178"/>
        <v>6387.3267326732675</v>
      </c>
    </row>
    <row r="1671" spans="1:53" x14ac:dyDescent="0.2">
      <c r="A1671">
        <v>2001</v>
      </c>
      <c r="B1671" t="s">
        <v>130</v>
      </c>
      <c r="C1671" t="s">
        <v>1</v>
      </c>
      <c r="D1671">
        <v>7.2</v>
      </c>
      <c r="E1671">
        <v>0.5</v>
      </c>
      <c r="F1671">
        <v>7</v>
      </c>
      <c r="G1671">
        <v>0.1</v>
      </c>
      <c r="H1671">
        <v>0</v>
      </c>
      <c r="I1671">
        <v>0</v>
      </c>
      <c r="J1671">
        <v>0</v>
      </c>
      <c r="K1671">
        <f t="shared" si="1162"/>
        <v>14.799999999999999</v>
      </c>
      <c r="L1671">
        <v>0</v>
      </c>
      <c r="M1671">
        <v>0.3</v>
      </c>
      <c r="N1671">
        <v>0</v>
      </c>
      <c r="O1671">
        <f t="shared" si="1163"/>
        <v>0.3</v>
      </c>
      <c r="P1671">
        <v>0</v>
      </c>
      <c r="Q1671">
        <v>0</v>
      </c>
      <c r="R1671">
        <v>0</v>
      </c>
      <c r="S1671">
        <f t="shared" si="1164"/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f t="shared" si="1165"/>
        <v>0</v>
      </c>
      <c r="AB1671">
        <v>0</v>
      </c>
      <c r="AC1671">
        <v>0</v>
      </c>
      <c r="AD1671">
        <v>2.6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 s="5">
        <f t="shared" si="1166"/>
        <v>2.6</v>
      </c>
      <c r="AK1671">
        <v>1</v>
      </c>
      <c r="AL1671">
        <v>0.81299999999999994</v>
      </c>
      <c r="AM1671">
        <f t="shared" si="1171"/>
        <v>0.17700000000000002</v>
      </c>
      <c r="AN1671">
        <v>10541</v>
      </c>
      <c r="AO1671" t="s">
        <v>13</v>
      </c>
      <c r="AP1671" s="3">
        <f t="shared" si="1172"/>
        <v>12808.01944106926</v>
      </c>
      <c r="AQ1671" t="s">
        <v>13</v>
      </c>
      <c r="AR1671">
        <f t="shared" si="1167"/>
        <v>0.14689265536723164</v>
      </c>
      <c r="AS1671">
        <f t="shared" ref="AS1671:AS1693" si="1179">SUM(K1671,O1671,S1671,AA1671)/100</f>
        <v>0.151</v>
      </c>
      <c r="AT1671">
        <f t="shared" ref="AT1671:AT1693" si="1180">ROUND(AS1671*AP1671,0)</f>
        <v>1934</v>
      </c>
      <c r="AU1671">
        <f t="shared" ref="AU1671:AU1693" si="1181">ROUND((AJ1671/100)*AP1671,0)</f>
        <v>333</v>
      </c>
      <c r="AV1671">
        <f t="shared" si="1173"/>
        <v>986</v>
      </c>
      <c r="AW1671">
        <f t="shared" si="1174"/>
        <v>362</v>
      </c>
      <c r="AX1671" s="3">
        <f t="shared" si="1175"/>
        <v>11460.01944106926</v>
      </c>
      <c r="AY1671">
        <f t="shared" si="1176"/>
        <v>967</v>
      </c>
      <c r="AZ1671">
        <f t="shared" si="1177"/>
        <v>363</v>
      </c>
      <c r="BA1671" s="3">
        <f t="shared" si="1178"/>
        <v>11478.01944106926</v>
      </c>
    </row>
    <row r="1672" spans="1:53" x14ac:dyDescent="0.2">
      <c r="A1672">
        <v>2002</v>
      </c>
      <c r="B1672" t="s">
        <v>130</v>
      </c>
      <c r="C1672" t="s">
        <v>1</v>
      </c>
      <c r="D1672">
        <v>7.6</v>
      </c>
      <c r="E1672">
        <v>0.3</v>
      </c>
      <c r="F1672">
        <v>5.0999999999999996</v>
      </c>
      <c r="G1672">
        <v>1</v>
      </c>
      <c r="H1672">
        <v>0</v>
      </c>
      <c r="I1672">
        <v>0</v>
      </c>
      <c r="J1672">
        <v>0</v>
      </c>
      <c r="K1672">
        <f t="shared" si="1162"/>
        <v>14</v>
      </c>
      <c r="L1672">
        <v>0</v>
      </c>
      <c r="M1672">
        <v>0</v>
      </c>
      <c r="N1672">
        <v>0</v>
      </c>
      <c r="O1672">
        <f t="shared" si="1163"/>
        <v>0</v>
      </c>
      <c r="P1672">
        <v>0</v>
      </c>
      <c r="Q1672">
        <v>0</v>
      </c>
      <c r="R1672">
        <v>0</v>
      </c>
      <c r="S1672">
        <f t="shared" si="1164"/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f t="shared" si="1165"/>
        <v>0</v>
      </c>
      <c r="AB1672">
        <v>0.1</v>
      </c>
      <c r="AC1672">
        <v>0</v>
      </c>
      <c r="AD1672">
        <v>1.6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 s="5">
        <f t="shared" si="1166"/>
        <v>1.7000000000000002</v>
      </c>
      <c r="AK1672">
        <v>0.7</v>
      </c>
      <c r="AL1672">
        <v>0.83499999999999996</v>
      </c>
      <c r="AM1672">
        <f t="shared" si="1171"/>
        <v>0.157</v>
      </c>
      <c r="AN1672">
        <v>6988</v>
      </c>
      <c r="AO1672" t="s">
        <v>13</v>
      </c>
      <c r="AP1672" s="3">
        <f t="shared" si="1172"/>
        <v>8289.4424673784106</v>
      </c>
      <c r="AQ1672" t="s">
        <v>13</v>
      </c>
      <c r="AR1672">
        <f t="shared" si="1167"/>
        <v>0.10828025477707007</v>
      </c>
      <c r="AS1672">
        <f t="shared" si="1179"/>
        <v>0.14000000000000001</v>
      </c>
      <c r="AT1672">
        <f t="shared" si="1180"/>
        <v>1161</v>
      </c>
      <c r="AU1672">
        <f t="shared" si="1181"/>
        <v>141</v>
      </c>
      <c r="AV1672">
        <f t="shared" si="1173"/>
        <v>580</v>
      </c>
      <c r="AW1672">
        <f t="shared" si="1174"/>
        <v>152</v>
      </c>
      <c r="AX1672" s="3">
        <f t="shared" si="1175"/>
        <v>7557.4424673784106</v>
      </c>
      <c r="AY1672">
        <f t="shared" si="1176"/>
        <v>580</v>
      </c>
      <c r="AZ1672">
        <f t="shared" si="1177"/>
        <v>152</v>
      </c>
      <c r="BA1672" s="3">
        <f t="shared" si="1178"/>
        <v>7557.4424673784106</v>
      </c>
    </row>
    <row r="1673" spans="1:53" x14ac:dyDescent="0.2">
      <c r="A1673">
        <v>2003</v>
      </c>
      <c r="B1673" t="s">
        <v>130</v>
      </c>
      <c r="C1673" t="s">
        <v>1</v>
      </c>
      <c r="D1673">
        <v>9.3000000000000007</v>
      </c>
      <c r="E1673">
        <v>0.1</v>
      </c>
      <c r="F1673">
        <v>5.5</v>
      </c>
      <c r="G1673">
        <v>1.6</v>
      </c>
      <c r="H1673">
        <v>0</v>
      </c>
      <c r="I1673">
        <v>0</v>
      </c>
      <c r="J1673">
        <v>0</v>
      </c>
      <c r="K1673">
        <f t="shared" si="1162"/>
        <v>16.5</v>
      </c>
      <c r="L1673">
        <v>0</v>
      </c>
      <c r="M1673">
        <v>0.3</v>
      </c>
      <c r="N1673">
        <v>0</v>
      </c>
      <c r="O1673">
        <f t="shared" si="1163"/>
        <v>0.3</v>
      </c>
      <c r="P1673">
        <v>0</v>
      </c>
      <c r="Q1673">
        <v>0</v>
      </c>
      <c r="R1673">
        <v>0</v>
      </c>
      <c r="S1673">
        <f t="shared" si="1164"/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f t="shared" si="1165"/>
        <v>0</v>
      </c>
      <c r="AB1673">
        <v>0</v>
      </c>
      <c r="AC1673">
        <v>0</v>
      </c>
      <c r="AD1673">
        <v>3.8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 s="5">
        <f t="shared" si="1166"/>
        <v>3.8</v>
      </c>
      <c r="AK1673">
        <v>0.3</v>
      </c>
      <c r="AL1673">
        <v>0.79200000000000004</v>
      </c>
      <c r="AM1673">
        <f t="shared" si="1171"/>
        <v>0.20600000000000002</v>
      </c>
      <c r="AN1673">
        <v>5546</v>
      </c>
      <c r="AO1673" t="s">
        <v>13</v>
      </c>
      <c r="AP1673" s="3">
        <f t="shared" si="1172"/>
        <v>6984.8866498740554</v>
      </c>
      <c r="AQ1673" t="s">
        <v>13</v>
      </c>
      <c r="AR1673">
        <f t="shared" si="1167"/>
        <v>0.1844660194174757</v>
      </c>
      <c r="AS1673">
        <f t="shared" si="1179"/>
        <v>0.16800000000000001</v>
      </c>
      <c r="AT1673">
        <f t="shared" si="1180"/>
        <v>1173</v>
      </c>
      <c r="AU1673">
        <f t="shared" si="1181"/>
        <v>265</v>
      </c>
      <c r="AV1673">
        <f t="shared" si="1173"/>
        <v>597</v>
      </c>
      <c r="AW1673">
        <f t="shared" si="1174"/>
        <v>291</v>
      </c>
      <c r="AX1673" s="3">
        <f t="shared" si="1175"/>
        <v>6096.8866498740554</v>
      </c>
      <c r="AY1673">
        <f t="shared" si="1176"/>
        <v>587</v>
      </c>
      <c r="AZ1673">
        <f t="shared" si="1177"/>
        <v>292</v>
      </c>
      <c r="BA1673" s="3">
        <f t="shared" si="1178"/>
        <v>6105.8866498740554</v>
      </c>
    </row>
    <row r="1674" spans="1:53" x14ac:dyDescent="0.2">
      <c r="A1674">
        <v>2004</v>
      </c>
      <c r="B1674" t="s">
        <v>130</v>
      </c>
      <c r="C1674" t="s">
        <v>1</v>
      </c>
      <c r="D1674">
        <v>6.2</v>
      </c>
      <c r="E1674">
        <v>9.5</v>
      </c>
      <c r="F1674">
        <v>3.9</v>
      </c>
      <c r="G1674">
        <v>0</v>
      </c>
      <c r="H1674">
        <v>0</v>
      </c>
      <c r="I1674">
        <v>0</v>
      </c>
      <c r="J1674">
        <v>0</v>
      </c>
      <c r="K1674">
        <f t="shared" si="1162"/>
        <v>19.599999999999998</v>
      </c>
      <c r="L1674">
        <v>0</v>
      </c>
      <c r="M1674">
        <v>0</v>
      </c>
      <c r="N1674">
        <v>0</v>
      </c>
      <c r="O1674">
        <f t="shared" si="1163"/>
        <v>0</v>
      </c>
      <c r="P1674">
        <v>0</v>
      </c>
      <c r="Q1674">
        <v>0</v>
      </c>
      <c r="R1674">
        <v>0</v>
      </c>
      <c r="S1674">
        <f t="shared" si="1164"/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f t="shared" si="1165"/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 s="5">
        <f t="shared" si="1166"/>
        <v>0</v>
      </c>
      <c r="AK1674">
        <v>0.8</v>
      </c>
      <c r="AL1674">
        <v>0.79700000000000004</v>
      </c>
      <c r="AM1674">
        <f t="shared" si="1171"/>
        <v>0.19599999999999998</v>
      </c>
      <c r="AN1674">
        <v>3963</v>
      </c>
      <c r="AO1674" t="s">
        <v>13</v>
      </c>
      <c r="AP1674" s="3">
        <f t="shared" si="1172"/>
        <v>4929.1044776119397</v>
      </c>
      <c r="AQ1674" t="s">
        <v>13</v>
      </c>
      <c r="AR1674">
        <f t="shared" si="1167"/>
        <v>0</v>
      </c>
      <c r="AS1674">
        <f t="shared" si="1179"/>
        <v>0.19599999999999998</v>
      </c>
      <c r="AT1674">
        <f t="shared" si="1180"/>
        <v>966</v>
      </c>
      <c r="AU1674">
        <f t="shared" si="1181"/>
        <v>0</v>
      </c>
      <c r="AV1674">
        <f t="shared" si="1173"/>
        <v>483</v>
      </c>
      <c r="AW1674">
        <f t="shared" si="1174"/>
        <v>0</v>
      </c>
      <c r="AX1674" s="3">
        <f t="shared" si="1175"/>
        <v>4446.1044776119397</v>
      </c>
      <c r="AY1674">
        <f t="shared" si="1176"/>
        <v>483</v>
      </c>
      <c r="AZ1674">
        <f t="shared" si="1177"/>
        <v>0</v>
      </c>
      <c r="BA1674" s="3">
        <f t="shared" si="1178"/>
        <v>4446.1044776119397</v>
      </c>
    </row>
    <row r="1675" spans="1:53" x14ac:dyDescent="0.2">
      <c r="A1675">
        <v>2005</v>
      </c>
      <c r="B1675" t="s">
        <v>130</v>
      </c>
      <c r="C1675" t="s">
        <v>1</v>
      </c>
      <c r="D1675">
        <v>19.100000000000001</v>
      </c>
      <c r="E1675">
        <v>1.9</v>
      </c>
      <c r="F1675">
        <v>9</v>
      </c>
      <c r="G1675">
        <v>0.3</v>
      </c>
      <c r="H1675">
        <v>0</v>
      </c>
      <c r="I1675">
        <v>0</v>
      </c>
      <c r="J1675">
        <v>0</v>
      </c>
      <c r="K1675">
        <f t="shared" si="1162"/>
        <v>30.3</v>
      </c>
      <c r="L1675">
        <v>0</v>
      </c>
      <c r="M1675">
        <v>0</v>
      </c>
      <c r="N1675">
        <v>1.9</v>
      </c>
      <c r="O1675">
        <f t="shared" si="1163"/>
        <v>1.9</v>
      </c>
      <c r="P1675">
        <v>0</v>
      </c>
      <c r="Q1675">
        <v>0</v>
      </c>
      <c r="R1675">
        <v>0</v>
      </c>
      <c r="S1675">
        <f t="shared" si="1164"/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f t="shared" si="1165"/>
        <v>0</v>
      </c>
      <c r="AB1675">
        <v>0</v>
      </c>
      <c r="AC1675">
        <v>0</v>
      </c>
      <c r="AD1675">
        <v>3.4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 s="5">
        <f t="shared" si="1166"/>
        <v>3.4</v>
      </c>
      <c r="AK1675">
        <v>0.1</v>
      </c>
      <c r="AL1675">
        <v>0.64200000000000002</v>
      </c>
      <c r="AM1675">
        <f t="shared" si="1171"/>
        <v>0.35599999999999993</v>
      </c>
      <c r="AN1675">
        <v>4742</v>
      </c>
      <c r="AO1675" t="s">
        <v>13</v>
      </c>
      <c r="AP1675" s="3">
        <f t="shared" si="1172"/>
        <v>7363.3540372670795</v>
      </c>
      <c r="AQ1675" t="s">
        <v>13</v>
      </c>
      <c r="AR1675">
        <f t="shared" si="1167"/>
        <v>9.5505617977528115E-2</v>
      </c>
      <c r="AS1675">
        <f t="shared" si="1179"/>
        <v>0.32200000000000001</v>
      </c>
      <c r="AT1675">
        <f t="shared" si="1180"/>
        <v>2371</v>
      </c>
      <c r="AU1675">
        <f t="shared" si="1181"/>
        <v>250</v>
      </c>
      <c r="AV1675">
        <f t="shared" si="1173"/>
        <v>1255</v>
      </c>
      <c r="AW1675">
        <f t="shared" si="1174"/>
        <v>306</v>
      </c>
      <c r="AX1675" s="3">
        <f t="shared" si="1175"/>
        <v>5802.3540372670795</v>
      </c>
      <c r="AY1675">
        <f t="shared" si="1176"/>
        <v>1186</v>
      </c>
      <c r="AZ1675">
        <f t="shared" si="1177"/>
        <v>309</v>
      </c>
      <c r="BA1675" s="3">
        <f t="shared" si="1178"/>
        <v>5868.3540372670795</v>
      </c>
    </row>
    <row r="1676" spans="1:53" x14ac:dyDescent="0.2">
      <c r="A1676">
        <v>2006</v>
      </c>
      <c r="B1676" t="s">
        <v>130</v>
      </c>
      <c r="C1676" t="s">
        <v>1</v>
      </c>
      <c r="D1676">
        <v>10.199999999999999</v>
      </c>
      <c r="E1676">
        <v>5.4</v>
      </c>
      <c r="F1676">
        <v>4</v>
      </c>
      <c r="G1676">
        <v>0.7</v>
      </c>
      <c r="H1676">
        <v>0</v>
      </c>
      <c r="I1676">
        <v>0</v>
      </c>
      <c r="J1676">
        <v>0</v>
      </c>
      <c r="K1676">
        <f t="shared" si="1162"/>
        <v>20.3</v>
      </c>
      <c r="L1676">
        <v>0</v>
      </c>
      <c r="M1676">
        <v>0</v>
      </c>
      <c r="N1676">
        <v>0</v>
      </c>
      <c r="O1676">
        <f t="shared" si="1163"/>
        <v>0</v>
      </c>
      <c r="P1676">
        <v>0</v>
      </c>
      <c r="Q1676">
        <v>0</v>
      </c>
      <c r="R1676">
        <v>0</v>
      </c>
      <c r="S1676">
        <f t="shared" si="1164"/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f t="shared" si="1165"/>
        <v>0</v>
      </c>
      <c r="AB1676">
        <v>0</v>
      </c>
      <c r="AC1676">
        <v>0.1</v>
      </c>
      <c r="AD1676">
        <v>4.9000000000000004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 s="5">
        <f t="shared" si="1166"/>
        <v>5</v>
      </c>
      <c r="AK1676">
        <v>0</v>
      </c>
      <c r="AL1676">
        <v>0.747</v>
      </c>
      <c r="AM1676">
        <f t="shared" si="1171"/>
        <v>0.253</v>
      </c>
      <c r="AN1676">
        <v>5645</v>
      </c>
      <c r="AO1676" t="s">
        <v>13</v>
      </c>
      <c r="AP1676" s="3">
        <f t="shared" si="1172"/>
        <v>7556.8942436412317</v>
      </c>
      <c r="AQ1676" t="s">
        <v>13</v>
      </c>
      <c r="AR1676">
        <f t="shared" si="1167"/>
        <v>0.19762845849802371</v>
      </c>
      <c r="AS1676">
        <f t="shared" si="1179"/>
        <v>0.20300000000000001</v>
      </c>
      <c r="AT1676">
        <f t="shared" si="1180"/>
        <v>1534</v>
      </c>
      <c r="AU1676">
        <f t="shared" si="1181"/>
        <v>378</v>
      </c>
      <c r="AV1676">
        <f t="shared" si="1173"/>
        <v>767</v>
      </c>
      <c r="AW1676">
        <f t="shared" si="1174"/>
        <v>426</v>
      </c>
      <c r="AX1676" s="3">
        <f t="shared" si="1175"/>
        <v>6363.8942436412317</v>
      </c>
      <c r="AY1676">
        <f t="shared" si="1176"/>
        <v>767</v>
      </c>
      <c r="AZ1676">
        <f t="shared" si="1177"/>
        <v>426</v>
      </c>
      <c r="BA1676" s="3">
        <f t="shared" si="1178"/>
        <v>6363.8942436412317</v>
      </c>
    </row>
    <row r="1677" spans="1:53" x14ac:dyDescent="0.2">
      <c r="A1677">
        <v>2007</v>
      </c>
      <c r="B1677" t="s">
        <v>130</v>
      </c>
      <c r="C1677" t="s">
        <v>1</v>
      </c>
      <c r="D1677">
        <v>15.6</v>
      </c>
      <c r="E1677">
        <v>3.6</v>
      </c>
      <c r="F1677">
        <v>4.4000000000000004</v>
      </c>
      <c r="G1677">
        <v>0.3</v>
      </c>
      <c r="H1677">
        <v>0</v>
      </c>
      <c r="I1677">
        <v>0</v>
      </c>
      <c r="J1677">
        <v>0</v>
      </c>
      <c r="K1677">
        <f t="shared" si="1162"/>
        <v>23.900000000000002</v>
      </c>
      <c r="L1677">
        <v>0</v>
      </c>
      <c r="M1677">
        <v>0.8</v>
      </c>
      <c r="N1677">
        <v>0</v>
      </c>
      <c r="O1677">
        <f t="shared" si="1163"/>
        <v>0.8</v>
      </c>
      <c r="P1677">
        <v>0</v>
      </c>
      <c r="Q1677">
        <v>0</v>
      </c>
      <c r="R1677">
        <v>0</v>
      </c>
      <c r="S1677">
        <f t="shared" si="1164"/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f t="shared" si="1165"/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 s="5">
        <f t="shared" si="1166"/>
        <v>0</v>
      </c>
      <c r="AK1677">
        <v>0</v>
      </c>
      <c r="AL1677">
        <v>0.753</v>
      </c>
      <c r="AM1677">
        <f t="shared" si="1171"/>
        <v>0.247</v>
      </c>
      <c r="AN1677">
        <v>5668</v>
      </c>
      <c r="AO1677" t="s">
        <v>13</v>
      </c>
      <c r="AP1677" s="3">
        <f t="shared" si="1172"/>
        <v>7527.2244355909697</v>
      </c>
      <c r="AQ1677" t="s">
        <v>13</v>
      </c>
      <c r="AR1677">
        <f t="shared" si="1167"/>
        <v>0</v>
      </c>
      <c r="AS1677">
        <f t="shared" si="1179"/>
        <v>0.24700000000000003</v>
      </c>
      <c r="AT1677">
        <f t="shared" si="1180"/>
        <v>1859</v>
      </c>
      <c r="AU1677">
        <f t="shared" si="1181"/>
        <v>0</v>
      </c>
      <c r="AV1677">
        <f t="shared" si="1173"/>
        <v>960</v>
      </c>
      <c r="AW1677">
        <f t="shared" si="1174"/>
        <v>0</v>
      </c>
      <c r="AX1677" s="3">
        <f t="shared" si="1175"/>
        <v>6567.2244355909697</v>
      </c>
      <c r="AY1677">
        <f t="shared" si="1176"/>
        <v>930</v>
      </c>
      <c r="AZ1677">
        <f t="shared" si="1177"/>
        <v>0</v>
      </c>
      <c r="BA1677" s="3">
        <f t="shared" si="1178"/>
        <v>6597.2244355909697</v>
      </c>
    </row>
    <row r="1678" spans="1:53" x14ac:dyDescent="0.2">
      <c r="A1678">
        <v>2008</v>
      </c>
      <c r="B1678" t="s">
        <v>130</v>
      </c>
      <c r="C1678" t="s">
        <v>1</v>
      </c>
      <c r="D1678">
        <v>13.3</v>
      </c>
      <c r="E1678">
        <v>3.4</v>
      </c>
      <c r="F1678">
        <v>1.4</v>
      </c>
      <c r="G1678">
        <v>0</v>
      </c>
      <c r="H1678">
        <v>2.4</v>
      </c>
      <c r="I1678">
        <v>0</v>
      </c>
      <c r="J1678">
        <v>0</v>
      </c>
      <c r="K1678">
        <f t="shared" si="1162"/>
        <v>20.499999999999996</v>
      </c>
      <c r="L1678">
        <v>0</v>
      </c>
      <c r="M1678">
        <v>0</v>
      </c>
      <c r="N1678">
        <v>0</v>
      </c>
      <c r="O1678">
        <f t="shared" si="1163"/>
        <v>0</v>
      </c>
      <c r="P1678">
        <v>0</v>
      </c>
      <c r="Q1678">
        <v>0</v>
      </c>
      <c r="R1678">
        <v>0</v>
      </c>
      <c r="S1678">
        <f t="shared" si="1164"/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f t="shared" si="1165"/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 s="5">
        <f t="shared" si="1166"/>
        <v>0</v>
      </c>
      <c r="AK1678">
        <v>1.7</v>
      </c>
      <c r="AL1678">
        <v>0.77800000000000002</v>
      </c>
      <c r="AM1678">
        <f t="shared" si="1171"/>
        <v>0.20499999999999996</v>
      </c>
      <c r="AN1678">
        <v>3104</v>
      </c>
      <c r="AO1678" t="s">
        <v>13</v>
      </c>
      <c r="AP1678" s="3">
        <f t="shared" si="1172"/>
        <v>3904.4025157232704</v>
      </c>
      <c r="AQ1678" t="s">
        <v>13</v>
      </c>
      <c r="AR1678">
        <f t="shared" si="1167"/>
        <v>0</v>
      </c>
      <c r="AS1678">
        <f t="shared" si="1179"/>
        <v>0.20499999999999996</v>
      </c>
      <c r="AT1678">
        <f t="shared" si="1180"/>
        <v>800</v>
      </c>
      <c r="AU1678">
        <f t="shared" si="1181"/>
        <v>0</v>
      </c>
      <c r="AV1678">
        <f t="shared" si="1173"/>
        <v>400</v>
      </c>
      <c r="AW1678">
        <f t="shared" si="1174"/>
        <v>0</v>
      </c>
      <c r="AX1678" s="3">
        <f t="shared" si="1175"/>
        <v>3504.4025157232704</v>
      </c>
      <c r="AY1678">
        <f t="shared" si="1176"/>
        <v>400</v>
      </c>
      <c r="AZ1678">
        <f t="shared" si="1177"/>
        <v>0</v>
      </c>
      <c r="BA1678" s="3">
        <f t="shared" si="1178"/>
        <v>3504.4025157232704</v>
      </c>
    </row>
    <row r="1679" spans="1:53" x14ac:dyDescent="0.2">
      <c r="A1679">
        <v>2009</v>
      </c>
      <c r="B1679" t="s">
        <v>130</v>
      </c>
      <c r="C1679" t="s">
        <v>1</v>
      </c>
      <c r="D1679">
        <v>10.6</v>
      </c>
      <c r="E1679">
        <v>0.8</v>
      </c>
      <c r="F1679">
        <v>9.3000000000000007</v>
      </c>
      <c r="G1679">
        <v>0</v>
      </c>
      <c r="H1679">
        <v>0</v>
      </c>
      <c r="I1679">
        <v>0</v>
      </c>
      <c r="J1679">
        <v>0</v>
      </c>
      <c r="K1679">
        <f t="shared" si="1162"/>
        <v>20.700000000000003</v>
      </c>
      <c r="L1679">
        <v>0</v>
      </c>
      <c r="M1679">
        <v>0</v>
      </c>
      <c r="N1679">
        <v>0</v>
      </c>
      <c r="O1679">
        <f t="shared" si="1163"/>
        <v>0</v>
      </c>
      <c r="P1679">
        <v>0</v>
      </c>
      <c r="Q1679">
        <v>0</v>
      </c>
      <c r="R1679">
        <v>0</v>
      </c>
      <c r="S1679">
        <f t="shared" si="1164"/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f t="shared" si="1165"/>
        <v>0</v>
      </c>
      <c r="AB1679">
        <v>0</v>
      </c>
      <c r="AC1679">
        <v>0</v>
      </c>
      <c r="AD1679">
        <v>7.2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 s="5">
        <f t="shared" si="1166"/>
        <v>7.2</v>
      </c>
      <c r="AK1679">
        <v>0.2</v>
      </c>
      <c r="AL1679">
        <v>0.71900000000000008</v>
      </c>
      <c r="AM1679">
        <f t="shared" si="1171"/>
        <v>0.27900000000000003</v>
      </c>
      <c r="AN1679">
        <v>3157</v>
      </c>
      <c r="AO1679" t="s">
        <v>13</v>
      </c>
      <c r="AP1679" s="3">
        <f t="shared" si="1172"/>
        <v>4378.6407766990296</v>
      </c>
      <c r="AQ1679" t="s">
        <v>13</v>
      </c>
      <c r="AR1679">
        <f t="shared" si="1167"/>
        <v>0.25806451612903225</v>
      </c>
      <c r="AS1679">
        <f t="shared" si="1179"/>
        <v>0.20700000000000002</v>
      </c>
      <c r="AT1679">
        <f t="shared" si="1180"/>
        <v>906</v>
      </c>
      <c r="AU1679">
        <f t="shared" si="1181"/>
        <v>315</v>
      </c>
      <c r="AV1679">
        <f t="shared" si="1173"/>
        <v>453</v>
      </c>
      <c r="AW1679">
        <f t="shared" si="1174"/>
        <v>356</v>
      </c>
      <c r="AX1679" s="3">
        <f t="shared" si="1175"/>
        <v>3569.6407766990296</v>
      </c>
      <c r="AY1679">
        <f t="shared" si="1176"/>
        <v>453</v>
      </c>
      <c r="AZ1679">
        <f t="shared" si="1177"/>
        <v>356</v>
      </c>
      <c r="BA1679" s="3">
        <f t="shared" si="1178"/>
        <v>3569.6407766990296</v>
      </c>
    </row>
    <row r="1680" spans="1:53" x14ac:dyDescent="0.2">
      <c r="A1680">
        <v>2010</v>
      </c>
      <c r="B1680" t="s">
        <v>130</v>
      </c>
      <c r="C1680" t="s">
        <v>1</v>
      </c>
      <c r="D1680">
        <v>15.5</v>
      </c>
      <c r="E1680">
        <v>0.7</v>
      </c>
      <c r="F1680">
        <v>10.6</v>
      </c>
      <c r="G1680">
        <v>0.7</v>
      </c>
      <c r="H1680">
        <v>0</v>
      </c>
      <c r="I1680">
        <v>0</v>
      </c>
      <c r="J1680">
        <v>0</v>
      </c>
      <c r="K1680">
        <f t="shared" si="1162"/>
        <v>27.499999999999996</v>
      </c>
      <c r="L1680">
        <v>0</v>
      </c>
      <c r="M1680">
        <v>0</v>
      </c>
      <c r="N1680">
        <v>0</v>
      </c>
      <c r="O1680">
        <f t="shared" si="1163"/>
        <v>0</v>
      </c>
      <c r="P1680">
        <v>0</v>
      </c>
      <c r="Q1680">
        <v>0</v>
      </c>
      <c r="R1680">
        <v>0</v>
      </c>
      <c r="S1680">
        <f t="shared" si="1164"/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f t="shared" si="1165"/>
        <v>0</v>
      </c>
      <c r="AB1680">
        <v>0</v>
      </c>
      <c r="AC1680">
        <v>0</v>
      </c>
      <c r="AD1680">
        <v>1.1000000000000001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 s="5">
        <f t="shared" si="1166"/>
        <v>1.1000000000000001</v>
      </c>
      <c r="AK1680">
        <v>4.0999999999999996</v>
      </c>
      <c r="AL1680">
        <v>0.67400000000000004</v>
      </c>
      <c r="AM1680">
        <f t="shared" si="1171"/>
        <v>0.28599999999999998</v>
      </c>
      <c r="AN1680">
        <v>3835</v>
      </c>
      <c r="AO1680" t="s">
        <v>13</v>
      </c>
      <c r="AP1680" s="3">
        <f t="shared" si="1172"/>
        <v>5371.148459383754</v>
      </c>
      <c r="AQ1680" t="s">
        <v>13</v>
      </c>
      <c r="AR1680">
        <f t="shared" si="1167"/>
        <v>3.8461538461538471E-2</v>
      </c>
      <c r="AS1680">
        <f t="shared" si="1179"/>
        <v>0.27499999999999997</v>
      </c>
      <c r="AT1680">
        <f t="shared" si="1180"/>
        <v>1477</v>
      </c>
      <c r="AU1680">
        <f t="shared" si="1181"/>
        <v>59</v>
      </c>
      <c r="AV1680">
        <f t="shared" si="1173"/>
        <v>739</v>
      </c>
      <c r="AW1680">
        <f t="shared" si="1174"/>
        <v>70</v>
      </c>
      <c r="AX1680" s="3">
        <f t="shared" si="1175"/>
        <v>4562.148459383754</v>
      </c>
      <c r="AY1680">
        <f t="shared" si="1176"/>
        <v>739</v>
      </c>
      <c r="AZ1680">
        <f t="shared" si="1177"/>
        <v>70</v>
      </c>
      <c r="BA1680" s="3">
        <f t="shared" si="1178"/>
        <v>4562.148459383754</v>
      </c>
    </row>
    <row r="1681" spans="1:53" x14ac:dyDescent="0.2">
      <c r="A1681">
        <v>2011</v>
      </c>
      <c r="B1681" t="s">
        <v>130</v>
      </c>
      <c r="C1681" t="s">
        <v>1</v>
      </c>
      <c r="D1681">
        <v>17.3</v>
      </c>
      <c r="E1681">
        <v>3</v>
      </c>
      <c r="F1681">
        <v>2.7</v>
      </c>
      <c r="G1681">
        <v>0</v>
      </c>
      <c r="H1681">
        <v>0</v>
      </c>
      <c r="I1681">
        <v>0</v>
      </c>
      <c r="J1681">
        <v>0</v>
      </c>
      <c r="K1681">
        <f t="shared" si="1162"/>
        <v>23</v>
      </c>
      <c r="L1681">
        <v>0</v>
      </c>
      <c r="M1681">
        <v>0</v>
      </c>
      <c r="N1681">
        <v>0</v>
      </c>
      <c r="O1681">
        <f t="shared" si="1163"/>
        <v>0</v>
      </c>
      <c r="P1681">
        <v>0</v>
      </c>
      <c r="Q1681">
        <v>0</v>
      </c>
      <c r="R1681">
        <v>0</v>
      </c>
      <c r="S1681">
        <f t="shared" si="1164"/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f t="shared" si="1165"/>
        <v>0</v>
      </c>
      <c r="AB1681">
        <v>0</v>
      </c>
      <c r="AC1681">
        <v>0</v>
      </c>
      <c r="AD1681">
        <v>6.9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 s="5">
        <f t="shared" si="1166"/>
        <v>6.9</v>
      </c>
      <c r="AK1681">
        <v>0</v>
      </c>
      <c r="AL1681">
        <v>0.70200000000000007</v>
      </c>
      <c r="AM1681">
        <f t="shared" si="1171"/>
        <v>0.29900000000000004</v>
      </c>
      <c r="AN1681">
        <v>3195</v>
      </c>
      <c r="AO1681" t="s">
        <v>13</v>
      </c>
      <c r="AP1681" s="3">
        <f t="shared" si="1172"/>
        <v>4557.7746077032816</v>
      </c>
      <c r="AQ1681" t="s">
        <v>13</v>
      </c>
      <c r="AR1681">
        <f t="shared" si="1167"/>
        <v>0.23076923076923075</v>
      </c>
      <c r="AS1681">
        <f t="shared" si="1179"/>
        <v>0.23</v>
      </c>
      <c r="AT1681">
        <f t="shared" si="1180"/>
        <v>1048</v>
      </c>
      <c r="AU1681">
        <f t="shared" si="1181"/>
        <v>314</v>
      </c>
      <c r="AV1681">
        <f t="shared" si="1173"/>
        <v>524</v>
      </c>
      <c r="AW1681">
        <f t="shared" si="1174"/>
        <v>361</v>
      </c>
      <c r="AX1681" s="3">
        <f t="shared" si="1175"/>
        <v>3672.7746077032816</v>
      </c>
      <c r="AY1681">
        <f t="shared" si="1176"/>
        <v>524</v>
      </c>
      <c r="AZ1681">
        <f t="shared" si="1177"/>
        <v>361</v>
      </c>
      <c r="BA1681" s="3">
        <f t="shared" si="1178"/>
        <v>3672.7746077032816</v>
      </c>
    </row>
    <row r="1682" spans="1:53" x14ac:dyDescent="0.2">
      <c r="A1682">
        <v>2012</v>
      </c>
      <c r="B1682" t="s">
        <v>130</v>
      </c>
      <c r="C1682" t="s">
        <v>1</v>
      </c>
      <c r="D1682">
        <v>29.8</v>
      </c>
      <c r="E1682">
        <v>3.7</v>
      </c>
      <c r="F1682">
        <v>13.2</v>
      </c>
      <c r="G1682">
        <v>0</v>
      </c>
      <c r="H1682">
        <v>1</v>
      </c>
      <c r="I1682">
        <v>0</v>
      </c>
      <c r="J1682">
        <v>0</v>
      </c>
      <c r="K1682">
        <f t="shared" si="1162"/>
        <v>47.7</v>
      </c>
      <c r="L1682">
        <v>0</v>
      </c>
      <c r="M1682">
        <v>0</v>
      </c>
      <c r="N1682">
        <v>4.5999999999999996</v>
      </c>
      <c r="O1682">
        <f t="shared" si="1163"/>
        <v>4.5999999999999996</v>
      </c>
      <c r="P1682">
        <v>0</v>
      </c>
      <c r="Q1682">
        <v>0</v>
      </c>
      <c r="R1682">
        <v>0</v>
      </c>
      <c r="S1682">
        <f t="shared" si="1164"/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f t="shared" si="1165"/>
        <v>0</v>
      </c>
      <c r="AB1682">
        <v>0</v>
      </c>
      <c r="AC1682">
        <v>1.5</v>
      </c>
      <c r="AD1682">
        <v>1.5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 s="5">
        <f t="shared" si="1166"/>
        <v>3</v>
      </c>
      <c r="AK1682">
        <v>0.5</v>
      </c>
      <c r="AL1682">
        <v>0.441</v>
      </c>
      <c r="AM1682">
        <f t="shared" si="1171"/>
        <v>0.55299999999999994</v>
      </c>
      <c r="AN1682">
        <v>956</v>
      </c>
      <c r="AO1682" t="s">
        <v>13</v>
      </c>
      <c r="AP1682" s="3">
        <f t="shared" si="1172"/>
        <v>2138.7024608501115</v>
      </c>
      <c r="AQ1682" t="s">
        <v>13</v>
      </c>
      <c r="AR1682">
        <f t="shared" si="1167"/>
        <v>5.4249547920434002E-2</v>
      </c>
      <c r="AS1682">
        <f t="shared" si="1179"/>
        <v>0.52300000000000002</v>
      </c>
      <c r="AT1682">
        <f t="shared" si="1180"/>
        <v>1119</v>
      </c>
      <c r="AU1682">
        <f t="shared" si="1181"/>
        <v>64</v>
      </c>
      <c r="AV1682">
        <f t="shared" si="1173"/>
        <v>608</v>
      </c>
      <c r="AW1682">
        <f t="shared" si="1174"/>
        <v>96</v>
      </c>
      <c r="AX1682" s="3">
        <f t="shared" si="1175"/>
        <v>1434.7024608501115</v>
      </c>
      <c r="AY1682">
        <f t="shared" si="1176"/>
        <v>559</v>
      </c>
      <c r="AZ1682">
        <f t="shared" si="1177"/>
        <v>99</v>
      </c>
      <c r="BA1682" s="3">
        <f t="shared" si="1178"/>
        <v>1480.7024608501115</v>
      </c>
    </row>
    <row r="1683" spans="1:53" x14ac:dyDescent="0.2">
      <c r="A1683">
        <v>2013</v>
      </c>
      <c r="B1683" t="s">
        <v>130</v>
      </c>
      <c r="C1683" t="s">
        <v>1</v>
      </c>
      <c r="D1683">
        <v>16.399999999999999</v>
      </c>
      <c r="E1683">
        <v>6.3</v>
      </c>
      <c r="F1683">
        <v>9.3000000000000007</v>
      </c>
      <c r="G1683">
        <v>0</v>
      </c>
      <c r="H1683">
        <v>1.1000000000000001</v>
      </c>
      <c r="I1683">
        <v>0</v>
      </c>
      <c r="J1683">
        <v>0</v>
      </c>
      <c r="K1683">
        <f t="shared" si="1162"/>
        <v>33.1</v>
      </c>
      <c r="L1683">
        <v>0</v>
      </c>
      <c r="M1683">
        <v>0</v>
      </c>
      <c r="N1683">
        <v>0</v>
      </c>
      <c r="O1683">
        <f t="shared" si="1163"/>
        <v>0</v>
      </c>
      <c r="P1683">
        <v>0</v>
      </c>
      <c r="Q1683">
        <v>0</v>
      </c>
      <c r="R1683">
        <v>0</v>
      </c>
      <c r="S1683">
        <f t="shared" si="1164"/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f t="shared" si="1165"/>
        <v>0</v>
      </c>
      <c r="AB1683">
        <v>0</v>
      </c>
      <c r="AC1683">
        <v>3.9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 s="5">
        <f t="shared" si="1166"/>
        <v>3.9</v>
      </c>
      <c r="AK1683">
        <v>0</v>
      </c>
      <c r="AL1683">
        <v>0.63</v>
      </c>
      <c r="AM1683">
        <f t="shared" si="1171"/>
        <v>0.37</v>
      </c>
      <c r="AN1683">
        <v>1135</v>
      </c>
      <c r="AO1683" t="s">
        <v>13</v>
      </c>
      <c r="AP1683" s="3">
        <f t="shared" si="1172"/>
        <v>1801.5873015873017</v>
      </c>
      <c r="AQ1683" t="s">
        <v>13</v>
      </c>
      <c r="AR1683">
        <f t="shared" si="1167"/>
        <v>0.10540540540540541</v>
      </c>
      <c r="AS1683">
        <f t="shared" si="1179"/>
        <v>0.33100000000000002</v>
      </c>
      <c r="AT1683">
        <f t="shared" si="1180"/>
        <v>596</v>
      </c>
      <c r="AU1683">
        <f t="shared" si="1181"/>
        <v>70</v>
      </c>
      <c r="AV1683">
        <f t="shared" si="1173"/>
        <v>298</v>
      </c>
      <c r="AW1683">
        <f t="shared" si="1174"/>
        <v>87</v>
      </c>
      <c r="AX1683" s="3">
        <f t="shared" si="1175"/>
        <v>1416.5873015873017</v>
      </c>
      <c r="AY1683">
        <f t="shared" si="1176"/>
        <v>298</v>
      </c>
      <c r="AZ1683">
        <f t="shared" si="1177"/>
        <v>87</v>
      </c>
      <c r="BA1683" s="3">
        <f t="shared" si="1178"/>
        <v>1416.5873015873017</v>
      </c>
    </row>
    <row r="1684" spans="1:53" x14ac:dyDescent="0.2">
      <c r="A1684">
        <v>2014</v>
      </c>
      <c r="B1684" t="s">
        <v>130</v>
      </c>
      <c r="C1684" t="s">
        <v>1</v>
      </c>
      <c r="D1684">
        <v>23.4</v>
      </c>
      <c r="E1684">
        <v>4.8</v>
      </c>
      <c r="F1684">
        <v>4.0999999999999996</v>
      </c>
      <c r="G1684">
        <v>0</v>
      </c>
      <c r="H1684">
        <v>0</v>
      </c>
      <c r="I1684">
        <v>0</v>
      </c>
      <c r="J1684">
        <v>0</v>
      </c>
      <c r="K1684">
        <f t="shared" si="1162"/>
        <v>32.299999999999997</v>
      </c>
      <c r="L1684">
        <v>0</v>
      </c>
      <c r="M1684">
        <v>0</v>
      </c>
      <c r="N1684">
        <v>0</v>
      </c>
      <c r="O1684">
        <f t="shared" si="1163"/>
        <v>0</v>
      </c>
      <c r="P1684">
        <v>0</v>
      </c>
      <c r="Q1684">
        <v>0</v>
      </c>
      <c r="R1684">
        <v>0</v>
      </c>
      <c r="S1684">
        <f t="shared" si="1164"/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f t="shared" si="1165"/>
        <v>0</v>
      </c>
      <c r="AB1684">
        <v>0</v>
      </c>
      <c r="AC1684">
        <v>4.2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 s="5">
        <f t="shared" si="1166"/>
        <v>4.2</v>
      </c>
      <c r="AK1684">
        <v>0</v>
      </c>
      <c r="AL1684">
        <v>0.63500000000000001</v>
      </c>
      <c r="AM1684">
        <f t="shared" si="1171"/>
        <v>0.36499999999999999</v>
      </c>
      <c r="AN1684">
        <v>1691</v>
      </c>
      <c r="AO1684" t="s">
        <v>13</v>
      </c>
      <c r="AP1684" s="3">
        <f t="shared" si="1172"/>
        <v>2662.9921259842517</v>
      </c>
      <c r="AQ1684" t="s">
        <v>13</v>
      </c>
      <c r="AR1684">
        <f t="shared" si="1167"/>
        <v>0.11506849315068494</v>
      </c>
      <c r="AS1684">
        <f t="shared" si="1179"/>
        <v>0.32299999999999995</v>
      </c>
      <c r="AT1684">
        <f t="shared" si="1180"/>
        <v>860</v>
      </c>
      <c r="AU1684">
        <f t="shared" si="1181"/>
        <v>112</v>
      </c>
      <c r="AV1684">
        <f t="shared" si="1173"/>
        <v>430</v>
      </c>
      <c r="AW1684">
        <f t="shared" si="1174"/>
        <v>139</v>
      </c>
      <c r="AX1684" s="3">
        <f t="shared" si="1175"/>
        <v>2093.9921259842517</v>
      </c>
      <c r="AY1684">
        <f t="shared" si="1176"/>
        <v>430</v>
      </c>
      <c r="AZ1684">
        <f t="shared" si="1177"/>
        <v>139</v>
      </c>
      <c r="BA1684" s="3">
        <f t="shared" si="1178"/>
        <v>2093.9921259842517</v>
      </c>
    </row>
    <row r="1685" spans="1:53" x14ac:dyDescent="0.2">
      <c r="A1685">
        <v>2015</v>
      </c>
      <c r="B1685" t="s">
        <v>130</v>
      </c>
      <c r="C1685" t="s">
        <v>1</v>
      </c>
      <c r="D1685">
        <v>23.7</v>
      </c>
      <c r="E1685">
        <v>3.7</v>
      </c>
      <c r="F1685">
        <v>1.5</v>
      </c>
      <c r="G1685">
        <v>0</v>
      </c>
      <c r="H1685">
        <v>0</v>
      </c>
      <c r="I1685">
        <v>0</v>
      </c>
      <c r="J1685">
        <v>0</v>
      </c>
      <c r="K1685">
        <f t="shared" si="1162"/>
        <v>28.9</v>
      </c>
      <c r="L1685">
        <v>0</v>
      </c>
      <c r="M1685">
        <v>0</v>
      </c>
      <c r="N1685">
        <v>0</v>
      </c>
      <c r="O1685">
        <f t="shared" si="1163"/>
        <v>0</v>
      </c>
      <c r="P1685">
        <v>0</v>
      </c>
      <c r="Q1685">
        <v>0</v>
      </c>
      <c r="R1685">
        <v>0</v>
      </c>
      <c r="S1685">
        <f t="shared" si="1164"/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f t="shared" si="1165"/>
        <v>0</v>
      </c>
      <c r="AB1685">
        <v>0.5</v>
      </c>
      <c r="AC1685">
        <v>3</v>
      </c>
      <c r="AD1685">
        <v>1.5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 s="5">
        <f t="shared" si="1166"/>
        <v>5</v>
      </c>
      <c r="AK1685">
        <v>0</v>
      </c>
      <c r="AL1685">
        <v>0.66</v>
      </c>
      <c r="AM1685">
        <f t="shared" si="1171"/>
        <v>0.33899999999999997</v>
      </c>
      <c r="AN1685">
        <v>2623</v>
      </c>
      <c r="AO1685" t="s">
        <v>13</v>
      </c>
      <c r="AP1685" s="3">
        <f t="shared" si="1172"/>
        <v>3968.2299546142208</v>
      </c>
      <c r="AQ1685" t="s">
        <v>13</v>
      </c>
      <c r="AR1685">
        <f t="shared" si="1167"/>
        <v>0.14749262536873159</v>
      </c>
      <c r="AS1685">
        <f t="shared" si="1179"/>
        <v>0.28899999999999998</v>
      </c>
      <c r="AT1685">
        <f t="shared" si="1180"/>
        <v>1147</v>
      </c>
      <c r="AU1685">
        <f t="shared" si="1181"/>
        <v>198</v>
      </c>
      <c r="AV1685">
        <f t="shared" si="1173"/>
        <v>573</v>
      </c>
      <c r="AW1685">
        <f t="shared" si="1174"/>
        <v>238</v>
      </c>
      <c r="AX1685" s="3">
        <f t="shared" si="1175"/>
        <v>3157.2299546142208</v>
      </c>
      <c r="AY1685">
        <f t="shared" si="1176"/>
        <v>573</v>
      </c>
      <c r="AZ1685">
        <f t="shared" si="1177"/>
        <v>238</v>
      </c>
      <c r="BA1685" s="3">
        <f t="shared" si="1178"/>
        <v>3157.2299546142208</v>
      </c>
    </row>
    <row r="1686" spans="1:53" x14ac:dyDescent="0.2">
      <c r="A1686">
        <v>2016</v>
      </c>
      <c r="B1686" t="s">
        <v>130</v>
      </c>
      <c r="C1686" t="s">
        <v>1</v>
      </c>
      <c r="D1686">
        <v>20.2</v>
      </c>
      <c r="E1686">
        <v>12.9</v>
      </c>
      <c r="F1686">
        <v>4.9000000000000004</v>
      </c>
      <c r="G1686">
        <v>0</v>
      </c>
      <c r="H1686">
        <v>2.8</v>
      </c>
      <c r="I1686">
        <v>0</v>
      </c>
      <c r="J1686">
        <v>0</v>
      </c>
      <c r="K1686">
        <f t="shared" si="1162"/>
        <v>40.799999999999997</v>
      </c>
      <c r="L1686">
        <v>0</v>
      </c>
      <c r="M1686">
        <v>0</v>
      </c>
      <c r="N1686">
        <v>0</v>
      </c>
      <c r="O1686">
        <f t="shared" si="1163"/>
        <v>0</v>
      </c>
      <c r="P1686">
        <v>0</v>
      </c>
      <c r="Q1686">
        <v>0</v>
      </c>
      <c r="R1686">
        <v>0</v>
      </c>
      <c r="S1686">
        <f t="shared" si="1164"/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f t="shared" si="1165"/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 s="5">
        <f t="shared" si="1166"/>
        <v>0</v>
      </c>
      <c r="AK1686">
        <v>0</v>
      </c>
      <c r="AL1686">
        <v>0.59200000000000008</v>
      </c>
      <c r="AM1686">
        <f t="shared" si="1171"/>
        <v>0.40799999999999997</v>
      </c>
      <c r="AN1686">
        <v>1463</v>
      </c>
      <c r="AO1686" t="s">
        <v>13</v>
      </c>
      <c r="AP1686" s="3">
        <f t="shared" si="1172"/>
        <v>2471.2837837837833</v>
      </c>
      <c r="AQ1686" t="s">
        <v>13</v>
      </c>
      <c r="AR1686">
        <f t="shared" si="1167"/>
        <v>0</v>
      </c>
      <c r="AS1686">
        <f t="shared" si="1179"/>
        <v>0.40799999999999997</v>
      </c>
      <c r="AT1686">
        <f t="shared" si="1180"/>
        <v>1008</v>
      </c>
      <c r="AU1686">
        <f t="shared" si="1181"/>
        <v>0</v>
      </c>
      <c r="AV1686">
        <f t="shared" si="1173"/>
        <v>504</v>
      </c>
      <c r="AW1686">
        <f t="shared" si="1174"/>
        <v>0</v>
      </c>
      <c r="AX1686" s="3">
        <f t="shared" si="1175"/>
        <v>1967.2837837837833</v>
      </c>
      <c r="AY1686">
        <f t="shared" si="1176"/>
        <v>504</v>
      </c>
      <c r="AZ1686">
        <f t="shared" si="1177"/>
        <v>0</v>
      </c>
      <c r="BA1686" s="3">
        <f t="shared" si="1178"/>
        <v>1967.2837837837833</v>
      </c>
    </row>
    <row r="1687" spans="1:53" x14ac:dyDescent="0.2">
      <c r="A1687">
        <v>2017</v>
      </c>
      <c r="B1687" t="s">
        <v>130</v>
      </c>
      <c r="C1687" t="s">
        <v>1</v>
      </c>
      <c r="D1687">
        <v>7.5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f t="shared" ref="K1687:K1693" si="1182">SUM(D1687:J1687)</f>
        <v>7.5</v>
      </c>
      <c r="L1687">
        <v>0</v>
      </c>
      <c r="M1687">
        <v>1.3</v>
      </c>
      <c r="N1687">
        <v>0</v>
      </c>
      <c r="O1687">
        <f t="shared" ref="O1687:O1693" si="1183">SUM(L1687:N1687)</f>
        <v>1.3</v>
      </c>
      <c r="P1687">
        <v>0</v>
      </c>
      <c r="Q1687">
        <v>0</v>
      </c>
      <c r="R1687">
        <v>0</v>
      </c>
      <c r="S1687">
        <f t="shared" ref="S1687:S1693" si="1184">SUM(P1687:R1687)</f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f t="shared" ref="AA1687:AA1693" si="1185">SUM(T1687:Z1687)</f>
        <v>0</v>
      </c>
      <c r="AB1687">
        <v>0</v>
      </c>
      <c r="AC1687">
        <v>3.1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 s="5">
        <f t="shared" ref="AJ1687:AJ1693" si="1186">SUM(AB1687:AI1687)</f>
        <v>3.1</v>
      </c>
      <c r="AK1687">
        <v>0</v>
      </c>
      <c r="AL1687">
        <v>0.88099999999999989</v>
      </c>
      <c r="AM1687">
        <f t="shared" si="1171"/>
        <v>0.11900000000000001</v>
      </c>
      <c r="AN1687">
        <v>1203</v>
      </c>
      <c r="AO1687" t="s">
        <v>13</v>
      </c>
      <c r="AP1687" s="3">
        <f t="shared" si="1172"/>
        <v>1365.4937570942111</v>
      </c>
      <c r="AQ1687" t="s">
        <v>13</v>
      </c>
      <c r="AR1687">
        <f t="shared" si="1167"/>
        <v>0.26050420168067223</v>
      </c>
      <c r="AS1687">
        <f t="shared" si="1179"/>
        <v>8.8000000000000009E-2</v>
      </c>
      <c r="AT1687">
        <f t="shared" si="1180"/>
        <v>120</v>
      </c>
      <c r="AU1687">
        <f t="shared" si="1181"/>
        <v>42</v>
      </c>
      <c r="AV1687">
        <f t="shared" si="1173"/>
        <v>69</v>
      </c>
      <c r="AW1687">
        <f t="shared" si="1174"/>
        <v>44</v>
      </c>
      <c r="AX1687" s="3">
        <f t="shared" si="1175"/>
        <v>1252.4937570942111</v>
      </c>
      <c r="AY1687">
        <f t="shared" si="1176"/>
        <v>60</v>
      </c>
      <c r="AZ1687">
        <f t="shared" si="1177"/>
        <v>44</v>
      </c>
      <c r="BA1687" s="3">
        <f t="shared" si="1178"/>
        <v>1261.4937570942111</v>
      </c>
    </row>
    <row r="1688" spans="1:53" x14ac:dyDescent="0.2">
      <c r="A1688">
        <v>2018</v>
      </c>
      <c r="B1688" t="s">
        <v>130</v>
      </c>
      <c r="C1688" t="s">
        <v>1</v>
      </c>
      <c r="D1688">
        <v>7.9</v>
      </c>
      <c r="E1688">
        <v>5.3</v>
      </c>
      <c r="F1688">
        <v>2</v>
      </c>
      <c r="G1688">
        <v>0</v>
      </c>
      <c r="H1688">
        <v>0</v>
      </c>
      <c r="I1688">
        <v>0</v>
      </c>
      <c r="J1688">
        <v>0</v>
      </c>
      <c r="K1688">
        <f t="shared" si="1182"/>
        <v>15.2</v>
      </c>
      <c r="L1688">
        <v>0</v>
      </c>
      <c r="M1688">
        <v>0</v>
      </c>
      <c r="N1688">
        <v>0</v>
      </c>
      <c r="O1688">
        <f t="shared" si="1183"/>
        <v>0</v>
      </c>
      <c r="P1688">
        <v>0</v>
      </c>
      <c r="Q1688">
        <v>0</v>
      </c>
      <c r="R1688">
        <v>0</v>
      </c>
      <c r="S1688">
        <f t="shared" si="1184"/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f t="shared" si="1185"/>
        <v>0</v>
      </c>
      <c r="AB1688">
        <v>0.4</v>
      </c>
      <c r="AC1688">
        <v>7.2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 s="5">
        <f t="shared" si="1186"/>
        <v>7.6000000000000005</v>
      </c>
      <c r="AK1688">
        <v>0</v>
      </c>
      <c r="AL1688">
        <v>0.77300000000000002</v>
      </c>
      <c r="AM1688">
        <f t="shared" si="1171"/>
        <v>0.22800000000000001</v>
      </c>
      <c r="AN1688">
        <v>1971</v>
      </c>
      <c r="AO1688" t="s">
        <v>13</v>
      </c>
      <c r="AP1688" s="3">
        <f t="shared" si="1172"/>
        <v>2553.1088082901556</v>
      </c>
      <c r="AQ1688" t="s">
        <v>13</v>
      </c>
      <c r="AR1688">
        <f t="shared" si="1167"/>
        <v>0.33333333333333337</v>
      </c>
      <c r="AS1688">
        <f t="shared" si="1179"/>
        <v>0.152</v>
      </c>
      <c r="AT1688">
        <f t="shared" si="1180"/>
        <v>388</v>
      </c>
      <c r="AU1688">
        <f t="shared" si="1181"/>
        <v>194</v>
      </c>
      <c r="AV1688">
        <f t="shared" si="1173"/>
        <v>194</v>
      </c>
      <c r="AW1688">
        <f t="shared" si="1174"/>
        <v>211</v>
      </c>
      <c r="AX1688" s="3">
        <f t="shared" si="1175"/>
        <v>2148.1088082901556</v>
      </c>
      <c r="AY1688">
        <f t="shared" si="1176"/>
        <v>194</v>
      </c>
      <c r="AZ1688">
        <f t="shared" si="1177"/>
        <v>211</v>
      </c>
      <c r="BA1688" s="3">
        <f t="shared" si="1178"/>
        <v>2148.1088082901556</v>
      </c>
    </row>
    <row r="1689" spans="1:53" x14ac:dyDescent="0.2">
      <c r="A1689">
        <v>2019</v>
      </c>
      <c r="B1689" t="s">
        <v>130</v>
      </c>
      <c r="C1689" t="s">
        <v>1</v>
      </c>
      <c r="D1689">
        <v>3.4</v>
      </c>
      <c r="E1689">
        <v>1</v>
      </c>
      <c r="F1689">
        <v>2</v>
      </c>
      <c r="G1689">
        <v>0</v>
      </c>
      <c r="H1689">
        <v>0.9</v>
      </c>
      <c r="I1689">
        <v>0</v>
      </c>
      <c r="J1689">
        <v>0</v>
      </c>
      <c r="K1689">
        <f t="shared" si="1182"/>
        <v>7.3000000000000007</v>
      </c>
      <c r="L1689">
        <v>0</v>
      </c>
      <c r="M1689">
        <v>0</v>
      </c>
      <c r="N1689">
        <v>1.8</v>
      </c>
      <c r="O1689">
        <f t="shared" si="1183"/>
        <v>1.8</v>
      </c>
      <c r="P1689">
        <v>0</v>
      </c>
      <c r="Q1689">
        <v>0</v>
      </c>
      <c r="R1689">
        <v>0</v>
      </c>
      <c r="S1689">
        <f t="shared" si="1184"/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f t="shared" si="1185"/>
        <v>0</v>
      </c>
      <c r="AB1689">
        <v>0.5</v>
      </c>
      <c r="AC1689">
        <v>2.5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 s="5">
        <f t="shared" si="1186"/>
        <v>3</v>
      </c>
      <c r="AK1689">
        <v>0</v>
      </c>
      <c r="AL1689">
        <v>0.88</v>
      </c>
      <c r="AM1689">
        <f t="shared" si="1171"/>
        <v>0.121</v>
      </c>
      <c r="AN1689">
        <v>3115</v>
      </c>
      <c r="AO1689" t="s">
        <v>13</v>
      </c>
      <c r="AP1689" s="3">
        <f t="shared" si="1172"/>
        <v>3543.7997724687143</v>
      </c>
      <c r="AQ1689" t="s">
        <v>13</v>
      </c>
      <c r="AR1689">
        <f t="shared" si="1167"/>
        <v>0.24793388429752067</v>
      </c>
      <c r="AS1689">
        <f t="shared" si="1179"/>
        <v>9.1000000000000011E-2</v>
      </c>
      <c r="AT1689">
        <f t="shared" si="1180"/>
        <v>322</v>
      </c>
      <c r="AU1689">
        <f t="shared" si="1181"/>
        <v>106</v>
      </c>
      <c r="AV1689">
        <f t="shared" si="1173"/>
        <v>193</v>
      </c>
      <c r="AW1689">
        <f t="shared" si="1174"/>
        <v>110</v>
      </c>
      <c r="AX1689" s="3">
        <f t="shared" si="1175"/>
        <v>3240.7997724687143</v>
      </c>
      <c r="AY1689">
        <f t="shared" si="1176"/>
        <v>161</v>
      </c>
      <c r="AZ1689">
        <f t="shared" si="1177"/>
        <v>111</v>
      </c>
      <c r="BA1689" s="3">
        <f t="shared" si="1178"/>
        <v>3271.7997724687143</v>
      </c>
    </row>
    <row r="1690" spans="1:53" x14ac:dyDescent="0.2">
      <c r="A1690">
        <v>2020</v>
      </c>
      <c r="B1690" t="s">
        <v>130</v>
      </c>
      <c r="C1690" t="s">
        <v>1</v>
      </c>
      <c r="D1690">
        <v>6.3</v>
      </c>
      <c r="E1690">
        <v>2.2000000000000002</v>
      </c>
      <c r="F1690">
        <v>7.1</v>
      </c>
      <c r="G1690">
        <v>0</v>
      </c>
      <c r="H1690">
        <v>0</v>
      </c>
      <c r="I1690">
        <v>0</v>
      </c>
      <c r="J1690">
        <v>0</v>
      </c>
      <c r="K1690">
        <f t="shared" si="1182"/>
        <v>15.6</v>
      </c>
      <c r="L1690">
        <v>0</v>
      </c>
      <c r="M1690">
        <v>0</v>
      </c>
      <c r="N1690">
        <v>0</v>
      </c>
      <c r="O1690">
        <f t="shared" si="1183"/>
        <v>0</v>
      </c>
      <c r="P1690">
        <v>0</v>
      </c>
      <c r="Q1690">
        <v>0</v>
      </c>
      <c r="R1690">
        <v>0</v>
      </c>
      <c r="S1690">
        <f t="shared" si="1184"/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f t="shared" si="1185"/>
        <v>0</v>
      </c>
      <c r="AB1690">
        <v>0.9</v>
      </c>
      <c r="AC1690">
        <v>4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 s="5">
        <f t="shared" si="1186"/>
        <v>4.9000000000000004</v>
      </c>
      <c r="AK1690">
        <v>0</v>
      </c>
      <c r="AL1690">
        <v>0.79500000000000004</v>
      </c>
      <c r="AM1690">
        <f t="shared" si="1171"/>
        <v>0.20499999999999999</v>
      </c>
      <c r="AN1690">
        <v>1135</v>
      </c>
      <c r="AO1690" t="s">
        <v>13</v>
      </c>
      <c r="AP1690" s="3">
        <f t="shared" si="1172"/>
        <v>1427.6729559748428</v>
      </c>
      <c r="AQ1690" t="s">
        <v>13</v>
      </c>
      <c r="AR1690">
        <f t="shared" si="1167"/>
        <v>0.23902439024390246</v>
      </c>
      <c r="AS1690">
        <f t="shared" si="1179"/>
        <v>0.156</v>
      </c>
      <c r="AT1690">
        <f t="shared" si="1180"/>
        <v>223</v>
      </c>
      <c r="AU1690">
        <f t="shared" si="1181"/>
        <v>70</v>
      </c>
      <c r="AV1690">
        <f t="shared" si="1173"/>
        <v>111</v>
      </c>
      <c r="AW1690">
        <f t="shared" si="1174"/>
        <v>77</v>
      </c>
      <c r="AX1690" s="3">
        <f t="shared" si="1175"/>
        <v>1239.6729559748428</v>
      </c>
      <c r="AY1690">
        <f t="shared" si="1176"/>
        <v>111</v>
      </c>
      <c r="AZ1690">
        <f t="shared" si="1177"/>
        <v>77</v>
      </c>
      <c r="BA1690" s="3">
        <f t="shared" si="1178"/>
        <v>1239.6729559748428</v>
      </c>
    </row>
    <row r="1691" spans="1:53" x14ac:dyDescent="0.2">
      <c r="A1691">
        <v>2021</v>
      </c>
      <c r="B1691" t="s">
        <v>130</v>
      </c>
      <c r="C1691" t="s">
        <v>1</v>
      </c>
      <c r="D1691">
        <v>4.0999999999999996</v>
      </c>
      <c r="E1691">
        <v>4.3</v>
      </c>
      <c r="F1691">
        <v>2.6</v>
      </c>
      <c r="G1691">
        <v>0</v>
      </c>
      <c r="H1691">
        <v>0</v>
      </c>
      <c r="I1691">
        <v>0</v>
      </c>
      <c r="J1691">
        <v>0</v>
      </c>
      <c r="K1691">
        <f t="shared" si="1182"/>
        <v>10.999999999999998</v>
      </c>
      <c r="L1691">
        <v>0</v>
      </c>
      <c r="M1691">
        <v>0</v>
      </c>
      <c r="N1691">
        <v>1</v>
      </c>
      <c r="O1691">
        <f t="shared" si="1183"/>
        <v>1</v>
      </c>
      <c r="P1691">
        <v>0</v>
      </c>
      <c r="Q1691">
        <v>0</v>
      </c>
      <c r="R1691">
        <v>0</v>
      </c>
      <c r="S1691">
        <f t="shared" si="1184"/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f t="shared" si="1185"/>
        <v>0</v>
      </c>
      <c r="AB1691">
        <v>0.4</v>
      </c>
      <c r="AC1691">
        <v>0.6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 s="5">
        <f t="shared" si="1186"/>
        <v>1</v>
      </c>
      <c r="AK1691">
        <v>0</v>
      </c>
      <c r="AL1691">
        <v>0.871</v>
      </c>
      <c r="AM1691">
        <f t="shared" si="1171"/>
        <v>0.12999999999999998</v>
      </c>
      <c r="AN1691">
        <v>2666</v>
      </c>
      <c r="AO1691" t="s">
        <v>13</v>
      </c>
      <c r="AP1691" s="3">
        <f t="shared" si="1172"/>
        <v>3064.367816091954</v>
      </c>
      <c r="AQ1691" t="s">
        <v>13</v>
      </c>
      <c r="AR1691">
        <f t="shared" si="1167"/>
        <v>7.6923076923076941E-2</v>
      </c>
      <c r="AS1691">
        <f t="shared" si="1179"/>
        <v>0.11999999999999998</v>
      </c>
      <c r="AT1691">
        <f t="shared" si="1180"/>
        <v>368</v>
      </c>
      <c r="AU1691">
        <f t="shared" si="1181"/>
        <v>31</v>
      </c>
      <c r="AV1691">
        <f t="shared" si="1173"/>
        <v>199</v>
      </c>
      <c r="AW1691">
        <f t="shared" si="1174"/>
        <v>33</v>
      </c>
      <c r="AX1691" s="3">
        <f t="shared" si="1175"/>
        <v>2832.367816091954</v>
      </c>
      <c r="AY1691">
        <f t="shared" si="1176"/>
        <v>184</v>
      </c>
      <c r="AZ1691">
        <f t="shared" si="1177"/>
        <v>33</v>
      </c>
      <c r="BA1691" s="3">
        <f t="shared" si="1178"/>
        <v>2847.367816091954</v>
      </c>
    </row>
    <row r="1692" spans="1:53" x14ac:dyDescent="0.2">
      <c r="A1692">
        <v>2022</v>
      </c>
      <c r="B1692" t="s">
        <v>130</v>
      </c>
      <c r="C1692" t="s">
        <v>1</v>
      </c>
      <c r="D1692">
        <v>6.3</v>
      </c>
      <c r="E1692">
        <v>5</v>
      </c>
      <c r="F1692">
        <v>2.9</v>
      </c>
      <c r="G1692">
        <v>0</v>
      </c>
      <c r="H1692">
        <v>0.8</v>
      </c>
      <c r="I1692">
        <v>0</v>
      </c>
      <c r="J1692">
        <v>0</v>
      </c>
      <c r="K1692">
        <f t="shared" si="1182"/>
        <v>15.000000000000002</v>
      </c>
      <c r="L1692">
        <v>0</v>
      </c>
      <c r="M1692">
        <v>0</v>
      </c>
      <c r="N1692">
        <v>0</v>
      </c>
      <c r="O1692">
        <f t="shared" si="1183"/>
        <v>0</v>
      </c>
      <c r="P1692">
        <v>0</v>
      </c>
      <c r="Q1692">
        <v>0</v>
      </c>
      <c r="R1692">
        <v>0</v>
      </c>
      <c r="S1692">
        <f t="shared" si="1184"/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f t="shared" si="1185"/>
        <v>0</v>
      </c>
      <c r="AB1692">
        <v>0</v>
      </c>
      <c r="AC1692">
        <v>0.7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 s="5">
        <f t="shared" si="1186"/>
        <v>0.7</v>
      </c>
      <c r="AK1692">
        <v>0</v>
      </c>
      <c r="AL1692">
        <v>0.84299999999999997</v>
      </c>
      <c r="AM1692">
        <f t="shared" si="1171"/>
        <v>0.157</v>
      </c>
      <c r="AN1692">
        <v>1304</v>
      </c>
      <c r="AO1692" t="s">
        <v>13</v>
      </c>
      <c r="AP1692" s="3">
        <f t="shared" si="1172"/>
        <v>1546.8564650059313</v>
      </c>
      <c r="AQ1692" t="s">
        <v>13</v>
      </c>
      <c r="AR1692">
        <f t="shared" si="1167"/>
        <v>4.4585987261146494E-2</v>
      </c>
      <c r="AS1692">
        <f t="shared" si="1179"/>
        <v>0.15000000000000002</v>
      </c>
      <c r="AT1692">
        <f t="shared" si="1180"/>
        <v>232</v>
      </c>
      <c r="AU1692">
        <f t="shared" si="1181"/>
        <v>11</v>
      </c>
      <c r="AV1692">
        <f t="shared" si="1173"/>
        <v>116</v>
      </c>
      <c r="AW1692">
        <f t="shared" si="1174"/>
        <v>12</v>
      </c>
      <c r="AX1692" s="3">
        <f t="shared" si="1175"/>
        <v>1418.8564650059313</v>
      </c>
      <c r="AY1692">
        <f t="shared" si="1176"/>
        <v>116</v>
      </c>
      <c r="AZ1692">
        <f t="shared" si="1177"/>
        <v>12</v>
      </c>
      <c r="BA1692" s="3">
        <f t="shared" si="1178"/>
        <v>1418.8564650059313</v>
      </c>
    </row>
    <row r="1693" spans="1:53" x14ac:dyDescent="0.2">
      <c r="A1693">
        <v>2023</v>
      </c>
      <c r="B1693" t="s">
        <v>130</v>
      </c>
      <c r="C1693" t="s">
        <v>1</v>
      </c>
      <c r="D1693">
        <v>5.5</v>
      </c>
      <c r="E1693">
        <v>7.8</v>
      </c>
      <c r="F1693">
        <v>6</v>
      </c>
      <c r="G1693">
        <v>0</v>
      </c>
      <c r="H1693">
        <v>0</v>
      </c>
      <c r="I1693">
        <v>0</v>
      </c>
      <c r="J1693">
        <v>0</v>
      </c>
      <c r="K1693">
        <f t="shared" si="1182"/>
        <v>19.3</v>
      </c>
      <c r="L1693">
        <v>0</v>
      </c>
      <c r="M1693">
        <v>0</v>
      </c>
      <c r="N1693">
        <v>0</v>
      </c>
      <c r="O1693">
        <f t="shared" si="1183"/>
        <v>0</v>
      </c>
      <c r="P1693">
        <v>0</v>
      </c>
      <c r="Q1693">
        <v>0</v>
      </c>
      <c r="R1693">
        <v>0</v>
      </c>
      <c r="S1693">
        <f t="shared" si="1184"/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f t="shared" si="1185"/>
        <v>0</v>
      </c>
      <c r="AB1693">
        <v>0.5</v>
      </c>
      <c r="AC1693">
        <v>0.5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 s="5">
        <f t="shared" si="1186"/>
        <v>1</v>
      </c>
      <c r="AK1693">
        <v>0</v>
      </c>
      <c r="AL1693">
        <v>0.79700000000000004</v>
      </c>
      <c r="AM1693">
        <f t="shared" si="1171"/>
        <v>0.20300000000000001</v>
      </c>
      <c r="AN1693">
        <v>2072</v>
      </c>
      <c r="AO1693" t="s">
        <v>13</v>
      </c>
      <c r="AP1693" s="3">
        <f t="shared" si="1172"/>
        <v>2599.7490589711419</v>
      </c>
      <c r="AQ1693" t="s">
        <v>13</v>
      </c>
      <c r="AR1693">
        <f t="shared" si="1167"/>
        <v>4.926108374384236E-2</v>
      </c>
      <c r="AS1693">
        <f t="shared" si="1179"/>
        <v>0.193</v>
      </c>
      <c r="AT1693">
        <f t="shared" si="1180"/>
        <v>502</v>
      </c>
      <c r="AU1693">
        <f t="shared" si="1181"/>
        <v>26</v>
      </c>
      <c r="AV1693">
        <f t="shared" si="1173"/>
        <v>251</v>
      </c>
      <c r="AW1693">
        <f t="shared" si="1174"/>
        <v>29</v>
      </c>
      <c r="AX1693" s="3">
        <f t="shared" si="1175"/>
        <v>2319.7490589711419</v>
      </c>
      <c r="AY1693">
        <f t="shared" si="1176"/>
        <v>251</v>
      </c>
      <c r="AZ1693">
        <f t="shared" si="1177"/>
        <v>29</v>
      </c>
      <c r="BA1693" s="3">
        <f t="shared" si="1178"/>
        <v>2319.7490589711419</v>
      </c>
    </row>
  </sheetData>
  <conditionalFormatting sqref="L579:N594">
    <cfRule type="expression" dxfId="31" priority="36">
      <formula>$AH579="omit"</formula>
    </cfRule>
    <cfRule type="expression" dxfId="30" priority="35">
      <formula>$AH579="shade"</formula>
    </cfRule>
  </conditionalFormatting>
  <conditionalFormatting sqref="L602:N613">
    <cfRule type="expression" dxfId="29" priority="33">
      <formula>$AH602="shade"</formula>
    </cfRule>
    <cfRule type="expression" dxfId="28" priority="34">
      <formula>$AH602="omit"</formula>
    </cfRule>
  </conditionalFormatting>
  <conditionalFormatting sqref="L993:N1034">
    <cfRule type="expression" dxfId="27" priority="3">
      <formula>$AH993="shade"</formula>
    </cfRule>
    <cfRule type="expression" dxfId="26" priority="4">
      <formula>$AH993="omit"</formula>
    </cfRule>
  </conditionalFormatting>
  <conditionalFormatting sqref="P614:P697">
    <cfRule type="expression" dxfId="25" priority="17">
      <formula>$AH614="shade"</formula>
    </cfRule>
    <cfRule type="expression" dxfId="24" priority="18">
      <formula>$AH614="omit"</formula>
    </cfRule>
  </conditionalFormatting>
  <conditionalFormatting sqref="P256:R289">
    <cfRule type="expression" dxfId="23" priority="42">
      <formula>$AH256="omit"</formula>
    </cfRule>
    <cfRule type="expression" dxfId="22" priority="41">
      <formula>$AH256="shade"</formula>
    </cfRule>
  </conditionalFormatting>
  <conditionalFormatting sqref="P291:R299">
    <cfRule type="expression" dxfId="21" priority="44">
      <formula>#REF!="omit"</formula>
    </cfRule>
    <cfRule type="expression" dxfId="20" priority="43">
      <formula>#REF!="shade"</formula>
    </cfRule>
  </conditionalFormatting>
  <conditionalFormatting sqref="P300:R323">
    <cfRule type="expression" dxfId="19" priority="45">
      <formula>$AH291="shade"</formula>
    </cfRule>
    <cfRule type="expression" dxfId="18" priority="46">
      <formula>$AH291="omit"</formula>
    </cfRule>
  </conditionalFormatting>
  <conditionalFormatting sqref="P602:R613">
    <cfRule type="expression" dxfId="17" priority="31">
      <formula>$AH602="shade"</formula>
    </cfRule>
    <cfRule type="expression" dxfId="16" priority="32">
      <formula>$AH602="omit"</formula>
    </cfRule>
  </conditionalFormatting>
  <conditionalFormatting sqref="P789:R799">
    <cfRule type="expression" dxfId="15" priority="11">
      <formula>$AH789="shade"</formula>
    </cfRule>
    <cfRule type="expression" dxfId="14" priority="12">
      <formula>$AH789="omit"</formula>
    </cfRule>
  </conditionalFormatting>
  <conditionalFormatting sqref="P823:R863">
    <cfRule type="expression" dxfId="13" priority="5">
      <formula>$AH823="shade"</formula>
    </cfRule>
    <cfRule type="expression" dxfId="12" priority="6">
      <formula>$AH823="omit"</formula>
    </cfRule>
  </conditionalFormatting>
  <conditionalFormatting sqref="P993:R1034">
    <cfRule type="expression" dxfId="11" priority="1">
      <formula>$AH993="shade"</formula>
    </cfRule>
    <cfRule type="expression" dxfId="10" priority="2">
      <formula>$AH993="omit"</formula>
    </cfRule>
  </conditionalFormatting>
  <conditionalFormatting sqref="T579:U594">
    <cfRule type="expression" dxfId="9" priority="30">
      <formula>$AH579="omit"</formula>
    </cfRule>
    <cfRule type="expression" dxfId="8" priority="29">
      <formula>$AH579="shade"</formula>
    </cfRule>
  </conditionalFormatting>
  <conditionalFormatting sqref="T602:Z613">
    <cfRule type="expression" dxfId="7" priority="26">
      <formula>$AH602="omit"</formula>
    </cfRule>
    <cfRule type="expression" dxfId="6" priority="25">
      <formula>$AH602="shade"</formula>
    </cfRule>
  </conditionalFormatting>
  <conditionalFormatting sqref="V325:W363">
    <cfRule type="expression" dxfId="5" priority="37">
      <formula>$AH325="shade"</formula>
    </cfRule>
    <cfRule type="expression" dxfId="4" priority="38">
      <formula>$AH325="omit"</formula>
    </cfRule>
  </conditionalFormatting>
  <conditionalFormatting sqref="AB789:AI799">
    <cfRule type="expression" dxfId="3" priority="10">
      <formula>$AH789="omit"</formula>
    </cfRule>
    <cfRule type="expression" dxfId="2" priority="9">
      <formula>$AH789="shade"</formula>
    </cfRule>
  </conditionalFormatting>
  <conditionalFormatting sqref="AK579:AK594">
    <cfRule type="expression" dxfId="1" priority="24">
      <formula>$AH579="omit"</formula>
    </cfRule>
    <cfRule type="expression" dxfId="0" priority="23">
      <formula>$AH579="shade"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D9F6F-5CF1-4C27-AF3A-944CD1F6586C}">
  <dimension ref="A1:C27"/>
  <sheetViews>
    <sheetView workbookViewId="0">
      <selection activeCell="A25" sqref="A25"/>
    </sheetView>
  </sheetViews>
  <sheetFormatPr baseColWidth="10" defaultColWidth="8.83203125" defaultRowHeight="15" x14ac:dyDescent="0.2"/>
  <cols>
    <col min="1" max="1" width="9.5" bestFit="1" customWidth="1"/>
    <col min="2" max="2" width="10" customWidth="1"/>
  </cols>
  <sheetData>
    <row r="1" spans="1:3" x14ac:dyDescent="0.2">
      <c r="A1" t="s">
        <v>4</v>
      </c>
      <c r="B1" t="s">
        <v>45</v>
      </c>
      <c r="C1" t="s">
        <v>46</v>
      </c>
    </row>
    <row r="2" spans="1:3" x14ac:dyDescent="0.2">
      <c r="A2" t="s">
        <v>5</v>
      </c>
      <c r="B2">
        <v>5009</v>
      </c>
      <c r="C2" t="s">
        <v>49</v>
      </c>
    </row>
    <row r="3" spans="1:3" x14ac:dyDescent="0.2">
      <c r="A3" t="s">
        <v>5</v>
      </c>
      <c r="B3">
        <v>14000</v>
      </c>
      <c r="C3" t="s">
        <v>50</v>
      </c>
    </row>
    <row r="4" spans="1:3" x14ac:dyDescent="0.2">
      <c r="A4" t="s">
        <v>44</v>
      </c>
      <c r="B4">
        <v>3500</v>
      </c>
      <c r="C4" t="s">
        <v>47</v>
      </c>
    </row>
    <row r="5" spans="1:3" x14ac:dyDescent="0.2">
      <c r="A5" t="s">
        <v>44</v>
      </c>
      <c r="B5">
        <v>1750</v>
      </c>
      <c r="C5" t="s">
        <v>48</v>
      </c>
    </row>
    <row r="6" spans="1:3" x14ac:dyDescent="0.2">
      <c r="A6" t="s">
        <v>51</v>
      </c>
      <c r="B6">
        <v>6500</v>
      </c>
      <c r="C6" t="s">
        <v>53</v>
      </c>
    </row>
    <row r="7" spans="1:3" x14ac:dyDescent="0.2">
      <c r="A7" t="s">
        <v>66</v>
      </c>
      <c r="B7">
        <v>75100</v>
      </c>
      <c r="C7" t="s">
        <v>53</v>
      </c>
    </row>
    <row r="8" spans="1:3" x14ac:dyDescent="0.2">
      <c r="A8" t="s">
        <v>67</v>
      </c>
      <c r="B8">
        <v>5235</v>
      </c>
      <c r="C8" t="s">
        <v>68</v>
      </c>
    </row>
    <row r="9" spans="1:3" x14ac:dyDescent="0.2">
      <c r="A9" t="s">
        <v>73</v>
      </c>
      <c r="B9">
        <v>5700</v>
      </c>
      <c r="C9" t="s">
        <v>74</v>
      </c>
    </row>
    <row r="10" spans="1:3" x14ac:dyDescent="0.2">
      <c r="A10" t="s">
        <v>78</v>
      </c>
      <c r="B10">
        <v>12300</v>
      </c>
      <c r="C10" t="s">
        <v>53</v>
      </c>
    </row>
    <row r="11" spans="1:3" x14ac:dyDescent="0.2">
      <c r="A11" t="s">
        <v>84</v>
      </c>
      <c r="B11">
        <v>2500</v>
      </c>
      <c r="C11" t="s">
        <v>86</v>
      </c>
    </row>
    <row r="12" spans="1:3" x14ac:dyDescent="0.2">
      <c r="A12" t="s">
        <v>88</v>
      </c>
      <c r="B12">
        <v>1200</v>
      </c>
      <c r="C12" t="s">
        <v>86</v>
      </c>
    </row>
    <row r="13" spans="1:3" x14ac:dyDescent="0.2">
      <c r="A13" t="s">
        <v>87</v>
      </c>
      <c r="B13">
        <v>900</v>
      </c>
      <c r="C13" t="s">
        <v>89</v>
      </c>
    </row>
    <row r="14" spans="1:3" x14ac:dyDescent="0.2">
      <c r="A14" t="s">
        <v>92</v>
      </c>
      <c r="B14">
        <v>3000</v>
      </c>
      <c r="C14" t="s">
        <v>89</v>
      </c>
    </row>
    <row r="15" spans="1:3" x14ac:dyDescent="0.2">
      <c r="A15" t="s">
        <v>79</v>
      </c>
      <c r="B15">
        <v>6600</v>
      </c>
      <c r="C15" t="s">
        <v>100</v>
      </c>
    </row>
    <row r="16" spans="1:3" x14ac:dyDescent="0.2">
      <c r="A16" t="s">
        <v>101</v>
      </c>
      <c r="B16">
        <v>3500</v>
      </c>
      <c r="C16" t="s">
        <v>102</v>
      </c>
    </row>
    <row r="17" spans="1:3" x14ac:dyDescent="0.2">
      <c r="A17" t="s">
        <v>101</v>
      </c>
      <c r="B17">
        <v>5300</v>
      </c>
      <c r="C17" t="s">
        <v>103</v>
      </c>
    </row>
    <row r="18" spans="1:3" x14ac:dyDescent="0.2">
      <c r="A18" t="s">
        <v>104</v>
      </c>
      <c r="B18">
        <v>19000</v>
      </c>
      <c r="C18" t="s">
        <v>102</v>
      </c>
    </row>
    <row r="19" spans="1:3" x14ac:dyDescent="0.2">
      <c r="A19" t="s">
        <v>104</v>
      </c>
      <c r="B19">
        <v>36000</v>
      </c>
      <c r="C19" t="s">
        <v>103</v>
      </c>
    </row>
    <row r="20" spans="1:3" x14ac:dyDescent="0.2">
      <c r="A20" t="s">
        <v>105</v>
      </c>
      <c r="B20">
        <v>14000</v>
      </c>
      <c r="C20" t="s">
        <v>102</v>
      </c>
    </row>
    <row r="21" spans="1:3" x14ac:dyDescent="0.2">
      <c r="A21" t="s">
        <v>105</v>
      </c>
      <c r="B21">
        <v>28000</v>
      </c>
      <c r="C21" t="s">
        <v>103</v>
      </c>
    </row>
    <row r="22" spans="1:3" x14ac:dyDescent="0.2">
      <c r="A22" t="s">
        <v>106</v>
      </c>
      <c r="B22">
        <v>6869</v>
      </c>
      <c r="C22" t="s">
        <v>100</v>
      </c>
    </row>
    <row r="23" spans="1:3" x14ac:dyDescent="0.2">
      <c r="A23" t="s">
        <v>107</v>
      </c>
      <c r="B23">
        <v>2944</v>
      </c>
      <c r="C23" t="s">
        <v>100</v>
      </c>
    </row>
    <row r="24" spans="1:3" x14ac:dyDescent="0.2">
      <c r="A24" t="s">
        <v>108</v>
      </c>
      <c r="B24">
        <v>12925</v>
      </c>
      <c r="C24" t="s">
        <v>100</v>
      </c>
    </row>
    <row r="25" spans="1:3" x14ac:dyDescent="0.2">
      <c r="A25" t="s">
        <v>109</v>
      </c>
      <c r="B25">
        <v>12143</v>
      </c>
      <c r="C25" t="s">
        <v>100</v>
      </c>
    </row>
    <row r="26" spans="1:3" x14ac:dyDescent="0.2">
      <c r="A26" t="s">
        <v>120</v>
      </c>
      <c r="B26">
        <v>690</v>
      </c>
      <c r="C26" t="s">
        <v>124</v>
      </c>
    </row>
    <row r="27" spans="1:3" x14ac:dyDescent="0.2">
      <c r="A27" t="s">
        <v>122</v>
      </c>
      <c r="B27">
        <v>9202</v>
      </c>
      <c r="C27" t="s">
        <v>123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575A1-CDB3-46B8-89AA-D4CEE75EC933}">
  <dimension ref="A1:G46"/>
  <sheetViews>
    <sheetView workbookViewId="0">
      <selection activeCell="K14" sqref="K14"/>
    </sheetView>
  </sheetViews>
  <sheetFormatPr baseColWidth="10" defaultColWidth="8.83203125" defaultRowHeight="15" x14ac:dyDescent="0.2"/>
  <cols>
    <col min="6" max="6" width="12.6640625" bestFit="1" customWidth="1"/>
  </cols>
  <sheetData>
    <row r="1" spans="1:7" x14ac:dyDescent="0.2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98</v>
      </c>
      <c r="G1" t="s">
        <v>97</v>
      </c>
    </row>
    <row r="2" spans="1:7" x14ac:dyDescent="0.2">
      <c r="A2">
        <v>2009</v>
      </c>
      <c r="B2" t="s">
        <v>1</v>
      </c>
      <c r="C2">
        <v>218800</v>
      </c>
      <c r="D2">
        <v>176000</v>
      </c>
      <c r="E2">
        <v>227954</v>
      </c>
      <c r="F2">
        <f>(C2-D2)/D2</f>
        <v>0.24318181818181819</v>
      </c>
      <c r="G2">
        <f>(E2-C2)/E2</f>
        <v>4.0157224703229598E-2</v>
      </c>
    </row>
    <row r="3" spans="1:7" x14ac:dyDescent="0.2">
      <c r="A3">
        <v>2010</v>
      </c>
      <c r="B3" t="s">
        <v>1</v>
      </c>
      <c r="C3">
        <v>221800</v>
      </c>
      <c r="D3">
        <v>215800</v>
      </c>
      <c r="E3">
        <v>230611</v>
      </c>
      <c r="F3">
        <f t="shared" ref="F3:F41" si="0">(C3-D3)/D3</f>
        <v>2.7803521779425393E-2</v>
      </c>
      <c r="G3">
        <f t="shared" ref="G3:G46" si="1">(E3-C3)/E3</f>
        <v>3.8207197401685086E-2</v>
      </c>
    </row>
    <row r="4" spans="1:7" x14ac:dyDescent="0.2">
      <c r="A4">
        <v>2011</v>
      </c>
      <c r="B4" t="s">
        <v>1</v>
      </c>
      <c r="C4">
        <v>294800</v>
      </c>
      <c r="D4">
        <v>283300</v>
      </c>
      <c r="E4">
        <v>291161</v>
      </c>
      <c r="F4">
        <f t="shared" si="0"/>
        <v>4.0593010942463821E-2</v>
      </c>
      <c r="G4">
        <f t="shared" si="1"/>
        <v>-1.2498239805468452E-2</v>
      </c>
    </row>
    <row r="5" spans="1:7" x14ac:dyDescent="0.2">
      <c r="A5">
        <v>2012</v>
      </c>
      <c r="B5" t="s">
        <v>1</v>
      </c>
      <c r="C5">
        <v>266800</v>
      </c>
      <c r="D5">
        <v>205100</v>
      </c>
      <c r="E5">
        <v>242821</v>
      </c>
      <c r="F5">
        <f t="shared" si="0"/>
        <v>0.30082886396879571</v>
      </c>
      <c r="G5">
        <f t="shared" si="1"/>
        <v>-9.8751755408304887E-2</v>
      </c>
    </row>
    <row r="6" spans="1:7" x14ac:dyDescent="0.2">
      <c r="A6">
        <v>2013</v>
      </c>
      <c r="B6" t="s">
        <v>1</v>
      </c>
      <c r="C6">
        <v>176000</v>
      </c>
      <c r="D6">
        <v>284900</v>
      </c>
      <c r="E6">
        <v>191388</v>
      </c>
      <c r="F6">
        <f t="shared" si="0"/>
        <v>-0.38223938223938225</v>
      </c>
      <c r="G6">
        <f t="shared" si="1"/>
        <v>8.0402115075135325E-2</v>
      </c>
    </row>
    <row r="7" spans="1:7" x14ac:dyDescent="0.2">
      <c r="A7">
        <v>2014</v>
      </c>
      <c r="B7" t="s">
        <v>1</v>
      </c>
      <c r="C7">
        <v>439400</v>
      </c>
      <c r="D7">
        <v>378600</v>
      </c>
      <c r="E7">
        <v>435195</v>
      </c>
      <c r="F7">
        <f t="shared" si="0"/>
        <v>0.16059165346011622</v>
      </c>
      <c r="G7">
        <f t="shared" si="1"/>
        <v>-9.6623352749916711E-3</v>
      </c>
    </row>
    <row r="8" spans="1:7" x14ac:dyDescent="0.2">
      <c r="A8">
        <v>2015</v>
      </c>
      <c r="B8" t="s">
        <v>1</v>
      </c>
      <c r="C8">
        <v>237000</v>
      </c>
      <c r="D8">
        <v>337500</v>
      </c>
      <c r="E8">
        <v>335026</v>
      </c>
      <c r="F8">
        <f t="shared" si="0"/>
        <v>-0.29777777777777775</v>
      </c>
      <c r="G8">
        <f t="shared" si="1"/>
        <v>0.29259221672347818</v>
      </c>
    </row>
    <row r="9" spans="1:7" x14ac:dyDescent="0.2">
      <c r="A9">
        <v>2016</v>
      </c>
      <c r="B9" t="s">
        <v>1</v>
      </c>
      <c r="C9">
        <v>355600</v>
      </c>
      <c r="D9">
        <v>288200</v>
      </c>
      <c r="E9">
        <v>350704</v>
      </c>
      <c r="F9">
        <f t="shared" si="0"/>
        <v>0.23386537126995141</v>
      </c>
      <c r="G9">
        <f t="shared" si="1"/>
        <v>-1.3960490898307405E-2</v>
      </c>
    </row>
    <row r="10" spans="1:7" x14ac:dyDescent="0.2">
      <c r="A10">
        <v>2017</v>
      </c>
      <c r="B10" t="s">
        <v>1</v>
      </c>
      <c r="C10">
        <v>209700</v>
      </c>
      <c r="D10">
        <v>215800</v>
      </c>
      <c r="E10">
        <v>175414</v>
      </c>
      <c r="F10">
        <f t="shared" si="0"/>
        <v>-2.8266913809082483E-2</v>
      </c>
      <c r="G10">
        <f t="shared" si="1"/>
        <v>-0.19545760315596247</v>
      </c>
    </row>
    <row r="11" spans="1:7" x14ac:dyDescent="0.2">
      <c r="A11">
        <v>2018</v>
      </c>
      <c r="B11" t="s">
        <v>1</v>
      </c>
      <c r="C11">
        <v>144500</v>
      </c>
      <c r="D11">
        <v>118700</v>
      </c>
      <c r="E11">
        <v>127776</v>
      </c>
      <c r="F11">
        <f t="shared" si="0"/>
        <v>0.21735467565290648</v>
      </c>
      <c r="G11">
        <f t="shared" si="1"/>
        <v>-0.13088529927372902</v>
      </c>
    </row>
    <row r="12" spans="1:7" x14ac:dyDescent="0.2">
      <c r="A12">
        <v>2019</v>
      </c>
      <c r="B12" t="s">
        <v>1</v>
      </c>
      <c r="C12">
        <v>140323</v>
      </c>
      <c r="D12" t="s">
        <v>13</v>
      </c>
      <c r="E12" s="3">
        <v>140307</v>
      </c>
      <c r="F12" t="s">
        <v>13</v>
      </c>
      <c r="G12">
        <f t="shared" si="1"/>
        <v>-1.140356503952048E-4</v>
      </c>
    </row>
    <row r="13" spans="1:7" x14ac:dyDescent="0.2">
      <c r="A13">
        <v>2020</v>
      </c>
      <c r="B13" t="s">
        <v>1</v>
      </c>
      <c r="C13">
        <v>205200</v>
      </c>
      <c r="D13" t="s">
        <v>13</v>
      </c>
      <c r="E13" s="3">
        <v>204624</v>
      </c>
      <c r="F13" t="s">
        <v>13</v>
      </c>
      <c r="G13">
        <f t="shared" si="1"/>
        <v>-2.8149190710767065E-3</v>
      </c>
    </row>
    <row r="14" spans="1:7" x14ac:dyDescent="0.2">
      <c r="A14">
        <v>2021</v>
      </c>
      <c r="B14" t="s">
        <v>1</v>
      </c>
      <c r="C14">
        <v>205200</v>
      </c>
      <c r="D14" t="s">
        <v>13</v>
      </c>
      <c r="E14" s="3">
        <v>202083</v>
      </c>
      <c r="F14" t="s">
        <v>13</v>
      </c>
      <c r="G14">
        <f t="shared" si="1"/>
        <v>-1.5424355339142827E-2</v>
      </c>
    </row>
    <row r="15" spans="1:7" x14ac:dyDescent="0.2">
      <c r="A15">
        <v>2022</v>
      </c>
      <c r="B15" t="s">
        <v>1</v>
      </c>
      <c r="C15">
        <v>266600</v>
      </c>
      <c r="D15" t="s">
        <v>13</v>
      </c>
      <c r="E15" s="3">
        <v>238621</v>
      </c>
      <c r="F15" t="s">
        <v>13</v>
      </c>
      <c r="G15">
        <f t="shared" si="1"/>
        <v>-0.11725288218555785</v>
      </c>
    </row>
    <row r="16" spans="1:7" x14ac:dyDescent="0.2">
      <c r="A16">
        <v>2023</v>
      </c>
      <c r="B16" t="s">
        <v>1</v>
      </c>
      <c r="C16">
        <v>206000</v>
      </c>
      <c r="D16" t="s">
        <v>13</v>
      </c>
      <c r="E16" s="3">
        <v>202740</v>
      </c>
      <c r="F16" t="s">
        <v>13</v>
      </c>
      <c r="G16">
        <f t="shared" si="1"/>
        <v>-1.6079708000394596E-2</v>
      </c>
    </row>
    <row r="17" spans="1:7" x14ac:dyDescent="0.2">
      <c r="A17">
        <v>2009</v>
      </c>
      <c r="B17" t="s">
        <v>2</v>
      </c>
      <c r="C17">
        <v>143000</v>
      </c>
      <c r="D17">
        <v>139100</v>
      </c>
      <c r="E17">
        <v>109470</v>
      </c>
      <c r="F17">
        <f t="shared" si="0"/>
        <v>2.8037383177570093E-2</v>
      </c>
      <c r="G17">
        <f t="shared" si="1"/>
        <v>-0.30629396181602264</v>
      </c>
    </row>
    <row r="18" spans="1:7" x14ac:dyDescent="0.2">
      <c r="A18">
        <v>2010</v>
      </c>
      <c r="B18" t="s">
        <v>2</v>
      </c>
      <c r="C18">
        <v>152100</v>
      </c>
      <c r="D18">
        <v>160400</v>
      </c>
      <c r="E18">
        <v>136613</v>
      </c>
      <c r="F18">
        <f t="shared" si="0"/>
        <v>-5.1745635910224436E-2</v>
      </c>
      <c r="G18">
        <f t="shared" si="1"/>
        <v>-0.11336402831355727</v>
      </c>
    </row>
    <row r="19" spans="1:7" x14ac:dyDescent="0.2">
      <c r="A19">
        <v>2011</v>
      </c>
      <c r="B19" t="s">
        <v>2</v>
      </c>
      <c r="C19">
        <v>182400</v>
      </c>
      <c r="D19">
        <v>186800</v>
      </c>
      <c r="E19">
        <v>122660</v>
      </c>
      <c r="F19">
        <f t="shared" si="0"/>
        <v>-2.3554603854389723E-2</v>
      </c>
      <c r="G19">
        <f t="shared" si="1"/>
        <v>-0.48703733898581447</v>
      </c>
    </row>
    <row r="20" spans="1:7" x14ac:dyDescent="0.2">
      <c r="A20">
        <v>2012</v>
      </c>
      <c r="B20" t="s">
        <v>2</v>
      </c>
      <c r="C20">
        <v>173600</v>
      </c>
      <c r="D20">
        <v>149500</v>
      </c>
      <c r="E20">
        <v>120306</v>
      </c>
      <c r="F20">
        <f t="shared" si="0"/>
        <v>0.16120401337792642</v>
      </c>
      <c r="G20">
        <f t="shared" si="1"/>
        <v>-0.44298704968995728</v>
      </c>
    </row>
    <row r="21" spans="1:7" x14ac:dyDescent="0.2">
      <c r="A21">
        <v>2013</v>
      </c>
      <c r="B21" t="s">
        <v>2</v>
      </c>
      <c r="C21">
        <v>143000</v>
      </c>
      <c r="D21">
        <v>220300</v>
      </c>
      <c r="E21">
        <v>115914</v>
      </c>
      <c r="F21">
        <f t="shared" si="0"/>
        <v>-0.35088515660463004</v>
      </c>
      <c r="G21">
        <f t="shared" si="1"/>
        <v>-0.2336732405058923</v>
      </c>
    </row>
    <row r="22" spans="1:7" x14ac:dyDescent="0.2">
      <c r="A22">
        <v>2014</v>
      </c>
      <c r="B22" t="s">
        <v>2</v>
      </c>
      <c r="C22">
        <v>290300</v>
      </c>
      <c r="D22">
        <v>262600</v>
      </c>
      <c r="E22">
        <v>216901</v>
      </c>
      <c r="F22">
        <f t="shared" si="0"/>
        <v>0.10548362528560548</v>
      </c>
      <c r="G22">
        <f t="shared" si="1"/>
        <v>-0.33839862425714956</v>
      </c>
    </row>
    <row r="23" spans="1:7" x14ac:dyDescent="0.2">
      <c r="A23">
        <v>2015</v>
      </c>
      <c r="B23" t="s">
        <v>2</v>
      </c>
      <c r="C23">
        <v>160400</v>
      </c>
      <c r="D23">
        <v>246600</v>
      </c>
      <c r="E23">
        <v>158903</v>
      </c>
      <c r="F23">
        <f t="shared" si="0"/>
        <v>-0.34955393349553932</v>
      </c>
      <c r="G23">
        <f t="shared" si="1"/>
        <v>-9.4208416455321808E-3</v>
      </c>
    </row>
    <row r="24" spans="1:7" x14ac:dyDescent="0.2">
      <c r="A24">
        <v>2016</v>
      </c>
      <c r="B24" t="s">
        <v>2</v>
      </c>
      <c r="C24">
        <v>248000</v>
      </c>
      <c r="D24">
        <v>183900</v>
      </c>
      <c r="E24">
        <v>190181</v>
      </c>
      <c r="F24">
        <f t="shared" si="0"/>
        <v>0.3485589994562262</v>
      </c>
      <c r="G24">
        <f t="shared" si="1"/>
        <v>-0.30402090639969293</v>
      </c>
    </row>
    <row r="25" spans="1:7" x14ac:dyDescent="0.2">
      <c r="A25">
        <v>2017</v>
      </c>
      <c r="B25" t="s">
        <v>2</v>
      </c>
      <c r="C25">
        <v>149500</v>
      </c>
      <c r="D25">
        <v>148200</v>
      </c>
      <c r="E25">
        <v>143330</v>
      </c>
      <c r="F25">
        <f t="shared" si="0"/>
        <v>8.771929824561403E-3</v>
      </c>
      <c r="G25">
        <f t="shared" si="1"/>
        <v>-4.3047512732854253E-2</v>
      </c>
    </row>
    <row r="26" spans="1:7" x14ac:dyDescent="0.2">
      <c r="A26">
        <v>2018</v>
      </c>
      <c r="B26" t="s">
        <v>2</v>
      </c>
      <c r="C26">
        <v>131300</v>
      </c>
      <c r="D26">
        <v>115700</v>
      </c>
      <c r="E26">
        <v>108976</v>
      </c>
      <c r="F26">
        <f t="shared" si="0"/>
        <v>0.1348314606741573</v>
      </c>
      <c r="G26">
        <f t="shared" si="1"/>
        <v>-0.20485244457495227</v>
      </c>
    </row>
    <row r="27" spans="1:7" x14ac:dyDescent="0.2">
      <c r="A27">
        <v>2019</v>
      </c>
      <c r="B27" t="s">
        <v>2</v>
      </c>
      <c r="C27">
        <v>124800</v>
      </c>
      <c r="D27" t="s">
        <v>13</v>
      </c>
      <c r="E27" s="3">
        <v>88026</v>
      </c>
      <c r="F27" t="s">
        <v>13</v>
      </c>
      <c r="G27">
        <f t="shared" si="1"/>
        <v>-0.41776293367868583</v>
      </c>
    </row>
    <row r="28" spans="1:7" x14ac:dyDescent="0.2">
      <c r="A28">
        <v>2020</v>
      </c>
      <c r="B28" t="s">
        <v>2</v>
      </c>
      <c r="C28">
        <v>133000</v>
      </c>
      <c r="D28" t="s">
        <v>13</v>
      </c>
      <c r="E28" s="3">
        <v>36183</v>
      </c>
      <c r="F28" t="s">
        <v>13</v>
      </c>
      <c r="G28">
        <f t="shared" si="1"/>
        <v>-2.6757593344940993</v>
      </c>
    </row>
    <row r="29" spans="1:7" x14ac:dyDescent="0.2">
      <c r="A29">
        <v>2021</v>
      </c>
      <c r="B29" t="s">
        <v>2</v>
      </c>
      <c r="C29">
        <v>153800</v>
      </c>
      <c r="D29" t="s">
        <v>13</v>
      </c>
      <c r="E29" s="3">
        <v>90987</v>
      </c>
      <c r="F29" t="s">
        <v>13</v>
      </c>
      <c r="G29">
        <f t="shared" si="1"/>
        <v>-0.69035136887687254</v>
      </c>
    </row>
    <row r="30" spans="1:7" x14ac:dyDescent="0.2">
      <c r="A30">
        <v>2022</v>
      </c>
      <c r="B30" t="s">
        <v>2</v>
      </c>
      <c r="C30">
        <v>142800</v>
      </c>
      <c r="D30" t="s">
        <v>13</v>
      </c>
      <c r="E30" s="3">
        <v>83153</v>
      </c>
      <c r="F30" t="s">
        <v>13</v>
      </c>
      <c r="G30">
        <f t="shared" si="1"/>
        <v>-0.71731627241350282</v>
      </c>
    </row>
    <row r="31" spans="1:7" x14ac:dyDescent="0.2">
      <c r="A31">
        <v>2023</v>
      </c>
      <c r="B31" t="s">
        <v>2</v>
      </c>
      <c r="C31">
        <v>141700</v>
      </c>
      <c r="D31" t="s">
        <v>13</v>
      </c>
      <c r="E31" s="3">
        <v>78254</v>
      </c>
      <c r="F31" t="s">
        <v>13</v>
      </c>
      <c r="G31">
        <f t="shared" si="1"/>
        <v>-0.8107700564827357</v>
      </c>
    </row>
    <row r="32" spans="1:7" x14ac:dyDescent="0.2">
      <c r="A32">
        <v>2009</v>
      </c>
      <c r="B32" t="s">
        <v>99</v>
      </c>
      <c r="C32">
        <v>107800</v>
      </c>
      <c r="D32">
        <v>91300</v>
      </c>
      <c r="E32">
        <v>124617</v>
      </c>
      <c r="F32">
        <f t="shared" si="0"/>
        <v>0.18072289156626506</v>
      </c>
      <c r="G32">
        <f t="shared" si="1"/>
        <v>0.13494948522272243</v>
      </c>
    </row>
    <row r="33" spans="1:7" x14ac:dyDescent="0.2">
      <c r="A33">
        <v>2010</v>
      </c>
      <c r="B33" t="s">
        <v>99</v>
      </c>
      <c r="C33">
        <v>143700</v>
      </c>
      <c r="D33">
        <v>142300</v>
      </c>
      <c r="E33">
        <v>139047</v>
      </c>
      <c r="F33">
        <f t="shared" si="0"/>
        <v>9.8383696416022483E-3</v>
      </c>
      <c r="G33">
        <f t="shared" si="1"/>
        <v>-3.346350514574209E-2</v>
      </c>
    </row>
    <row r="34" spans="1:7" x14ac:dyDescent="0.2">
      <c r="A34">
        <v>2011</v>
      </c>
      <c r="B34" t="s">
        <v>99</v>
      </c>
      <c r="C34">
        <v>196800</v>
      </c>
      <c r="D34">
        <v>134800</v>
      </c>
      <c r="E34">
        <v>204232</v>
      </c>
      <c r="F34">
        <f t="shared" si="0"/>
        <v>0.4599406528189911</v>
      </c>
      <c r="G34">
        <f t="shared" si="1"/>
        <v>3.6389987856946998E-2</v>
      </c>
    </row>
    <row r="35" spans="1:7" x14ac:dyDescent="0.2">
      <c r="A35">
        <v>2012</v>
      </c>
      <c r="B35" t="s">
        <v>99</v>
      </c>
      <c r="C35">
        <v>133300</v>
      </c>
      <c r="D35">
        <v>113800</v>
      </c>
      <c r="E35">
        <v>135210</v>
      </c>
      <c r="F35">
        <f t="shared" si="0"/>
        <v>0.17135325131810195</v>
      </c>
      <c r="G35">
        <f t="shared" si="1"/>
        <v>1.412617409954885E-2</v>
      </c>
    </row>
    <row r="36" spans="1:7" x14ac:dyDescent="0.2">
      <c r="A36">
        <v>2013</v>
      </c>
      <c r="B36" t="s">
        <v>99</v>
      </c>
      <c r="C36">
        <v>115300</v>
      </c>
      <c r="D36">
        <v>178000</v>
      </c>
      <c r="E36">
        <v>116871</v>
      </c>
      <c r="F36">
        <f t="shared" si="0"/>
        <v>-0.35224719101123597</v>
      </c>
      <c r="G36">
        <f t="shared" si="1"/>
        <v>1.3442171282867435E-2</v>
      </c>
    </row>
    <row r="37" spans="1:7" x14ac:dyDescent="0.2">
      <c r="A37">
        <v>2014</v>
      </c>
      <c r="B37" t="s">
        <v>99</v>
      </c>
      <c r="C37">
        <v>205400</v>
      </c>
      <c r="D37">
        <v>191700</v>
      </c>
      <c r="E37">
        <v>192705</v>
      </c>
      <c r="F37">
        <f t="shared" si="0"/>
        <v>7.1465832029212306E-2</v>
      </c>
      <c r="G37">
        <f t="shared" si="1"/>
        <v>-6.5877896266313796E-2</v>
      </c>
    </row>
    <row r="38" spans="1:7" x14ac:dyDescent="0.2">
      <c r="A38">
        <v>2015</v>
      </c>
      <c r="B38" t="s">
        <v>99</v>
      </c>
      <c r="C38">
        <v>127300</v>
      </c>
      <c r="D38">
        <v>179700</v>
      </c>
      <c r="E38">
        <v>118974</v>
      </c>
      <c r="F38">
        <f t="shared" si="0"/>
        <v>-0.29159710628825819</v>
      </c>
      <c r="G38">
        <f t="shared" si="1"/>
        <v>-6.9981676668852022E-2</v>
      </c>
    </row>
    <row r="39" spans="1:7" x14ac:dyDescent="0.2">
      <c r="A39">
        <v>2016</v>
      </c>
      <c r="B39" t="s">
        <v>99</v>
      </c>
      <c r="C39">
        <v>133300</v>
      </c>
      <c r="D39">
        <v>104800</v>
      </c>
      <c r="E39">
        <v>103093</v>
      </c>
      <c r="F39">
        <f t="shared" si="0"/>
        <v>0.27194656488549618</v>
      </c>
      <c r="G39">
        <f t="shared" si="1"/>
        <v>-0.29300728468470216</v>
      </c>
    </row>
    <row r="40" spans="1:7" x14ac:dyDescent="0.2">
      <c r="A40">
        <v>2017</v>
      </c>
      <c r="B40" t="s">
        <v>99</v>
      </c>
      <c r="C40">
        <v>115300</v>
      </c>
      <c r="D40">
        <v>95800</v>
      </c>
      <c r="E40">
        <v>117416</v>
      </c>
      <c r="F40">
        <f t="shared" si="0"/>
        <v>0.20354906054279751</v>
      </c>
      <c r="G40">
        <f t="shared" si="1"/>
        <v>1.8021394017851061E-2</v>
      </c>
    </row>
    <row r="41" spans="1:7" x14ac:dyDescent="0.2">
      <c r="A41">
        <v>2018</v>
      </c>
      <c r="B41" t="s">
        <v>99</v>
      </c>
      <c r="C41">
        <v>88300</v>
      </c>
      <c r="D41">
        <v>88300</v>
      </c>
      <c r="E41">
        <v>85330</v>
      </c>
      <c r="F41">
        <f t="shared" si="0"/>
        <v>0</v>
      </c>
      <c r="G41">
        <f t="shared" si="1"/>
        <v>-3.480604711121528E-2</v>
      </c>
    </row>
    <row r="42" spans="1:7" x14ac:dyDescent="0.2">
      <c r="A42">
        <v>2019</v>
      </c>
      <c r="B42" t="s">
        <v>99</v>
      </c>
      <c r="C42">
        <v>79900</v>
      </c>
      <c r="D42" t="s">
        <v>13</v>
      </c>
      <c r="E42" s="3">
        <v>73611</v>
      </c>
      <c r="F42" t="s">
        <v>13</v>
      </c>
      <c r="G42">
        <f t="shared" si="1"/>
        <v>-8.5435600657510422E-2</v>
      </c>
    </row>
    <row r="43" spans="1:7" x14ac:dyDescent="0.2">
      <c r="A43">
        <v>2020</v>
      </c>
      <c r="B43" t="s">
        <v>99</v>
      </c>
      <c r="C43">
        <v>87000</v>
      </c>
      <c r="D43" t="s">
        <v>13</v>
      </c>
      <c r="E43" s="3">
        <v>44572</v>
      </c>
      <c r="F43" t="s">
        <v>13</v>
      </c>
      <c r="G43">
        <f t="shared" si="1"/>
        <v>-0.95189805258906934</v>
      </c>
    </row>
    <row r="44" spans="1:7" x14ac:dyDescent="0.2">
      <c r="A44">
        <v>2021</v>
      </c>
      <c r="B44" t="s">
        <v>99</v>
      </c>
      <c r="C44">
        <v>88000</v>
      </c>
      <c r="D44" t="s">
        <v>13</v>
      </c>
      <c r="E44" s="3">
        <v>74542</v>
      </c>
      <c r="F44" t="s">
        <v>13</v>
      </c>
      <c r="G44">
        <f t="shared" si="1"/>
        <v>-0.18054251294572188</v>
      </c>
    </row>
    <row r="45" spans="1:7" x14ac:dyDescent="0.2">
      <c r="A45">
        <v>2022</v>
      </c>
      <c r="B45" t="s">
        <v>99</v>
      </c>
      <c r="C45">
        <v>100700</v>
      </c>
      <c r="D45" t="s">
        <v>13</v>
      </c>
      <c r="E45" s="3">
        <v>96227</v>
      </c>
      <c r="F45" t="s">
        <v>13</v>
      </c>
      <c r="G45">
        <f t="shared" si="1"/>
        <v>-4.6483835098257244E-2</v>
      </c>
    </row>
    <row r="46" spans="1:7" x14ac:dyDescent="0.2">
      <c r="A46">
        <v>2023</v>
      </c>
      <c r="B46" t="s">
        <v>99</v>
      </c>
      <c r="C46">
        <v>115500</v>
      </c>
      <c r="D46" t="s">
        <v>13</v>
      </c>
      <c r="E46" s="3">
        <v>83596</v>
      </c>
      <c r="F46" t="s">
        <v>13</v>
      </c>
      <c r="G46">
        <f t="shared" si="1"/>
        <v>-0.38164505478731042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ERs and escapement</vt:lpstr>
      <vt:lpstr>mgmt_goals</vt:lpstr>
      <vt:lpstr>AABM TAC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Atlas</dc:creator>
  <cp:lastModifiedBy>Genoa Sullaway</cp:lastModifiedBy>
  <dcterms:created xsi:type="dcterms:W3CDTF">2025-04-18T20:45:27Z</dcterms:created>
  <dcterms:modified xsi:type="dcterms:W3CDTF">2026-01-20T14:29:33Z</dcterms:modified>
</cp:coreProperties>
</file>